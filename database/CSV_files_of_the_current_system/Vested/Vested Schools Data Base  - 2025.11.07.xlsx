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13_ncr:1_{1AE734DB-7CB3-46DA-8C93-491F87F2A5C9}" xr6:coauthVersionLast="47" xr6:coauthVersionMax="47" xr10:uidLastSave="{00000000-0000-0000-0000-000000000000}"/>
  <bookViews>
    <workbookView xWindow="-108" yWindow="-108" windowWidth="23256" windowHeight="12456" tabRatio="596" firstSheet="5" activeTab="5" xr2:uid="{00000000-000D-0000-FFFF-FFFF00000000}"/>
  </bookViews>
  <sheets>
    <sheet name="Schools Taken Over 1960" sheetId="8" r:id="rId1"/>
    <sheet name="1951-1960" sheetId="15" r:id="rId2"/>
    <sheet name="School that Disappeared" sheetId="7" r:id="rId3"/>
    <sheet name="Changes in School" sheetId="16" r:id="rId4"/>
    <sheet name="Vested Schools Now - Referred" sheetId="13" r:id="rId5"/>
    <sheet name="Vested Schools Now - 2024" sheetId="9" r:id="rId6"/>
    <sheet name="Given Over" sheetId="10" r:id="rId7"/>
    <sheet name=" Catholic Government Schools" sheetId="11" r:id="rId8"/>
    <sheet name="Catholic Students in Govt. Sch." sheetId="14" r:id="rId9"/>
  </sheets>
  <externalReferences>
    <externalReference r:id="rId10"/>
    <externalReference r:id="rId11"/>
  </externalReferences>
  <definedNames>
    <definedName name="_xlnm._FilterDatabase" localSheetId="5" hidden="1">'Vested Schools Now - 2024'!$A$4:$BT$195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35" i="9" l="1"/>
  <c r="AE135" i="9"/>
  <c r="AF135" i="9"/>
  <c r="AG135" i="9"/>
  <c r="AD91" i="9" l="1"/>
  <c r="AE91" i="9"/>
  <c r="AF91" i="9"/>
  <c r="AG91" i="9"/>
  <c r="AD75" i="9" l="1"/>
  <c r="AE75" i="9"/>
  <c r="AF75" i="9"/>
  <c r="AG75" i="9"/>
  <c r="AD26" i="9" l="1"/>
  <c r="AE26" i="9"/>
  <c r="AF26" i="9"/>
  <c r="AG26" i="9"/>
  <c r="AD61" i="9"/>
  <c r="AE61" i="9"/>
  <c r="AF61" i="9"/>
  <c r="AG61" i="9"/>
  <c r="AD19" i="9"/>
  <c r="AE19" i="9"/>
  <c r="AF19" i="9"/>
  <c r="AG19" i="9"/>
  <c r="AD69" i="9"/>
  <c r="AE69" i="9"/>
  <c r="AF69" i="9"/>
  <c r="AG69" i="9"/>
  <c r="AG165" i="9"/>
  <c r="AD165" i="9"/>
  <c r="AE165" i="9"/>
  <c r="AF165" i="9"/>
  <c r="AG85" i="9" l="1"/>
  <c r="AD85" i="9"/>
  <c r="AE85" i="9"/>
  <c r="AF85" i="9"/>
  <c r="AD187" i="9" l="1"/>
  <c r="AE187" i="9"/>
  <c r="AF187" i="9"/>
  <c r="AG187" i="9"/>
  <c r="BF188" i="9"/>
  <c r="BF45" i="9" l="1"/>
  <c r="AG80" i="9" l="1"/>
  <c r="AD80" i="9"/>
  <c r="AE80" i="9"/>
  <c r="AF80" i="9"/>
  <c r="AD172" i="9" l="1"/>
  <c r="AE172" i="9"/>
  <c r="AF172" i="9"/>
  <c r="AG172" i="9"/>
  <c r="AG120" i="9" l="1"/>
  <c r="AD120" i="9"/>
  <c r="AE120" i="9"/>
  <c r="AF120" i="9"/>
  <c r="AG81" i="9" l="1"/>
  <c r="AD81" i="9"/>
  <c r="AE81" i="9"/>
  <c r="AF81" i="9"/>
  <c r="AD9" i="11" l="1"/>
  <c r="AF9" i="11" s="1"/>
  <c r="AQ9" i="11"/>
  <c r="AG9" i="11" l="1"/>
  <c r="AE9" i="11"/>
  <c r="AH9" i="11" l="1"/>
  <c r="BF93" i="9"/>
  <c r="AA8" i="11" l="1"/>
  <c r="AB8" i="11"/>
  <c r="AC8" i="11"/>
  <c r="AD8" i="11" l="1"/>
  <c r="AE8" i="11" s="1"/>
  <c r="AG8" i="11"/>
  <c r="AG17" i="9"/>
  <c r="AD17" i="9"/>
  <c r="AE17" i="9"/>
  <c r="AF17" i="9"/>
  <c r="AF8" i="11" l="1"/>
  <c r="AH8" i="11" s="1"/>
  <c r="AG88" i="9"/>
  <c r="AD88" i="9"/>
  <c r="AE88" i="9"/>
  <c r="AF88" i="9"/>
  <c r="AG33" i="9"/>
  <c r="AD33" i="9"/>
  <c r="AE33" i="9"/>
  <c r="AF33" i="9"/>
  <c r="AG31" i="9" l="1"/>
  <c r="AD31" i="9"/>
  <c r="AE31" i="9"/>
  <c r="AF31" i="9"/>
  <c r="AG113" i="9" l="1"/>
  <c r="AD113" i="9"/>
  <c r="AE113" i="9"/>
  <c r="AF113" i="9"/>
  <c r="AK72" i="9"/>
  <c r="AQ7" i="11" l="1"/>
  <c r="AC7" i="11"/>
  <c r="AB7" i="11"/>
  <c r="AA7" i="11"/>
  <c r="AQ6" i="11"/>
  <c r="AD6" i="11"/>
  <c r="AC6" i="11"/>
  <c r="AB6" i="11"/>
  <c r="AA6" i="11"/>
  <c r="AU14" i="10"/>
  <c r="AH14" i="10"/>
  <c r="AG14" i="10"/>
  <c r="AF14" i="10"/>
  <c r="AE14" i="10"/>
  <c r="AU13" i="10"/>
  <c r="AH13" i="10"/>
  <c r="AG13" i="10"/>
  <c r="AF13" i="10"/>
  <c r="AE13" i="10"/>
  <c r="AU12" i="10"/>
  <c r="AH12" i="10"/>
  <c r="AG12" i="10"/>
  <c r="AF12" i="10"/>
  <c r="AE12" i="10"/>
  <c r="AU11" i="10"/>
  <c r="AH11" i="10"/>
  <c r="AG11" i="10"/>
  <c r="AF11" i="10"/>
  <c r="AE11" i="10"/>
  <c r="AU10" i="10"/>
  <c r="AH10" i="10"/>
  <c r="AG10" i="10"/>
  <c r="AF10" i="10"/>
  <c r="AE10" i="10"/>
  <c r="A4" i="10"/>
  <c r="AK14" i="10" s="1"/>
  <c r="BF195" i="9"/>
  <c r="AG195" i="9"/>
  <c r="AF195" i="9"/>
  <c r="AE195" i="9"/>
  <c r="AD195" i="9"/>
  <c r="BF193" i="9"/>
  <c r="AG193" i="9"/>
  <c r="AF193" i="9"/>
  <c r="AE193" i="9"/>
  <c r="AD193" i="9"/>
  <c r="BF192" i="9"/>
  <c r="AG192" i="9"/>
  <c r="AF192" i="9"/>
  <c r="AE192" i="9"/>
  <c r="AD192" i="9"/>
  <c r="BF191" i="9"/>
  <c r="AG191" i="9"/>
  <c r="AF191" i="9"/>
  <c r="AE191" i="9"/>
  <c r="AD191" i="9"/>
  <c r="BF190" i="9"/>
  <c r="AG190" i="9"/>
  <c r="AF190" i="9"/>
  <c r="AE190" i="9"/>
  <c r="AD190" i="9"/>
  <c r="BF189" i="9"/>
  <c r="AG189" i="9"/>
  <c r="AF189" i="9"/>
  <c r="AE189" i="9"/>
  <c r="AD189" i="9"/>
  <c r="AG188" i="9"/>
  <c r="AF188" i="9"/>
  <c r="AE188" i="9"/>
  <c r="AD188" i="9"/>
  <c r="BF187" i="9"/>
  <c r="BF186" i="9"/>
  <c r="BF185" i="9"/>
  <c r="AG185" i="9"/>
  <c r="AF185" i="9"/>
  <c r="AE185" i="9"/>
  <c r="AD185" i="9"/>
  <c r="BF184" i="9"/>
  <c r="AG184" i="9"/>
  <c r="AF184" i="9"/>
  <c r="AE184" i="9"/>
  <c r="AD184" i="9"/>
  <c r="BF183" i="9"/>
  <c r="AG183" i="9"/>
  <c r="AF183" i="9"/>
  <c r="AE183" i="9"/>
  <c r="AD183" i="9"/>
  <c r="BF182" i="9"/>
  <c r="AG182" i="9"/>
  <c r="AF182" i="9"/>
  <c r="AE182" i="9"/>
  <c r="AD182" i="9"/>
  <c r="BF181" i="9"/>
  <c r="AG181" i="9"/>
  <c r="AF181" i="9"/>
  <c r="AE181" i="9"/>
  <c r="AD181" i="9"/>
  <c r="BF180" i="9"/>
  <c r="AG180" i="9"/>
  <c r="AF180" i="9"/>
  <c r="AE180" i="9"/>
  <c r="AD180" i="9"/>
  <c r="BF179" i="9"/>
  <c r="AG179" i="9"/>
  <c r="AF179" i="9"/>
  <c r="AE179" i="9"/>
  <c r="AD179" i="9"/>
  <c r="BF178" i="9"/>
  <c r="AG178" i="9"/>
  <c r="AF178" i="9"/>
  <c r="AE178" i="9"/>
  <c r="AD178" i="9"/>
  <c r="AG177" i="9"/>
  <c r="AF177" i="9"/>
  <c r="AE177" i="9"/>
  <c r="AD177" i="9"/>
  <c r="BF176" i="9"/>
  <c r="AG176" i="9"/>
  <c r="AF176" i="9"/>
  <c r="AE176" i="9"/>
  <c r="AD176" i="9"/>
  <c r="BF175" i="9"/>
  <c r="AG175" i="9"/>
  <c r="AF175" i="9"/>
  <c r="AE175" i="9"/>
  <c r="AD175" i="9"/>
  <c r="BF174" i="9"/>
  <c r="AG174" i="9"/>
  <c r="AF174" i="9"/>
  <c r="AE174" i="9"/>
  <c r="AD174" i="9"/>
  <c r="BF173" i="9"/>
  <c r="AG173" i="9"/>
  <c r="AF173" i="9"/>
  <c r="AE173" i="9"/>
  <c r="AD173" i="9"/>
  <c r="BF172" i="9"/>
  <c r="BF171" i="9"/>
  <c r="AG171" i="9"/>
  <c r="AF171" i="9"/>
  <c r="AE171" i="9"/>
  <c r="AD171" i="9"/>
  <c r="BF170" i="9"/>
  <c r="AG170" i="9"/>
  <c r="AF170" i="9"/>
  <c r="AE170" i="9"/>
  <c r="AD170" i="9"/>
  <c r="BF169" i="9"/>
  <c r="AG169" i="9"/>
  <c r="AF169" i="9"/>
  <c r="AE169" i="9"/>
  <c r="AD169" i="9"/>
  <c r="BF168" i="9"/>
  <c r="AG168" i="9"/>
  <c r="AF168" i="9"/>
  <c r="AE168" i="9"/>
  <c r="AD168" i="9"/>
  <c r="AG167" i="9"/>
  <c r="AF167" i="9"/>
  <c r="AE167" i="9"/>
  <c r="AD167" i="9"/>
  <c r="BF166" i="9"/>
  <c r="AG166" i="9"/>
  <c r="AF166" i="9"/>
  <c r="AE166" i="9"/>
  <c r="AD166" i="9"/>
  <c r="BF165" i="9"/>
  <c r="BF164" i="9"/>
  <c r="BF163" i="9"/>
  <c r="AG163" i="9"/>
  <c r="AF163" i="9"/>
  <c r="AE163" i="9"/>
  <c r="AD163" i="9"/>
  <c r="BF162" i="9"/>
  <c r="AG162" i="9"/>
  <c r="AF162" i="9"/>
  <c r="AE162" i="9"/>
  <c r="AD162" i="9"/>
  <c r="BF161" i="9"/>
  <c r="AG161" i="9"/>
  <c r="AF161" i="9"/>
  <c r="AE161" i="9"/>
  <c r="AD161" i="9"/>
  <c r="BF160" i="9"/>
  <c r="AG160" i="9"/>
  <c r="AF160" i="9"/>
  <c r="AE160" i="9"/>
  <c r="AD160" i="9"/>
  <c r="BF159" i="9"/>
  <c r="AG159" i="9"/>
  <c r="AF159" i="9"/>
  <c r="AE159" i="9"/>
  <c r="AD159" i="9"/>
  <c r="BF158" i="9"/>
  <c r="AG158" i="9"/>
  <c r="AF158" i="9"/>
  <c r="AE158" i="9"/>
  <c r="AD158" i="9"/>
  <c r="BF157" i="9"/>
  <c r="AG157" i="9"/>
  <c r="AF157" i="9"/>
  <c r="AE157" i="9"/>
  <c r="AD157" i="9"/>
  <c r="BF156" i="9"/>
  <c r="AG156" i="9"/>
  <c r="AF156" i="9"/>
  <c r="AE156" i="9"/>
  <c r="AD156" i="9"/>
  <c r="BF155" i="9"/>
  <c r="AG155" i="9"/>
  <c r="AF155" i="9"/>
  <c r="AE155" i="9"/>
  <c r="AD155" i="9"/>
  <c r="AG154" i="9"/>
  <c r="AF154" i="9"/>
  <c r="AE154" i="9"/>
  <c r="AD154" i="9"/>
  <c r="BF153" i="9"/>
  <c r="AG153" i="9"/>
  <c r="AF153" i="9"/>
  <c r="AE153" i="9"/>
  <c r="AD153" i="9"/>
  <c r="BF152" i="9"/>
  <c r="AG152" i="9"/>
  <c r="AF152" i="9"/>
  <c r="AE152" i="9"/>
  <c r="AD152" i="9"/>
  <c r="BF151" i="9"/>
  <c r="AG151" i="9"/>
  <c r="AF151" i="9"/>
  <c r="AE151" i="9"/>
  <c r="AD151" i="9"/>
  <c r="BF150" i="9"/>
  <c r="AG150" i="9"/>
  <c r="AF150" i="9"/>
  <c r="AE150" i="9"/>
  <c r="AD150" i="9"/>
  <c r="BF149" i="9"/>
  <c r="AG149" i="9"/>
  <c r="AF149" i="9"/>
  <c r="AE149" i="9"/>
  <c r="AD149" i="9"/>
  <c r="BF148" i="9"/>
  <c r="AG148" i="9"/>
  <c r="AF148" i="9"/>
  <c r="AE148" i="9"/>
  <c r="AD148" i="9"/>
  <c r="BF147" i="9"/>
  <c r="AG147" i="9"/>
  <c r="AF147" i="9"/>
  <c r="AE147" i="9"/>
  <c r="AD147" i="9"/>
  <c r="BF146" i="9"/>
  <c r="AG146" i="9"/>
  <c r="AF146" i="9"/>
  <c r="AE146" i="9"/>
  <c r="AD146" i="9"/>
  <c r="BF145" i="9"/>
  <c r="AG145" i="9"/>
  <c r="AF145" i="9"/>
  <c r="AE145" i="9"/>
  <c r="AD145" i="9"/>
  <c r="BF144" i="9"/>
  <c r="AG144" i="9"/>
  <c r="AF144" i="9"/>
  <c r="AE144" i="9"/>
  <c r="AD144" i="9"/>
  <c r="AG143" i="9"/>
  <c r="AF143" i="9"/>
  <c r="AE143" i="9"/>
  <c r="AD143" i="9"/>
  <c r="AG142" i="9"/>
  <c r="AF142" i="9"/>
  <c r="AE142" i="9"/>
  <c r="AD142" i="9"/>
  <c r="BF141" i="9"/>
  <c r="AG141" i="9"/>
  <c r="AF141" i="9"/>
  <c r="AE141" i="9"/>
  <c r="AD141" i="9"/>
  <c r="BF140" i="9"/>
  <c r="AG140" i="9"/>
  <c r="AF140" i="9"/>
  <c r="AE140" i="9"/>
  <c r="AD140" i="9"/>
  <c r="AG139" i="9"/>
  <c r="AF139" i="9"/>
  <c r="AE139" i="9"/>
  <c r="AD139" i="9"/>
  <c r="AG138" i="9"/>
  <c r="AF138" i="9"/>
  <c r="AE138" i="9"/>
  <c r="AD138" i="9"/>
  <c r="BF137" i="9"/>
  <c r="AG137" i="9"/>
  <c r="AF137" i="9"/>
  <c r="AE137" i="9"/>
  <c r="AD137" i="9"/>
  <c r="BF136" i="9"/>
  <c r="AG136" i="9"/>
  <c r="AF136" i="9"/>
  <c r="AE136" i="9"/>
  <c r="AD136" i="9"/>
  <c r="BF135" i="9"/>
  <c r="BF134" i="9"/>
  <c r="BF133" i="9"/>
  <c r="AG133" i="9"/>
  <c r="AF133" i="9"/>
  <c r="AE133" i="9"/>
  <c r="AD133" i="9"/>
  <c r="AG132" i="9"/>
  <c r="AF132" i="9"/>
  <c r="AE132" i="9"/>
  <c r="AD132" i="9"/>
  <c r="BF131" i="9"/>
  <c r="AG131" i="9"/>
  <c r="AF131" i="9"/>
  <c r="AE131" i="9"/>
  <c r="AD131" i="9"/>
  <c r="AG130" i="9"/>
  <c r="AF130" i="9"/>
  <c r="AE130" i="9"/>
  <c r="AD130" i="9"/>
  <c r="BF129" i="9"/>
  <c r="AG129" i="9"/>
  <c r="AF129" i="9"/>
  <c r="AE129" i="9"/>
  <c r="AD129" i="9"/>
  <c r="BF128" i="9"/>
  <c r="BF127" i="9"/>
  <c r="AG127" i="9"/>
  <c r="AF127" i="9"/>
  <c r="AE127" i="9"/>
  <c r="AD127" i="9"/>
  <c r="BF126" i="9"/>
  <c r="AG126" i="9"/>
  <c r="AF126" i="9"/>
  <c r="AE126" i="9"/>
  <c r="AD126" i="9"/>
  <c r="BF125" i="9"/>
  <c r="AG125" i="9"/>
  <c r="AF125" i="9"/>
  <c r="AE125" i="9"/>
  <c r="AD125" i="9"/>
  <c r="BF124" i="9"/>
  <c r="AG124" i="9"/>
  <c r="AF124" i="9"/>
  <c r="AE124" i="9"/>
  <c r="AD124" i="9"/>
  <c r="BF123" i="9"/>
  <c r="AG123" i="9"/>
  <c r="AF123" i="9"/>
  <c r="AE123" i="9"/>
  <c r="AD123" i="9"/>
  <c r="BF122" i="9"/>
  <c r="AG122" i="9"/>
  <c r="AF122" i="9"/>
  <c r="AE122" i="9"/>
  <c r="AD122" i="9"/>
  <c r="AG121" i="9"/>
  <c r="AF121" i="9"/>
  <c r="AE121" i="9"/>
  <c r="AD121" i="9"/>
  <c r="BF120" i="9"/>
  <c r="AG119" i="9"/>
  <c r="AF119" i="9"/>
  <c r="AE119" i="9"/>
  <c r="AD119" i="9"/>
  <c r="AG118" i="9"/>
  <c r="AF118" i="9"/>
  <c r="AE118" i="9"/>
  <c r="AD118" i="9"/>
  <c r="BF117" i="9"/>
  <c r="AG117" i="9"/>
  <c r="AF117" i="9"/>
  <c r="AE117" i="9"/>
  <c r="AD117" i="9"/>
  <c r="BF116" i="9"/>
  <c r="AG116" i="9"/>
  <c r="AF116" i="9"/>
  <c r="AE116" i="9"/>
  <c r="AD116" i="9"/>
  <c r="BF115" i="9"/>
  <c r="AG115" i="9"/>
  <c r="AF115" i="9"/>
  <c r="AE115" i="9"/>
  <c r="AD115" i="9"/>
  <c r="BF114" i="9"/>
  <c r="AG114" i="9"/>
  <c r="AF114" i="9"/>
  <c r="AE114" i="9"/>
  <c r="AD114" i="9"/>
  <c r="BF113" i="9"/>
  <c r="BF112" i="9"/>
  <c r="AG112" i="9"/>
  <c r="AF112" i="9"/>
  <c r="AE112" i="9"/>
  <c r="AD112" i="9"/>
  <c r="BF111" i="9"/>
  <c r="AG111" i="9"/>
  <c r="AF111" i="9"/>
  <c r="AE111" i="9"/>
  <c r="AD111" i="9"/>
  <c r="BF110" i="9"/>
  <c r="AG110" i="9"/>
  <c r="AF110" i="9"/>
  <c r="AE110" i="9"/>
  <c r="AD110" i="9"/>
  <c r="BF109" i="9"/>
  <c r="AG109" i="9"/>
  <c r="AF109" i="9"/>
  <c r="AE109" i="9"/>
  <c r="AD109" i="9"/>
  <c r="BF108" i="9"/>
  <c r="AG108" i="9"/>
  <c r="AF108" i="9"/>
  <c r="AE108" i="9"/>
  <c r="AD108" i="9"/>
  <c r="BF107" i="9"/>
  <c r="AG107" i="9"/>
  <c r="AF107" i="9"/>
  <c r="AE107" i="9"/>
  <c r="AD107" i="9"/>
  <c r="BF106" i="9"/>
  <c r="AG106" i="9"/>
  <c r="AF106" i="9"/>
  <c r="AE106" i="9"/>
  <c r="AD106" i="9"/>
  <c r="BF105" i="9"/>
  <c r="BF104" i="9"/>
  <c r="BF103" i="9"/>
  <c r="AG103" i="9"/>
  <c r="AF103" i="9"/>
  <c r="AE103" i="9"/>
  <c r="AD103" i="9"/>
  <c r="BF102" i="9"/>
  <c r="AG102" i="9"/>
  <c r="AF102" i="9"/>
  <c r="AE102" i="9"/>
  <c r="AD102" i="9"/>
  <c r="BF101" i="9"/>
  <c r="AG101" i="9"/>
  <c r="AF101" i="9"/>
  <c r="AE101" i="9"/>
  <c r="AD101" i="9"/>
  <c r="BF100" i="9"/>
  <c r="AG100" i="9"/>
  <c r="AF100" i="9"/>
  <c r="AE100" i="9"/>
  <c r="AD100" i="9"/>
  <c r="BF99" i="9"/>
  <c r="AG99" i="9"/>
  <c r="AF99" i="9"/>
  <c r="AE99" i="9"/>
  <c r="AD99" i="9"/>
  <c r="BF98" i="9"/>
  <c r="AG98" i="9"/>
  <c r="AF98" i="9"/>
  <c r="AE98" i="9"/>
  <c r="AD98" i="9"/>
  <c r="BF97" i="9"/>
  <c r="AG97" i="9"/>
  <c r="AF97" i="9"/>
  <c r="AE97" i="9"/>
  <c r="AD97" i="9"/>
  <c r="BF96" i="9"/>
  <c r="AG96" i="9"/>
  <c r="AF96" i="9"/>
  <c r="AE96" i="9"/>
  <c r="AD96" i="9"/>
  <c r="BF95" i="9"/>
  <c r="BF94" i="9"/>
  <c r="AG94" i="9"/>
  <c r="AF94" i="9"/>
  <c r="AE94" i="9"/>
  <c r="AD94" i="9"/>
  <c r="BF92" i="9"/>
  <c r="AG92" i="9"/>
  <c r="AF92" i="9"/>
  <c r="AE92" i="9"/>
  <c r="AD92" i="9"/>
  <c r="BF91" i="9"/>
  <c r="BF90" i="9"/>
  <c r="AG90" i="9"/>
  <c r="AF90" i="9"/>
  <c r="AE90" i="9"/>
  <c r="AD90" i="9"/>
  <c r="BF89" i="9"/>
  <c r="AG89" i="9"/>
  <c r="AF89" i="9"/>
  <c r="AE89" i="9"/>
  <c r="AD89" i="9"/>
  <c r="BF87" i="9"/>
  <c r="AG87" i="9"/>
  <c r="AF87" i="9"/>
  <c r="AE87" i="9"/>
  <c r="AD87" i="9"/>
  <c r="BF86" i="9"/>
  <c r="AG86" i="9"/>
  <c r="AF86" i="9"/>
  <c r="AE86" i="9"/>
  <c r="AD86" i="9"/>
  <c r="BF85" i="9"/>
  <c r="BF84" i="9"/>
  <c r="AG84" i="9"/>
  <c r="AF84" i="9"/>
  <c r="AE84" i="9"/>
  <c r="AD84" i="9"/>
  <c r="BF83" i="9"/>
  <c r="AG83" i="9"/>
  <c r="AF83" i="9"/>
  <c r="AE83" i="9"/>
  <c r="AD83" i="9"/>
  <c r="BF82" i="9"/>
  <c r="AG82" i="9"/>
  <c r="AF82" i="9"/>
  <c r="AE82" i="9"/>
  <c r="AD82" i="9"/>
  <c r="BF81" i="9"/>
  <c r="BF80" i="9"/>
  <c r="BF79" i="9"/>
  <c r="AG79" i="9"/>
  <c r="AF79" i="9"/>
  <c r="AE79" i="9"/>
  <c r="AD79" i="9"/>
  <c r="BF78" i="9"/>
  <c r="BF77" i="9"/>
  <c r="AG77" i="9"/>
  <c r="AF77" i="9"/>
  <c r="AE77" i="9"/>
  <c r="AD77" i="9"/>
  <c r="BF76" i="9"/>
  <c r="AG76" i="9"/>
  <c r="AF76" i="9"/>
  <c r="AE76" i="9"/>
  <c r="AD76" i="9"/>
  <c r="BF75" i="9"/>
  <c r="BF74" i="9"/>
  <c r="AG74" i="9"/>
  <c r="AF74" i="9"/>
  <c r="AE74" i="9"/>
  <c r="AD74" i="9"/>
  <c r="BF73" i="9"/>
  <c r="AG73" i="9"/>
  <c r="AF73" i="9"/>
  <c r="AE73" i="9"/>
  <c r="AD73" i="9"/>
  <c r="BF72" i="9"/>
  <c r="BF71" i="9"/>
  <c r="AG71" i="9"/>
  <c r="AF71" i="9"/>
  <c r="AE71" i="9"/>
  <c r="AD71" i="9"/>
  <c r="BF70" i="9"/>
  <c r="AG70" i="9"/>
  <c r="AF70" i="9"/>
  <c r="AE70" i="9"/>
  <c r="AD70" i="9"/>
  <c r="BF69" i="9"/>
  <c r="BF68" i="9"/>
  <c r="AG68" i="9"/>
  <c r="AF68" i="9"/>
  <c r="AE68" i="9"/>
  <c r="AD68" i="9"/>
  <c r="BF67" i="9"/>
  <c r="AG67" i="9"/>
  <c r="AF67" i="9"/>
  <c r="AE67" i="9"/>
  <c r="AD67" i="9"/>
  <c r="BF66" i="9"/>
  <c r="AG66" i="9"/>
  <c r="AF66" i="9"/>
  <c r="AE66" i="9"/>
  <c r="AD66" i="9"/>
  <c r="BF65" i="9"/>
  <c r="AG65" i="9"/>
  <c r="AF65" i="9"/>
  <c r="AE65" i="9"/>
  <c r="AD65" i="9"/>
  <c r="BF64" i="9"/>
  <c r="AG64" i="9"/>
  <c r="AF64" i="9"/>
  <c r="AE64" i="9"/>
  <c r="AD64" i="9"/>
  <c r="BF63" i="9"/>
  <c r="AG63" i="9"/>
  <c r="AF63" i="9"/>
  <c r="AE63" i="9"/>
  <c r="AD63" i="9"/>
  <c r="BF62" i="9"/>
  <c r="AG62" i="9"/>
  <c r="AF62" i="9"/>
  <c r="AE62" i="9"/>
  <c r="AD62" i="9"/>
  <c r="BF61" i="9"/>
  <c r="BF60" i="9"/>
  <c r="BF59" i="9"/>
  <c r="AG59" i="9"/>
  <c r="AF59" i="9"/>
  <c r="AE59" i="9"/>
  <c r="AD59" i="9"/>
  <c r="BF58" i="9"/>
  <c r="AG58" i="9"/>
  <c r="AF58" i="9"/>
  <c r="AE58" i="9"/>
  <c r="AD58" i="9"/>
  <c r="BF57" i="9"/>
  <c r="AG57" i="9"/>
  <c r="AF57" i="9"/>
  <c r="AE57" i="9"/>
  <c r="AD57" i="9"/>
  <c r="BF56" i="9"/>
  <c r="AG56" i="9"/>
  <c r="AF56" i="9"/>
  <c r="AE56" i="9"/>
  <c r="AD56" i="9"/>
  <c r="BF55" i="9"/>
  <c r="BF54" i="9"/>
  <c r="AG54" i="9"/>
  <c r="AF54" i="9"/>
  <c r="AE54" i="9"/>
  <c r="AD54" i="9"/>
  <c r="BF53" i="9"/>
  <c r="AG53" i="9"/>
  <c r="AF53" i="9"/>
  <c r="AE53" i="9"/>
  <c r="AD53" i="9"/>
  <c r="BF52" i="9"/>
  <c r="AG52" i="9"/>
  <c r="AF52" i="9"/>
  <c r="AE52" i="9"/>
  <c r="AD52" i="9"/>
  <c r="BF51" i="9"/>
  <c r="AG51" i="9"/>
  <c r="AF51" i="9"/>
  <c r="AE51" i="9"/>
  <c r="AD51" i="9"/>
  <c r="BF50" i="9"/>
  <c r="BF49" i="9"/>
  <c r="AG49" i="9"/>
  <c r="AF49" i="9"/>
  <c r="AE49" i="9"/>
  <c r="AD49" i="9"/>
  <c r="BF48" i="9"/>
  <c r="AG48" i="9"/>
  <c r="AF48" i="9"/>
  <c r="AE48" i="9"/>
  <c r="AD48" i="9"/>
  <c r="BF47" i="9"/>
  <c r="AG47" i="9"/>
  <c r="AF47" i="9"/>
  <c r="AE47" i="9"/>
  <c r="AD47" i="9"/>
  <c r="BF46" i="9"/>
  <c r="AG46" i="9"/>
  <c r="AF46" i="9"/>
  <c r="AE46" i="9"/>
  <c r="AD46" i="9"/>
  <c r="AG45" i="9"/>
  <c r="AF45" i="9"/>
  <c r="AE45" i="9"/>
  <c r="AD45" i="9"/>
  <c r="BF44" i="9"/>
  <c r="AG44" i="9"/>
  <c r="AF44" i="9"/>
  <c r="AE44" i="9"/>
  <c r="AD44" i="9"/>
  <c r="BF43" i="9"/>
  <c r="AG43" i="9"/>
  <c r="AF43" i="9"/>
  <c r="AE43" i="9"/>
  <c r="AD43" i="9"/>
  <c r="BF42" i="9"/>
  <c r="AG42" i="9"/>
  <c r="AF42" i="9"/>
  <c r="AE42" i="9"/>
  <c r="AD42" i="9"/>
  <c r="BF41" i="9"/>
  <c r="BF40" i="9"/>
  <c r="AG40" i="9"/>
  <c r="AF40" i="9"/>
  <c r="AE40" i="9"/>
  <c r="AD40" i="9"/>
  <c r="BF39" i="9"/>
  <c r="AG39" i="9"/>
  <c r="AF39" i="9"/>
  <c r="AE39" i="9"/>
  <c r="AD39" i="9"/>
  <c r="BF38" i="9"/>
  <c r="AG38" i="9"/>
  <c r="AF38" i="9"/>
  <c r="AE38" i="9"/>
  <c r="AD38" i="9"/>
  <c r="BF37" i="9"/>
  <c r="BF36" i="9"/>
  <c r="AG36" i="9"/>
  <c r="AF36" i="9"/>
  <c r="AE36" i="9"/>
  <c r="AD36" i="9"/>
  <c r="BF35" i="9"/>
  <c r="AG35" i="9"/>
  <c r="AF35" i="9"/>
  <c r="AE35" i="9"/>
  <c r="AD35" i="9"/>
  <c r="BF34" i="9"/>
  <c r="AG34" i="9"/>
  <c r="AF34" i="9"/>
  <c r="AE34" i="9"/>
  <c r="AD34" i="9"/>
  <c r="BF33" i="9"/>
  <c r="BF32" i="9"/>
  <c r="AG32" i="9"/>
  <c r="AF32" i="9"/>
  <c r="AE32" i="9"/>
  <c r="AD32" i="9"/>
  <c r="BF31" i="9"/>
  <c r="BF30" i="9"/>
  <c r="AG30" i="9"/>
  <c r="AF30" i="9"/>
  <c r="AE30" i="9"/>
  <c r="AD30" i="9"/>
  <c r="BF29" i="9"/>
  <c r="AG29" i="9"/>
  <c r="AF29" i="9"/>
  <c r="AE29" i="9"/>
  <c r="AD29" i="9"/>
  <c r="BF28" i="9"/>
  <c r="AG28" i="9"/>
  <c r="AF28" i="9"/>
  <c r="AE28" i="9"/>
  <c r="AD28" i="9"/>
  <c r="AG27" i="9"/>
  <c r="AF27" i="9"/>
  <c r="AE27" i="9"/>
  <c r="AD27" i="9"/>
  <c r="BF26" i="9"/>
  <c r="BF25" i="9"/>
  <c r="AG25" i="9"/>
  <c r="AF25" i="9"/>
  <c r="AE25" i="9"/>
  <c r="AD25" i="9"/>
  <c r="BF24" i="9"/>
  <c r="AG24" i="9"/>
  <c r="AF24" i="9"/>
  <c r="AE24" i="9"/>
  <c r="AD24" i="9"/>
  <c r="BF23" i="9"/>
  <c r="AG23" i="9"/>
  <c r="AF23" i="9"/>
  <c r="AE23" i="9"/>
  <c r="AD23" i="9"/>
  <c r="BF22" i="9"/>
  <c r="AG22" i="9"/>
  <c r="AF22" i="9"/>
  <c r="AE22" i="9"/>
  <c r="AD22" i="9"/>
  <c r="BF21" i="9"/>
  <c r="AG21" i="9"/>
  <c r="AF21" i="9"/>
  <c r="AE21" i="9"/>
  <c r="AD21" i="9"/>
  <c r="BF20" i="9"/>
  <c r="AG20" i="9"/>
  <c r="AF20" i="9"/>
  <c r="AE20" i="9"/>
  <c r="AD20" i="9"/>
  <c r="BF19" i="9"/>
  <c r="BF18" i="9"/>
  <c r="AG18" i="9"/>
  <c r="AF18" i="9"/>
  <c r="AE18" i="9"/>
  <c r="AD18" i="9"/>
  <c r="BF17" i="9"/>
  <c r="BF16" i="9"/>
  <c r="AG16" i="9"/>
  <c r="AF16" i="9"/>
  <c r="AE16" i="9"/>
  <c r="AD16" i="9"/>
  <c r="BF15" i="9"/>
  <c r="AG15" i="9"/>
  <c r="AF15" i="9"/>
  <c r="AE15" i="9"/>
  <c r="AD15" i="9"/>
  <c r="BF14" i="9"/>
  <c r="BF13" i="9"/>
  <c r="AG13" i="9"/>
  <c r="AF13" i="9"/>
  <c r="AE13" i="9"/>
  <c r="AD13" i="9"/>
  <c r="BF12" i="9"/>
  <c r="AG12" i="9"/>
  <c r="AF12" i="9"/>
  <c r="AE12" i="9"/>
  <c r="AD12" i="9"/>
  <c r="BF11" i="9"/>
  <c r="AG11" i="9"/>
  <c r="AF11" i="9"/>
  <c r="AE11" i="9"/>
  <c r="AD11" i="9"/>
  <c r="A4" i="9"/>
  <c r="AH135" i="9" l="1"/>
  <c r="AI135" i="9"/>
  <c r="AJ135" i="9"/>
  <c r="AH75" i="9"/>
  <c r="AI75" i="9"/>
  <c r="AJ75" i="9"/>
  <c r="AH26" i="9"/>
  <c r="AI26" i="9"/>
  <c r="AJ26" i="9"/>
  <c r="AH61" i="9"/>
  <c r="AJ61" i="9"/>
  <c r="AI61" i="9"/>
  <c r="AH69" i="9"/>
  <c r="AI69" i="9"/>
  <c r="AJ69" i="9"/>
  <c r="AH165" i="9"/>
  <c r="AJ165" i="9"/>
  <c r="AI165" i="9"/>
  <c r="AH85" i="9"/>
  <c r="AI85" i="9"/>
  <c r="AJ85" i="9"/>
  <c r="AH187" i="9"/>
  <c r="AJ187" i="9"/>
  <c r="AI187" i="9"/>
  <c r="AH80" i="9"/>
  <c r="AJ80" i="9"/>
  <c r="AI80" i="9"/>
  <c r="AH172" i="9"/>
  <c r="AJ172" i="9"/>
  <c r="AI172" i="9"/>
  <c r="AH81" i="9"/>
  <c r="AJ81" i="9"/>
  <c r="AI81" i="9"/>
  <c r="AH17" i="9"/>
  <c r="AI17" i="9"/>
  <c r="AJ17" i="9"/>
  <c r="AH88" i="9"/>
  <c r="AI88" i="9"/>
  <c r="AJ88" i="9"/>
  <c r="AH33" i="9"/>
  <c r="AI33" i="9"/>
  <c r="AJ33" i="9"/>
  <c r="AI31" i="9"/>
  <c r="AJ31" i="9"/>
  <c r="AH31" i="9"/>
  <c r="AH113" i="9"/>
  <c r="AI113" i="9"/>
  <c r="AJ113" i="9"/>
  <c r="AD7" i="11"/>
  <c r="AG7" i="11" s="1"/>
  <c r="AJ10" i="10"/>
  <c r="AI11" i="10"/>
  <c r="AK11" i="10"/>
  <c r="AJ12" i="10"/>
  <c r="AI13" i="10"/>
  <c r="AK13" i="10"/>
  <c r="AJ14" i="10"/>
  <c r="AI10" i="10"/>
  <c r="AK10" i="10"/>
  <c r="AJ11" i="10"/>
  <c r="AI12" i="10"/>
  <c r="AK12" i="10"/>
  <c r="AJ13" i="10"/>
  <c r="AI14" i="10"/>
  <c r="AH193" i="9"/>
  <c r="AH189" i="9"/>
  <c r="AH175" i="9"/>
  <c r="AH168" i="9"/>
  <c r="AI152" i="9"/>
  <c r="AJ151" i="9"/>
  <c r="AI150" i="9"/>
  <c r="AJ149" i="9"/>
  <c r="AI148" i="9"/>
  <c r="AJ147" i="9"/>
  <c r="AI146" i="9"/>
  <c r="AJ145" i="9"/>
  <c r="AI144" i="9"/>
  <c r="AI142" i="9"/>
  <c r="AJ141" i="9"/>
  <c r="AI140" i="9"/>
  <c r="AI132" i="9"/>
  <c r="AJ131" i="9"/>
  <c r="AI127" i="9"/>
  <c r="AJ126" i="9"/>
  <c r="AI125" i="9"/>
  <c r="AJ124" i="9"/>
  <c r="AI123" i="9"/>
  <c r="AJ122" i="9"/>
  <c r="AI121" i="9"/>
  <c r="AJ120" i="9"/>
  <c r="AI119" i="9"/>
  <c r="AJ118" i="9"/>
  <c r="AI117" i="9"/>
  <c r="AJ116" i="9"/>
  <c r="AI115" i="9"/>
  <c r="AJ114" i="9"/>
  <c r="AJ112" i="9"/>
  <c r="AI111" i="9"/>
  <c r="AJ110" i="9"/>
  <c r="AI109" i="9"/>
  <c r="AJ108" i="9"/>
  <c r="AI107" i="9"/>
  <c r="AJ106" i="9"/>
  <c r="AJ92" i="9"/>
  <c r="AI91" i="9"/>
  <c r="AJ90" i="9"/>
  <c r="AI89" i="9"/>
  <c r="AI87" i="9"/>
  <c r="AJ86" i="9"/>
  <c r="AJ84" i="9"/>
  <c r="AJ82" i="9"/>
  <c r="AJ76" i="9"/>
  <c r="AJ74" i="9"/>
  <c r="AJ71" i="9"/>
  <c r="AJ67" i="9"/>
  <c r="AJ65" i="9"/>
  <c r="AJ63" i="9"/>
  <c r="AJ59" i="9"/>
  <c r="AJ57" i="9"/>
  <c r="AJ53" i="9"/>
  <c r="AJ51" i="9"/>
  <c r="AJ49" i="9"/>
  <c r="AJ47" i="9"/>
  <c r="AJ44" i="9"/>
  <c r="AJ42" i="9"/>
  <c r="AJ40" i="9"/>
  <c r="AJ38" i="9"/>
  <c r="AJ36" i="9"/>
  <c r="AJ34" i="9"/>
  <c r="AJ32" i="9"/>
  <c r="AJ30" i="9"/>
  <c r="AJ28" i="9"/>
  <c r="AJ24" i="9"/>
  <c r="AJ22" i="9"/>
  <c r="AJ20" i="9"/>
  <c r="AJ19" i="9"/>
  <c r="AJ15" i="9"/>
  <c r="AJ11" i="9"/>
  <c r="AJ13" i="9"/>
  <c r="AH15" i="9"/>
  <c r="AI18" i="9"/>
  <c r="AH19" i="9"/>
  <c r="AI21" i="9"/>
  <c r="AH22" i="9"/>
  <c r="AI25" i="9"/>
  <c r="AI29" i="9"/>
  <c r="AH30" i="9"/>
  <c r="AH34" i="9"/>
  <c r="AH38" i="9"/>
  <c r="AH42" i="9"/>
  <c r="AI45" i="9"/>
  <c r="AI46" i="9"/>
  <c r="AH47" i="9"/>
  <c r="AH51" i="9"/>
  <c r="AI54" i="9"/>
  <c r="AI58" i="9"/>
  <c r="AH59" i="9"/>
  <c r="AI62" i="9"/>
  <c r="AH63" i="9"/>
  <c r="AI66" i="9"/>
  <c r="AH67" i="9"/>
  <c r="AI70" i="9"/>
  <c r="AH71" i="9"/>
  <c r="AI73" i="9"/>
  <c r="AH74" i="9"/>
  <c r="AI77" i="9"/>
  <c r="AH82" i="9"/>
  <c r="AH86" i="9"/>
  <c r="AI143" i="9"/>
  <c r="AH170" i="9"/>
  <c r="AH177" i="9"/>
  <c r="AH11" i="9"/>
  <c r="AI12" i="9"/>
  <c r="AH13" i="9"/>
  <c r="AI16" i="9"/>
  <c r="AH20" i="9"/>
  <c r="AI23" i="9"/>
  <c r="AH24" i="9"/>
  <c r="AI27" i="9"/>
  <c r="AH28" i="9"/>
  <c r="AH32" i="9"/>
  <c r="AI35" i="9"/>
  <c r="AH36" i="9"/>
  <c r="AI39" i="9"/>
  <c r="AH40" i="9"/>
  <c r="AI43" i="9"/>
  <c r="AH44" i="9"/>
  <c r="AI48" i="9"/>
  <c r="AH49" i="9"/>
  <c r="AI52" i="9"/>
  <c r="AH53" i="9"/>
  <c r="AI56" i="9"/>
  <c r="AH57" i="9"/>
  <c r="AI64" i="9"/>
  <c r="AH65" i="9"/>
  <c r="AI68" i="9"/>
  <c r="AH76" i="9"/>
  <c r="AI79" i="9"/>
  <c r="AI83" i="9"/>
  <c r="AH84" i="9"/>
  <c r="AJ94" i="9"/>
  <c r="AJ96" i="9"/>
  <c r="AI97" i="9"/>
  <c r="AJ98" i="9"/>
  <c r="AI99" i="9"/>
  <c r="AJ100" i="9"/>
  <c r="AI101" i="9"/>
  <c r="AJ102" i="9"/>
  <c r="AI103" i="9"/>
  <c r="AI129" i="9"/>
  <c r="AJ130" i="9"/>
  <c r="AI133" i="9"/>
  <c r="AJ136" i="9"/>
  <c r="AI137" i="9"/>
  <c r="AJ138" i="9"/>
  <c r="AI139" i="9"/>
  <c r="AH154" i="9"/>
  <c r="AH173" i="9"/>
  <c r="AH191" i="9"/>
  <c r="AJ195" i="9"/>
  <c r="AH195" i="9"/>
  <c r="AI193" i="9"/>
  <c r="AJ192" i="9"/>
  <c r="AH192" i="9"/>
  <c r="AI191" i="9"/>
  <c r="AJ190" i="9"/>
  <c r="AH190" i="9"/>
  <c r="AI189" i="9"/>
  <c r="AI188" i="9"/>
  <c r="AJ185" i="9"/>
  <c r="AH185" i="9"/>
  <c r="AI184" i="9"/>
  <c r="AJ183" i="9"/>
  <c r="AH183" i="9"/>
  <c r="AI182" i="9"/>
  <c r="AJ181" i="9"/>
  <c r="AH181" i="9"/>
  <c r="AI180" i="9"/>
  <c r="AJ179" i="9"/>
  <c r="AH179" i="9"/>
  <c r="AI178" i="9"/>
  <c r="AI177" i="9"/>
  <c r="AJ176" i="9"/>
  <c r="AH176" i="9"/>
  <c r="AI175" i="9"/>
  <c r="AJ174" i="9"/>
  <c r="AH174" i="9"/>
  <c r="AI173" i="9"/>
  <c r="AJ171" i="9"/>
  <c r="AH171" i="9"/>
  <c r="AI170" i="9"/>
  <c r="AJ169" i="9"/>
  <c r="AH169" i="9"/>
  <c r="AI168" i="9"/>
  <c r="AI167" i="9"/>
  <c r="AJ166" i="9"/>
  <c r="AH166" i="9"/>
  <c r="AI163" i="9"/>
  <c r="AJ162" i="9"/>
  <c r="AH162" i="9"/>
  <c r="AI161" i="9"/>
  <c r="AJ160" i="9"/>
  <c r="AH160" i="9"/>
  <c r="AI159" i="9"/>
  <c r="AJ158" i="9"/>
  <c r="AH158" i="9"/>
  <c r="AI157" i="9"/>
  <c r="AJ156" i="9"/>
  <c r="AH156" i="9"/>
  <c r="AI155" i="9"/>
  <c r="AI154" i="9"/>
  <c r="AJ153" i="9"/>
  <c r="AI195" i="9"/>
  <c r="AJ193" i="9"/>
  <c r="AI192" i="9"/>
  <c r="AJ191" i="9"/>
  <c r="AI190" i="9"/>
  <c r="AJ189" i="9"/>
  <c r="AJ188" i="9"/>
  <c r="AI185" i="9"/>
  <c r="AJ184" i="9"/>
  <c r="AI183" i="9"/>
  <c r="AJ182" i="9"/>
  <c r="AI181" i="9"/>
  <c r="AJ180" i="9"/>
  <c r="AI179" i="9"/>
  <c r="AJ178" i="9"/>
  <c r="AJ177" i="9"/>
  <c r="AI176" i="9"/>
  <c r="AJ175" i="9"/>
  <c r="AI174" i="9"/>
  <c r="AJ173" i="9"/>
  <c r="AI171" i="9"/>
  <c r="AJ170" i="9"/>
  <c r="AI169" i="9"/>
  <c r="AJ168" i="9"/>
  <c r="AJ167" i="9"/>
  <c r="AI166" i="9"/>
  <c r="AJ163" i="9"/>
  <c r="AI162" i="9"/>
  <c r="AJ161" i="9"/>
  <c r="AI160" i="9"/>
  <c r="AJ159" i="9"/>
  <c r="AI158" i="9"/>
  <c r="AJ157" i="9"/>
  <c r="AI156" i="9"/>
  <c r="AJ155" i="9"/>
  <c r="AJ154" i="9"/>
  <c r="AI153" i="9"/>
  <c r="AJ152" i="9"/>
  <c r="AH152" i="9"/>
  <c r="AI151" i="9"/>
  <c r="AJ150" i="9"/>
  <c r="AH150" i="9"/>
  <c r="AI149" i="9"/>
  <c r="AJ148" i="9"/>
  <c r="AH148" i="9"/>
  <c r="AI147" i="9"/>
  <c r="AJ146" i="9"/>
  <c r="AH146" i="9"/>
  <c r="AI145" i="9"/>
  <c r="AJ144" i="9"/>
  <c r="AH144" i="9"/>
  <c r="AJ143" i="9"/>
  <c r="AH143" i="9"/>
  <c r="AJ142" i="9"/>
  <c r="AH142" i="9"/>
  <c r="AI141" i="9"/>
  <c r="AJ140" i="9"/>
  <c r="AH140" i="9"/>
  <c r="AJ139" i="9"/>
  <c r="AH139" i="9"/>
  <c r="AI138" i="9"/>
  <c r="AJ137" i="9"/>
  <c r="AH137" i="9"/>
  <c r="AI136" i="9"/>
  <c r="AJ133" i="9"/>
  <c r="AH133" i="9"/>
  <c r="AJ132" i="9"/>
  <c r="AH132" i="9"/>
  <c r="AI131" i="9"/>
  <c r="AI130" i="9"/>
  <c r="AJ129" i="9"/>
  <c r="AH129" i="9"/>
  <c r="AJ127" i="9"/>
  <c r="AH127" i="9"/>
  <c r="AI126" i="9"/>
  <c r="AJ125" i="9"/>
  <c r="AH125" i="9"/>
  <c r="AI124" i="9"/>
  <c r="AJ123" i="9"/>
  <c r="AH123" i="9"/>
  <c r="AI122" i="9"/>
  <c r="AJ121" i="9"/>
  <c r="AH121" i="9"/>
  <c r="AI120" i="9"/>
  <c r="AJ119" i="9"/>
  <c r="AH119" i="9"/>
  <c r="AI118" i="9"/>
  <c r="AJ117" i="9"/>
  <c r="AH117" i="9"/>
  <c r="AI116" i="9"/>
  <c r="AJ115" i="9"/>
  <c r="AH115" i="9"/>
  <c r="AI114" i="9"/>
  <c r="AI112" i="9"/>
  <c r="AJ111" i="9"/>
  <c r="AH111" i="9"/>
  <c r="AI110" i="9"/>
  <c r="AJ109" i="9"/>
  <c r="AH109" i="9"/>
  <c r="AI108" i="9"/>
  <c r="AJ107" i="9"/>
  <c r="AH107" i="9"/>
  <c r="AI106" i="9"/>
  <c r="AJ103" i="9"/>
  <c r="AH103" i="9"/>
  <c r="AI102" i="9"/>
  <c r="AJ101" i="9"/>
  <c r="AH101" i="9"/>
  <c r="AI100" i="9"/>
  <c r="AJ99" i="9"/>
  <c r="AH99" i="9"/>
  <c r="AI98" i="9"/>
  <c r="AJ97" i="9"/>
  <c r="AH97" i="9"/>
  <c r="AI96" i="9"/>
  <c r="AI94" i="9"/>
  <c r="AI92" i="9"/>
  <c r="AJ91" i="9"/>
  <c r="AH91" i="9"/>
  <c r="AI90" i="9"/>
  <c r="AJ89" i="9"/>
  <c r="AH89" i="9"/>
  <c r="AJ87" i="9"/>
  <c r="AH87" i="9"/>
  <c r="AI11" i="9"/>
  <c r="AH12" i="9"/>
  <c r="AJ12" i="9"/>
  <c r="AI13" i="9"/>
  <c r="AI15" i="9"/>
  <c r="AH16" i="9"/>
  <c r="AJ16" i="9"/>
  <c r="AH18" i="9"/>
  <c r="AJ18" i="9"/>
  <c r="AI19" i="9"/>
  <c r="AI20" i="9"/>
  <c r="AH21" i="9"/>
  <c r="AJ21" i="9"/>
  <c r="AI22" i="9"/>
  <c r="AH23" i="9"/>
  <c r="AJ23" i="9"/>
  <c r="AI24" i="9"/>
  <c r="AH25" i="9"/>
  <c r="AJ25" i="9"/>
  <c r="AH27" i="9"/>
  <c r="AJ27" i="9"/>
  <c r="AI28" i="9"/>
  <c r="AH29" i="9"/>
  <c r="AJ29" i="9"/>
  <c r="AI30" i="9"/>
  <c r="AI32" i="9"/>
  <c r="AI34" i="9"/>
  <c r="AH35" i="9"/>
  <c r="AJ35" i="9"/>
  <c r="AI36" i="9"/>
  <c r="AI38" i="9"/>
  <c r="AH39" i="9"/>
  <c r="AJ39" i="9"/>
  <c r="AI40" i="9"/>
  <c r="AI42" i="9"/>
  <c r="AH43" i="9"/>
  <c r="AJ43" i="9"/>
  <c r="AI44" i="9"/>
  <c r="AH45" i="9"/>
  <c r="AJ45" i="9"/>
  <c r="AH46" i="9"/>
  <c r="AJ46" i="9"/>
  <c r="AI47" i="9"/>
  <c r="AH48" i="9"/>
  <c r="AJ48" i="9"/>
  <c r="AI49" i="9"/>
  <c r="AI51" i="9"/>
  <c r="AH52" i="9"/>
  <c r="AJ52" i="9"/>
  <c r="AI53" i="9"/>
  <c r="AH54" i="9"/>
  <c r="AJ54" i="9"/>
  <c r="AH56" i="9"/>
  <c r="AJ56" i="9"/>
  <c r="AI57" i="9"/>
  <c r="AH58" i="9"/>
  <c r="AJ58" i="9"/>
  <c r="AI59" i="9"/>
  <c r="AH62" i="9"/>
  <c r="AJ62" i="9"/>
  <c r="AI63" i="9"/>
  <c r="AH64" i="9"/>
  <c r="AJ64" i="9"/>
  <c r="AI65" i="9"/>
  <c r="AH66" i="9"/>
  <c r="AJ66" i="9"/>
  <c r="AI67" i="9"/>
  <c r="AH68" i="9"/>
  <c r="AJ68" i="9"/>
  <c r="AH70" i="9"/>
  <c r="AJ70" i="9"/>
  <c r="AI71" i="9"/>
  <c r="AH73" i="9"/>
  <c r="AJ73" i="9"/>
  <c r="AI74" i="9"/>
  <c r="AI76" i="9"/>
  <c r="AH77" i="9"/>
  <c r="AJ77" i="9"/>
  <c r="AH79" i="9"/>
  <c r="AJ79" i="9"/>
  <c r="AI82" i="9"/>
  <c r="AH83" i="9"/>
  <c r="AJ83" i="9"/>
  <c r="AI84" i="9"/>
  <c r="AI86" i="9"/>
  <c r="AH90" i="9"/>
  <c r="AH92" i="9"/>
  <c r="AH94" i="9"/>
  <c r="AH96" i="9"/>
  <c r="AH98" i="9"/>
  <c r="AH100" i="9"/>
  <c r="AH102" i="9"/>
  <c r="AH106" i="9"/>
  <c r="AH108" i="9"/>
  <c r="AH110" i="9"/>
  <c r="AH112" i="9"/>
  <c r="AH114" i="9"/>
  <c r="AH116" i="9"/>
  <c r="AH118" i="9"/>
  <c r="AH120" i="9"/>
  <c r="AH122" i="9"/>
  <c r="AH124" i="9"/>
  <c r="AH126" i="9"/>
  <c r="AH130" i="9"/>
  <c r="AH131" i="9"/>
  <c r="AH136" i="9"/>
  <c r="AH138" i="9"/>
  <c r="AH141" i="9"/>
  <c r="AH145" i="9"/>
  <c r="AH147" i="9"/>
  <c r="AH149" i="9"/>
  <c r="AH151" i="9"/>
  <c r="AH153" i="9"/>
  <c r="AH155" i="9"/>
  <c r="AH157" i="9"/>
  <c r="AH159" i="9"/>
  <c r="AH161" i="9"/>
  <c r="AH163" i="9"/>
  <c r="AH167" i="9"/>
  <c r="AH178" i="9"/>
  <c r="AH180" i="9"/>
  <c r="AH182" i="9"/>
  <c r="AH184" i="9"/>
  <c r="AH188" i="9"/>
  <c r="AK135" i="9" l="1"/>
  <c r="AK75" i="9"/>
  <c r="AK26" i="9"/>
  <c r="AK61" i="9"/>
  <c r="AK69" i="9"/>
  <c r="AK165" i="9"/>
  <c r="AK85" i="9"/>
  <c r="AK187" i="9"/>
  <c r="AK80" i="9"/>
  <c r="AK172" i="9"/>
  <c r="AK81" i="9"/>
  <c r="AK17" i="9"/>
  <c r="AK88" i="9"/>
  <c r="AK33" i="9"/>
  <c r="AK31" i="9"/>
  <c r="AK113" i="9"/>
  <c r="AK42" i="9"/>
  <c r="AK34" i="9"/>
  <c r="AK30" i="9"/>
  <c r="AK19" i="9"/>
  <c r="AK15" i="9"/>
  <c r="AE7" i="11"/>
  <c r="AF7" i="11"/>
  <c r="AK86" i="9"/>
  <c r="AK71" i="9"/>
  <c r="AK63" i="9"/>
  <c r="AK47" i="9"/>
  <c r="AL14" i="10"/>
  <c r="AL10" i="10"/>
  <c r="AL11" i="10"/>
  <c r="AL12" i="10"/>
  <c r="AL13" i="10"/>
  <c r="AK57" i="9"/>
  <c r="AK53" i="9"/>
  <c r="AK49" i="9"/>
  <c r="AK44" i="9"/>
  <c r="AK40" i="9"/>
  <c r="AK36" i="9"/>
  <c r="AK32" i="9"/>
  <c r="AK28" i="9"/>
  <c r="AK24" i="9"/>
  <c r="AK20" i="9"/>
  <c r="AK38" i="9"/>
  <c r="AK22" i="9"/>
  <c r="AK182" i="9"/>
  <c r="AK178" i="9"/>
  <c r="AK161" i="9"/>
  <c r="AK157" i="9"/>
  <c r="AK153" i="9"/>
  <c r="AK149" i="9"/>
  <c r="AK145" i="9"/>
  <c r="AK138" i="9"/>
  <c r="AK130" i="9"/>
  <c r="AK124" i="9"/>
  <c r="AK120" i="9"/>
  <c r="AK116" i="9"/>
  <c r="AK112" i="9"/>
  <c r="AK108" i="9"/>
  <c r="AK100" i="9"/>
  <c r="AK96" i="9"/>
  <c r="AK92" i="9"/>
  <c r="AK84" i="9"/>
  <c r="AK83" i="9"/>
  <c r="AK79" i="9"/>
  <c r="AK76" i="9"/>
  <c r="AK68" i="9"/>
  <c r="AK65" i="9"/>
  <c r="AK64" i="9"/>
  <c r="AK56" i="9"/>
  <c r="AK52" i="9"/>
  <c r="AK48" i="9"/>
  <c r="AK43" i="9"/>
  <c r="AK39" i="9"/>
  <c r="AK35" i="9"/>
  <c r="AK27" i="9"/>
  <c r="AK23" i="9"/>
  <c r="AK16" i="9"/>
  <c r="AK11" i="9"/>
  <c r="AK89" i="9"/>
  <c r="AK97" i="9"/>
  <c r="AK101" i="9"/>
  <c r="AK109" i="9"/>
  <c r="AK117" i="9"/>
  <c r="AK121" i="9"/>
  <c r="AK125" i="9"/>
  <c r="AK139" i="9"/>
  <c r="AK140" i="9"/>
  <c r="AK146" i="9"/>
  <c r="AK150" i="9"/>
  <c r="AK168" i="9"/>
  <c r="AK175" i="9"/>
  <c r="AK189" i="9"/>
  <c r="AK193" i="9"/>
  <c r="AK169" i="9"/>
  <c r="AK176" i="9"/>
  <c r="AK190" i="9"/>
  <c r="AK195" i="9"/>
  <c r="AK13" i="9"/>
  <c r="AK82" i="9"/>
  <c r="AK74" i="9"/>
  <c r="AK67" i="9"/>
  <c r="AK59" i="9"/>
  <c r="AK51" i="9"/>
  <c r="AK170" i="9"/>
  <c r="AK173" i="9"/>
  <c r="AK177" i="9"/>
  <c r="AK191" i="9"/>
  <c r="AK154" i="9"/>
  <c r="AK158" i="9"/>
  <c r="AK162" i="9"/>
  <c r="AK166" i="9"/>
  <c r="AK179" i="9"/>
  <c r="AK183" i="9"/>
  <c r="AK188" i="9"/>
  <c r="AK184" i="9"/>
  <c r="AK180" i="9"/>
  <c r="AK167" i="9"/>
  <c r="AK163" i="9"/>
  <c r="AK159" i="9"/>
  <c r="AK155" i="9"/>
  <c r="AK151" i="9"/>
  <c r="AK147" i="9"/>
  <c r="AK141" i="9"/>
  <c r="AK136" i="9"/>
  <c r="AK131" i="9"/>
  <c r="AK126" i="9"/>
  <c r="AK122" i="9"/>
  <c r="AK118" i="9"/>
  <c r="AK114" i="9"/>
  <c r="AK110" i="9"/>
  <c r="AK106" i="9"/>
  <c r="AK102" i="9"/>
  <c r="AK98" i="9"/>
  <c r="AK94" i="9"/>
  <c r="AK90" i="9"/>
  <c r="AK77" i="9"/>
  <c r="AK73" i="9"/>
  <c r="AK70" i="9"/>
  <c r="AK66" i="9"/>
  <c r="AK62" i="9"/>
  <c r="AK58" i="9"/>
  <c r="AK54" i="9"/>
  <c r="AK46" i="9"/>
  <c r="AK45" i="9"/>
  <c r="AK29" i="9"/>
  <c r="AK25" i="9"/>
  <c r="AK21" i="9"/>
  <c r="AK18" i="9"/>
  <c r="AK12" i="9"/>
  <c r="AK87" i="9"/>
  <c r="AK91" i="9"/>
  <c r="AK99" i="9"/>
  <c r="AK103" i="9"/>
  <c r="AK107" i="9"/>
  <c r="AK111" i="9"/>
  <c r="AK115" i="9"/>
  <c r="AK119" i="9"/>
  <c r="AK123" i="9"/>
  <c r="AK127" i="9"/>
  <c r="AK129" i="9"/>
  <c r="AK132" i="9"/>
  <c r="AK133" i="9"/>
  <c r="AK137" i="9"/>
  <c r="AK142" i="9"/>
  <c r="AK143" i="9"/>
  <c r="AK144" i="9"/>
  <c r="AK148" i="9"/>
  <c r="AK152" i="9"/>
  <c r="AK156" i="9"/>
  <c r="AK160" i="9"/>
  <c r="AK171" i="9"/>
  <c r="AK174" i="9"/>
  <c r="AK181" i="9"/>
  <c r="AK185" i="9"/>
  <c r="AK192" i="9"/>
  <c r="AH7" i="11" l="1"/>
</calcChain>
</file>

<file path=xl/sharedStrings.xml><?xml version="1.0" encoding="utf-8"?>
<sst xmlns="http://schemas.openxmlformats.org/spreadsheetml/2006/main" count="12574" uniqueCount="2972">
  <si>
    <t>No.</t>
  </si>
  <si>
    <t>Old School Name</t>
  </si>
  <si>
    <t>Count</t>
  </si>
  <si>
    <t>Type</t>
  </si>
  <si>
    <t>Region</t>
  </si>
  <si>
    <t>Deanery</t>
  </si>
  <si>
    <t>Parish</t>
  </si>
  <si>
    <t>District</t>
  </si>
  <si>
    <t>Zone</t>
  </si>
  <si>
    <t xml:space="preserve">Division </t>
  </si>
  <si>
    <t>Aluthgama R. C. S. M. S.</t>
  </si>
  <si>
    <t xml:space="preserve">Sangamitta Balika Maha Vidyalaya,
Welipenna Road, Aluthgama </t>
  </si>
  <si>
    <t xml:space="preserve">Vested </t>
  </si>
  <si>
    <t xml:space="preserve">Missionary </t>
  </si>
  <si>
    <t>Kalutara</t>
  </si>
  <si>
    <t xml:space="preserve">Beruwela </t>
  </si>
  <si>
    <t>Beruwela</t>
  </si>
  <si>
    <t>Aluthambalama R. C. S. M. S.</t>
  </si>
  <si>
    <t>Aluthambalama Junior Model School,
Aluthambalama, Kosgama</t>
  </si>
  <si>
    <t xml:space="preserve">Gurubewila </t>
  </si>
  <si>
    <t xml:space="preserve">Avissawella </t>
  </si>
  <si>
    <t xml:space="preserve">Colombo </t>
  </si>
  <si>
    <t>Homagama</t>
  </si>
  <si>
    <t xml:space="preserve">Hanwella </t>
  </si>
  <si>
    <t>Amandoluwa (Seeduwa) R. C. S. M. S.</t>
  </si>
  <si>
    <t>Amandoluwa Roman Catholic Primary Vidyalaya, 
Amandoluwa</t>
  </si>
  <si>
    <t xml:space="preserve">Negombo </t>
  </si>
  <si>
    <t>Negombo East</t>
  </si>
  <si>
    <t>Seeduwa</t>
  </si>
  <si>
    <t>Gampaha</t>
  </si>
  <si>
    <t>Negombo</t>
  </si>
  <si>
    <t>Katana</t>
  </si>
  <si>
    <t xml:space="preserve">Andiambalama R. C. S. B. S.
Andiambalama R. C. S. G. S. </t>
  </si>
  <si>
    <t>Andiambalama Roman Catholic Primary Vidyalaya,
Andiambalama</t>
  </si>
  <si>
    <t>Kimbulapitiya</t>
  </si>
  <si>
    <t xml:space="preserve">Andimulla R.  C.  S.  B.  S.
Andimulla R. C. S. G. S. </t>
  </si>
  <si>
    <t>Andimulla Primary Vidyalaya,
Katana</t>
  </si>
  <si>
    <t>Halpe</t>
  </si>
  <si>
    <t>Minuwangoda</t>
  </si>
  <si>
    <t>Divulapitiya</t>
  </si>
  <si>
    <t xml:space="preserve">Angulana (Moratuwa) R. C. S. M. S. </t>
  </si>
  <si>
    <t>Podujaya Vidyalaya,
Angulana, Moratuwa</t>
  </si>
  <si>
    <t>Moratuwa</t>
  </si>
  <si>
    <t xml:space="preserve">Moratuwa </t>
  </si>
  <si>
    <t xml:space="preserve">Piliyandala </t>
  </si>
  <si>
    <t>Avissawella St. Mary's  S. M. S.</t>
  </si>
  <si>
    <t>St. Mary's College,
Avissawella</t>
  </si>
  <si>
    <t>Bambalapitiya R. C. S. M. S</t>
  </si>
  <si>
    <t>St. Mary's Sinhala Mixed Vidyalaya,
R. A. De Mel Mawatha, Bambalapitiya</t>
  </si>
  <si>
    <t xml:space="preserve">Colombo South </t>
  </si>
  <si>
    <t xml:space="preserve">Bambalapitiya </t>
  </si>
  <si>
    <t>Colombo South</t>
  </si>
  <si>
    <t>Bambalapitiya R. C. T. M. S.</t>
  </si>
  <si>
    <t>St. Mary's Tamil Vidyalaya, 
Bambalapitiya</t>
  </si>
  <si>
    <t>St. John the Baptist Maha Vidyalaya,
Bambukuliya, Kochchikade</t>
  </si>
  <si>
    <t>Thoppuwa</t>
  </si>
  <si>
    <t>Bandarawatta (Seeduwa) R. C. S. M. S.</t>
  </si>
  <si>
    <t>St. Mary's Junior Secondary Vidyalaya,
Bandarawatte, Seeduwa</t>
  </si>
  <si>
    <t>Bandarawatte (Beruwela) R. C. S. M. S.</t>
  </si>
  <si>
    <t>Bandiyamullla (Gampaha) R. C. S. M. S.</t>
  </si>
  <si>
    <t>Gajaba Kanishta Vidyalaya
Church Road, Gampaha</t>
  </si>
  <si>
    <t>Basiyawatta (Pitipana) R. C. S. M. S.</t>
  </si>
  <si>
    <t>St. Peter's Kanishta Vidyalaya
Basiyawatte, Negombo</t>
  </si>
  <si>
    <t>Thalahena</t>
  </si>
  <si>
    <t>Batagama R. C. S. B. S.</t>
  </si>
  <si>
    <t>Batagama North Junior Secondary Vidyalaya
Batagama North, Ja-Ela</t>
  </si>
  <si>
    <t xml:space="preserve">Ja-ela </t>
  </si>
  <si>
    <t>Kandana</t>
  </si>
  <si>
    <t>Batagama</t>
  </si>
  <si>
    <t>Ja-ela</t>
  </si>
  <si>
    <t>Batagama R. C. S. G. S.</t>
  </si>
  <si>
    <t>Batagama North R. C. P. V.
Batagama North, Ja-Ela</t>
  </si>
  <si>
    <t xml:space="preserve">Batepola R. C. S. B. S.
Batepola R. C. S. G. S. </t>
  </si>
  <si>
    <t>Roman Catholic Primary Vidyalaya 
Dunagaha</t>
  </si>
  <si>
    <t>Batepola</t>
  </si>
  <si>
    <t xml:space="preserve">Beruwala R. C. S. B. S.
Beruwela R. C. S. G. S. </t>
  </si>
  <si>
    <t xml:space="preserve">Nimala Mariya  Maha Vidyalaya
Bolawalana, Negombo </t>
  </si>
  <si>
    <t>Bolawalana</t>
  </si>
  <si>
    <t xml:space="preserve">Bopitiya R. C. S. B. S.
Bopitiya R. C. S. G. S. </t>
  </si>
  <si>
    <t xml:space="preserve">Pamunugama Maha Vidyalaya
Bopitiya, Pamunugama </t>
  </si>
  <si>
    <t>Tudella</t>
  </si>
  <si>
    <t>Pamunugama</t>
  </si>
  <si>
    <t xml:space="preserve">Borella  All Saints' College
Borella All Saints' S. M. V.   </t>
  </si>
  <si>
    <t xml:space="preserve">All Saints' Balika Maha Vidyalaya
Ananda Rajakaruna Mawatha, Colombo 10 </t>
  </si>
  <si>
    <t xml:space="preserve">Colombo Centre </t>
  </si>
  <si>
    <t xml:space="preserve">Borella </t>
  </si>
  <si>
    <t xml:space="preserve">Borella All Saints' T. M. S.                                          </t>
  </si>
  <si>
    <t>Dr. Thaninayagam Tamil Primary Vidyalaya
Leslie ranagala Mawatha, Colombo 08</t>
  </si>
  <si>
    <t xml:space="preserve">Burulapitiya R. C. S. B. S.
Burulapitiya R. C. S. G. S. </t>
  </si>
  <si>
    <t xml:space="preserve">Burullapitiya Maha Vidyalaya
Minuwangoda </t>
  </si>
  <si>
    <t>Burulapitiya</t>
  </si>
  <si>
    <t>Dagonna R. C. S. M. S.</t>
  </si>
  <si>
    <t xml:space="preserve">Dagonna Roman Catholic Primary Vidyalaya
Dagonna, Via Negombo </t>
  </si>
  <si>
    <t xml:space="preserve">Minuwangoda </t>
  </si>
  <si>
    <t xml:space="preserve">Dalugama R. C. S. B. S.
Dalugama R. C. S. G. S. </t>
  </si>
  <si>
    <t>St. Francis Maha Vidyalaya
Dalugama, Kelaniya</t>
  </si>
  <si>
    <t>Ragama</t>
  </si>
  <si>
    <t>Dalugama</t>
  </si>
  <si>
    <t xml:space="preserve">Kelaniya </t>
  </si>
  <si>
    <t>Kelaniya</t>
  </si>
  <si>
    <t xml:space="preserve">Dalupotha R. C. S. B. S.
Dalupotha R. C. S. G. S. </t>
  </si>
  <si>
    <t xml:space="preserve">Dalupotha Maha Vidyalaya
Dalupotha, Negombo </t>
  </si>
  <si>
    <t>Dalupotha</t>
  </si>
  <si>
    <t>Dampe R. C. S. M. S.</t>
  </si>
  <si>
    <t xml:space="preserve">Dampe Junior School
Dampe, Madapatha </t>
  </si>
  <si>
    <t xml:space="preserve">Willorawatte </t>
  </si>
  <si>
    <t>Kesbewa</t>
  </si>
  <si>
    <t>Dehiwala Holy Family Convent</t>
  </si>
  <si>
    <t xml:space="preserve">Holy Family Convent 
Dehiwela </t>
  </si>
  <si>
    <t xml:space="preserve">Dehiwela </t>
  </si>
  <si>
    <t>Colombo</t>
  </si>
  <si>
    <t>Dehiwala St. Mary's S. B. S.</t>
  </si>
  <si>
    <t>St. Mary's Boys' Vidyalaya
Dehiwela</t>
  </si>
  <si>
    <t xml:space="preserve">Dehiyagatha R. C. S. B. S. 
Dehiyagatha R. C. S. G. S. </t>
  </si>
  <si>
    <t>Holy Rosary Vidyalaya
Dehiyagatha, Ja-ela</t>
  </si>
  <si>
    <t>Dehiyagatha</t>
  </si>
  <si>
    <t xml:space="preserve">Delatura R. C. S. G. S.
Delatura R. C. S. B. S. </t>
  </si>
  <si>
    <t>Delatura</t>
  </si>
  <si>
    <t>Dematagoda  St. Anthony's E. G. S.</t>
  </si>
  <si>
    <t>St. Anthony's Balika Maha Vidyalaya
Dematagoda, Colombo 9</t>
  </si>
  <si>
    <t xml:space="preserve">Dematagoda </t>
  </si>
  <si>
    <t>Dematagoda  St. John's College</t>
  </si>
  <si>
    <t>St. John's Boys' Maha Vidyalaya
Dematagoda, Colombo 9</t>
  </si>
  <si>
    <t>Dikowita R. C. S. M. S.</t>
  </si>
  <si>
    <t>Dikowita Sastraloka  Vidyalaya
Hendala, Wattala</t>
  </si>
  <si>
    <t>Wattala</t>
  </si>
  <si>
    <t>Wellapalliya</t>
  </si>
  <si>
    <t>Dippitigoda R. C. S. M. S.</t>
  </si>
  <si>
    <t>Dippitigoda Roman Catholic Primary Vidyalaya
Dippitigoda, Kelaniya</t>
  </si>
  <si>
    <t>Diyalagoda Maha Vidyalaya,
Diyalagoda, Maggona</t>
  </si>
  <si>
    <t xml:space="preserve">Diyalagoda </t>
  </si>
  <si>
    <t>Diyalagoda R. C. S. G. S.</t>
  </si>
  <si>
    <t>Dungalpitiya R. C. S. M. S.</t>
  </si>
  <si>
    <t>Kepungoda</t>
  </si>
  <si>
    <t xml:space="preserve">Duwa R. C. S. B. S.
Duwa R. C. S. G. S. </t>
  </si>
  <si>
    <t>Duwa Kanishta Vidyalaya
Duwa, Negombo</t>
  </si>
  <si>
    <t>Duwa</t>
  </si>
  <si>
    <t xml:space="preserve">Duwana R. C. T. M. S. </t>
  </si>
  <si>
    <t>Duwana Sinhala Mixed Vidyalaya
Duwana, Kochchikade</t>
  </si>
  <si>
    <t>Duwana</t>
  </si>
  <si>
    <t>Enderamulla R. C. S. M. S.</t>
  </si>
  <si>
    <t>St. Sebastian's Maha Vidyalaya
Enderamulla, Wattala</t>
  </si>
  <si>
    <t>Enderamulla</t>
  </si>
  <si>
    <t>Mahara</t>
  </si>
  <si>
    <t>Ethgala R. C. S. M. S.</t>
  </si>
  <si>
    <t>Ethgala Roman Catholic Kanishta Vidyalaya
Ethgala, Kochchikade</t>
  </si>
  <si>
    <t>Welihena</t>
  </si>
  <si>
    <t>St. Sylvester Sinhala Mixed Vidyalaya
Eththukala, Negombo</t>
  </si>
  <si>
    <t>Sea Street</t>
  </si>
  <si>
    <t xml:space="preserve">Galkissa R. C. S. B. S.
Galkissa R. C. S. G. S. </t>
  </si>
  <si>
    <t>St. Anthony's Junior School
Galkissa</t>
  </si>
  <si>
    <t xml:space="preserve">Galkissa </t>
  </si>
  <si>
    <t>Galloluwa R. C. S. M. S.</t>
  </si>
  <si>
    <t>Galloluwa Roman Catholic Primary
Minuwangoda</t>
  </si>
  <si>
    <t>Yatiyana</t>
  </si>
  <si>
    <t xml:space="preserve">Godigamuwa R. C. S. M. S. </t>
  </si>
  <si>
    <t>Godigamuwa M. V. 
Akaragama, Divulapitiya</t>
  </si>
  <si>
    <t>Badalgama</t>
  </si>
  <si>
    <t>Gorakadeniya (Nittambuwa) R. C. S. M. S.</t>
  </si>
  <si>
    <t xml:space="preserve">Gorakadeniya Primary Vidyalaya
Udathuththiripitiya </t>
  </si>
  <si>
    <t>Nittambuwa</t>
  </si>
  <si>
    <t>Attanagalla</t>
  </si>
  <si>
    <t xml:space="preserve">Grandpass  E. G. S.
Grandpass R. C. M. S. </t>
  </si>
  <si>
    <t>St. Joseph's Balika Maha Vidyalaya
Grandpass</t>
  </si>
  <si>
    <t xml:space="preserve">Colombo North </t>
  </si>
  <si>
    <t>Grandpass</t>
  </si>
  <si>
    <t>Grandpass  St. Joseph's E. B. S.</t>
  </si>
  <si>
    <t>St. Joseph's Boys' Vidyalaya
Grandpass</t>
  </si>
  <si>
    <t>Halawakanda (Beruwela) R. C. S. M. S.</t>
  </si>
  <si>
    <t>Halawakanda Primary Vidyalaya
Halawakanda, Beruwela</t>
  </si>
  <si>
    <t>Hapugoda R. C. S. M. S.</t>
  </si>
  <si>
    <t xml:space="preserve">St. Mary's  Model School
Hapugoda, Kandana                                                                  </t>
  </si>
  <si>
    <t>Hapugoda</t>
  </si>
  <si>
    <t>Hill Street  R. C. S. M. S.</t>
  </si>
  <si>
    <t>St. Mary's Vidyalaya
Vivekananda Road, Colombo 13</t>
  </si>
  <si>
    <t>New Chetty Street</t>
  </si>
  <si>
    <t>Hill Street  R. C. T. B. S.</t>
  </si>
  <si>
    <t>St. Anthony's Tamil Boys' Maha Vidyalaya
Vivekananda Road, Colombo 13</t>
  </si>
  <si>
    <t>Hill Street  R. C. T. G. S.</t>
  </si>
  <si>
    <t>Hill Street St. Anne's  Tamil Girls' Maha Vidyalaya
Vivekananda Road, Colombo 13</t>
  </si>
  <si>
    <t>Hiripitiya R. C. S. M. S.</t>
  </si>
  <si>
    <t>Hiripitiya Primary Vidyalaya
Veyangoda</t>
  </si>
  <si>
    <t>Hulsdorf  St. Sebastian's E. M. S.</t>
  </si>
  <si>
    <t>St. Sebantian's Sinhala Mixed Vidyalaya
Silversmith Lane, Colombo 13</t>
  </si>
  <si>
    <t xml:space="preserve">Hultsdorp </t>
  </si>
  <si>
    <r>
      <t>Hulsdorf</t>
    </r>
    <r>
      <rPr>
        <b/>
        <sz val="10"/>
        <color theme="1"/>
        <rFont val="Cambria"/>
        <family val="1"/>
      </rPr>
      <t xml:space="preserve"> </t>
    </r>
    <r>
      <rPr>
        <b/>
        <sz val="11"/>
        <color theme="1"/>
        <rFont val="Cambria"/>
        <family val="1"/>
      </rPr>
      <t xml:space="preserve">St. Sebastian's Kindergarten </t>
    </r>
  </si>
  <si>
    <t>St. Sebastian's Muslim Tamil Maha Vidyalaya
Belmont Street, Colombo 12</t>
  </si>
  <si>
    <t>Ja-ela  R. C. S. M. S.</t>
  </si>
  <si>
    <t>St. Mary's Maha Vidyalaya
Ja-ela</t>
  </si>
  <si>
    <t xml:space="preserve">Kadalana (Moratuwa) R. C. S. B. S.
Kadalana (Moratuwa) R. C. S. G. S. </t>
  </si>
  <si>
    <t>St. Anthony's Vidyalaya
Kadalana, Moratuwa</t>
  </si>
  <si>
    <t xml:space="preserve">Kadalana </t>
  </si>
  <si>
    <t xml:space="preserve">Kadawatha R. C. S. B. S.
Kadawatha R. C. S. G. S. </t>
  </si>
  <si>
    <t>Roman Catholic Kanishta Vidyalaya
Kadawatha</t>
  </si>
  <si>
    <t>Kadawatha</t>
  </si>
  <si>
    <t>Kala-eliya R. C. S. M. S.</t>
  </si>
  <si>
    <t>Kala-eliya  Primary Vidyalaya
Kalaeliya, Ja-ela</t>
  </si>
  <si>
    <t>Kalaeliya</t>
  </si>
  <si>
    <t>Kalahugoda R. C. S. M. S.</t>
  </si>
  <si>
    <t>Kalahugoda Madawala Combined Kanishta Vidyalaya
Kalahugoda, Minuwangoda</t>
  </si>
  <si>
    <t>Kalamulla Roman Catholic kanishta Vidyalaya
Kalamulla, Kalutara</t>
  </si>
  <si>
    <t>Kalamulla</t>
  </si>
  <si>
    <t>Kalutara North R. C. S. M. S.</t>
  </si>
  <si>
    <t>Panadura</t>
  </si>
  <si>
    <t>Kaluwarippuwa East Primary Vidyalaya
Kaluwarippuwa, Katana</t>
  </si>
  <si>
    <t>Kaluwarippuwa</t>
  </si>
  <si>
    <t>Kamaragoda R. C. S. M. S.</t>
  </si>
  <si>
    <t xml:space="preserve">Kamaragoda R. C. K. V.
Kamaragoda, Dewalapola </t>
  </si>
  <si>
    <t>Kamaragoda</t>
  </si>
  <si>
    <t>Kandana R. C. S. B. S.</t>
  </si>
  <si>
    <t xml:space="preserve">Kandana St. Sebastian's B. M. V.
Kandana </t>
  </si>
  <si>
    <t>Kandana R. C. S. G. S.</t>
  </si>
  <si>
    <t>Kandana St. Sebastian's G. P. V.
Kandana</t>
  </si>
  <si>
    <t>Kandana St. Sebastian's E. G. S.</t>
  </si>
  <si>
    <t>Kandana St. Sebastian's G. M. V.
Kandana</t>
  </si>
  <si>
    <t xml:space="preserve">Kandawala R. C. S. B. S.
Kandawala R. C. S. G. S. </t>
  </si>
  <si>
    <t>Kandawala St. Joseph's  K. S. V.
Kandawala, Katana</t>
  </si>
  <si>
    <t>Kandawala</t>
  </si>
  <si>
    <t>Kanuwana St. Joseph's S. M. S.</t>
  </si>
  <si>
    <t>Kanuwana St. Joseph's K. S. V.
Kanuwana, Ja-ela</t>
  </si>
  <si>
    <t>Kanuwana</t>
  </si>
  <si>
    <t>Katana R. C. S. G. S.</t>
  </si>
  <si>
    <t>Katukurunda  (Moratuwa) R. C. S. M. S.</t>
  </si>
  <si>
    <t>Katukurunda St. Mary's P. V. 
Katukurunda, Moratuwa</t>
  </si>
  <si>
    <t xml:space="preserve">Katukurunda </t>
  </si>
  <si>
    <t xml:space="preserve">Katukurunda (Kalutara) R. C. S. B. S. 
Katukurunda (Kalutara) R. C. S. G. S. </t>
  </si>
  <si>
    <t>Katukurunda R. C. M. V. 
Katukurunda, Kalutara</t>
  </si>
  <si>
    <t>Katunayake R. C. M. V.
Katunayake</t>
  </si>
  <si>
    <t>Katunayake</t>
  </si>
  <si>
    <t xml:space="preserve">Katuwapitiya R. C. S. B. S.
Katuwapitiya R. C. S. G. S. </t>
  </si>
  <si>
    <t>Katuwapitiya St. Sebastian's K. S. V.
Katuwapitiya, Negombo</t>
  </si>
  <si>
    <t>Katuwapitiya</t>
  </si>
  <si>
    <t>Kelaniya R. C. S. M. S.</t>
  </si>
  <si>
    <t>Pilapitiya M. V.
Peliyagoda</t>
  </si>
  <si>
    <t>Kepungoda R. C. S. B. S.
Kepungoda R. C. S. G. S.</t>
  </si>
  <si>
    <t>Kerawalapitiya R. C. S. M. S.</t>
  </si>
  <si>
    <t>Kerawalapitiya St. Joseph's P. V.
Kerawalapitiya, Wattala</t>
  </si>
  <si>
    <t>Kerawalapitiya</t>
  </si>
  <si>
    <t xml:space="preserve">Kimbulapitiya R. C. P. V.
Kimbulapitiya, Negombo </t>
  </si>
  <si>
    <t>Kirimatiyagara R. C. S. G. S.</t>
  </si>
  <si>
    <t>Kirimatiyagara</t>
  </si>
  <si>
    <t xml:space="preserve">Kotte </t>
  </si>
  <si>
    <t xml:space="preserve">Nugegoda </t>
  </si>
  <si>
    <t>Kochchikade R. C. S. B. S.</t>
  </si>
  <si>
    <t>Pallansena</t>
  </si>
  <si>
    <t>Kollupitiya St. Anthony's G. M. V. 
Kollupitiya</t>
  </si>
  <si>
    <t>Kollupitiya</t>
  </si>
  <si>
    <t>Kolonnawa R. C. S. M. S.</t>
  </si>
  <si>
    <t>Kolonnawa St. Joseph's V. 
Kolonnawa</t>
  </si>
  <si>
    <t xml:space="preserve">Kolonnawa </t>
  </si>
  <si>
    <t xml:space="preserve">Sri Jayewardenapura </t>
  </si>
  <si>
    <t>Kongodamulla St. Anthony's K. S. V.
Katana</t>
  </si>
  <si>
    <t>Kongodamulla</t>
  </si>
  <si>
    <t>Koralawella R. C. S. M. S.</t>
  </si>
  <si>
    <t>Koralawella R. C. V. 
Koralawella, Moratuwa</t>
  </si>
  <si>
    <t xml:space="preserve">Koralawella </t>
  </si>
  <si>
    <t>Kotahena  R. C. S. G. S.</t>
  </si>
  <si>
    <t>Kotahena R. C. G. V. 
Kotahena</t>
  </si>
  <si>
    <t>Kotahena</t>
  </si>
  <si>
    <t>Kotahena  St. Lucia's E. M. S.</t>
  </si>
  <si>
    <t>Kotahena St. Lucia's B. V. 
Kotahena</t>
  </si>
  <si>
    <t>Kotahena Good Shepherd T. G. S.</t>
  </si>
  <si>
    <t>Kotahena Good Shepherd T. G. M. V. 
Kotahena</t>
  </si>
  <si>
    <t>Kotikawatta R. C. S. M. S.</t>
  </si>
  <si>
    <t>Kotikawatte R. C. P. V. 
Kotikawatte</t>
  </si>
  <si>
    <t>Kotugoda R. C. S. M. S.</t>
  </si>
  <si>
    <t>Kotugoda R. C. P. V. 
Kotugoda</t>
  </si>
  <si>
    <t>Kotugoda</t>
  </si>
  <si>
    <t>Kudapaduwa R. C. T. M. S.</t>
  </si>
  <si>
    <t>Kudapaduwa S. M. V.
Kudapaduwa, Negombo</t>
  </si>
  <si>
    <t>Kurana R. C. S. M. S.</t>
  </si>
  <si>
    <t>Kurana St. Anne's M. V. 
Kurana, Negombo</t>
  </si>
  <si>
    <t>Kurana</t>
  </si>
  <si>
    <t xml:space="preserve">Kurukulawa R. C. S. B. S.
Kurukulawa R. C. S. G. S. </t>
  </si>
  <si>
    <t>Kurukulawa St. Lazarus K. V.
Kurukulawa, Ragama</t>
  </si>
  <si>
    <t>Kurukulawa</t>
  </si>
  <si>
    <t>Mabola R. C. S. M. S.</t>
  </si>
  <si>
    <t>Mabola  St. Mary's  V.
Mabole, Wattala</t>
  </si>
  <si>
    <t>Mabola</t>
  </si>
  <si>
    <t>Pahala Madampalla K. V. 
Madampella, Katana</t>
  </si>
  <si>
    <t>Madampella</t>
  </si>
  <si>
    <t xml:space="preserve">Madampitiya St. Anthony's  T. M. S. </t>
  </si>
  <si>
    <t>Mahawatta  St. Anthony's T.  M. V.  
Madampitiya, Colombo 15</t>
  </si>
  <si>
    <t>Mahawatta</t>
  </si>
  <si>
    <t xml:space="preserve">Maggona R. C. S. B. S. 
Maggona R. C. S. G. S. </t>
  </si>
  <si>
    <t>Maggona St. Mary's K. V. 
Maggona</t>
  </si>
  <si>
    <t>Maggona</t>
  </si>
  <si>
    <t>Maggona St. Vincent B. S.</t>
  </si>
  <si>
    <t>Maggona St. Vincent's K. V. 
Maggona</t>
  </si>
  <si>
    <t xml:space="preserve">Mahawatta St. Anthony's   S. M. V. </t>
  </si>
  <si>
    <t>Mahawatta St. Anthony's S.  V. 
Madampitiya, Colombo 15</t>
  </si>
  <si>
    <t>Makewita R. C. S. M. S.</t>
  </si>
  <si>
    <t>Makewita Pandukabaya K. V.
Makewita Gampaha</t>
  </si>
  <si>
    <t>Makewita</t>
  </si>
  <si>
    <t>Mankuliya R. C. S. M. S.</t>
  </si>
  <si>
    <t xml:space="preserve">Mankuliya St. Anthony's K. V.
Mankuliya, Negombo </t>
  </si>
  <si>
    <t>Pitipana</t>
  </si>
  <si>
    <t>Maththumagala  R. C. S. M. S.</t>
  </si>
  <si>
    <t>Maththumagala R .C. K. V.
Mattumagala, Ragama</t>
  </si>
  <si>
    <t>Mattumagala</t>
  </si>
  <si>
    <t>Mathugama St. Mary's College</t>
  </si>
  <si>
    <t>Matugama St. Mary's M. V. 
Matugama</t>
  </si>
  <si>
    <t>Matugama</t>
  </si>
  <si>
    <t xml:space="preserve">Mattakkuliya R. C.  S. M. S. </t>
  </si>
  <si>
    <t>Mattakkuliya Ave Maria V. 
Mattakkuliya</t>
  </si>
  <si>
    <t xml:space="preserve">Mattakkuliya </t>
  </si>
  <si>
    <t>Mellawagedara R. C. S. M. S.</t>
  </si>
  <si>
    <t>Mellawagedara R. C. P. V.
Mellawagedara</t>
  </si>
  <si>
    <t>Middellawita R. C. S. M. S.</t>
  </si>
  <si>
    <t>Nivandama R. C. P. V. 
Nivandama, Ja-ela</t>
  </si>
  <si>
    <t>Midellawita</t>
  </si>
  <si>
    <t>Miriswatta R. C. S. M. S.</t>
  </si>
  <si>
    <t>Miriswatta Henarathgoda Keppettipola M. V. 
Miriswatte, Gampaha</t>
  </si>
  <si>
    <t>Miriswatte</t>
  </si>
  <si>
    <t xml:space="preserve">Moratuwa Convent R. C. S. G. S.                                                   </t>
  </si>
  <si>
    <t>Moratuwa Uswatta St. Sebastian's G. S.
Moratuwa</t>
  </si>
  <si>
    <t>Mudungoda R. C. S. M. S.</t>
  </si>
  <si>
    <t>Moragoda Wimaladarma K. V. 
Gampaha</t>
  </si>
  <si>
    <t>Moragoda</t>
  </si>
  <si>
    <t>Munnakkaraya R. C. T. M. S.</t>
  </si>
  <si>
    <t>Munnakkaraya St Nicholas S. M. V.
Munnakkaraya, Negombo</t>
  </si>
  <si>
    <t xml:space="preserve">Grand Street </t>
  </si>
  <si>
    <t>Muruthana R. C. S. M. S.</t>
  </si>
  <si>
    <t>Muruthana R. C. K. V. 
Muruthana, Negombo</t>
  </si>
  <si>
    <t>Mutwal  St. Anthony's  E. G. S.</t>
  </si>
  <si>
    <t>Mutwal St. Anthony's G. P. V. 
Mutwal</t>
  </si>
  <si>
    <t>St. James'</t>
  </si>
  <si>
    <t>Added</t>
  </si>
  <si>
    <t>Mutwal  St. James' R. C. S. M. S.</t>
  </si>
  <si>
    <t>Mutwal St. James' P. V.
Mutwal</t>
  </si>
  <si>
    <t>Mutwal De La Salle E. B. S.</t>
  </si>
  <si>
    <t>Mutwal De La Salle B. M. V.   
Mutwal</t>
  </si>
  <si>
    <t xml:space="preserve">Mutwal St. John's  S. M. S. </t>
  </si>
  <si>
    <t>Mutwal St. John's  V.
Mutwal</t>
  </si>
  <si>
    <t xml:space="preserve">St. John's </t>
  </si>
  <si>
    <t xml:space="preserve">Nagoda (Kandana) R. C. S. B. S.
Nagoda (Kandana) R. C. S. G. S. </t>
  </si>
  <si>
    <t>Nagoda St. John The Baptist M. V. 
Ngoda, Kandana</t>
  </si>
  <si>
    <t>Nagoda</t>
  </si>
  <si>
    <t>Nakandapola R. C. S. M. S.</t>
  </si>
  <si>
    <t>Nakandapola P. V.
Nakandapola, Henegama</t>
  </si>
  <si>
    <t xml:space="preserve">Nakandapola </t>
  </si>
  <si>
    <t>Dompe</t>
  </si>
  <si>
    <t xml:space="preserve">Nayakakanda  Good Sherphed Convent
Nayakakanda R. C. G. Boarding S. </t>
  </si>
  <si>
    <t>Nayakakanda Good Shepherd Convent 
Nayakakanda, Wattala</t>
  </si>
  <si>
    <t>Nayakakanda</t>
  </si>
  <si>
    <t>Nayakakanda R. C. S. B. S.</t>
  </si>
  <si>
    <t>Nayakakanda Archbishop's M. V.
Nayakanada, Wattala</t>
  </si>
  <si>
    <t>Nayakakanda R. C. S. G. S.</t>
  </si>
  <si>
    <t>Nayakakanda G. P. V.
Nayakakanda, Wattala</t>
  </si>
  <si>
    <t xml:space="preserve">Negombo Asirimath Devamatha M. V.
Negombo                                </t>
  </si>
  <si>
    <t>Negombo (Kehelkankade) R. C. S. B. S.</t>
  </si>
  <si>
    <t>Negombo St. Peter's  Central M. V.
Negombo</t>
  </si>
  <si>
    <t xml:space="preserve">St. Peter's </t>
  </si>
  <si>
    <t>Negombo St. Joseph's G. S.</t>
  </si>
  <si>
    <t>Negombo St. Joseph's K. V. 
Negombo</t>
  </si>
  <si>
    <t>Niripola R. C. S. M. S.</t>
  </si>
  <si>
    <t>Niripola R. C. K. V.
Niripola, Hanwella</t>
  </si>
  <si>
    <t xml:space="preserve">Waga </t>
  </si>
  <si>
    <t>Nugegoda St. Joseph's E. G. S.</t>
  </si>
  <si>
    <t>Nugegoda St. Joseph's G. M. V.
Nugegoda</t>
  </si>
  <si>
    <t>Pahathgama R. C. S. M. S.</t>
  </si>
  <si>
    <t>Pahathgama R. C. K. V.
Pahathgama, Hanwella</t>
  </si>
  <si>
    <t xml:space="preserve">Kaluaggala </t>
  </si>
  <si>
    <t>Paiyagala  R. C. S. G. S.</t>
  </si>
  <si>
    <t>Payagala North R. C. G. K. V. 
Payagala</t>
  </si>
  <si>
    <t>Payagala</t>
  </si>
  <si>
    <t>Paiyagala R. C. S. B. S.</t>
  </si>
  <si>
    <t>Payagala Bandaranayake M. V. 
Payagala</t>
  </si>
  <si>
    <t>Palangaturai R. C. S. B. S.</t>
  </si>
  <si>
    <t xml:space="preserve">Daluwakotuwa St. Anne's  M. V.  
Daluwakotuwa, Kochchikade                                                             </t>
  </si>
  <si>
    <t>Palangaturai</t>
  </si>
  <si>
    <t>Palangaturai R. C. S. G. S.</t>
  </si>
  <si>
    <t>Daluwakotuwa St. Anne's P. V.
Daluwakotuwa, Kochchikade</t>
  </si>
  <si>
    <t>Palangaturai R. C. T. M. S.</t>
  </si>
  <si>
    <t>Palangaturai S. K. V.
Plangaturai, Kochchikade</t>
  </si>
  <si>
    <t>Pallansena R. C. S. G. S.</t>
  </si>
  <si>
    <t xml:space="preserve">Pallansena R. C. P. V.
Pallansena, Kochhchikade </t>
  </si>
  <si>
    <t xml:space="preserve">Pamunugama  Gonsalves M. V.
Pamunugama R. C. S. B. S.
Pamunugama R. C. S. G. S. </t>
  </si>
  <si>
    <t>Pamunugama Gonsalves M. V.
Pamunugama</t>
  </si>
  <si>
    <t>Panadura St. Anthony's B. M. V. 
Panadura</t>
  </si>
  <si>
    <t xml:space="preserve">Panadura </t>
  </si>
  <si>
    <t>Panadura St. Anthony's E. G. S.</t>
  </si>
  <si>
    <t>Panadura St. Anthony's G. M. V. 
Panadura</t>
  </si>
  <si>
    <t>Peliyagoda (Kalaniya) R. C. S. M. S.</t>
  </si>
  <si>
    <t>Peliyagoda R. C. P. V.
Peliyagoda</t>
  </si>
  <si>
    <t>Peralanda (Ragama) R. C. S. M. S.</t>
  </si>
  <si>
    <t>Peralanda St. Joseph's J. S. V.
Peralanda, Ragama</t>
  </si>
  <si>
    <t xml:space="preserve">Peralanda </t>
  </si>
  <si>
    <t>Pitipana R. C. S. B. S.
Pitipana R. C. S. G. S.</t>
  </si>
  <si>
    <t>Pitipana M. V.
Pitipana, Negombo</t>
  </si>
  <si>
    <t xml:space="preserve">Puwakpitiya R. C. S. M. S. </t>
  </si>
  <si>
    <t xml:space="preserve">Puwakpitiya R. C. K. V. 
Puwakpitiya, Avissawella </t>
  </si>
  <si>
    <t xml:space="preserve">Puwakpitiya R. C. T. M. S. </t>
  </si>
  <si>
    <t>Puwakpitiya C. C. T. M. V. 
Puwakpitiya, Avissawella</t>
  </si>
  <si>
    <t>Ragama R. C. S. B. S.</t>
  </si>
  <si>
    <t>Ragama Basilica P. M. V.
Ragama</t>
  </si>
  <si>
    <t>Ragama R. C. S. G. S.</t>
  </si>
  <si>
    <t>Ragama Basilica M. V.
Ragama</t>
  </si>
  <si>
    <t>Rajagiriya  R. C. S. M. S.</t>
  </si>
  <si>
    <t>Rajagiriya Hewavitharana Model P. V.  
Rajagiriya</t>
  </si>
  <si>
    <t xml:space="preserve">Rajagiriya </t>
  </si>
  <si>
    <t>Nugegoda</t>
  </si>
  <si>
    <t>Rajagiriya R. C. T. S.</t>
  </si>
  <si>
    <t>Rajagiriya R. C. T. M. V.
Rajagiriya</t>
  </si>
  <si>
    <t>Ratmalana R. C. S. M. S.</t>
  </si>
  <si>
    <t>Ratmalana R. C. P. V.
Ratmalana</t>
  </si>
  <si>
    <t>Ratmalana</t>
  </si>
  <si>
    <t>Rawathawatta R. C. S. M. S.</t>
  </si>
  <si>
    <t>Rawathawatta R. C. V.
Rawathawatte, Moratuwa</t>
  </si>
  <si>
    <t>Rawathawatte</t>
  </si>
  <si>
    <t>Sarikkamulla R. C. S. M. S.</t>
  </si>
  <si>
    <t>Sarikkalimulla R. C. P. V. 
Panadura</t>
  </si>
  <si>
    <t xml:space="preserve">Kalutara </t>
  </si>
  <si>
    <t>Sea Street (Negombo) R. C. S. G. S.</t>
  </si>
  <si>
    <t>Sea Street St. Sebastian's M. V.
Sea Street, Negombo</t>
  </si>
  <si>
    <t>Seeduwa R. C. S. B. S.</t>
  </si>
  <si>
    <t>Seeduwa R. C. P. V.
Seeduwa</t>
  </si>
  <si>
    <t xml:space="preserve">Gampaha </t>
  </si>
  <si>
    <t>Seeduwa R. C. S. G. S.</t>
  </si>
  <si>
    <t>Davisamara M. V.
Seeduwa</t>
  </si>
  <si>
    <t>Slave Island  R. C. T. M. S.</t>
  </si>
  <si>
    <t>Slave Island Holy Rosary T. V. 
Slave Island</t>
  </si>
  <si>
    <t>Slave Island</t>
  </si>
  <si>
    <t>Slave Island R. C. S. M. S.</t>
  </si>
  <si>
    <t>Slave Island Holy Rosary S. K. V.
Slave Island</t>
  </si>
  <si>
    <t>Tarala R. C.  S. M. S.</t>
  </si>
  <si>
    <t>Tarala Sirikurusa K. V. 
Tarala, Pugoda</t>
  </si>
  <si>
    <t>Tarala</t>
  </si>
  <si>
    <t>Thalahena R. C. S. M. S.</t>
  </si>
  <si>
    <t>Thalahena R. C. K. V.
Talahena, Negombo</t>
  </si>
  <si>
    <t>Talahena</t>
  </si>
  <si>
    <t>Thibbotugoda R. C. S. M. S.</t>
  </si>
  <si>
    <t>Thibbotugoda Gamini Vidyalaya  
Thibbotugoda, Ganemulla</t>
  </si>
  <si>
    <t>Tibbotugoda</t>
  </si>
  <si>
    <t>Thillanduwa R. C. S. M. S.</t>
  </si>
  <si>
    <t>Thillanduwa R. C. K. V. 
Thillanduwa, Negombo</t>
  </si>
  <si>
    <t>Tillanduwa</t>
  </si>
  <si>
    <t>Thoppuwa R. C. T. B. S.
Thoppuwa R. C. T. G. S.</t>
  </si>
  <si>
    <t>Thoppuwa R. C. T. M. V.
Thoppuwa, Negombo</t>
  </si>
  <si>
    <t>Tudella  R. C. S. B. S.
Tudella Mary Immaculate  Convent
Tudella R. C. S. G. S.</t>
  </si>
  <si>
    <t>Tudella Nimala Maria M. V.
Tudella, Ja-ela</t>
  </si>
  <si>
    <t>Udugampola R. C. S. M. S.</t>
  </si>
  <si>
    <t>Udugampola R. C. P. V.
Udugampola, Gampaha</t>
  </si>
  <si>
    <t>Uswetakeiyawa R. C. S. B. S.
Uswetakeiyawa R. C. S. G. S.</t>
  </si>
  <si>
    <t xml:space="preserve">Uswetakeiyawa St. Mary's M. V. 
Uswetakeiyawa, </t>
  </si>
  <si>
    <t>Uswetakeiyawa</t>
  </si>
  <si>
    <t>Veliveriya R. C. S. B. S.
Veliveriya R. C. S. G. S.</t>
  </si>
  <si>
    <t>Veliweriya Madduma Bandara P. V. 
Veliveriya</t>
  </si>
  <si>
    <t>Veliveriya</t>
  </si>
  <si>
    <t>Veyangoda R. C. S. M. S.</t>
  </si>
  <si>
    <t>Nittambuwa St. Anthony's K. V. 
Nittambuwa</t>
  </si>
  <si>
    <t xml:space="preserve">Attanagalla </t>
  </si>
  <si>
    <t xml:space="preserve">Wadduwa R. C. S. B. S. 
Wadduwa R. C. S. G. S. </t>
  </si>
  <si>
    <t xml:space="preserve">Wadduwa St. Mary's M. V. 
Wadduwa, </t>
  </si>
  <si>
    <t>Wadduwa</t>
  </si>
  <si>
    <t>Waragoda St. Paul's E. G. S.</t>
  </si>
  <si>
    <t>Waragoda St. Paul's G. M. V. 
Waragoda, Kelaniya</t>
  </si>
  <si>
    <t>Watinapaha R. C. S. M. S.</t>
  </si>
  <si>
    <t xml:space="preserve">Watinapaha R. C. P. V.
Watinapaha, </t>
  </si>
  <si>
    <t xml:space="preserve">Watinapaha </t>
  </si>
  <si>
    <t>Wattala  R. C. S. G. S.</t>
  </si>
  <si>
    <t>Wattala St. Anne's G. P. V.
Wattala</t>
  </si>
  <si>
    <t>Wattala  R. C. T. M. S.</t>
  </si>
  <si>
    <t>Wattala R. C. T.  M. V .
Wattala</t>
  </si>
  <si>
    <t>Wattala  St. Anne's E. G. S.</t>
  </si>
  <si>
    <t>Wattala St. Anne's G. M. V. 
Wattala</t>
  </si>
  <si>
    <t>Welihena R. C. T. M. S.</t>
  </si>
  <si>
    <t>Welihena R. C. T. V.
Welihena, Kochchikade</t>
  </si>
  <si>
    <t>Welikada  R. C. S. M. S.</t>
  </si>
  <si>
    <t>Welikada Dharmapala P. V.
Welikada, Makewita</t>
  </si>
  <si>
    <t>Welikanna R. C. S. M. S.</t>
  </si>
  <si>
    <t>Welikanna R. C. K. V.
Welikanna, Waga</t>
  </si>
  <si>
    <t>Welivita R. C. S. M. S.</t>
  </si>
  <si>
    <t>Weliwita</t>
  </si>
  <si>
    <t>Kaduwela</t>
  </si>
  <si>
    <t>Wellapalliya (Palliyawatta) R. C. S. B. S.
Wellapalliya (Palliyawatta) R. C. S. G. S.</t>
  </si>
  <si>
    <t>Palliyawatta Don Bosco V.
Palliyawatte, Hendala, Wattala</t>
  </si>
  <si>
    <t>Wewala R. C. S. B. S.
Wewala R. C. S. G. S.</t>
  </si>
  <si>
    <t>Wewala R. C. P. V. 
Wewala, Ja-ela</t>
  </si>
  <si>
    <t>Wewala</t>
  </si>
  <si>
    <t>Wewala St. Xavier M. V. 
Wewala, Ja-ela</t>
  </si>
  <si>
    <t>Yakkaduwa R. C. S. M. S.</t>
  </si>
  <si>
    <t>Yakkaduwa P. V. 
Yakkaduwa, Ja-ela</t>
  </si>
  <si>
    <t xml:space="preserve">Kandana </t>
  </si>
  <si>
    <t>Yatiyana R. C. S. B. S.
Yatiyana R. C. S. G. S.</t>
  </si>
  <si>
    <t>Yatiyana R. C. K. V. 
Minuwangoda</t>
  </si>
  <si>
    <t xml:space="preserve">Government Catholic Schools </t>
  </si>
  <si>
    <t xml:space="preserve">Present School Name </t>
  </si>
  <si>
    <t xml:space="preserve">School Address </t>
  </si>
  <si>
    <t xml:space="preserve">Aluthgama Sangamitta Balika Maha Vidyalaya
</t>
  </si>
  <si>
    <t>NS  PS</t>
  </si>
  <si>
    <t xml:space="preserve">PRINCIPAL'S DETAILS </t>
  </si>
  <si>
    <t>DATE OF BIRTH</t>
  </si>
  <si>
    <t>RETIREMENT DATE</t>
  </si>
  <si>
    <t>Date</t>
  </si>
  <si>
    <t xml:space="preserve">Month </t>
  </si>
  <si>
    <t>Year</t>
  </si>
  <si>
    <t>034-2270243</t>
  </si>
  <si>
    <t>-</t>
  </si>
  <si>
    <t>PS</t>
  </si>
  <si>
    <t>S</t>
  </si>
  <si>
    <t>Girls</t>
  </si>
  <si>
    <t>1 - 11</t>
  </si>
  <si>
    <t>Principal</t>
  </si>
  <si>
    <t xml:space="preserve">Ms. </t>
  </si>
  <si>
    <t xml:space="preserve">Seetha Jeewani Premathilake </t>
  </si>
  <si>
    <t xml:space="preserve">Buddhist </t>
  </si>
  <si>
    <t xml:space="preserve">Telephone No. </t>
  </si>
  <si>
    <t xml:space="preserve">Fax No. </t>
  </si>
  <si>
    <t xml:space="preserve">  E-mail Address </t>
  </si>
  <si>
    <t xml:space="preserve">Census No. </t>
  </si>
  <si>
    <t xml:space="preserve"> Grade of the School </t>
  </si>
  <si>
    <t xml:space="preserve">Medium </t>
  </si>
  <si>
    <t>Boys/ Girls/ Mixed</t>
  </si>
  <si>
    <t xml:space="preserve"> Classess Up to </t>
  </si>
  <si>
    <t xml:space="preserve"> Designation </t>
  </si>
  <si>
    <t xml:space="preserve"> Title</t>
  </si>
  <si>
    <t xml:space="preserve"> Name </t>
  </si>
  <si>
    <t xml:space="preserve">Phone Number </t>
  </si>
  <si>
    <t xml:space="preserve">Personal Address </t>
  </si>
  <si>
    <t xml:space="preserve"> Grade </t>
  </si>
  <si>
    <t xml:space="preserve"> Religion or Congrigation </t>
  </si>
  <si>
    <t>034-2278673</t>
  </si>
  <si>
    <t>02293</t>
  </si>
  <si>
    <t>Mixed</t>
  </si>
  <si>
    <t xml:space="preserve"> 1 - 11</t>
  </si>
  <si>
    <t>Acting Principal</t>
  </si>
  <si>
    <t xml:space="preserve">Mr. </t>
  </si>
  <si>
    <t>N. Janaka Silva</t>
  </si>
  <si>
    <t>077-6667278</t>
  </si>
  <si>
    <t xml:space="preserve">Polkotuwa, Beruwela </t>
  </si>
  <si>
    <t xml:space="preserve">Beruwala Roman Catholic Kanishta Vidyalaya
</t>
  </si>
  <si>
    <t>076-9651355</t>
  </si>
  <si>
    <t xml:space="preserve">diyalagodaprimary023007@gmail.com </t>
  </si>
  <si>
    <t>02307</t>
  </si>
  <si>
    <t>1 - 5</t>
  </si>
  <si>
    <t xml:space="preserve">U. K. D. Chathura Chaminda Udawaththa </t>
  </si>
  <si>
    <t xml:space="preserve">Ranaviru Chandika Udawatta Mawatha, Udawattagoda, Dodangoda, Kalutara South </t>
  </si>
  <si>
    <t>SLPS III</t>
  </si>
  <si>
    <t>Diyalagoda, Maggona</t>
  </si>
  <si>
    <t xml:space="preserve">Diyalagoda Roman Catholic Primary Vidyalaya
</t>
  </si>
  <si>
    <t>034-2298440</t>
  </si>
  <si>
    <t>Mrs.</t>
  </si>
  <si>
    <t>H. Darma Chandralatha</t>
  </si>
  <si>
    <t xml:space="preserve">Diyalagoda Maha Vidyalaya,
</t>
  </si>
  <si>
    <t>School</t>
  </si>
  <si>
    <t>Diyalagoda Roman Catholic Primary Vidyalaya
Diyalagoda, Maggona</t>
  </si>
  <si>
    <t xml:space="preserve">Beruwala Roman Catholic Kanishta Vidyalaya,
Polkotuwa, Beruwela </t>
  </si>
  <si>
    <t>4                          5</t>
  </si>
  <si>
    <t xml:space="preserve">Updated on </t>
  </si>
  <si>
    <t>034-2226696</t>
  </si>
  <si>
    <t>G. C. P. Gunarathne</t>
  </si>
  <si>
    <t>071-9151809</t>
  </si>
  <si>
    <t xml:space="preserve">No. 375/C, Padmaramaya Road, Vilegoda, Kalutara South </t>
  </si>
  <si>
    <t xml:space="preserve">Kalamulla Roman Catholic Kanishta Vidyalaya
</t>
  </si>
  <si>
    <t>Kalamulla, Kalutara</t>
  </si>
  <si>
    <t>NS</t>
  </si>
  <si>
    <t>1AB</t>
  </si>
  <si>
    <t>S/E</t>
  </si>
  <si>
    <t>02244</t>
  </si>
  <si>
    <t>1C</t>
  </si>
  <si>
    <t>1 - 13</t>
  </si>
  <si>
    <t>SLPS II</t>
  </si>
  <si>
    <t>R. C.</t>
  </si>
  <si>
    <t xml:space="preserve">Katukurunda R. C. M. V. 
</t>
  </si>
  <si>
    <t>034-2278135</t>
  </si>
  <si>
    <t>stmaryschoolkl@gmail.com</t>
  </si>
  <si>
    <t xml:space="preserve">Mrs. </t>
  </si>
  <si>
    <t>SLTS I</t>
  </si>
  <si>
    <t xml:space="preserve">Maggona St. Mary's K. V. 
</t>
  </si>
  <si>
    <t xml:space="preserve">Maggona St. Vincent's K. V. 
</t>
  </si>
  <si>
    <t>034-2247185</t>
  </si>
  <si>
    <t>smcmatugamafb@gmail.com</t>
  </si>
  <si>
    <t>S/T/E</t>
  </si>
  <si>
    <t>Miss.</t>
  </si>
  <si>
    <t xml:space="preserve"> B. A. Chandima Priyadarshani</t>
  </si>
  <si>
    <t>071-4437790</t>
  </si>
  <si>
    <t xml:space="preserve">No- 50, Suhada Uyana, Welimanana, Mathugama </t>
  </si>
  <si>
    <t>SLEAS II</t>
  </si>
  <si>
    <t>034-2226160</t>
  </si>
  <si>
    <t xml:space="preserve">Payagala Bandaranayake M. V. 
</t>
  </si>
  <si>
    <t>038-2233164</t>
  </si>
  <si>
    <t xml:space="preserve">st.anthonysgsp@gmail.com </t>
  </si>
  <si>
    <t>6 - 13</t>
  </si>
  <si>
    <t xml:space="preserve">Deputy Principal </t>
  </si>
  <si>
    <t>Ms.</t>
  </si>
  <si>
    <t xml:space="preserve">Panadura St. Anthony's G. M. V. 
</t>
  </si>
  <si>
    <t>038-2232417</t>
  </si>
  <si>
    <t xml:space="preserve">Boys </t>
  </si>
  <si>
    <t xml:space="preserve">Principal </t>
  </si>
  <si>
    <t xml:space="preserve">J. M. Priyantha Priyalal Jayarathne </t>
  </si>
  <si>
    <t xml:space="preserve">Panadura St. Anthony's Boys M. V. 
</t>
  </si>
  <si>
    <t>H. S. T. S.  Tharanga</t>
  </si>
  <si>
    <t>SLTS II</t>
  </si>
  <si>
    <t>038-2295513</t>
  </si>
  <si>
    <t xml:space="preserve">S. Sriyani Kumudini Perera </t>
  </si>
  <si>
    <t>No. 34/1, Werala Road, Wadduwa</t>
  </si>
  <si>
    <t xml:space="preserve">Wadduwa St. Mary's M. V. 
</t>
  </si>
  <si>
    <t>6             7</t>
  </si>
  <si>
    <t>√</t>
  </si>
  <si>
    <t>√   08/31</t>
  </si>
  <si>
    <t>√   09/20</t>
  </si>
  <si>
    <t xml:space="preserve">Students on Roll </t>
  </si>
  <si>
    <t>2022 Statistics - Posted</t>
  </si>
  <si>
    <t xml:space="preserve">2022 Statistics - Sent to Office </t>
  </si>
  <si>
    <t>No. of Parallel Classes</t>
  </si>
  <si>
    <t>No. of Students</t>
  </si>
  <si>
    <t>According to Religion</t>
  </si>
  <si>
    <t>Medium</t>
  </si>
  <si>
    <t>Details</t>
  </si>
  <si>
    <t>Principals</t>
  </si>
  <si>
    <t>Teachers</t>
  </si>
  <si>
    <t xml:space="preserve">Student </t>
  </si>
  <si>
    <t>Student</t>
  </si>
  <si>
    <t>Buddhist</t>
  </si>
  <si>
    <t>Hindu</t>
  </si>
  <si>
    <t>Islam</t>
  </si>
  <si>
    <t>Catholic</t>
  </si>
  <si>
    <t>%</t>
  </si>
  <si>
    <t>Christian</t>
  </si>
  <si>
    <t>Others</t>
  </si>
  <si>
    <t>Sinhala</t>
  </si>
  <si>
    <t>Tamil</t>
  </si>
  <si>
    <t>English</t>
  </si>
  <si>
    <t>Format 1</t>
  </si>
  <si>
    <t>Format 2</t>
  </si>
  <si>
    <t>Format 3</t>
  </si>
  <si>
    <t>Format 4</t>
  </si>
  <si>
    <t xml:space="preserve">Other Details </t>
  </si>
  <si>
    <t xml:space="preserve">Sarikkalimulla R. C. P. V. 
</t>
  </si>
  <si>
    <t>1 to 4 - 1         5 to 9 - 2               10 to 11 - 1</t>
  </si>
  <si>
    <t>071-8000442</t>
  </si>
  <si>
    <t xml:space="preserve">H. G. Kamani Disanayaka </t>
  </si>
  <si>
    <t xml:space="preserve">not given </t>
  </si>
  <si>
    <t xml:space="preserve">Teacher - R. C.                                                   SLTS III - J. A. D. P. S. Jayasooriya                                                  071-2161361    </t>
  </si>
  <si>
    <t xml:space="preserve">Aluthambalama Junior Model School
</t>
  </si>
  <si>
    <t>036-2222781</t>
  </si>
  <si>
    <t>S/T</t>
  </si>
  <si>
    <t>1 -13</t>
  </si>
  <si>
    <t xml:space="preserve">Kumudu Paranavithana </t>
  </si>
  <si>
    <t>075-4778915 071-0550502</t>
  </si>
  <si>
    <t xml:space="preserve">SLPS II  </t>
  </si>
  <si>
    <t>Teacher - R. C.                                              SLTS II -   Mrs. Gayathri                             077-7470090</t>
  </si>
  <si>
    <t>1 -5  =  3                  6 - 13 = 2</t>
  </si>
  <si>
    <t>011-2598118</t>
  </si>
  <si>
    <t>T</t>
  </si>
  <si>
    <t xml:space="preserve">Acting Principal </t>
  </si>
  <si>
    <t>011-2502823</t>
  </si>
  <si>
    <t>1 -11</t>
  </si>
  <si>
    <t xml:space="preserve">G. D. C. Kumudini </t>
  </si>
  <si>
    <t>071-5631265</t>
  </si>
  <si>
    <t>011-2697881</t>
  </si>
  <si>
    <t xml:space="preserve">Girls </t>
  </si>
  <si>
    <t xml:space="preserve">  1 - 13</t>
  </si>
  <si>
    <t xml:space="preserve">Rev. Sr. </t>
  </si>
  <si>
    <t>AC</t>
  </si>
  <si>
    <t xml:space="preserve">Ananda Rajakaruna Mawatha, Colombo 10 </t>
  </si>
  <si>
    <t>071-4475735</t>
  </si>
  <si>
    <t xml:space="preserve">  1 - 5</t>
  </si>
  <si>
    <t xml:space="preserve"> V. Sureshkumar </t>
  </si>
  <si>
    <t>SLPS</t>
  </si>
  <si>
    <t>1,2</t>
  </si>
  <si>
    <t>Leslie ranagala Mawatha, Colombo 08</t>
  </si>
  <si>
    <t xml:space="preserve">Dampe Junior School
</t>
  </si>
  <si>
    <t xml:space="preserve">Dampe, Madapatha </t>
  </si>
  <si>
    <t>011-2738901</t>
  </si>
  <si>
    <t>00096</t>
  </si>
  <si>
    <t xml:space="preserve"> 1 - 13</t>
  </si>
  <si>
    <t>HF</t>
  </si>
  <si>
    <t xml:space="preserve">Dehiwela Holy Family Convent 
</t>
  </si>
  <si>
    <t>011-2733177</t>
  </si>
  <si>
    <t>Boys</t>
  </si>
  <si>
    <t xml:space="preserve">  1 - 11</t>
  </si>
  <si>
    <t>H. Eresha Prasadini Perera</t>
  </si>
  <si>
    <t xml:space="preserve">Dehiwela St. Mary's Boys' Vidyalaya
</t>
  </si>
  <si>
    <t>011-2696951</t>
  </si>
  <si>
    <t>Dematagoda, Colombo 9</t>
  </si>
  <si>
    <t xml:space="preserve">Dematagoda St. John's Boys' Maha Vidyalaya
</t>
  </si>
  <si>
    <t>011-2685640</t>
  </si>
  <si>
    <t>srmaria@gmail.com / st.anthonyscolombo09@gmail.com</t>
  </si>
  <si>
    <t>2C</t>
  </si>
  <si>
    <t xml:space="preserve">Maria Riana </t>
  </si>
  <si>
    <t>070-2290732</t>
  </si>
  <si>
    <t>Annunciation Convent, Dematagoda</t>
  </si>
  <si>
    <t xml:space="preserve">Dematagoda St. Anthony's Balika Maha Vidyalaya
</t>
  </si>
  <si>
    <t xml:space="preserve">Galkissa St. Anthony's Junior School
</t>
  </si>
  <si>
    <t>Galkissa</t>
  </si>
  <si>
    <t>011-2337560</t>
  </si>
  <si>
    <t>stjosephcollege14@gmail.com</t>
  </si>
  <si>
    <t xml:space="preserve">   1 - 13</t>
  </si>
  <si>
    <t xml:space="preserve"> Principal</t>
  </si>
  <si>
    <t>S. G. K. D. L. C. Prasad</t>
  </si>
  <si>
    <t>077-3525844</t>
  </si>
  <si>
    <t>No. 84, Thibirigasyaya, Hendala Road, Wattala</t>
  </si>
  <si>
    <t xml:space="preserve">Grandpass St. Joseph's Boys' Vidyalaya
</t>
  </si>
  <si>
    <t>011-2327240</t>
  </si>
  <si>
    <t>stjdmbcol14@outlook.com</t>
  </si>
  <si>
    <t>077-8473673</t>
  </si>
  <si>
    <t>RGS</t>
  </si>
  <si>
    <t>3                          A/L 2</t>
  </si>
  <si>
    <t xml:space="preserve">Grandpass St. Joseph's Balika Maha Vidyalaya
</t>
  </si>
  <si>
    <t>071-8263255</t>
  </si>
  <si>
    <t>stmaryscol13@gmail.com</t>
  </si>
  <si>
    <t>00038</t>
  </si>
  <si>
    <t xml:space="preserve">Miss. </t>
  </si>
  <si>
    <t>K. A. Vivika Ramani</t>
  </si>
  <si>
    <t>No. 888/15, Punchi Borella, Colombo 08</t>
  </si>
  <si>
    <t>Vivekananda Road, Colombo 13</t>
  </si>
  <si>
    <t>011-2439306</t>
  </si>
  <si>
    <t>SLPS I</t>
  </si>
  <si>
    <t xml:space="preserve">R. C. </t>
  </si>
  <si>
    <t xml:space="preserve">Hill Street St. Anthony's Tamil Boys' Maha Vidyalaya
</t>
  </si>
  <si>
    <t>011-2342646</t>
  </si>
  <si>
    <t>st.annescolombo13@gmail.com</t>
  </si>
  <si>
    <t>00213</t>
  </si>
  <si>
    <t>077-3239210</t>
  </si>
  <si>
    <t>√   09/09</t>
  </si>
  <si>
    <t xml:space="preserve">Hill Street St. Anne's  Tamil Girls' Maha Vidyalaya
</t>
  </si>
  <si>
    <t>011-2399554</t>
  </si>
  <si>
    <t xml:space="preserve">Hulsdorf  St. Sebantian's Sinhala Mixed Vidyalaya
</t>
  </si>
  <si>
    <t>011-2390134</t>
  </si>
  <si>
    <t xml:space="preserve">Saleen </t>
  </si>
  <si>
    <t>Belmont Street, Colombo 12</t>
  </si>
  <si>
    <t xml:space="preserve">Hulsdorf  St. Sebastian's Muslim Tamil Maha Vidyalaya
</t>
  </si>
  <si>
    <t>011-2653787</t>
  </si>
  <si>
    <t>anthonys.sch.kadalana.@gmail.com</t>
  </si>
  <si>
    <t>00179</t>
  </si>
  <si>
    <t>Kadalana, Moratuwa</t>
  </si>
  <si>
    <t xml:space="preserve">Kadalana St. Anthony's Vidyalaya
</t>
  </si>
  <si>
    <t>011-2659658</t>
  </si>
  <si>
    <t>00197</t>
  </si>
  <si>
    <t xml:space="preserve">M. P. Milshani H. Dias </t>
  </si>
  <si>
    <t>070-2790990</t>
  </si>
  <si>
    <t>No. 11/7, Alubogaha Watta, Pinwala, Panadura</t>
  </si>
  <si>
    <t xml:space="preserve">V. Teacher - R. C.                          Mr. Asitha </t>
  </si>
  <si>
    <t xml:space="preserve">Katukurunda St. Mary's P. V. 
</t>
  </si>
  <si>
    <t>Katukurunda, Moratuwa</t>
  </si>
  <si>
    <t>011-2573390</t>
  </si>
  <si>
    <t>anthonians.col3@gmail.com</t>
  </si>
  <si>
    <t>00082</t>
  </si>
  <si>
    <t>Kolonnawa</t>
  </si>
  <si>
    <t xml:space="preserve">Kollupitiya St. Anthony's Balika M. V. 
</t>
  </si>
  <si>
    <t>011-2531915</t>
  </si>
  <si>
    <t>Deepthi Molligoda</t>
  </si>
  <si>
    <t xml:space="preserve">Teacher - R. C.                                    SLTS II Rev. Sr. Manori Tharika (Sisters of Clareshiyan) </t>
  </si>
  <si>
    <t xml:space="preserve">Kolonnawa St. Joseph's V. 
</t>
  </si>
  <si>
    <t>00176</t>
  </si>
  <si>
    <t xml:space="preserve">Kongodamulla St. Anthony's K. S. V.
</t>
  </si>
  <si>
    <t xml:space="preserve">Koralawella R. C. V. 
</t>
  </si>
  <si>
    <t>011-2452121</t>
  </si>
  <si>
    <t>stluciascollege@yahoo.com</t>
  </si>
  <si>
    <t xml:space="preserve">   1 - 11</t>
  </si>
  <si>
    <t xml:space="preserve">H. D. S. Prasangani </t>
  </si>
  <si>
    <t>071-4814112</t>
  </si>
  <si>
    <t xml:space="preserve">No. 227/1, Henawatta Road, Welivita, Kaduwela </t>
  </si>
  <si>
    <t>1-5=2                    6-8=3                  9-11=2</t>
  </si>
  <si>
    <t>011-2444170</t>
  </si>
  <si>
    <t xml:space="preserve">romancatholicbalika@gmail.com </t>
  </si>
  <si>
    <t xml:space="preserve"> S. M. A. Asangi Jayamanna</t>
  </si>
  <si>
    <t>No. 273/6B, Fergustion Road, Colombo15</t>
  </si>
  <si>
    <t xml:space="preserve">Kotahena R. C. G. V. 
</t>
  </si>
  <si>
    <t>011-2321870</t>
  </si>
  <si>
    <t>cgsgmv@gmail.com</t>
  </si>
  <si>
    <t xml:space="preserve"> 1- 13</t>
  </si>
  <si>
    <t>2/3</t>
  </si>
  <si>
    <t xml:space="preserve">Kotahena Good Shepherd T. G. M. V. 
</t>
  </si>
  <si>
    <t>011-2578665</t>
  </si>
  <si>
    <t xml:space="preserve">Manikgama Arachchi </t>
  </si>
  <si>
    <t>071-7668241</t>
  </si>
  <si>
    <t xml:space="preserve">Non R. C. </t>
  </si>
  <si>
    <t xml:space="preserve">Kotikawatte R. C. P. V. 
</t>
  </si>
  <si>
    <t>Kotikawatte</t>
  </si>
  <si>
    <t>011-2529081</t>
  </si>
  <si>
    <t>00223</t>
  </si>
  <si>
    <t xml:space="preserve"> M. Shanthana </t>
  </si>
  <si>
    <t>077-3090787</t>
  </si>
  <si>
    <t>Carmel Convent, Sri Kathiresan Street, Colombo 13</t>
  </si>
  <si>
    <t xml:space="preserve">Mahawatta  St. Anthony's T.  M. V.  
</t>
  </si>
  <si>
    <t>Madampitiya, Colombo 15</t>
  </si>
  <si>
    <t>011-2524550</t>
  </si>
  <si>
    <t xml:space="preserve">  1  - 11</t>
  </si>
  <si>
    <t>K. A. Sugath Bandara</t>
  </si>
  <si>
    <t xml:space="preserve">Mahawatta St. Anthony's S.  V. 
</t>
  </si>
  <si>
    <t>011-2522090</t>
  </si>
  <si>
    <t>avemariayacollege@gmail.com</t>
  </si>
  <si>
    <t xml:space="preserve">B. M. Suraj N. Perera </t>
  </si>
  <si>
    <t>072-5406768</t>
  </si>
  <si>
    <t xml:space="preserve">Mattakkuliya Ave Maria V. 
</t>
  </si>
  <si>
    <t>011-2644697</t>
  </si>
  <si>
    <t>ssbvmoratuwa@yahoo.com</t>
  </si>
  <si>
    <t xml:space="preserve">Moratuwa Uswatta St. Sebastian's G. S.
</t>
  </si>
  <si>
    <t>011-2521714</t>
  </si>
  <si>
    <t>W. P. R. Rajarathna</t>
  </si>
  <si>
    <t>071-4497378</t>
  </si>
  <si>
    <t>No. 4/7, Temple Road, Kolonnawa</t>
  </si>
  <si>
    <t xml:space="preserve">Mutwal St. John's  V.
</t>
  </si>
  <si>
    <t>Mutwal</t>
  </si>
  <si>
    <t>011-2522125</t>
  </si>
  <si>
    <t>delasalle15@gmail.com</t>
  </si>
  <si>
    <t xml:space="preserve">Rev. Bro. </t>
  </si>
  <si>
    <t xml:space="preserve">R. Joseph Jeykanthan </t>
  </si>
  <si>
    <t>077-7590391         070-6090391</t>
  </si>
  <si>
    <t>No. 130, De La Salle House, Mutwal, Colombo 15</t>
  </si>
  <si>
    <t>011-2520757</t>
  </si>
  <si>
    <t>00021</t>
  </si>
  <si>
    <t xml:space="preserve">K. P. Sunila K. R. Perera </t>
  </si>
  <si>
    <t>071-0170855</t>
  </si>
  <si>
    <t>No. 308/D/1/2, Atorawa, Uswetakeiyawa</t>
  </si>
  <si>
    <t xml:space="preserve">Mutwal St. Anthony's G. P. V. 
</t>
  </si>
  <si>
    <t>011-2527128</t>
  </si>
  <si>
    <t>stanthonysbmvco15@gmail.com</t>
  </si>
  <si>
    <t>St. Anthony's Convent, Mutwal, Colombo 15</t>
  </si>
  <si>
    <t>3                       A/L 2</t>
  </si>
  <si>
    <t xml:space="preserve">Mutwal St. Anthony's G. M. V. 
</t>
  </si>
  <si>
    <t xml:space="preserve">Mutwal St. James' P. V.
</t>
  </si>
  <si>
    <t>zonho.divs.niripolahanwella@gmail.com</t>
  </si>
  <si>
    <t xml:space="preserve">SLPS </t>
  </si>
  <si>
    <t xml:space="preserve">Niripola R. C. K. V.
</t>
  </si>
  <si>
    <t>Niripola, Hanwella</t>
  </si>
  <si>
    <t>3/4</t>
  </si>
  <si>
    <t xml:space="preserve">Nugegoda St. Joseph's G. M. V.
</t>
  </si>
  <si>
    <t>036-2251300</t>
  </si>
  <si>
    <t>zonho.divs.pahathgamarcv@gmail.com</t>
  </si>
  <si>
    <t>1- 11</t>
  </si>
  <si>
    <t xml:space="preserve"> D. N. C. Gamlath </t>
  </si>
  <si>
    <t xml:space="preserve">Pahathgama R. C. K. V.
</t>
  </si>
  <si>
    <t>Pahathgama, Hanwella</t>
  </si>
  <si>
    <t>036-2234055</t>
  </si>
  <si>
    <t xml:space="preserve">Sunethra Munasinghe </t>
  </si>
  <si>
    <t>071-6008910</t>
  </si>
  <si>
    <t xml:space="preserve">Puwakpitiya R. C. P. V. 
</t>
  </si>
  <si>
    <t xml:space="preserve">Puwakpitiya, Avissawella </t>
  </si>
  <si>
    <t>036-2232536</t>
  </si>
  <si>
    <t xml:space="preserve"> 6 - 13</t>
  </si>
  <si>
    <t xml:space="preserve">P. Manoharan </t>
  </si>
  <si>
    <t>071-4473936</t>
  </si>
  <si>
    <t>Teacher R. C.                                           SLTS III - A. M. Rosary                           075-2097207</t>
  </si>
  <si>
    <t xml:space="preserve">Puwakpitiya R. C. T. M. V. 
</t>
  </si>
  <si>
    <t>Puwakpitiya, Avissawella</t>
  </si>
  <si>
    <t>011-2872344</t>
  </si>
  <si>
    <t>C</t>
  </si>
  <si>
    <t xml:space="preserve">J. M. D. R. Ranjanee </t>
  </si>
  <si>
    <t>071-4487224</t>
  </si>
  <si>
    <t xml:space="preserve">Rajagiriya Hewavitharana Model P. V.  
</t>
  </si>
  <si>
    <t>Rajagiriya</t>
  </si>
  <si>
    <t>011-2889338</t>
  </si>
  <si>
    <t>rctmvrajagiriya@gmail.com</t>
  </si>
  <si>
    <t xml:space="preserve"> Roslin Anthonymuththu </t>
  </si>
  <si>
    <t>077-2179373</t>
  </si>
  <si>
    <t>Holy Cross Convent, No.29, Norris Avenue, Borella, Colombo 08</t>
  </si>
  <si>
    <t xml:space="preserve">Rajagiriya R. C. T. M. V.
</t>
  </si>
  <si>
    <t>011-2735861</t>
  </si>
  <si>
    <t>rocarathmalanavid@gmail.com</t>
  </si>
  <si>
    <t>00122</t>
  </si>
  <si>
    <t xml:space="preserve">  S. M. Sandya Samarakoon </t>
  </si>
  <si>
    <t>071-4677022</t>
  </si>
  <si>
    <t xml:space="preserve">Deltara K. V. Nila Nivasa, Deltara, Piliyandala </t>
  </si>
  <si>
    <t xml:space="preserve">Ratmalana R. C. P. V.
</t>
  </si>
  <si>
    <t>011-2655113</t>
  </si>
  <si>
    <t>rrccmoratuwa@gmail.com</t>
  </si>
  <si>
    <t>00186</t>
  </si>
  <si>
    <t xml:space="preserve">Rawathawatta R. C. V.
</t>
  </si>
  <si>
    <t>Rawathawatte, Moratuwa</t>
  </si>
  <si>
    <t>076-7620746</t>
  </si>
  <si>
    <t>holyrosarytv125@gmail.com</t>
  </si>
  <si>
    <t xml:space="preserve">  1 -11</t>
  </si>
  <si>
    <t xml:space="preserve"> V. Devadas</t>
  </si>
  <si>
    <t xml:space="preserve">Slave Island Holy Rosary T. V. 
</t>
  </si>
  <si>
    <t>011-2328099</t>
  </si>
  <si>
    <t xml:space="preserve">Danalakshmi Ranasinghe </t>
  </si>
  <si>
    <t>077-7032552</t>
  </si>
  <si>
    <t xml:space="preserve">Slave Island Holy Rosary S. K. V.
</t>
  </si>
  <si>
    <t>036-2251838</t>
  </si>
  <si>
    <t>zonho.dirs.welikannarckv@gmail.com</t>
  </si>
  <si>
    <t>00296</t>
  </si>
  <si>
    <t xml:space="preserve">W. Ruwantha T. Gunawardena </t>
  </si>
  <si>
    <t>071-8135388</t>
  </si>
  <si>
    <t>No. 278/A, Labugama Road, Kahahena, Waga</t>
  </si>
  <si>
    <t>Teacher R. C.                                           SLTS II - Ms. Chrishanthi Perera                         071-5525962</t>
  </si>
  <si>
    <t xml:space="preserve">Welikanna R. C. K. V.
</t>
  </si>
  <si>
    <t>Welikanna, Waga</t>
  </si>
  <si>
    <t>011-2414219</t>
  </si>
  <si>
    <t>stmaryscollege1943@gmail.com</t>
  </si>
  <si>
    <t>00260</t>
  </si>
  <si>
    <t xml:space="preserve">Welivita St. Mary's M. V.
</t>
  </si>
  <si>
    <t>011-2252923</t>
  </si>
  <si>
    <t xml:space="preserve">Mixed </t>
  </si>
  <si>
    <t xml:space="preserve">A. M. D. Silva </t>
  </si>
  <si>
    <t xml:space="preserve">Amandoluwa Roman Catholic Primary Vidyalaya
</t>
  </si>
  <si>
    <t>0112254528</t>
  </si>
  <si>
    <t>01414</t>
  </si>
  <si>
    <t>Andiambalama</t>
  </si>
  <si>
    <t xml:space="preserve">Andiambalama Roman Catholic Primary Vidyalaya
</t>
  </si>
  <si>
    <t>031-2264006</t>
  </si>
  <si>
    <t xml:space="preserve">Andimulla Primary Vidyalaya
</t>
  </si>
  <si>
    <t>031-2276147</t>
  </si>
  <si>
    <t>01402</t>
  </si>
  <si>
    <t xml:space="preserve"> H .N. Kamalawathi  </t>
  </si>
  <si>
    <t>071-9497952</t>
  </si>
  <si>
    <t>Bambukuliya, Kochchikade</t>
  </si>
  <si>
    <t>011-2255925</t>
  </si>
  <si>
    <t>01403</t>
  </si>
  <si>
    <t>Bandarawatte, Seeduwa</t>
  </si>
  <si>
    <t>Church Road, Gampaha</t>
  </si>
  <si>
    <t xml:space="preserve">Bandiyamullla Gajaba Kanishta Vidyalaya
</t>
  </si>
  <si>
    <t>031-2280456</t>
  </si>
  <si>
    <t xml:space="preserve">D. Primal R. Jayakodi </t>
  </si>
  <si>
    <t>071-9100748 076-9636029</t>
  </si>
  <si>
    <t xml:space="preserve">Basiyawatta St. Peter's Kanishta Vidyalaya
</t>
  </si>
  <si>
    <t>011-2244575</t>
  </si>
  <si>
    <t xml:space="preserve"> 1 - 5</t>
  </si>
  <si>
    <t xml:space="preserve">K. A. Pradeepa Damayanthi Rodrigo </t>
  </si>
  <si>
    <t>071-8142276</t>
  </si>
  <si>
    <t xml:space="preserve">Batagama North R. C. P. V.
</t>
  </si>
  <si>
    <t>Batagama North, Ja-Ela</t>
  </si>
  <si>
    <t xml:space="preserve">Batagama North Junior Secondary Vidyalaya
</t>
  </si>
  <si>
    <t>011-2245821</t>
  </si>
  <si>
    <t>6 - 11</t>
  </si>
  <si>
    <t>SLPS  III</t>
  </si>
  <si>
    <t>031-2248156</t>
  </si>
  <si>
    <t>01474</t>
  </si>
  <si>
    <t>Princpal</t>
  </si>
  <si>
    <t xml:space="preserve"> K. A. S. Hemamali Kulathunga </t>
  </si>
  <si>
    <t>071-8043982</t>
  </si>
  <si>
    <t>Dunagaha</t>
  </si>
  <si>
    <t>031-2234903</t>
  </si>
  <si>
    <t>01358</t>
  </si>
  <si>
    <t xml:space="preserve">Bolawalana, Negombo </t>
  </si>
  <si>
    <t>011-2298051</t>
  </si>
  <si>
    <t>D. Sheela Subasinghe</t>
  </si>
  <si>
    <t>072-2866000</t>
  </si>
  <si>
    <t>Teacher - R.C.                                                   M. M. Manjula Fernando                   078-8022519</t>
  </si>
  <si>
    <t xml:space="preserve">Burullapitiya Maha Vidyalaya
</t>
  </si>
  <si>
    <t>01467</t>
  </si>
  <si>
    <t xml:space="preserve">M. Y. K. Maduka Fernando </t>
  </si>
  <si>
    <t xml:space="preserve">076-3824413 070-6008959 </t>
  </si>
  <si>
    <t xml:space="preserve">Dagonna Roman Catholic Primary Vidyalaya
</t>
  </si>
  <si>
    <t xml:space="preserve">Dagonna, Via Negombo </t>
  </si>
  <si>
    <t>031-2234746</t>
  </si>
  <si>
    <t>01352</t>
  </si>
  <si>
    <t xml:space="preserve">I. M. Wijayangani </t>
  </si>
  <si>
    <t>071-9046883</t>
  </si>
  <si>
    <t>1/2</t>
  </si>
  <si>
    <t xml:space="preserve">Dalupotha Maha Vidyalaya
</t>
  </si>
  <si>
    <t xml:space="preserve">Dalupotha, Negombo </t>
  </si>
  <si>
    <t>011-2914132</t>
  </si>
  <si>
    <t>01307</t>
  </si>
  <si>
    <t xml:space="preserve">W. D. Quintas Paul </t>
  </si>
  <si>
    <t>075-5637007</t>
  </si>
  <si>
    <t>Dalugama, Kelaniya</t>
  </si>
  <si>
    <t>011-2051293</t>
  </si>
  <si>
    <t>01553</t>
  </si>
  <si>
    <t>Dehiyagatha, Ja-ela</t>
  </si>
  <si>
    <t xml:space="preserve">Dehiyagatha Holy Rosary Vidyalaya
</t>
  </si>
  <si>
    <t>011-2243743</t>
  </si>
  <si>
    <t>01019</t>
  </si>
  <si>
    <t xml:space="preserve">K. L. Ayesha Ruwanthi Perera </t>
  </si>
  <si>
    <t>077-0299037</t>
  </si>
  <si>
    <t xml:space="preserve">SLPS III </t>
  </si>
  <si>
    <t>Delatura, Ja-ela</t>
  </si>
  <si>
    <t>011-2938660</t>
  </si>
  <si>
    <t xml:space="preserve">dickovita.shasthraloka@gmail.com </t>
  </si>
  <si>
    <t>071-4545666</t>
  </si>
  <si>
    <t>Nilmina</t>
  </si>
  <si>
    <t>071-8174368</t>
  </si>
  <si>
    <t xml:space="preserve">Dippitigoda Roman Catholic Primary Vidyalaya
</t>
  </si>
  <si>
    <t>Dippitigoda, Kelaniya</t>
  </si>
  <si>
    <t>Dungalpitiya, Thalahena, Negombo</t>
  </si>
  <si>
    <t>031-2223828</t>
  </si>
  <si>
    <t xml:space="preserve">Duwa Kanishta Vidyalaya
</t>
  </si>
  <si>
    <t>Duwa, Negombo</t>
  </si>
  <si>
    <t>031-2272430</t>
  </si>
  <si>
    <t xml:space="preserve">D. Merina Damayanthi Perera </t>
  </si>
  <si>
    <t xml:space="preserve">No. 112/9, Addnewas Road, Periyamulla, Negombo </t>
  </si>
  <si>
    <t xml:space="preserve">Duwana Sinhala Mixed Vidyalaya
</t>
  </si>
  <si>
    <t>Duwana, Kochchikade</t>
  </si>
  <si>
    <t>011-2934466</t>
  </si>
  <si>
    <t>01197</t>
  </si>
  <si>
    <t>1- 13</t>
  </si>
  <si>
    <t xml:space="preserve"> A. D. Nimal Priyaranjan </t>
  </si>
  <si>
    <t>No -19/49, Nayakakanda, Hendala, Wattala</t>
  </si>
  <si>
    <t>Enderamulla, Wattala</t>
  </si>
  <si>
    <t xml:space="preserve">Enderamulla St. Sebastian's Maha Vidyalaya
</t>
  </si>
  <si>
    <t>031-2279284</t>
  </si>
  <si>
    <t>01385</t>
  </si>
  <si>
    <t xml:space="preserve">S. A. Rohini </t>
  </si>
  <si>
    <t>071-8130150</t>
  </si>
  <si>
    <t xml:space="preserve">No - 494/10 F, Welihena North, Kochchikade </t>
  </si>
  <si>
    <t xml:space="preserve">Ethgala Roman Catholic Kanishta Vidyalaya
</t>
  </si>
  <si>
    <t>Ethgala, Kochchikade</t>
  </si>
  <si>
    <t>077-7130063</t>
  </si>
  <si>
    <t>negzonal.ng1364@gmail.com</t>
  </si>
  <si>
    <t xml:space="preserve">Eththukala St. Sylvester Sinhala Mixed Vidyalaya
</t>
  </si>
  <si>
    <t>Eththukala, Negombo</t>
  </si>
  <si>
    <t xml:space="preserve">          </t>
  </si>
  <si>
    <t xml:space="preserve">Galloluwa Roman Catholic Primary Vidyalaya 
</t>
  </si>
  <si>
    <t>031-2269704</t>
  </si>
  <si>
    <t xml:space="preserve">M. P. N. M. Muthugala </t>
  </si>
  <si>
    <t>071-8202515</t>
  </si>
  <si>
    <t>Akaragama, Divulapitiya</t>
  </si>
  <si>
    <t xml:space="preserve">Godigamuwa Maha Vidyalaya 
</t>
  </si>
  <si>
    <t>011-2236219</t>
  </si>
  <si>
    <t>077-7704120</t>
  </si>
  <si>
    <t xml:space="preserve">No. 102/5, Veralugaha Watta, Kapuwatta, Ja-ela </t>
  </si>
  <si>
    <t xml:space="preserve">Hapugoda, Kandana      </t>
  </si>
  <si>
    <t xml:space="preserve">Hapugoda St. Mary's  Model School
                                                            </t>
  </si>
  <si>
    <t>033-2287214</t>
  </si>
  <si>
    <t xml:space="preserve">Hiripitiya R. C.  Primary Vidyalaya
</t>
  </si>
  <si>
    <t>Veyangoda</t>
  </si>
  <si>
    <t>011-2232390</t>
  </si>
  <si>
    <t>negzonal.je1541@gmail.com</t>
  </si>
  <si>
    <t xml:space="preserve"> M. Nilanthi  Priyadarshani Dias</t>
  </si>
  <si>
    <t>071-7737131</t>
  </si>
  <si>
    <t xml:space="preserve">Ja - ela St. Mary's Maha Vidyalaya
</t>
  </si>
  <si>
    <t>011-2901804</t>
  </si>
  <si>
    <t xml:space="preserve"> S. K. M. Kanthi Sriyawathi </t>
  </si>
  <si>
    <t>071-4422491</t>
  </si>
  <si>
    <t xml:space="preserve">Kadawatha Roman Catholic Kanishta Vidyalaya
</t>
  </si>
  <si>
    <t>011-2244234</t>
  </si>
  <si>
    <t>071-2255525</t>
  </si>
  <si>
    <t xml:space="preserve">Kala-eliya  Primary Vidyalaya
</t>
  </si>
  <si>
    <t>Kalaeliya, Ja-ela</t>
  </si>
  <si>
    <t>071-8350678</t>
  </si>
  <si>
    <t xml:space="preserve">Kalahugoda Madawala Combined Kanishta Vidyalaya
</t>
  </si>
  <si>
    <t>Kalahugoda, Minuwangoda</t>
  </si>
  <si>
    <t>031-5683613</t>
  </si>
  <si>
    <t>kaluwarippuwaeast@gmail.com</t>
  </si>
  <si>
    <t>01470</t>
  </si>
  <si>
    <t xml:space="preserve">Kaluwarippuwa East Primary Vidyalaya
</t>
  </si>
  <si>
    <t>Kaluwarippuwa, Katana</t>
  </si>
  <si>
    <t>011-2281633</t>
  </si>
  <si>
    <t>kamaragodarcjs@gmail.com</t>
  </si>
  <si>
    <t>01492</t>
  </si>
  <si>
    <t xml:space="preserve"> Cherina Manike </t>
  </si>
  <si>
    <t>077-9874912</t>
  </si>
  <si>
    <t xml:space="preserve">No. 99, Temple Road, Matithotumulla, Esvella </t>
  </si>
  <si>
    <t xml:space="preserve">Kamaragoda R. C. K. V.
</t>
  </si>
  <si>
    <t xml:space="preserve">Kamaragoda, Dewalapola </t>
  </si>
  <si>
    <t>011-2230133</t>
  </si>
  <si>
    <t>negzonal.je1566@gmail.com</t>
  </si>
  <si>
    <t>01566</t>
  </si>
  <si>
    <t>011-2237335</t>
  </si>
  <si>
    <t xml:space="preserve">negzonal.je1537@gmail.com </t>
  </si>
  <si>
    <t>01537</t>
  </si>
  <si>
    <t>011-2232093</t>
  </si>
  <si>
    <t>sebastiancollege.kandana@gmail.com</t>
  </si>
  <si>
    <t xml:space="preserve">Rev. Fr. </t>
  </si>
  <si>
    <t xml:space="preserve">Fatima Church, Walikurunduwatta, Kapuwatta, Ja-ela </t>
  </si>
  <si>
    <t>Diocesan</t>
  </si>
  <si>
    <t>031-2242679</t>
  </si>
  <si>
    <t>077-3753361</t>
  </si>
  <si>
    <t xml:space="preserve">Kandawala St. Joseph's  K. S. V.
</t>
  </si>
  <si>
    <t>Kandawala, Katana</t>
  </si>
  <si>
    <t>011-2226207</t>
  </si>
  <si>
    <t>negzol.je1548@gmail.com</t>
  </si>
  <si>
    <t xml:space="preserve">Kanuwana St. Joseph's K. S. V.
</t>
  </si>
  <si>
    <t>Kanuwana, Ja-ela</t>
  </si>
  <si>
    <t>031-2242111</t>
  </si>
  <si>
    <t>negzonal.kal387@gmail.com</t>
  </si>
  <si>
    <t xml:space="preserve">Holy Family Convent, Katana </t>
  </si>
  <si>
    <t>011-2259471</t>
  </si>
  <si>
    <t xml:space="preserve"> G. K. C. D. Perera </t>
  </si>
  <si>
    <t xml:space="preserve">Katunayake R. C. M. V.
</t>
  </si>
  <si>
    <t>031-2280864</t>
  </si>
  <si>
    <t>negzonal.ka1377@gmail.com</t>
  </si>
  <si>
    <t xml:space="preserve"> Principal </t>
  </si>
  <si>
    <t xml:space="preserve">L. D. Niroshika </t>
  </si>
  <si>
    <t>070-1734222</t>
  </si>
  <si>
    <t xml:space="preserve">No. 61, Kingesgro, Godigamuwa, Badalgama </t>
  </si>
  <si>
    <t xml:space="preserve">Katuwapitiya St. Sebastian's K. S. V.
</t>
  </si>
  <si>
    <t>Katuwapitiya, Negombo</t>
  </si>
  <si>
    <t>011-2071428</t>
  </si>
  <si>
    <t>negzonal.ng01347@gmail.com</t>
  </si>
  <si>
    <t>Kepungoda, Pamunugama</t>
  </si>
  <si>
    <t>65      66</t>
  </si>
  <si>
    <t xml:space="preserve">83     84 </t>
  </si>
  <si>
    <t xml:space="preserve">86         87  </t>
  </si>
  <si>
    <t>92           93</t>
  </si>
  <si>
    <t xml:space="preserve">97     98 </t>
  </si>
  <si>
    <t>99    100</t>
  </si>
  <si>
    <t>101   102</t>
  </si>
  <si>
    <t>104   105</t>
  </si>
  <si>
    <t>107   108</t>
  </si>
  <si>
    <t>011-2937840</t>
  </si>
  <si>
    <t>rcpskerawalapitiya@yahoo.com</t>
  </si>
  <si>
    <t>01024</t>
  </si>
  <si>
    <t xml:space="preserve">K. H. P. Priyangani </t>
  </si>
  <si>
    <t>071-8533439</t>
  </si>
  <si>
    <t xml:space="preserve">Kerawalapitiya St. Joseph's P. V.
</t>
  </si>
  <si>
    <t>031-2227920</t>
  </si>
  <si>
    <t xml:space="preserve">negzonal.ka1392@gmail.com </t>
  </si>
  <si>
    <t>01392</t>
  </si>
  <si>
    <t xml:space="preserve"> I. M. Semendra </t>
  </si>
  <si>
    <t>077-7294381</t>
  </si>
  <si>
    <t xml:space="preserve">No. 144, Walpolgama, Adiambalama </t>
  </si>
  <si>
    <t xml:space="preserve">Kimbulapitiya R. C. P. V.
</t>
  </si>
  <si>
    <t xml:space="preserve">Kimbulapitiya, Negombo </t>
  </si>
  <si>
    <t>011-2921186</t>
  </si>
  <si>
    <t xml:space="preserve"> Anjula Rangika</t>
  </si>
  <si>
    <t xml:space="preserve">Holy Family Convent, Kirimatiyagara, Kadawatha </t>
  </si>
  <si>
    <t>Kirimatiyagara, Kadawatha</t>
  </si>
  <si>
    <t>031-2279164</t>
  </si>
  <si>
    <t>negzonal.ng1343@gmail.com</t>
  </si>
  <si>
    <t>01343</t>
  </si>
  <si>
    <t>Kochchikade</t>
  </si>
  <si>
    <t xml:space="preserve">kongodamullaschool@gmail.com </t>
  </si>
  <si>
    <t>01464</t>
  </si>
  <si>
    <t xml:space="preserve">W. Arosha Dilrukshi Fernando </t>
  </si>
  <si>
    <t>077-5209134</t>
  </si>
  <si>
    <t>070-2737357</t>
  </si>
  <si>
    <t>01395</t>
  </si>
  <si>
    <t xml:space="preserve"> K. R. M. Pushpa Kumara  </t>
  </si>
  <si>
    <t xml:space="preserve">No. 67/B, Maebula Road, Walpola, Rukgahavila </t>
  </si>
  <si>
    <t xml:space="preserve">Kotugoda R. C. P. V. 
</t>
  </si>
  <si>
    <t>031-2228172</t>
  </si>
  <si>
    <t xml:space="preserve">negzonal.ng1371@gmail.com </t>
  </si>
  <si>
    <t>01371</t>
  </si>
  <si>
    <t xml:space="preserve"> K. C. Chrishanthi Inoka Perera </t>
  </si>
  <si>
    <t xml:space="preserve">No. 292/14, Sudu Nelum Mawatha, Temple Road, Thibirigaskatuwa </t>
  </si>
  <si>
    <t xml:space="preserve">Kudapaduwa S. M. V.
</t>
  </si>
  <si>
    <t>Kudapaduwa, Negombo</t>
  </si>
  <si>
    <t>011-2952385</t>
  </si>
  <si>
    <t>kurukulawalazarus@gmail.com</t>
  </si>
  <si>
    <t xml:space="preserve">S. A. Disna Shanthi </t>
  </si>
  <si>
    <t xml:space="preserve">Kurukulawa St. Lazarus K. V.
</t>
  </si>
  <si>
    <t>Kurukulawa, Ragama</t>
  </si>
  <si>
    <t>031-2239878</t>
  </si>
  <si>
    <t xml:space="preserve">negzonal.ng1345@gmail.com </t>
  </si>
  <si>
    <t>01345</t>
  </si>
  <si>
    <t xml:space="preserve">No. 45, Jaya Mawatha, Pallansena South, Kochchikade </t>
  </si>
  <si>
    <t>3/2</t>
  </si>
  <si>
    <t xml:space="preserve">Kurana St. Anne's M. V. 
</t>
  </si>
  <si>
    <t>Kurana, Negombo</t>
  </si>
  <si>
    <t>011-2943463</t>
  </si>
  <si>
    <t xml:space="preserve"> M. Jayanthi Chandrani Hemalatha </t>
  </si>
  <si>
    <t>071-8038640</t>
  </si>
  <si>
    <t xml:space="preserve">Gampaha Medical Center, Waragoda, Kelaniya </t>
  </si>
  <si>
    <t xml:space="preserve">Mabola  St. Mary's  V.
</t>
  </si>
  <si>
    <t>Mabole, Wattala</t>
  </si>
  <si>
    <t>031-3121800</t>
  </si>
  <si>
    <t>J. A. L. M. Srimathi Silva</t>
  </si>
  <si>
    <t>077-3638999</t>
  </si>
  <si>
    <t>No. 303, Kamaragoda, Devalapopla</t>
  </si>
  <si>
    <t>Madampella, Katana</t>
  </si>
  <si>
    <t>031-2237315</t>
  </si>
  <si>
    <t>negzonal.ng1369@gmail.com</t>
  </si>
  <si>
    <t>01369</t>
  </si>
  <si>
    <t xml:space="preserve">K. Ayoma D. Perera </t>
  </si>
  <si>
    <t>077-9334460</t>
  </si>
  <si>
    <t>No. 29, Jaya Mawatha, Pallansena South, Kochchikade</t>
  </si>
  <si>
    <t xml:space="preserve">Mankuliya St. Anthony's K. V.
</t>
  </si>
  <si>
    <t xml:space="preserve">Mankuliya, Negombo </t>
  </si>
  <si>
    <t>011-2952251</t>
  </si>
  <si>
    <t xml:space="preserve">Maththumagala R .C. K. V.
</t>
  </si>
  <si>
    <t>Mattumagala, Ragama</t>
  </si>
  <si>
    <t>033-2240900</t>
  </si>
  <si>
    <t>01435</t>
  </si>
  <si>
    <t xml:space="preserve">Mellawagedara R. C. P. V.
</t>
  </si>
  <si>
    <t>Mellawagedara</t>
  </si>
  <si>
    <t>011-2235008</t>
  </si>
  <si>
    <t>negzonal.ge1572@gmail.com</t>
  </si>
  <si>
    <t xml:space="preserve">A. Vihara De Silva </t>
  </si>
  <si>
    <t>077-6458687</t>
  </si>
  <si>
    <t xml:space="preserve">No. 324/A, Anura Mawatha, Ganemulla </t>
  </si>
  <si>
    <t xml:space="preserve">Nivandama R. C. P. V. 
</t>
  </si>
  <si>
    <t>Nivandama, Ja-ela</t>
  </si>
  <si>
    <t>031-2280727</t>
  </si>
  <si>
    <t xml:space="preserve">negzonal.ng1370@gmail.com </t>
  </si>
  <si>
    <t>01370</t>
  </si>
  <si>
    <t xml:space="preserve">P. Tharanga N. Fernando </t>
  </si>
  <si>
    <t>071- 6888747</t>
  </si>
  <si>
    <t xml:space="preserve">No. 70, Prince Park, Raja Mawatha, Kotugoda </t>
  </si>
  <si>
    <t xml:space="preserve">Munnakkaraya St Nicholas S. M. V.
</t>
  </si>
  <si>
    <t>Munnakkaraya, Negombo</t>
  </si>
  <si>
    <t>031-2272867</t>
  </si>
  <si>
    <t>011-2242200</t>
  </si>
  <si>
    <t xml:space="preserve">negzonal.je1542@gmail.com </t>
  </si>
  <si>
    <t>01542</t>
  </si>
  <si>
    <t>Placidus  Sumith Maddumaarachchi</t>
  </si>
  <si>
    <t>071-9259280                  011-2960202</t>
  </si>
  <si>
    <t xml:space="preserve">No. 249/8, St. Sebastian Road, Kurukulawa, Ragama </t>
  </si>
  <si>
    <t xml:space="preserve">Nagoda St. John The Baptist M. V. 
</t>
  </si>
  <si>
    <t>Nagoda, Kandana</t>
  </si>
  <si>
    <t>011-2940069</t>
  </si>
  <si>
    <t xml:space="preserve">Nayakakanda Archbishop's M. V.
</t>
  </si>
  <si>
    <t>Nayakanada, Wattala</t>
  </si>
  <si>
    <t xml:space="preserve">Nakandapola P. V.
</t>
  </si>
  <si>
    <t>Nakandapola, Henegama</t>
  </si>
  <si>
    <t>011-2934606</t>
  </si>
  <si>
    <t>nayakakandaprimaryschool@gmil.com</t>
  </si>
  <si>
    <t>1020</t>
  </si>
  <si>
    <t>3C</t>
  </si>
  <si>
    <t xml:space="preserve">Nayakakanda G. P. V.
</t>
  </si>
  <si>
    <t>Nayakakanda, Wattala</t>
  </si>
  <si>
    <t>011-2937217</t>
  </si>
  <si>
    <t>01006</t>
  </si>
  <si>
    <t xml:space="preserve">Good Shepherd Convent, Nayakakanda, Hendala, Wattala      </t>
  </si>
  <si>
    <t xml:space="preserve">Nayakakanda Good Shepherd Convent 
</t>
  </si>
  <si>
    <t xml:space="preserve">031-2280662                  </t>
  </si>
  <si>
    <t>negzonal.ng1361@gmail.com</t>
  </si>
  <si>
    <t>01361</t>
  </si>
  <si>
    <t xml:space="preserve">Negombo St. Joseph's K. V. 
</t>
  </si>
  <si>
    <t>0312222625</t>
  </si>
  <si>
    <t>negzonal.ng1362@gmail.com</t>
  </si>
  <si>
    <t xml:space="preserve">Chrishmali Darsha Iromi Fernando </t>
  </si>
  <si>
    <t>071-5807403</t>
  </si>
  <si>
    <t xml:space="preserve">No. 127, Beasline Road, Seeduwa North, Seeduwa </t>
  </si>
  <si>
    <t xml:space="preserve">Negombo Asirimath Devamatha M. V.
                              </t>
  </si>
  <si>
    <t xml:space="preserve">Negombo  </t>
  </si>
  <si>
    <t>031-2220956</t>
  </si>
  <si>
    <t xml:space="preserve">negzonal.ng1344@gmail.com </t>
  </si>
  <si>
    <t>01344</t>
  </si>
  <si>
    <t>5/6/8</t>
  </si>
  <si>
    <t xml:space="preserve">Negombo St. Peter's  Central M. V.
</t>
  </si>
  <si>
    <t>031-2274080</t>
  </si>
  <si>
    <t>palangaturaischool@gmail.com</t>
  </si>
  <si>
    <t>01365</t>
  </si>
  <si>
    <t xml:space="preserve"> 1 - 10</t>
  </si>
  <si>
    <t xml:space="preserve">G. Dammika Shiromali </t>
  </si>
  <si>
    <t>071-1010246</t>
  </si>
  <si>
    <t>No. 607/3, Thalammahara, Pannala</t>
  </si>
  <si>
    <t xml:space="preserve">Palangaturai S. K. V.
</t>
  </si>
  <si>
    <t>Plangaturai, Kochchikade</t>
  </si>
  <si>
    <t>031-2276212</t>
  </si>
  <si>
    <t xml:space="preserve">negzonal.ng1356@gmail.com </t>
  </si>
  <si>
    <t>01356</t>
  </si>
  <si>
    <t xml:space="preserve">A. P. L. Susantha </t>
  </si>
  <si>
    <t>071-8013462</t>
  </si>
  <si>
    <t xml:space="preserve">No. 91, Hela Kusum, Kattuwa, Negombo </t>
  </si>
  <si>
    <t xml:space="preserve">Daluwakotuwa St. Anne's P. V.
</t>
  </si>
  <si>
    <t>Daluwakotuwa, Kochchikade</t>
  </si>
  <si>
    <t xml:space="preserve">Daluwakotuwa St. Anne's  M. V.  
                                                           </t>
  </si>
  <si>
    <t xml:space="preserve">Daluwakotuwa, Kochchikade  </t>
  </si>
  <si>
    <t>031-2276351</t>
  </si>
  <si>
    <t>negzonal.ng1355@gmail.com</t>
  </si>
  <si>
    <t xml:space="preserve"> Princpal</t>
  </si>
  <si>
    <t xml:space="preserve">K. Anne Manila Perera </t>
  </si>
  <si>
    <t>071-8064521</t>
  </si>
  <si>
    <t xml:space="preserve">No.407, Subasadaka Mw, Kadawala, Katana </t>
  </si>
  <si>
    <t>031-2277422</t>
  </si>
  <si>
    <t xml:space="preserve">negzonal.ng1367@gmail.com </t>
  </si>
  <si>
    <t>01367</t>
  </si>
  <si>
    <t xml:space="preserve"> J. P. S. Thilakasiri </t>
  </si>
  <si>
    <t>077-1780874</t>
  </si>
  <si>
    <t xml:space="preserve">No. 26/39, Pallansena South, Kochchikade </t>
  </si>
  <si>
    <t xml:space="preserve">Pallansena R. C. P. V.
</t>
  </si>
  <si>
    <t xml:space="preserve">Pallansena, Kochhchikade </t>
  </si>
  <si>
    <t>011-2242842</t>
  </si>
  <si>
    <t>negzonal.je1005@gmail.com</t>
  </si>
  <si>
    <t xml:space="preserve">K. Samitha Kumari De Silva </t>
  </si>
  <si>
    <t>077-0300514</t>
  </si>
  <si>
    <t xml:space="preserve">No. 461/B, Katuwatta Road, Epamulla, Pamunugama </t>
  </si>
  <si>
    <t xml:space="preserve">Pamunugama Gonsalves M. V.
</t>
  </si>
  <si>
    <t>011-2906293</t>
  </si>
  <si>
    <t>principals.prc@gmail.com</t>
  </si>
  <si>
    <t xml:space="preserve">H. Gaya Premathilake </t>
  </si>
  <si>
    <t>071-5341132</t>
  </si>
  <si>
    <t xml:space="preserve">Peliyagoda R. C. P. V.
</t>
  </si>
  <si>
    <t>Peliyagoda</t>
  </si>
  <si>
    <t>011-2951003</t>
  </si>
  <si>
    <t xml:space="preserve">D. Ridma Harshani Batugedara </t>
  </si>
  <si>
    <t xml:space="preserve">Peralanda St. Joseph's J. S. V.
</t>
  </si>
  <si>
    <t>Peralanda, Ragama</t>
  </si>
  <si>
    <t>negzonal.ne1346@gmail.com</t>
  </si>
  <si>
    <t xml:space="preserve">R. M. Inoka Damayanthi Rajapaksha </t>
  </si>
  <si>
    <t xml:space="preserve">Pitipana M. V.
</t>
  </si>
  <si>
    <t>Pitipana, Negombo</t>
  </si>
  <si>
    <t>011-2957988</t>
  </si>
  <si>
    <t xml:space="preserve">Ragama Basilica P. V.
</t>
  </si>
  <si>
    <t>basilicaragama@gmail.com</t>
  </si>
  <si>
    <t>01562</t>
  </si>
  <si>
    <t xml:space="preserve">Ragama Basilica M. V.
</t>
  </si>
  <si>
    <t>031-2225738</t>
  </si>
  <si>
    <t xml:space="preserve">I. V. A. D. Asuntha Kumuduni </t>
  </si>
  <si>
    <t xml:space="preserve">No. 526/2, Daluwakotuwa, Kochchikade </t>
  </si>
  <si>
    <t xml:space="preserve">Sea Street St. Sebastian's M. V.
</t>
  </si>
  <si>
    <t>Sea Street, Negombo</t>
  </si>
  <si>
    <t>011-2255452</t>
  </si>
  <si>
    <t xml:space="preserve">Seeduwa R. C. P. V.
</t>
  </si>
  <si>
    <t>011-2255832</t>
  </si>
  <si>
    <t xml:space="preserve">davisamaracollege@gmail.com </t>
  </si>
  <si>
    <t xml:space="preserve">Seeduwa Davisamara M. V.
</t>
  </si>
  <si>
    <t>031-2227911</t>
  </si>
  <si>
    <t xml:space="preserve">negzonal.ng1349@gmail.com </t>
  </si>
  <si>
    <t xml:space="preserve">P. D. Chrishanthi Saparamadu </t>
  </si>
  <si>
    <t>070-2769223</t>
  </si>
  <si>
    <t>No. 172, Bopitiya, Pamunugama</t>
  </si>
  <si>
    <t xml:space="preserve">Thalahena R. C. K. V.
</t>
  </si>
  <si>
    <t>Talahena, Negombo</t>
  </si>
  <si>
    <t xml:space="preserve">Avissawella St. Mary's College
</t>
  </si>
  <si>
    <t xml:space="preserve">Bambalapitiya St. Mary's Sinhala Mixed Vidyalaya
</t>
  </si>
  <si>
    <t xml:space="preserve">Bambalapitiya St. Mary's Tamil Maha Vidyalaya
</t>
  </si>
  <si>
    <t xml:space="preserve">Bambukuliya St. John the Baptist Maha Vidyalaya
</t>
  </si>
  <si>
    <t xml:space="preserve">Bandarawatte St. Mary's Junior Secondary Vidyalaya
</t>
  </si>
  <si>
    <t>011-2405244</t>
  </si>
  <si>
    <t xml:space="preserve">P. G. Pushpa Kumara </t>
  </si>
  <si>
    <t xml:space="preserve">Tarala Sirikurusa K. V. 
</t>
  </si>
  <si>
    <t>Tarala, Pugoda</t>
  </si>
  <si>
    <t>033-2263721</t>
  </si>
  <si>
    <t xml:space="preserve"> 1- 11</t>
  </si>
  <si>
    <t xml:space="preserve"> L. S. Malkanthi Padmasiri </t>
  </si>
  <si>
    <t xml:space="preserve">Thibbotugoda Gamini Vidyalaya  
</t>
  </si>
  <si>
    <t>Thibbotugoda, Ganemulla</t>
  </si>
  <si>
    <t>031-2221321</t>
  </si>
  <si>
    <t xml:space="preserve">negzonal.ng01350@gmail.com </t>
  </si>
  <si>
    <t xml:space="preserve">M. P. Shiromi  C. Peries </t>
  </si>
  <si>
    <t>072-4114723</t>
  </si>
  <si>
    <t xml:space="preserve">No. 40, Gunarathne Mawatha, Kurana, Negombo </t>
  </si>
  <si>
    <t xml:space="preserve">Thillanduwa R. C. K. V. 
</t>
  </si>
  <si>
    <t>Thillanduwa, Negombo</t>
  </si>
  <si>
    <t>031-2277311</t>
  </si>
  <si>
    <t xml:space="preserve">Thoppuwa R. C. T. M. V.
</t>
  </si>
  <si>
    <t>031-2278099</t>
  </si>
  <si>
    <t>negzonal.kat1418@gmail.com</t>
  </si>
  <si>
    <t xml:space="preserve">P. Mari Nisansala Fernando </t>
  </si>
  <si>
    <t>077-1386821</t>
  </si>
  <si>
    <t xml:space="preserve">No. 101/D, Manaweriya, Kochchikade </t>
  </si>
  <si>
    <t>Thoppuwa, Kochchikade</t>
  </si>
  <si>
    <t>011-2231966</t>
  </si>
  <si>
    <t xml:space="preserve">J. D. M. Nirmala Manohari 
</t>
  </si>
  <si>
    <t xml:space="preserve">Holy Family Convent, Tudella, Ja-ela </t>
  </si>
  <si>
    <t>4/5</t>
  </si>
  <si>
    <t xml:space="preserve">Tudella Nimala Maria M. V.
</t>
  </si>
  <si>
    <t>Tudella, Ja-ela</t>
  </si>
  <si>
    <t>076-7458978</t>
  </si>
  <si>
    <t xml:space="preserve">D. G. Rasika  A. Perera </t>
  </si>
  <si>
    <t xml:space="preserve">No. 480, Colombo Road, Gampaha </t>
  </si>
  <si>
    <t xml:space="preserve">Udugampola R. C. P. V.
</t>
  </si>
  <si>
    <t>Udugampola, Gampaha</t>
  </si>
  <si>
    <t>011-2947145</t>
  </si>
  <si>
    <t xml:space="preserve"> D. D. N. Prasanna Saparamadu </t>
  </si>
  <si>
    <t>077-3474807</t>
  </si>
  <si>
    <t xml:space="preserve">No. 473, Kadalawala, Uswetakeyiyawa </t>
  </si>
  <si>
    <t xml:space="preserve">Uswetakeiyawa St. Mary's M. V. 
</t>
  </si>
  <si>
    <t>011-2911250</t>
  </si>
  <si>
    <t>stpaulsbalika@yahoo.com</t>
  </si>
  <si>
    <t xml:space="preserve"> Mary Siyeni </t>
  </si>
  <si>
    <t>071-8670914</t>
  </si>
  <si>
    <t xml:space="preserve">Apostolic Carmel Convent, Waragoda, Kelaniya </t>
  </si>
  <si>
    <t xml:space="preserve">Waragoda St. Paul's G. M. V. 
</t>
  </si>
  <si>
    <t>Waragoda, Kelaniya</t>
  </si>
  <si>
    <t>011-2281413 077-9616986</t>
  </si>
  <si>
    <t xml:space="preserve">minuwatinapaharcpschool@gmail.com </t>
  </si>
  <si>
    <t>01500</t>
  </si>
  <si>
    <t xml:space="preserve">M. Ajith P. Jayasinghe </t>
  </si>
  <si>
    <t>077-9616986</t>
  </si>
  <si>
    <t xml:space="preserve">No. 666, Bolanegama, Horampella </t>
  </si>
  <si>
    <t xml:space="preserve">Watinapaha R. C. P. V.
</t>
  </si>
  <si>
    <t>Watinapaha</t>
  </si>
  <si>
    <t>011-2937592</t>
  </si>
  <si>
    <t>stannepri00@gmail.com</t>
  </si>
  <si>
    <t xml:space="preserve">1 - 5 </t>
  </si>
  <si>
    <t xml:space="preserve">M. Damayanthi Wijerathna  </t>
  </si>
  <si>
    <t xml:space="preserve">Sacred Heart Convent, Church Road, Wattala </t>
  </si>
  <si>
    <t xml:space="preserve">Wattala St. Anne's G. P. V.
</t>
  </si>
  <si>
    <t>011-2930500</t>
  </si>
  <si>
    <t>011-2943681</t>
  </si>
  <si>
    <t>stannesbmv@gmail.com</t>
  </si>
  <si>
    <t>01002</t>
  </si>
  <si>
    <t>071-8022241 077-1671454</t>
  </si>
  <si>
    <t xml:space="preserve">No. 17, Dominican Convent, Wattala </t>
  </si>
  <si>
    <t>OP</t>
  </si>
  <si>
    <t xml:space="preserve">Wattala St. Anne's G. M. V. 
</t>
  </si>
  <si>
    <t>011-2943174</t>
  </si>
  <si>
    <t xml:space="preserve">A. J. R. Godwin </t>
  </si>
  <si>
    <t>070-2381172</t>
  </si>
  <si>
    <t xml:space="preserve">Wattala R. C. T.  M. V .
</t>
  </si>
  <si>
    <t>031-2279441</t>
  </si>
  <si>
    <t xml:space="preserve">Welihena R. C. T. V.
</t>
  </si>
  <si>
    <t>Welihena, Kochchikade</t>
  </si>
  <si>
    <t>011-2935365</t>
  </si>
  <si>
    <t>donboscowattala@gmail.com</t>
  </si>
  <si>
    <t xml:space="preserve"> G. D. M. Amith Kumara</t>
  </si>
  <si>
    <t xml:space="preserve">No. 34/63, Bandaranayaka Mawatha, Maththumagala, Ragama </t>
  </si>
  <si>
    <t xml:space="preserve">Palliyawatta Don Bosco V.
</t>
  </si>
  <si>
    <t>Palliyawatte, Hendala, Wattala</t>
  </si>
  <si>
    <t>011-2234400</t>
  </si>
  <si>
    <t>negzonal.je1574@gmail.com</t>
  </si>
  <si>
    <t>01574</t>
  </si>
  <si>
    <t xml:space="preserve">H. M. C. Kumari </t>
  </si>
  <si>
    <t>071-8337858</t>
  </si>
  <si>
    <t xml:space="preserve">No- 191/A 36, Ihala Yagoda, Gampaha </t>
  </si>
  <si>
    <t>011-2249997</t>
  </si>
  <si>
    <t xml:space="preserve">Wewala R. C. P. V. 
</t>
  </si>
  <si>
    <t>Wewala, Ja-ela</t>
  </si>
  <si>
    <t>011-2226614</t>
  </si>
  <si>
    <t>011-2299175</t>
  </si>
  <si>
    <t>myatiyanarckv@gmail.com</t>
  </si>
  <si>
    <t>01487</t>
  </si>
  <si>
    <t xml:space="preserve">P. Amith Jayawardena </t>
  </si>
  <si>
    <t>077-3655345</t>
  </si>
  <si>
    <t>No - 169/B, Heenatiyana, Minuwangoda</t>
  </si>
  <si>
    <t xml:space="preserve">Yakkaduwa P. V. 
</t>
  </si>
  <si>
    <t>Yakkaduwa, Ja-ela</t>
  </si>
  <si>
    <t xml:space="preserve">Batepola Roman Catholic Primary Vidyalaya 
</t>
  </si>
  <si>
    <t xml:space="preserve">Bolawalana Nimala Mariya  Maha Vidyalaya
</t>
  </si>
  <si>
    <t xml:space="preserve">Bopitiya, Pamunugama </t>
  </si>
  <si>
    <t xml:space="preserve">Borella  All Saints' Balika Maha Vidyalaya
</t>
  </si>
  <si>
    <t xml:space="preserve">Borella  Dr. Thaninayagam Tamil Primary Vidyalaya
</t>
  </si>
  <si>
    <t xml:space="preserve">Dalugama St. Francis Maha Vidyalaya
</t>
  </si>
  <si>
    <t xml:space="preserve">Gorakadeniya Primary Vidyalaya
</t>
  </si>
  <si>
    <t xml:space="preserve">Udathuththiripitiya </t>
  </si>
  <si>
    <t xml:space="preserve">Halawakanda Primary Vidyalaya
</t>
  </si>
  <si>
    <t>Halawakanda, Beruwela</t>
  </si>
  <si>
    <t xml:space="preserve">Hill Street  St. Mary's Vidyalaya
</t>
  </si>
  <si>
    <t xml:space="preserve">Kandana St. Sebastian's Boys Maha Vidyalaya 
</t>
  </si>
  <si>
    <t xml:space="preserve">Kandana St. Sebastian's Girls Primary Vidyalaya 
</t>
  </si>
  <si>
    <t xml:space="preserve">Kandana St. Sebastian's Girls Maha Vidyalaya 
</t>
  </si>
  <si>
    <t xml:space="preserve">Pilapitiya M. V.
</t>
  </si>
  <si>
    <t>Kirimatiyagara R. C. S. B. S.</t>
  </si>
  <si>
    <t xml:space="preserve">Kirimatyagara R. C. Boys Vidyalaya </t>
  </si>
  <si>
    <t>011-2928671</t>
  </si>
  <si>
    <t>kirimatiyagaracbkv@gmail.com</t>
  </si>
  <si>
    <t>071-1611729</t>
  </si>
  <si>
    <t>Kongodamulla, Katana</t>
  </si>
  <si>
    <t xml:space="preserve">Madampella Pahala Madampalla K. V. 
</t>
  </si>
  <si>
    <t>Makewita, Gampaha</t>
  </si>
  <si>
    <t xml:space="preserve">Mathugama St. Mary's M. V. 
</t>
  </si>
  <si>
    <t>Mathugama</t>
  </si>
  <si>
    <t xml:space="preserve">Miriswatta Henarathgoda Keppettipola M. V. 
</t>
  </si>
  <si>
    <t>Miriswatte, Gampaha</t>
  </si>
  <si>
    <t xml:space="preserve">Moragoda Wimaladarma K. V. 
</t>
  </si>
  <si>
    <t xml:space="preserve">Payagala North R. C. G. K. V. 
</t>
  </si>
  <si>
    <t xml:space="preserve">Veliweriya Madduma Bandara P. V. 
</t>
  </si>
  <si>
    <t xml:space="preserve">Nittambuwa St. Anthony's K. V. 
</t>
  </si>
  <si>
    <t xml:space="preserve">Welikada Dharmapala P. V.
</t>
  </si>
  <si>
    <t>Welikada, Makewita</t>
  </si>
  <si>
    <t xml:space="preserve">Wewala St. Xavier M. V. 
</t>
  </si>
  <si>
    <t xml:space="preserve">Yatiyana R. C. K. V. 
</t>
  </si>
  <si>
    <t xml:space="preserve">P. A. Shiromi </t>
  </si>
  <si>
    <t>071-9061491</t>
  </si>
  <si>
    <t>Grand Street</t>
  </si>
  <si>
    <t>Negombo  St Mary's College</t>
  </si>
  <si>
    <t xml:space="preserve">Negombo St. Mary's B. M. V. </t>
  </si>
  <si>
    <t xml:space="preserve">031-2226783 </t>
  </si>
  <si>
    <t>negzonal.ng1342@gmail.com</t>
  </si>
  <si>
    <t xml:space="preserve"> Sudath Hemantha </t>
  </si>
  <si>
    <t>071-8409535</t>
  </si>
  <si>
    <t>SLEAS III</t>
  </si>
  <si>
    <t>Given Over</t>
  </si>
  <si>
    <t xml:space="preserve">Main Street, Negombo                         </t>
  </si>
  <si>
    <t>Tudella Christ King College</t>
  </si>
  <si>
    <t>Tudella Christ King National College</t>
  </si>
  <si>
    <t>011-2233030</t>
  </si>
  <si>
    <t>B. K. Nihal Sebastian Rodrigo</t>
  </si>
  <si>
    <t>071-3418984</t>
  </si>
  <si>
    <t xml:space="preserve">Our Lady of Madhu Church, Suduwella, Ja-ela </t>
  </si>
  <si>
    <t>Wattala St. Anthony's College</t>
  </si>
  <si>
    <t>Wattala St. Anthony's  National  School</t>
  </si>
  <si>
    <t xml:space="preserve">Wattala </t>
  </si>
  <si>
    <t>011-2930344</t>
  </si>
  <si>
    <t xml:space="preserve">stanthonyscollegew@gmail.com </t>
  </si>
  <si>
    <t>Farida Sarojanie Weerasinghe</t>
  </si>
  <si>
    <t>071-8052885 011-2293199</t>
  </si>
  <si>
    <t xml:space="preserve">No. 114, Seeduwa Road, Kotugoda </t>
  </si>
  <si>
    <t xml:space="preserve">SLEAS II </t>
  </si>
  <si>
    <t>Kotte St. Thomas' College</t>
  </si>
  <si>
    <t xml:space="preserve">Kotte St. Thomas M. V. </t>
  </si>
  <si>
    <t>Kotte</t>
  </si>
  <si>
    <t>Sri Jayawardenapura</t>
  </si>
  <si>
    <t>011-2852083</t>
  </si>
  <si>
    <t>kottestcprincipal@gmail.com</t>
  </si>
  <si>
    <t xml:space="preserve">D. S. Nilantha Uduwaka </t>
  </si>
  <si>
    <t>071-3667766</t>
  </si>
  <si>
    <t xml:space="preserve">St. Thomas Churuch, Pita Kotte </t>
  </si>
  <si>
    <t>3                                 A/L 2</t>
  </si>
  <si>
    <t xml:space="preserve">Hanwella Don Bosco College </t>
  </si>
  <si>
    <t>Gurubawila</t>
  </si>
  <si>
    <t>Kaluaggala</t>
  </si>
  <si>
    <t>Seethawaka</t>
  </si>
  <si>
    <t>Hanwella St. John Bosco M. V.</t>
  </si>
  <si>
    <t>Kaluaggala, Hanwella</t>
  </si>
  <si>
    <t>036-2255247</t>
  </si>
  <si>
    <t xml:space="preserve">zonho.divis.boscomv@gmail.com </t>
  </si>
  <si>
    <t xml:space="preserve"> W. A. D. Ajantha Chanaka</t>
  </si>
  <si>
    <t>071-7011039</t>
  </si>
  <si>
    <t xml:space="preserve"> 'Kedella', Egodawatta, Beruwala </t>
  </si>
  <si>
    <t xml:space="preserve">W. Rupa Rohini Silva  </t>
  </si>
  <si>
    <t xml:space="preserve">No. 160/1, Hekkitta Road, Wattala </t>
  </si>
  <si>
    <t>01387</t>
  </si>
  <si>
    <t>071-1493166                            071-9164780</t>
  </si>
  <si>
    <t>√   11/09</t>
  </si>
  <si>
    <t xml:space="preserve">011-2854172 </t>
  </si>
  <si>
    <t>011-2854192</t>
  </si>
  <si>
    <t xml:space="preserve">sjgsnugegoda@gmail.com </t>
  </si>
  <si>
    <t>00099</t>
  </si>
  <si>
    <t xml:space="preserve"> I AB</t>
  </si>
  <si>
    <t>00061</t>
  </si>
  <si>
    <t>01418</t>
  </si>
  <si>
    <t>01005</t>
  </si>
  <si>
    <t xml:space="preserve">negzonal1545@gmail.com </t>
  </si>
  <si>
    <t>01545</t>
  </si>
  <si>
    <t>01350</t>
  </si>
  <si>
    <t>01459</t>
  </si>
  <si>
    <t>01302</t>
  </si>
  <si>
    <t>031-2280332</t>
  </si>
  <si>
    <t>01346</t>
  </si>
  <si>
    <t>071-0447040</t>
  </si>
  <si>
    <t xml:space="preserve">No- 105, St. Jude Mawatha, 4th Kurana, Negombo </t>
  </si>
  <si>
    <t xml:space="preserve"> 031-2222594</t>
  </si>
  <si>
    <t>01342</t>
  </si>
  <si>
    <t xml:space="preserve">P. Jeewani Samanthi Fernando </t>
  </si>
  <si>
    <t xml:space="preserve">No- 236, Pathum Piyasa 3, Kotugoda,                    Ja-ela </t>
  </si>
  <si>
    <t xml:space="preserve">negzonal.je1573@gmail.com </t>
  </si>
  <si>
    <t>01573</t>
  </si>
  <si>
    <t xml:space="preserve">pahalamadampellakv1900@gmail.com </t>
  </si>
  <si>
    <t>01473</t>
  </si>
  <si>
    <t>1413</t>
  </si>
  <si>
    <t>011-2932438</t>
  </si>
  <si>
    <t>01101</t>
  </si>
  <si>
    <t>5/4</t>
  </si>
  <si>
    <t>01321</t>
  </si>
  <si>
    <t>01377</t>
  </si>
  <si>
    <t xml:space="preserve">Mutwal De La Salle Boys M. V.                                                                                            (Primary shifted to Lunupokuna St. Andrew's)
</t>
  </si>
  <si>
    <t xml:space="preserve"> Lunupokuna</t>
  </si>
  <si>
    <t>Colombo North</t>
  </si>
  <si>
    <t>011-2521342</t>
  </si>
  <si>
    <t>033-2225878</t>
  </si>
  <si>
    <t xml:space="preserve">W. V. Shanthi De Alwis </t>
  </si>
  <si>
    <t>Nittambuwa R. C. K. V.</t>
  </si>
  <si>
    <t xml:space="preserve">Nittambuwa                                        </t>
  </si>
  <si>
    <t>033-2204821</t>
  </si>
  <si>
    <t xml:space="preserve">atrckv@gmail.com </t>
  </si>
  <si>
    <t xml:space="preserve">Priyani Wijesinghe </t>
  </si>
  <si>
    <t>071-8052534</t>
  </si>
  <si>
    <t>No- 7/2, Udammita, Veyangoda</t>
  </si>
  <si>
    <t>29-02-2023</t>
  </si>
  <si>
    <t>033-2257864</t>
  </si>
  <si>
    <t>033-2287512</t>
  </si>
  <si>
    <t xml:space="preserve">B. D. I. K. Karunarathna  </t>
  </si>
  <si>
    <t xml:space="preserve">Welihena S. M. K. V. </t>
  </si>
  <si>
    <t xml:space="preserve">Kochchikade   </t>
  </si>
  <si>
    <t xml:space="preserve">Katana </t>
  </si>
  <si>
    <t>031-2275800</t>
  </si>
  <si>
    <r>
      <t xml:space="preserve">077-8983758  </t>
    </r>
    <r>
      <rPr>
        <sz val="11"/>
        <color rgb="FFFF0000"/>
        <rFont val="Cambria"/>
        <family val="1"/>
        <scheme val="major"/>
      </rPr>
      <t>071-3661268</t>
    </r>
  </si>
  <si>
    <t xml:space="preserve">No. 336/10, Newcity Watta, Welihena, Thibirigaskatuwa </t>
  </si>
  <si>
    <t xml:space="preserve"> J. D. H. Devika  Jayakody </t>
  </si>
  <si>
    <t>071-4404765</t>
  </si>
  <si>
    <t xml:space="preserve">SLTS I </t>
  </si>
  <si>
    <t xml:space="preserve">E. A. D. J. N. Shamali </t>
  </si>
  <si>
    <t xml:space="preserve">No. 09, St. Mary's Road, Nayakakanda </t>
  </si>
  <si>
    <t xml:space="preserve">B. Kanthi S. Perera </t>
  </si>
  <si>
    <t>071-5579295</t>
  </si>
  <si>
    <t>No. 54/1/4, Kaluwelgoda, Makevita</t>
  </si>
  <si>
    <t>071-3295076</t>
  </si>
  <si>
    <t>S. D. K. Malkanthi</t>
  </si>
  <si>
    <t>Sajini Silva</t>
  </si>
  <si>
    <t>No. 105/17, Podikubura, Ragama</t>
  </si>
  <si>
    <t>071-1998683</t>
  </si>
  <si>
    <t>SLEAS</t>
  </si>
  <si>
    <t xml:space="preserve">Kotahena St. Lucia's V. 
</t>
  </si>
  <si>
    <t>REF. NO</t>
  </si>
  <si>
    <t>VEST NO</t>
  </si>
  <si>
    <t>Gazette</t>
  </si>
  <si>
    <t>NO</t>
  </si>
  <si>
    <t>DATE</t>
  </si>
  <si>
    <t>MEDIUM</t>
  </si>
  <si>
    <t xml:space="preserve">TOTAL STUDENTS </t>
  </si>
  <si>
    <t>CATHOLIC STUDENTS</t>
  </si>
  <si>
    <t>CATHO.  %</t>
  </si>
  <si>
    <t>78    79</t>
  </si>
  <si>
    <t>115  116</t>
  </si>
  <si>
    <t>128   129</t>
  </si>
  <si>
    <t xml:space="preserve">131   132 </t>
  </si>
  <si>
    <t>134   135</t>
  </si>
  <si>
    <t>154  155</t>
  </si>
  <si>
    <t>157  158</t>
  </si>
  <si>
    <t>161   162</t>
  </si>
  <si>
    <t>176   177    178</t>
  </si>
  <si>
    <t xml:space="preserve">179   180 </t>
  </si>
  <si>
    <t>184    185</t>
  </si>
  <si>
    <t xml:space="preserve">206   207    208  </t>
  </si>
  <si>
    <t>211   212</t>
  </si>
  <si>
    <t>213    214</t>
  </si>
  <si>
    <t xml:space="preserve">216    217   </t>
  </si>
  <si>
    <t>228    229</t>
  </si>
  <si>
    <t xml:space="preserve">233   234 </t>
  </si>
  <si>
    <t>KA 1</t>
  </si>
  <si>
    <t>CA 1</t>
  </si>
  <si>
    <t>GA 1</t>
  </si>
  <si>
    <t>GA 2                 GA 3</t>
  </si>
  <si>
    <t>673                2493</t>
  </si>
  <si>
    <t>GA 4                        GA 5</t>
  </si>
  <si>
    <t>1115     2136</t>
  </si>
  <si>
    <t>CA 3</t>
  </si>
  <si>
    <t>CB 1</t>
  </si>
  <si>
    <t>GB 1               GB 2</t>
  </si>
  <si>
    <t>1409      1583</t>
  </si>
  <si>
    <t>GB 3</t>
  </si>
  <si>
    <t>GB 4</t>
  </si>
  <si>
    <t>GB 5</t>
  </si>
  <si>
    <t>GB 6</t>
  </si>
  <si>
    <t>GB 7</t>
  </si>
  <si>
    <t>GB 8                    GB 9</t>
  </si>
  <si>
    <t>547         2180</t>
  </si>
  <si>
    <t>KB 2                          KB 3</t>
  </si>
  <si>
    <t>543          1574</t>
  </si>
  <si>
    <t>GB 11           GB 12              GB 13          GB 14</t>
  </si>
  <si>
    <t xml:space="preserve">1252           2304                     2303                   2305    </t>
  </si>
  <si>
    <t>GB 15                 GB 16</t>
  </si>
  <si>
    <t>768                             1116</t>
  </si>
  <si>
    <t>CB 2</t>
  </si>
  <si>
    <t>CB 3</t>
  </si>
  <si>
    <t>GB 17              GB 18</t>
  </si>
  <si>
    <t>548                  2494</t>
  </si>
  <si>
    <t>GD 1</t>
  </si>
  <si>
    <t>GD 4            GD 5</t>
  </si>
  <si>
    <t>2513             1222</t>
  </si>
  <si>
    <t>GD 2                 GD 3</t>
  </si>
  <si>
    <t>1410                 639</t>
  </si>
  <si>
    <t>CD 1</t>
  </si>
  <si>
    <t>CD 2</t>
  </si>
  <si>
    <t>CD 3</t>
  </si>
  <si>
    <t>GD 6                     GD 7</t>
  </si>
  <si>
    <t>1156        2232</t>
  </si>
  <si>
    <t>GD 8                   GD 9</t>
  </si>
  <si>
    <t>1647                       1915</t>
  </si>
  <si>
    <t>CD 5</t>
  </si>
  <si>
    <t>CD 4</t>
  </si>
  <si>
    <t>GD 11</t>
  </si>
  <si>
    <t>GD 13</t>
  </si>
  <si>
    <t>KD 1</t>
  </si>
  <si>
    <t>KD 2              KD 3</t>
  </si>
  <si>
    <t>780               1575</t>
  </si>
  <si>
    <t>GD 14</t>
  </si>
  <si>
    <t>GD 15             GD 16</t>
  </si>
  <si>
    <t>2370                       1412</t>
  </si>
  <si>
    <t>GD 17</t>
  </si>
  <si>
    <t>GE 2</t>
  </si>
  <si>
    <t>GE 3</t>
  </si>
  <si>
    <t>GE 4</t>
  </si>
  <si>
    <t>CG 1</t>
  </si>
  <si>
    <t>GG 1</t>
  </si>
  <si>
    <t>GG 3</t>
  </si>
  <si>
    <t>GG 4</t>
  </si>
  <si>
    <t>KH 1</t>
  </si>
  <si>
    <t>GH 2</t>
  </si>
  <si>
    <t>CH 1</t>
  </si>
  <si>
    <t>CH 3</t>
  </si>
  <si>
    <t>GH 3</t>
  </si>
  <si>
    <t>CH 4</t>
  </si>
  <si>
    <t>GJ 1</t>
  </si>
  <si>
    <t>GK 1</t>
  </si>
  <si>
    <t>CK 1           CK 2</t>
  </si>
  <si>
    <t>2026             2102</t>
  </si>
  <si>
    <t>GK 2</t>
  </si>
  <si>
    <t>GK 3</t>
  </si>
  <si>
    <t>KK 1          KK 2</t>
  </si>
  <si>
    <t>1449           1450</t>
  </si>
  <si>
    <t>GK 4            GK 5</t>
  </si>
  <si>
    <t>549         1584</t>
  </si>
  <si>
    <t>GK 6</t>
  </si>
  <si>
    <t>GK 8</t>
  </si>
  <si>
    <t>GK 9</t>
  </si>
  <si>
    <t>GK 7</t>
  </si>
  <si>
    <t>GK 10       GK 11</t>
  </si>
  <si>
    <t>641         2432</t>
  </si>
  <si>
    <t>GK 12</t>
  </si>
  <si>
    <t>GK 13</t>
  </si>
  <si>
    <t>CK 4</t>
  </si>
  <si>
    <t>KK 4             KK 5</t>
  </si>
  <si>
    <t>1339      1451</t>
  </si>
  <si>
    <t>GK 14         GK 15</t>
  </si>
  <si>
    <t>1253            766</t>
  </si>
  <si>
    <t>GK 16</t>
  </si>
  <si>
    <t>GK 17</t>
  </si>
  <si>
    <t>GK 18          GK 19</t>
  </si>
  <si>
    <t>507         1343</t>
  </si>
  <si>
    <t>GK 20</t>
  </si>
  <si>
    <t>GK 21            GK 22</t>
  </si>
  <si>
    <t>1413       2258</t>
  </si>
  <si>
    <t>GK 23</t>
  </si>
  <si>
    <t>GK 24</t>
  </si>
  <si>
    <t>GK 25</t>
  </si>
  <si>
    <t>CK 6</t>
  </si>
  <si>
    <t>CK 7</t>
  </si>
  <si>
    <t>GK 26</t>
  </si>
  <si>
    <t>GK 27            GK 28</t>
  </si>
  <si>
    <t>2181               642</t>
  </si>
  <si>
    <t>CK 8</t>
  </si>
  <si>
    <t>CK 10</t>
  </si>
  <si>
    <t>CK 9</t>
  </si>
  <si>
    <t>CK 11</t>
  </si>
  <si>
    <t>CK 12</t>
  </si>
  <si>
    <t>GK 30</t>
  </si>
  <si>
    <t>CK 13</t>
  </si>
  <si>
    <t>GK 31</t>
  </si>
  <si>
    <t>GK 33</t>
  </si>
  <si>
    <t>GK 32</t>
  </si>
  <si>
    <t>125   126</t>
  </si>
  <si>
    <t>GM 1</t>
  </si>
  <si>
    <t>CM 1</t>
  </si>
  <si>
    <t>GM 2          GM 3</t>
  </si>
  <si>
    <t>166           2209</t>
  </si>
  <si>
    <t>KM 1               KM 2</t>
  </si>
  <si>
    <t>1577      1578</t>
  </si>
  <si>
    <t>KM 4</t>
  </si>
  <si>
    <t>GM 4</t>
  </si>
  <si>
    <t>GM 5</t>
  </si>
  <si>
    <t>GM 6</t>
  </si>
  <si>
    <t>KM 5</t>
  </si>
  <si>
    <t>CM 3</t>
  </si>
  <si>
    <t>GM 7</t>
  </si>
  <si>
    <t>GM 8</t>
  </si>
  <si>
    <t>GM 9</t>
  </si>
  <si>
    <t>CM 6</t>
  </si>
  <si>
    <t>GM 10</t>
  </si>
  <si>
    <t>GM 11</t>
  </si>
  <si>
    <t>GM 12</t>
  </si>
  <si>
    <t>CM 9</t>
  </si>
  <si>
    <t>CM 10</t>
  </si>
  <si>
    <t>CM 8</t>
  </si>
  <si>
    <t>CM 7</t>
  </si>
  <si>
    <t>GN 1            GN 2</t>
  </si>
  <si>
    <t>196          1917</t>
  </si>
  <si>
    <t>GN 3</t>
  </si>
  <si>
    <t>GN 7                             GN 5</t>
  </si>
  <si>
    <t>2097       2294</t>
  </si>
  <si>
    <t>GN 4</t>
  </si>
  <si>
    <t>GN 6</t>
  </si>
  <si>
    <t>GN 9           GN 10</t>
  </si>
  <si>
    <t>2442             1425</t>
  </si>
  <si>
    <t>GN 11</t>
  </si>
  <si>
    <t>GN 8</t>
  </si>
  <si>
    <t>GN 11A</t>
  </si>
  <si>
    <t>CN 1</t>
  </si>
  <si>
    <t>GN 13</t>
  </si>
  <si>
    <t>KP 1</t>
  </si>
  <si>
    <t>CN 2</t>
  </si>
  <si>
    <t>CP 1</t>
  </si>
  <si>
    <t>KP 2</t>
  </si>
  <si>
    <t>GP 1</t>
  </si>
  <si>
    <t>GP 2</t>
  </si>
  <si>
    <t>GP 3</t>
  </si>
  <si>
    <t>GP 4</t>
  </si>
  <si>
    <t>GP 7                GP 5                     GP 6</t>
  </si>
  <si>
    <t>770        1149                    1529</t>
  </si>
  <si>
    <t>KP 3</t>
  </si>
  <si>
    <t>KP 4</t>
  </si>
  <si>
    <t>GP 9</t>
  </si>
  <si>
    <t>GP 10</t>
  </si>
  <si>
    <t>GP 11           GP 12</t>
  </si>
  <si>
    <t>1414      1415</t>
  </si>
  <si>
    <t>CP 2</t>
  </si>
  <si>
    <t>CR 3</t>
  </si>
  <si>
    <t>GR 1</t>
  </si>
  <si>
    <t>GR 2</t>
  </si>
  <si>
    <t>CR 1</t>
  </si>
  <si>
    <t>CR 2</t>
  </si>
  <si>
    <t>KS 1</t>
  </si>
  <si>
    <t xml:space="preserve">GS 1 </t>
  </si>
  <si>
    <t>GS 4</t>
  </si>
  <si>
    <t>GS 5</t>
  </si>
  <si>
    <t>CS 2</t>
  </si>
  <si>
    <t>CS 3</t>
  </si>
  <si>
    <t>GT 2</t>
  </si>
  <si>
    <t>GT 1</t>
  </si>
  <si>
    <t>GT 3</t>
  </si>
  <si>
    <t>GT 4</t>
  </si>
  <si>
    <t>GT 5            GT 6</t>
  </si>
  <si>
    <t>1950      2577</t>
  </si>
  <si>
    <t>GT  7                 GT 9                     GT 8</t>
  </si>
  <si>
    <t>1118          772        1246</t>
  </si>
  <si>
    <t>GT  10</t>
  </si>
  <si>
    <t>GU 3</t>
  </si>
  <si>
    <t>GU 4               GU 5</t>
  </si>
  <si>
    <t>1561                             1562</t>
  </si>
  <si>
    <t>GV 1          GV 2</t>
  </si>
  <si>
    <t>1227        1228</t>
  </si>
  <si>
    <t>GV 3</t>
  </si>
  <si>
    <t>KW 1                  KW 2</t>
  </si>
  <si>
    <t>1291        1292</t>
  </si>
  <si>
    <t>GW 1</t>
  </si>
  <si>
    <t>GW 2</t>
  </si>
  <si>
    <t>GW 4</t>
  </si>
  <si>
    <t>GW 5</t>
  </si>
  <si>
    <t>GW 6</t>
  </si>
  <si>
    <t>GW 6A</t>
  </si>
  <si>
    <t>GW 7</t>
  </si>
  <si>
    <t>GW 8</t>
  </si>
  <si>
    <t>CW 1</t>
  </si>
  <si>
    <t>CW 2</t>
  </si>
  <si>
    <t>GW 9</t>
  </si>
  <si>
    <t>GW 10     GW 11</t>
  </si>
  <si>
    <t>2506            1563</t>
  </si>
  <si>
    <t>GY 1</t>
  </si>
  <si>
    <t>GY 2                  GY 3</t>
  </si>
  <si>
    <t>2456     2456A</t>
  </si>
  <si>
    <t xml:space="preserve">Jayanthi Mala Wijeweera </t>
  </si>
  <si>
    <t>071-4447001</t>
  </si>
  <si>
    <t>2023 Statistics - Posted</t>
  </si>
  <si>
    <t xml:space="preserve">2023 Statistics - Sent to Office </t>
  </si>
  <si>
    <t>09/01</t>
  </si>
  <si>
    <r>
      <rPr>
        <sz val="11"/>
        <color rgb="FFFF0000"/>
        <rFont val="Cambria"/>
        <family val="1"/>
        <scheme val="major"/>
      </rPr>
      <t>071-7381549</t>
    </r>
    <r>
      <rPr>
        <sz val="11"/>
        <color theme="1"/>
        <rFont val="Cambria"/>
        <family val="1"/>
        <scheme val="major"/>
      </rPr>
      <t xml:space="preserve"> 076-6964593</t>
    </r>
  </si>
  <si>
    <t xml:space="preserve">W. Sachi Fernando </t>
  </si>
  <si>
    <t>071-6193278</t>
  </si>
  <si>
    <t xml:space="preserve">Pamal Wijegunawardena </t>
  </si>
  <si>
    <t>071-8022008</t>
  </si>
  <si>
    <t xml:space="preserve">No. 196/4, Kurukulawa, Ragama </t>
  </si>
  <si>
    <t>11/07</t>
  </si>
  <si>
    <t>TOTAL NO</t>
  </si>
  <si>
    <t>NAME OF SCHOOL AT PRESENT</t>
  </si>
  <si>
    <t>DEANERY</t>
  </si>
  <si>
    <t>DISTRICT</t>
  </si>
  <si>
    <t>EDUCATION         ZONE</t>
  </si>
  <si>
    <t>EDUCATION             DIVISION</t>
  </si>
  <si>
    <t>SCHOOL ADDRESS</t>
  </si>
  <si>
    <t>TELEPHONE NO.</t>
  </si>
  <si>
    <t>FAX NO.</t>
  </si>
  <si>
    <t xml:space="preserve">E-MAIL  ADDRESS </t>
  </si>
  <si>
    <t>GRADE OF THE SCHOOL</t>
  </si>
  <si>
    <t>BOYS GIRLS OR MIXED</t>
  </si>
  <si>
    <t xml:space="preserve">CLASSESS UP TO </t>
  </si>
  <si>
    <t xml:space="preserve">OTHER DERTAILS </t>
  </si>
  <si>
    <t>PARISH</t>
  </si>
  <si>
    <t>DESIGNATION</t>
  </si>
  <si>
    <t>TITLE</t>
  </si>
  <si>
    <t xml:space="preserve">  NAME  </t>
  </si>
  <si>
    <t xml:space="preserve">PHONE NUMBER </t>
  </si>
  <si>
    <t>PERSONAL ADDRESS</t>
  </si>
  <si>
    <t xml:space="preserve">GRADE </t>
  </si>
  <si>
    <t>RELIGION OR CONGRIGATION</t>
  </si>
  <si>
    <t>Halpe Pope Paul VI  M. V.</t>
  </si>
  <si>
    <t xml:space="preserve">Divulapitiya </t>
  </si>
  <si>
    <t xml:space="preserve">Halpe, Katana </t>
  </si>
  <si>
    <t>031-2240843</t>
  </si>
  <si>
    <t>popep.6thm.v@gmail.com</t>
  </si>
  <si>
    <t xml:space="preserve">D. Anton Arunodha Perera </t>
  </si>
  <si>
    <t>071-8202175</t>
  </si>
  <si>
    <t>011-2241736</t>
  </si>
  <si>
    <t>chandikagovinna@gmailcom</t>
  </si>
  <si>
    <t>Hekitta Christ King College</t>
  </si>
  <si>
    <t xml:space="preserve">Hekitta </t>
  </si>
  <si>
    <t xml:space="preserve"> W. D. B. I. Janaka </t>
  </si>
  <si>
    <t xml:space="preserve">No. 249/6, St. Sebastian Mawatha, Kurukulawa, Ragama </t>
  </si>
  <si>
    <t>Acting Principal Since 2009</t>
  </si>
  <si>
    <t>09/20</t>
  </si>
  <si>
    <t>10/02</t>
  </si>
  <si>
    <t>Remined Nov. 17</t>
  </si>
  <si>
    <t>Reminded on Nov. 17</t>
  </si>
  <si>
    <t>09/01 , 11/17</t>
  </si>
  <si>
    <t>11/22</t>
  </si>
  <si>
    <t>09/07</t>
  </si>
  <si>
    <t>Nov. - 22</t>
  </si>
  <si>
    <t>Nov. - 14</t>
  </si>
  <si>
    <t>Nov. - 16</t>
  </si>
  <si>
    <t>Nov. - 24</t>
  </si>
  <si>
    <t>Nov. - 20</t>
  </si>
  <si>
    <t xml:space="preserve">Nov. 14 </t>
  </si>
  <si>
    <t>Nov. - 27</t>
  </si>
  <si>
    <t>Nov. - 15</t>
  </si>
  <si>
    <t>Nov. -22</t>
  </si>
  <si>
    <t>Nov. -28</t>
  </si>
  <si>
    <t>Sep. 12</t>
  </si>
  <si>
    <t>Nov. 06</t>
  </si>
  <si>
    <t>Nov. -06</t>
  </si>
  <si>
    <t>Nov. - 06</t>
  </si>
  <si>
    <t>Nov. 28</t>
  </si>
  <si>
    <t>Dec. 04</t>
  </si>
  <si>
    <t>Dec. 11</t>
  </si>
  <si>
    <t>Dec. 06</t>
  </si>
  <si>
    <t>Dec.  06</t>
  </si>
  <si>
    <t>Dec. 07</t>
  </si>
  <si>
    <t>Dec. 10</t>
  </si>
  <si>
    <t>Dec. 12</t>
  </si>
  <si>
    <t xml:space="preserve">No. 20/A, Wijaya Road, Tudella, Ja-ela </t>
  </si>
  <si>
    <t>Dec. 18</t>
  </si>
  <si>
    <t>Dec. 15</t>
  </si>
  <si>
    <t>Grace Piris Mawatha, Panadura</t>
  </si>
  <si>
    <t>Dikowita, Hendala, Wattala</t>
  </si>
  <si>
    <t>Dec. 20</t>
  </si>
  <si>
    <t>Dec. 19</t>
  </si>
  <si>
    <t>Dec. 24</t>
  </si>
  <si>
    <t>Dec. 22</t>
  </si>
  <si>
    <t xml:space="preserve"> H. D. Surangi </t>
  </si>
  <si>
    <t>077-8699372              071-2319046</t>
  </si>
  <si>
    <t>2024 Jan. 02</t>
  </si>
  <si>
    <t xml:space="preserve">No. 127 C, Kudahakapola North, Ja-ela </t>
  </si>
  <si>
    <t>CENSUS NO.</t>
  </si>
  <si>
    <t>01455</t>
  </si>
  <si>
    <t xml:space="preserve">St. Benedict's Church, Godigamuwa, Badalgama </t>
  </si>
  <si>
    <t xml:space="preserve">D. Ruwan Chobitha Perera </t>
  </si>
  <si>
    <t>077-4309892</t>
  </si>
  <si>
    <t xml:space="preserve">No. 43, Halanduruwa, Ragama </t>
  </si>
  <si>
    <t xml:space="preserve">Hekitta , Wattala </t>
  </si>
  <si>
    <t>011-2939736</t>
  </si>
  <si>
    <t xml:space="preserve">            wpkekristhurajas</t>
  </si>
  <si>
    <t>K. R. Ranjith Perera</t>
  </si>
  <si>
    <t>16/03/2022</t>
  </si>
  <si>
    <t xml:space="preserve">Hunumulla Maha Vidyalaya </t>
  </si>
  <si>
    <t xml:space="preserve">Hunumulla </t>
  </si>
  <si>
    <t>031-2248718</t>
  </si>
  <si>
    <t xml:space="preserve">W. G. Chandrakanthi Senevirathna </t>
  </si>
  <si>
    <t>071-3213033</t>
  </si>
  <si>
    <t>Jan . 04</t>
  </si>
  <si>
    <t>negzonal.je1561@gmail.com</t>
  </si>
  <si>
    <t>01561</t>
  </si>
  <si>
    <t xml:space="preserve"> C. Chrishmali V. Silva </t>
  </si>
  <si>
    <t>Jan. 08</t>
  </si>
  <si>
    <t>No</t>
  </si>
  <si>
    <t>02037</t>
  </si>
  <si>
    <t>070-7506047</t>
  </si>
  <si>
    <t xml:space="preserve">No- 110A, Walaw Watta Road, Hospital Junction, Nagoda, Kalutara </t>
  </si>
  <si>
    <t>Keselwatta, Panadura</t>
  </si>
  <si>
    <t>St. Philipneris Road, Katukurunda, Kalutara</t>
  </si>
  <si>
    <t>034-2239350</t>
  </si>
  <si>
    <t>katukurundarcc@gmail.com</t>
  </si>
  <si>
    <t>00325</t>
  </si>
  <si>
    <t>071-8013822</t>
  </si>
  <si>
    <t xml:space="preserve">No- 37/37, Ingiriya Road, Padukka </t>
  </si>
  <si>
    <t>4</t>
  </si>
  <si>
    <t xml:space="preserve">Teacher R. C.                                           SLTS III - Ms. W. P. Sajeewani 071-4356088 </t>
  </si>
  <si>
    <t>Athapattu Mawatha, Dehiwela</t>
  </si>
  <si>
    <t>00100</t>
  </si>
  <si>
    <t>077-3906968                                      070-2820779</t>
  </si>
  <si>
    <t>st.marys@yahoo.com</t>
  </si>
  <si>
    <t>01013</t>
  </si>
  <si>
    <t>1</t>
  </si>
  <si>
    <t>dmtaralasirikurusakv@gmail.com</t>
  </si>
  <si>
    <t>01253</t>
  </si>
  <si>
    <t>071-8971854</t>
  </si>
  <si>
    <t>No. 1038/7, School Matha,  Baddegama, Kiridiwela</t>
  </si>
  <si>
    <t>Silversmith Lane, Colombo 12</t>
  </si>
  <si>
    <t>roshaniraban8@gmail.com</t>
  </si>
  <si>
    <t>00043</t>
  </si>
  <si>
    <t xml:space="preserve">G. R. Prina Rabani </t>
  </si>
  <si>
    <t>077-9238896</t>
  </si>
  <si>
    <t xml:space="preserve">No. 195/8A, Kasagaha watta, Kotugoda </t>
  </si>
  <si>
    <t>2</t>
  </si>
  <si>
    <t xml:space="preserve">S. Vadivel </t>
  </si>
  <si>
    <t>077-7239742</t>
  </si>
  <si>
    <t>Teacher - R. C.                                      SLTS III Mr. Gayan Fernando 077-9109951</t>
  </si>
  <si>
    <t>3</t>
  </si>
  <si>
    <t xml:space="preserve">W. Kanthi B. Perera </t>
  </si>
  <si>
    <t>033-2232186   071-4049933</t>
  </si>
  <si>
    <t>gmgajabakv@gmail.com</t>
  </si>
  <si>
    <t>01168</t>
  </si>
  <si>
    <t>N. A. A. R. Nilanga</t>
  </si>
  <si>
    <t>071-4049933</t>
  </si>
  <si>
    <t xml:space="preserve">No. 194/1, Koskadawala,Yakkala </t>
  </si>
  <si>
    <t>00012</t>
  </si>
  <si>
    <t>No. 66, Suwarna Chayittaya Road, Grandpass, Colombo 14</t>
  </si>
  <si>
    <t>Vidyala Mawatha, Moratuwa</t>
  </si>
  <si>
    <t>011-2659964 075-4748130</t>
  </si>
  <si>
    <t>finellamendis@gmail.com</t>
  </si>
  <si>
    <t>stanthonysbps@gmail.com</t>
  </si>
  <si>
    <t>Wasala Road, Kotahena, Colombo 13</t>
  </si>
  <si>
    <t>00224</t>
  </si>
  <si>
    <t>katukurunda.smc@yahoo.com</t>
  </si>
  <si>
    <t>Nayakakanda, Hendala, Wattala</t>
  </si>
  <si>
    <t>Mahawatta Road, Colombo 14</t>
  </si>
  <si>
    <t>srshanthana@gmail.com    stanthonystmvcol14@gmail.com</t>
  </si>
  <si>
    <t>√   11/13</t>
  </si>
  <si>
    <t>No. 261/1,  Muthu Wella Mawatha, Mutwal</t>
  </si>
  <si>
    <t>071-3838333 071-1439437</t>
  </si>
  <si>
    <t>00019</t>
  </si>
  <si>
    <r>
      <t>071-1439437</t>
    </r>
    <r>
      <rPr>
        <sz val="11"/>
        <color rgb="FFFF0000"/>
        <rFont val="Cambria"/>
        <family val="1"/>
        <scheme val="major"/>
      </rPr>
      <t xml:space="preserve"> </t>
    </r>
    <r>
      <rPr>
        <sz val="11"/>
        <color theme="1"/>
        <rFont val="Cambria"/>
        <family val="1"/>
        <scheme val="major"/>
      </rPr>
      <t>071-3838333</t>
    </r>
  </si>
  <si>
    <t xml:space="preserve">Vinsant Joseph Mawatha, Wattala </t>
  </si>
  <si>
    <t>01001</t>
  </si>
  <si>
    <t>Farida Sarojanie Wijesinghe</t>
  </si>
  <si>
    <t>St. Anthony's Mawatha, Colombo 03</t>
  </si>
  <si>
    <t xml:space="preserve">A. C. </t>
  </si>
  <si>
    <t>22. Sep</t>
  </si>
  <si>
    <t>allsaintsbalika@gmail.com</t>
  </si>
  <si>
    <t xml:space="preserve">Mary Sajeevanie </t>
  </si>
  <si>
    <t>Carmel Convent, No-88, Ananda Rajakaruna Mawatha, Colombo 10</t>
  </si>
  <si>
    <t xml:space="preserve">No-100, Galle Road, Dehiwela </t>
  </si>
  <si>
    <t xml:space="preserve">hfcdehiwela@gmail.com </t>
  </si>
  <si>
    <t xml:space="preserve">Holy Family Convent, Dehiwala </t>
  </si>
  <si>
    <t>H. F.</t>
  </si>
  <si>
    <t xml:space="preserve">1-5=2                     6-13=3                            </t>
  </si>
  <si>
    <t>No-58, Lauries Place, Bambalapitiya, Colombo 04</t>
  </si>
  <si>
    <t>00239</t>
  </si>
  <si>
    <t>Church Road, Wattala</t>
  </si>
  <si>
    <t>01595</t>
  </si>
  <si>
    <t>077-5297913 071-4924022</t>
  </si>
  <si>
    <t xml:space="preserve">andimullaps1@gmail.com </t>
  </si>
  <si>
    <t>00286</t>
  </si>
  <si>
    <t xml:space="preserve"> 'Kedella', St. Anne's Mawatha, Beruwala </t>
  </si>
  <si>
    <t>01016</t>
  </si>
  <si>
    <t>02010</t>
  </si>
  <si>
    <t xml:space="preserve">G. K. Yamuna Nayanakanthi Perera </t>
  </si>
  <si>
    <t>071-8414509</t>
  </si>
  <si>
    <t xml:space="preserve">No - 108, Sumana Giri, Thanthirimulla, Panadura </t>
  </si>
  <si>
    <t>Nov. - 22 / 2024. Feb.06</t>
  </si>
  <si>
    <t>Other List PERCENTAGES</t>
  </si>
  <si>
    <t>15.12.1961</t>
  </si>
  <si>
    <t>15.08.1962</t>
  </si>
  <si>
    <t>Bishop Oswal Gomis  PERCENTAGES</t>
  </si>
  <si>
    <t>14.05.1962</t>
  </si>
  <si>
    <t>15.01.1962   06.04.1963</t>
  </si>
  <si>
    <t>12,879  13,594</t>
  </si>
  <si>
    <t>88                   139</t>
  </si>
  <si>
    <t>73                               77</t>
  </si>
  <si>
    <t>82.95          55.39</t>
  </si>
  <si>
    <t>106                      148</t>
  </si>
  <si>
    <t>85                                       72</t>
  </si>
  <si>
    <t>80.18                          48.64</t>
  </si>
  <si>
    <t>91.94       93.35</t>
  </si>
  <si>
    <t>308                        281</t>
  </si>
  <si>
    <t>335                         301</t>
  </si>
  <si>
    <t xml:space="preserve">342                         370 </t>
  </si>
  <si>
    <t>309                                   348</t>
  </si>
  <si>
    <t>90.35                         94.05</t>
  </si>
  <si>
    <t xml:space="preserve">W. P. Ranjani </t>
  </si>
  <si>
    <t>070 - 2409536</t>
  </si>
  <si>
    <t xml:space="preserve">No. 209/3, Kanampella, Kosgama </t>
  </si>
  <si>
    <t>Feb. 05 2024</t>
  </si>
  <si>
    <t xml:space="preserve">negzonal.ka1407@gmail.com </t>
  </si>
  <si>
    <t xml:space="preserve">R. B. Udani Silva </t>
  </si>
  <si>
    <t>076-2977898</t>
  </si>
  <si>
    <t xml:space="preserve">No. 6/90, Nimala Maria Mawatha, Bolana, Waikkala </t>
  </si>
  <si>
    <t>NO  (ACC. DIS)</t>
  </si>
  <si>
    <t xml:space="preserve">No. 416/109, Puwakpatta, Weliweriya </t>
  </si>
  <si>
    <t>12.10.1962</t>
  </si>
  <si>
    <t>26.10.1962</t>
  </si>
  <si>
    <t>24.07.1963</t>
  </si>
  <si>
    <t xml:space="preserve">Tamil </t>
  </si>
  <si>
    <t>H. A. M. Chandradasa</t>
  </si>
  <si>
    <t>076-0111567</t>
  </si>
  <si>
    <t xml:space="preserve">No. 199, Lion City, Liyanagemulla, Seeduwa </t>
  </si>
  <si>
    <t>2024 Feb. 09</t>
  </si>
  <si>
    <t>CG 2</t>
  </si>
  <si>
    <t>11.12.1962</t>
  </si>
  <si>
    <t>YEAR</t>
  </si>
  <si>
    <t>485                           490</t>
  </si>
  <si>
    <t>394                                361</t>
  </si>
  <si>
    <t>81.23         73.67</t>
  </si>
  <si>
    <t>22.11.1962</t>
  </si>
  <si>
    <t>CL 3                   CL 4</t>
  </si>
  <si>
    <t>2021       2268</t>
  </si>
  <si>
    <t>13,355     13,425</t>
  </si>
  <si>
    <t>19.10.1962   8.12.1962</t>
  </si>
  <si>
    <t>Tamil      Sinhala</t>
  </si>
  <si>
    <t>1960            1960                     1960</t>
  </si>
  <si>
    <t>203                         379                 378</t>
  </si>
  <si>
    <t>194                           347                               369</t>
  </si>
  <si>
    <t>95.56       91.55          97.61</t>
  </si>
  <si>
    <t>_                                     401                                424</t>
  </si>
  <si>
    <t xml:space="preserve"> _                       503                494</t>
  </si>
  <si>
    <t>_                           79.72                 85.82</t>
  </si>
  <si>
    <t xml:space="preserve">Colombo Centre  </t>
  </si>
  <si>
    <t>No. 60, St. Joseph's Place, Grandpass, Colombo 14</t>
  </si>
  <si>
    <t>00031</t>
  </si>
  <si>
    <t>2024.02.27</t>
  </si>
  <si>
    <t>11.04.1962</t>
  </si>
  <si>
    <t>Sinhala &amp; Tamil</t>
  </si>
  <si>
    <t>12.1.1962</t>
  </si>
  <si>
    <t xml:space="preserve">Sinhala </t>
  </si>
  <si>
    <t>28.02.1962</t>
  </si>
  <si>
    <t>23.07.1962</t>
  </si>
  <si>
    <t>English  &amp; Tamil</t>
  </si>
  <si>
    <t>1960                              1960</t>
  </si>
  <si>
    <t>389                        484</t>
  </si>
  <si>
    <t>149                                  159</t>
  </si>
  <si>
    <t>38.3                    32.85</t>
  </si>
  <si>
    <t>611                         436</t>
  </si>
  <si>
    <t>229                                   166</t>
  </si>
  <si>
    <t>37.47                38.07</t>
  </si>
  <si>
    <t>11.2.1963</t>
  </si>
  <si>
    <t>6.3.1962</t>
  </si>
  <si>
    <t>28.2.1962</t>
  </si>
  <si>
    <t>10.8.1962</t>
  </si>
  <si>
    <t>De La Salle</t>
  </si>
  <si>
    <t>21.3.1962</t>
  </si>
  <si>
    <t>10.5.1963</t>
  </si>
  <si>
    <t>Reminded on Nov. 17 Resend 2024.02.28</t>
  </si>
  <si>
    <t>2024.02.28</t>
  </si>
  <si>
    <t>Resend 2024.02.28</t>
  </si>
  <si>
    <t>3year/10months/2Days</t>
  </si>
  <si>
    <t xml:space="preserve">J. M. D. D. Anne Priyangika </t>
  </si>
  <si>
    <t>075-7410114</t>
  </si>
  <si>
    <t xml:space="preserve">No. 71, Kepungoda, Pamunugama </t>
  </si>
  <si>
    <t xml:space="preserve">AC </t>
  </si>
  <si>
    <t xml:space="preserve">No. 378, Wanasingha Wila, Walikatiya, Pamunugama </t>
  </si>
  <si>
    <t xml:space="preserve">Shrima Alexi Fernando </t>
  </si>
  <si>
    <t>077-5501458</t>
  </si>
  <si>
    <t xml:space="preserve">No. 59/1, Chilaw Road, Kattuwa, Negombo </t>
  </si>
  <si>
    <t xml:space="preserve">Kondagamulla K. V. </t>
  </si>
  <si>
    <t xml:space="preserve">Kondagamulla, Demanhandiya </t>
  </si>
  <si>
    <t>031-2241257</t>
  </si>
  <si>
    <t xml:space="preserve">A. M. P. Samaranayake </t>
  </si>
  <si>
    <t xml:space="preserve">3                   </t>
  </si>
  <si>
    <t>Dec. 13</t>
  </si>
  <si>
    <t>072-8535731</t>
  </si>
  <si>
    <t>Schools that were taken over in 1960</t>
  </si>
  <si>
    <t xml:space="preserve">Remarks </t>
  </si>
  <si>
    <t>Sapugaskanda R. C. S. M. S.</t>
  </si>
  <si>
    <t xml:space="preserve">Nivandama R. C. P.V. </t>
  </si>
  <si>
    <t>Thoppuwa Philip Neri</t>
  </si>
  <si>
    <t>Andiambalama R. C. S. B. S.</t>
  </si>
  <si>
    <t>Andiambalama R. C. S. G. S.</t>
  </si>
  <si>
    <t>Andimulla R.  C.  S.  B.  S.</t>
  </si>
  <si>
    <t>Andimulla R.  C.  S.  G.  S.</t>
  </si>
  <si>
    <t>Arukgoda R. C. S. M. S.</t>
  </si>
  <si>
    <t>Bambukuliya R. C. S . G. S.</t>
  </si>
  <si>
    <t>Bambukuliya</t>
  </si>
  <si>
    <t>Bambukuliya R. C. S. B. S.</t>
  </si>
  <si>
    <t>Bandarawatta</t>
  </si>
  <si>
    <t>Batepola R. C. S. B. S.</t>
  </si>
  <si>
    <t>Batepola R. C. S. G. S.</t>
  </si>
  <si>
    <t>Beruwala R. C. S. B. S.</t>
  </si>
  <si>
    <t>Beruwala R. C. S. G. S.</t>
  </si>
  <si>
    <t>Bolawalana R. C. Infants S.</t>
  </si>
  <si>
    <t>Bolawalana R. C. S. B. S.</t>
  </si>
  <si>
    <t>Bolawalana R. C. S. G. S.</t>
  </si>
  <si>
    <t>Bolawalana St. Joseph's Boarding School</t>
  </si>
  <si>
    <t>Bolawalana Teacher Training College</t>
  </si>
  <si>
    <t>Bollate R . C. S. M. S.</t>
  </si>
  <si>
    <t>Boillate</t>
  </si>
  <si>
    <t>Bopitiya R. C. S. B. S.</t>
  </si>
  <si>
    <t>Bopitiya</t>
  </si>
  <si>
    <t>Bopitiya R. C. S. G. S.</t>
  </si>
  <si>
    <t xml:space="preserve">Borella  All Saints' College    </t>
  </si>
  <si>
    <t>Borella All Saints' S. M. S.</t>
  </si>
  <si>
    <t>Burulapitiya R. C. S. B. S.</t>
  </si>
  <si>
    <t>Burulapitiya R. C. S. G. S.</t>
  </si>
  <si>
    <t>Dalugama R. C. S. B. S.</t>
  </si>
  <si>
    <t>Dalugama R. C. S. G. S.</t>
  </si>
  <si>
    <t>Dalupotha  R. C. S. B. S.</t>
  </si>
  <si>
    <t>Dalupotha R. C. S. G. S.</t>
  </si>
  <si>
    <t>Dehiyagatha  R. C. S. B. S.</t>
  </si>
  <si>
    <t>Dehiyagatha  R. C. S. G. S.</t>
  </si>
  <si>
    <t>Delatura   R. C. S. G. S.</t>
  </si>
  <si>
    <t>Delatura R. C. S. B. S.</t>
  </si>
  <si>
    <t>Delpakadawara R. C. S. M. S.</t>
  </si>
  <si>
    <t>Delpakadawara R. C. T. M. S.</t>
  </si>
  <si>
    <t>Divulapitiya R. C. S. M. S.</t>
  </si>
  <si>
    <t>Diyalagoda Don Bosco T. M. S.</t>
  </si>
  <si>
    <t>Diyalagoda R. C. S. B. S.</t>
  </si>
  <si>
    <t>Diyalgoda R. C. E. B. S.</t>
  </si>
  <si>
    <t>Duwa R. C. S. B. S.</t>
  </si>
  <si>
    <t>Duwa R. C. S. G. S.</t>
  </si>
  <si>
    <t>Ekala R. C. S. M. S.</t>
  </si>
  <si>
    <t>Ekala</t>
  </si>
  <si>
    <t>Ethukala R. C. T. M. S.</t>
  </si>
  <si>
    <t>Galkissa R. C. S. B. S.</t>
  </si>
  <si>
    <t>Galkissa R. C. S. G. S.</t>
  </si>
  <si>
    <t>Giriulla R. C. S. M. S.</t>
  </si>
  <si>
    <t>Mirigama</t>
  </si>
  <si>
    <t>Grandpass  E. G. S.</t>
  </si>
  <si>
    <t xml:space="preserve">Grandpass  R. C. M. S. </t>
  </si>
  <si>
    <t>Hanwella R. C. S. M. S.</t>
  </si>
  <si>
    <t>Indibedda R. C. S. M. S.</t>
  </si>
  <si>
    <t>Kadalana (Moratuwa) R. C. S. B. S.</t>
  </si>
  <si>
    <t>Kadalana (Moratuwa) R. C. S. G. S</t>
  </si>
  <si>
    <t>Kadawatha R. C. S. B. S.</t>
  </si>
  <si>
    <t>Kadawatha R. C. S. G. S.</t>
  </si>
  <si>
    <t>Kalamulla R. C. S. B. S.</t>
  </si>
  <si>
    <t>Kalamulla R. C. S. G. S.</t>
  </si>
  <si>
    <t xml:space="preserve">Kaluaggala R. C. S .M. S. </t>
  </si>
  <si>
    <t>Kaluwarippuwa R. C. S .G. S.</t>
  </si>
  <si>
    <t>Kaluwarippuwa R. C. S. B. S.</t>
  </si>
  <si>
    <t>Kandawala R. C. S. B. S.</t>
  </si>
  <si>
    <t>Kandawala R. C. S. G. S.</t>
  </si>
  <si>
    <t>Katukurunda (Kalutara) R. C. S. B. S.</t>
  </si>
  <si>
    <t>Katukurunda (Kalutara) R. C. S. G. S.</t>
  </si>
  <si>
    <t>Katunayake R. C. S. B. S.</t>
  </si>
  <si>
    <t>Katunayake R. C. S. G. S.</t>
  </si>
  <si>
    <t>Katuwapitiya R. C. S. B. S.</t>
  </si>
  <si>
    <t>Katuwapitiya R. C. S. G. S.</t>
  </si>
  <si>
    <t>Kepungoda R. C. S. B. S.</t>
  </si>
  <si>
    <t>Kepungoda R. C. S. G. S.</t>
  </si>
  <si>
    <t xml:space="preserve">Kimbulapitiya R. C. S. B. S. </t>
  </si>
  <si>
    <t>Kimbulapitiya R. C. S. G. S.</t>
  </si>
  <si>
    <t>Kirulapone  R. C. T. M. S.</t>
  </si>
  <si>
    <t xml:space="preserve">Kollupitiya St. Anthony's E. S. </t>
  </si>
  <si>
    <t>Kondagamulla R. C. S. M. S.</t>
  </si>
  <si>
    <t>Kongodamulla R. C. S. B. S.</t>
  </si>
  <si>
    <t>Kongodamulla R. C. S. G. S.</t>
  </si>
  <si>
    <t>Kotarupe (Katunayake) R. C. S. M. S.</t>
  </si>
  <si>
    <t>Raddolugama</t>
  </si>
  <si>
    <t>Kurukulawa R. C. S. B. S.</t>
  </si>
  <si>
    <t>Kurukulawa R. C. S. G. S.</t>
  </si>
  <si>
    <t>Labugama R. C. S. M. S.</t>
  </si>
  <si>
    <t>Lunawa R. C. S. M. S.</t>
  </si>
  <si>
    <t>Lunupokuna St. Andrew's S. M. S.</t>
  </si>
  <si>
    <t xml:space="preserve">Lunupokuna </t>
  </si>
  <si>
    <t>Lunupokuna St. Andrew's T. M. S.</t>
  </si>
  <si>
    <t>Madampalla R. C. S. B. S.</t>
  </si>
  <si>
    <t>Madampalla R. C. S. G. S.</t>
  </si>
  <si>
    <t xml:space="preserve">Grandpass </t>
  </si>
  <si>
    <t>Maggona R. C. S. B. S.</t>
  </si>
  <si>
    <t>Maggona R. C. S. G. S.</t>
  </si>
  <si>
    <t>Maggona Refomatory S. B. S.</t>
  </si>
  <si>
    <t>Maggona Refomatory T. B. S.</t>
  </si>
  <si>
    <t>Maiyokkawatta (Moratuwa) R. C. S. M. S.</t>
  </si>
  <si>
    <t>Mawalgama (Waga) R. C. S. M. S.</t>
  </si>
  <si>
    <t>Molligoda R. C. S. M. S.</t>
  </si>
  <si>
    <t>Moratuwa St. Sebastian's B. S.</t>
  </si>
  <si>
    <t>Nagoda (Kandana) R. C. S. B. S.</t>
  </si>
  <si>
    <t>Nagoda (Kandana) R. C. S. G. S.</t>
  </si>
  <si>
    <t>Nayakakanda  Good Sherphed Convent</t>
  </si>
  <si>
    <t xml:space="preserve">Nayakakanda R. C. G. Boarding S. </t>
  </si>
  <si>
    <t>Negombo (Grand Street) St Mary's T. B. S.</t>
  </si>
  <si>
    <t>Negombo (Grand Street) St Mary's T. G. S.</t>
  </si>
  <si>
    <t>Nelumpitiya R. C. S. M. S.</t>
  </si>
  <si>
    <t>Pamunugama  Gonsalves M. V.</t>
  </si>
  <si>
    <t>Pamunugama R. C. S. B. S.</t>
  </si>
  <si>
    <t xml:space="preserve">Pamunugama R. C. S. G. S. </t>
  </si>
  <si>
    <t>Pamunuwila R. C. S. M. S.</t>
  </si>
  <si>
    <t>Pamunuwila</t>
  </si>
  <si>
    <t>Biyagama</t>
  </si>
  <si>
    <t>Panadura R. C. S. M. S.</t>
  </si>
  <si>
    <t>Panadura St. Anthony's  College</t>
  </si>
  <si>
    <t>Pelapolwatta R. C. S. M. S.</t>
  </si>
  <si>
    <t>Pitipana R. C. S. B. S.</t>
  </si>
  <si>
    <t>Pitipana R. C. S. G. S.</t>
  </si>
  <si>
    <t>Sapugaskanda</t>
  </si>
  <si>
    <t>Sea Street (Negombo) R. C. T. B. S.</t>
  </si>
  <si>
    <t>Sea Street (Negombo) R. C. T. G. S.</t>
  </si>
  <si>
    <t xml:space="preserve">Sedawatta R. C. S. M. S. </t>
  </si>
  <si>
    <t>Sedawatte</t>
  </si>
  <si>
    <t xml:space="preserve">Thalangama R. C. S. M. S. </t>
  </si>
  <si>
    <t xml:space="preserve">Talangama </t>
  </si>
  <si>
    <t>Thoppuwa R. C. T. B. S.</t>
  </si>
  <si>
    <t>Thoppuwa R. C. T. G. S.</t>
  </si>
  <si>
    <t>Tudella  R. C. S. B. S.</t>
  </si>
  <si>
    <t>Tudella Mary Immaculate  Convent</t>
  </si>
  <si>
    <t>Tudella R. C. S. G. S.</t>
  </si>
  <si>
    <t>Udammita  R. C. S. B. S.</t>
  </si>
  <si>
    <t>Udammita</t>
  </si>
  <si>
    <t>Udammita R. C. S. G. S.</t>
  </si>
  <si>
    <t>Uswetakeiyawa R. C. S. B. S.</t>
  </si>
  <si>
    <t>Uswetakeiyawa R. C. S. G. S.</t>
  </si>
  <si>
    <t>Veliveriya R. C. S. B. S.</t>
  </si>
  <si>
    <t>Veliveriya R. C. S. G. S.</t>
  </si>
  <si>
    <t>Wadduwa R. C. S. B. S.</t>
  </si>
  <si>
    <t>Wadduwa R. C. S. G. S.</t>
  </si>
  <si>
    <t>Wattala  R. C. S .B. S.</t>
  </si>
  <si>
    <t>Wellapalliya (Palliyawatta) R. C. S. B. S.</t>
  </si>
  <si>
    <t>Wellapalliya (Palliyawatta) R. C. S. G. S.</t>
  </si>
  <si>
    <t>Wewala R. C. S. B. S.</t>
  </si>
  <si>
    <t>Wewala R. C. S. G. S.</t>
  </si>
  <si>
    <t>Willorawatta  R. C. S. M. S.</t>
  </si>
  <si>
    <t>Willorawatte</t>
  </si>
  <si>
    <t>Yatiyana R. C. S. B. S.</t>
  </si>
  <si>
    <t>Yatiyana R. C. S. G. S.</t>
  </si>
  <si>
    <t>Yattowita R. C. S. M. S.</t>
  </si>
  <si>
    <t>Schools that Disappeared</t>
  </si>
  <si>
    <t>Schools Given Over</t>
  </si>
  <si>
    <t xml:space="preserve">School </t>
  </si>
  <si>
    <t>Remarks</t>
  </si>
  <si>
    <t>Name Changed</t>
  </si>
  <si>
    <t>Amalgamated</t>
  </si>
  <si>
    <t xml:space="preserve">Closed </t>
  </si>
  <si>
    <t>Divested</t>
  </si>
  <si>
    <t xml:space="preserve">Aluthgama Sangamitta G. M. V. </t>
  </si>
  <si>
    <t>X</t>
  </si>
  <si>
    <t xml:space="preserve">Aluthambalama Junior Model V. </t>
  </si>
  <si>
    <t>Amandoluwa R. C. P. V.</t>
  </si>
  <si>
    <t>Andiambalama R. C. P. V.</t>
  </si>
  <si>
    <t>Andimulla R. C. S. B. S.</t>
  </si>
  <si>
    <t>Andimulla P. V.</t>
  </si>
  <si>
    <t>Andimulla R. C. S. G. S.</t>
  </si>
  <si>
    <t xml:space="preserve">Avissawella St. Mary's M. V. </t>
  </si>
  <si>
    <t xml:space="preserve">Bambalapitiya St. Mary's S. M. V. </t>
  </si>
  <si>
    <t>Bambukuliya St. John the Baptist M. V.</t>
  </si>
  <si>
    <t>Bandarawatta St. Mary's K. V.</t>
  </si>
  <si>
    <t>Bandarawatte R. C. K. V.</t>
  </si>
  <si>
    <t>Basiawatta St. Peter's V.</t>
  </si>
  <si>
    <t>Batagama North K. S. V.</t>
  </si>
  <si>
    <t>Batagama North R. C. P. V.</t>
  </si>
  <si>
    <t xml:space="preserve">Batepola R. C. P. V. </t>
  </si>
  <si>
    <t xml:space="preserve">Beruwela R. C. P. V. </t>
  </si>
  <si>
    <t xml:space="preserve">Bolawalana R. C. Infants S.
 </t>
  </si>
  <si>
    <t>Bolawalana Nimala Mariya  M. V.</t>
  </si>
  <si>
    <t xml:space="preserve">Pamunugama M. V. </t>
  </si>
  <si>
    <t xml:space="preserve">Borella All Saints' G. M. V. </t>
  </si>
  <si>
    <t xml:space="preserve">Borella Dr. Thaninayagam T. P. V. </t>
  </si>
  <si>
    <t>Burullapitiya M. V.</t>
  </si>
  <si>
    <t>Dagonna (Demanhandiya) R. C. S. M. S.</t>
  </si>
  <si>
    <t>Dagonna R. C. P. V .</t>
  </si>
  <si>
    <t xml:space="preserve">Dalugama St. Francis M. V. </t>
  </si>
  <si>
    <t>Dalupotha R. C. S. B. S.</t>
  </si>
  <si>
    <t xml:space="preserve">Dalupotha M. V. </t>
  </si>
  <si>
    <t xml:space="preserve">Dampe K. V. </t>
  </si>
  <si>
    <t xml:space="preserve">Dehiwela Holy Family Convent </t>
  </si>
  <si>
    <t xml:space="preserve">Dehiwela St. Mary's B. V. </t>
  </si>
  <si>
    <t xml:space="preserve">Dehiyagatha R. C. S. B. S. </t>
  </si>
  <si>
    <t xml:space="preserve">Dehiyagatha Holy Rosary College </t>
  </si>
  <si>
    <t>Delatura K. S. V.</t>
  </si>
  <si>
    <t xml:space="preserve">Dematagoda St. Anthony's G. M. V. </t>
  </si>
  <si>
    <t xml:space="preserve">Dematagoda St. John's B. M. V. </t>
  </si>
  <si>
    <t>Dikowita Sastraloka  V.</t>
  </si>
  <si>
    <t>Dippitigoda R. C. P. V.</t>
  </si>
  <si>
    <t xml:space="preserve">Diyalagoda M. V. </t>
  </si>
  <si>
    <t xml:space="preserve">Diyalagoda R. C. E. B. S. </t>
  </si>
  <si>
    <t xml:space="preserve">Diyagalgoda R. C. P. V. </t>
  </si>
  <si>
    <t>Dungalpitiya  R. C. K. S. V.</t>
  </si>
  <si>
    <t>Duwa K. V.</t>
  </si>
  <si>
    <t xml:space="preserve">Duwana R. C. S. M. K. V.           </t>
  </si>
  <si>
    <t>Enderamulla St. Sebastian's M. V.</t>
  </si>
  <si>
    <t>Ethgala R. C. K. V.</t>
  </si>
  <si>
    <t>Ethukala St. Selvester M. V.</t>
  </si>
  <si>
    <t xml:space="preserve">Galkissa St. Anthony's K. V. </t>
  </si>
  <si>
    <t>Galloluwa R. C. P. V.</t>
  </si>
  <si>
    <t xml:space="preserve">Godigamuwa M. V. </t>
  </si>
  <si>
    <t xml:space="preserve">Grandpass St. Joseph's G. M. V. </t>
  </si>
  <si>
    <t xml:space="preserve">Grandpass St. Joseph's B. M. V. </t>
  </si>
  <si>
    <t>Halawakanda P. S. Moragolla</t>
  </si>
  <si>
    <t xml:space="preserve">Hapugoda St. Mary's  Model School                                                                  </t>
  </si>
  <si>
    <t>Hill Street  St. Mary's S. M. M. V.</t>
  </si>
  <si>
    <t xml:space="preserve">Hill Street  St. Anthony's T. B. M. V. </t>
  </si>
  <si>
    <t xml:space="preserve">Hill Street St. Anne's  T. G. M. V.  </t>
  </si>
  <si>
    <t>Hiripitiya R. C. P. V.</t>
  </si>
  <si>
    <t>Hulsdorf  St. Sebantian S. M. V.</t>
  </si>
  <si>
    <t>Hulsdorf St. Sebastian's Muslim T. M. V.</t>
  </si>
  <si>
    <t>Ja-ela St. Mary's M. V.</t>
  </si>
  <si>
    <t xml:space="preserve">Kadalana St. Anthony's V. </t>
  </si>
  <si>
    <t xml:space="preserve">Kadawatha R. C. K. V. </t>
  </si>
  <si>
    <t>Kala-eliya  P. V.</t>
  </si>
  <si>
    <t xml:space="preserve">Kalahugoda Madawala Combined K. V. </t>
  </si>
  <si>
    <t xml:space="preserve">Kalamulla R. C. K. V. </t>
  </si>
  <si>
    <t xml:space="preserve">School was amalgamated to Don Bosco Colllge, Hanwella </t>
  </si>
  <si>
    <t xml:space="preserve">Kalutara Sugatha V. </t>
  </si>
  <si>
    <t>Kaluwarippuwa P. V.</t>
  </si>
  <si>
    <t>Kamaragoda R. C. K. V.</t>
  </si>
  <si>
    <t>Kandana St. Sebastian's B. M. V.</t>
  </si>
  <si>
    <t>Kandana St. Sebastian's G. P. V.</t>
  </si>
  <si>
    <t>Kandana St. Sebastian's G. M. V.</t>
  </si>
  <si>
    <t>Kandawala St. Joseph's  K. S. V.</t>
  </si>
  <si>
    <t>Kanuwana St. Joseph's K. S. V.</t>
  </si>
  <si>
    <t>Katana Mariya Rajinie J. S. V.</t>
  </si>
  <si>
    <t xml:space="preserve">Katukurunda St. Mary's P. V. </t>
  </si>
  <si>
    <t xml:space="preserve">Katukurunda (Kalutara) R. C. S. B. S. </t>
  </si>
  <si>
    <t xml:space="preserve">Katukurunda R. C. M. V. </t>
  </si>
  <si>
    <t xml:space="preserve"> Katunayake R. C. M. V.</t>
  </si>
  <si>
    <t>Katuwapitiya St. Sebastian's K. S. V.</t>
  </si>
  <si>
    <t>Pilapitiya M. V.</t>
  </si>
  <si>
    <t xml:space="preserve"> Kepungoda St. Anthony's  K. V.</t>
  </si>
  <si>
    <t>Kerawalapitiya St. Joseph's P. V.</t>
  </si>
  <si>
    <t>Kimbulapitiya R. C. S. B. S.</t>
  </si>
  <si>
    <t>Kimbulapitiya R. C. P. V.</t>
  </si>
  <si>
    <t>Kirimatyagara R. C. K. V.</t>
  </si>
  <si>
    <t xml:space="preserve">Kirimatyagara Holy Family G. M. V. </t>
  </si>
  <si>
    <t xml:space="preserve">Kirulapane R. C. T. M. S. </t>
  </si>
  <si>
    <t>Kochchikade M. V.</t>
  </si>
  <si>
    <t xml:space="preserve">Kollupitiya St. Anthony's G. M. V. </t>
  </si>
  <si>
    <t xml:space="preserve">Kolonnawa St. Joseph's V. </t>
  </si>
  <si>
    <t xml:space="preserve"> </t>
  </si>
  <si>
    <t>Kongodamulla St. Anthony's K. S. V.</t>
  </si>
  <si>
    <t xml:space="preserve">Koralawella R. C. V. </t>
  </si>
  <si>
    <t xml:space="preserve">Kotahena R. C. G. V. </t>
  </si>
  <si>
    <t xml:space="preserve">Kotahena St. Lucia's B. V. </t>
  </si>
  <si>
    <t xml:space="preserve">Kotahena Good Shepherd T. G. M. V. </t>
  </si>
  <si>
    <t xml:space="preserve">Kotikawatte R. C. P. V. </t>
  </si>
  <si>
    <t xml:space="preserve">Kotugoda R. C. P. V. </t>
  </si>
  <si>
    <t>Kudapaduwa S. M. V.</t>
  </si>
  <si>
    <t xml:space="preserve">Kurana St. Anne's M. V. </t>
  </si>
  <si>
    <t>Kurukulawa St. Lazarus K. V.</t>
  </si>
  <si>
    <t>School closed and the land devested</t>
  </si>
  <si>
    <t xml:space="preserve">Uyana K. V. </t>
  </si>
  <si>
    <t xml:space="preserve">Lunupokuna St. Andrew's V. </t>
  </si>
  <si>
    <t>Mabola  St. Mary's  V.</t>
  </si>
  <si>
    <t xml:space="preserve">Pahala Madampalla K. V. </t>
  </si>
  <si>
    <t xml:space="preserve">Mahawatta  St. Anthony's T.  M. V.  </t>
  </si>
  <si>
    <t xml:space="preserve">Maggona R. C. S. B. S. </t>
  </si>
  <si>
    <t xml:space="preserve">Maggona St. Mary's K. V. </t>
  </si>
  <si>
    <t xml:space="preserve">Maggona St. Vincent's K. V. </t>
  </si>
  <si>
    <t xml:space="preserve">Mahawatta St. Anthony's S.  V. </t>
  </si>
  <si>
    <t>Makewita Pandukabaya K. V.</t>
  </si>
  <si>
    <t>Mankuliya St. Anthony's K. V.</t>
  </si>
  <si>
    <t>Maththumagala R .C. K. V.</t>
  </si>
  <si>
    <t xml:space="preserve">Matugama St. Mary's M. V. </t>
  </si>
  <si>
    <t xml:space="preserve">Mattakkuliya Ave Maria V. </t>
  </si>
  <si>
    <t>Mellawagedara R. C. P. V.</t>
  </si>
  <si>
    <t>Midellawita Senarath K. V.</t>
  </si>
  <si>
    <t xml:space="preserve">Miriswatta Henarathgoda 
Keppettipola M. V. </t>
  </si>
  <si>
    <t>Moratuwa Uswatta St. Sebastian's G. S.</t>
  </si>
  <si>
    <t xml:space="preserve">Moragoda Wimaladarma K. V. </t>
  </si>
  <si>
    <t>Munnakkaraya St. Nicholas S. M. V.</t>
  </si>
  <si>
    <t xml:space="preserve">Muruthana R. C. K. V. </t>
  </si>
  <si>
    <t xml:space="preserve">Mutwal St. Anthony's G. M. V. </t>
  </si>
  <si>
    <t xml:space="preserve">Mutwal St. Anthony's G. P. V. </t>
  </si>
  <si>
    <t>Mutwal St. James' P. V.</t>
  </si>
  <si>
    <t xml:space="preserve">Mutwal De La Salle B. M. V.   </t>
  </si>
  <si>
    <t>Mutwal St. John's  V.</t>
  </si>
  <si>
    <t xml:space="preserve">Nagoda St. John The Baptist M. V. </t>
  </si>
  <si>
    <t>Nakandapola P. V.</t>
  </si>
  <si>
    <t xml:space="preserve">Nayakakanda  Good Sherphed Convent </t>
  </si>
  <si>
    <t xml:space="preserve">Nayakakanda Good Shepherd Convent </t>
  </si>
  <si>
    <t>Nayakakanda B. M. V.</t>
  </si>
  <si>
    <t>Nayakakanda G. P. V.</t>
  </si>
  <si>
    <t>Negombo (Grand St.) St Mary's T. B. S.</t>
  </si>
  <si>
    <t xml:space="preserve">Negombo Asirimath Devamatha M. V.                                </t>
  </si>
  <si>
    <t>Negombo (Grand St.) St Mary's T. G. S.</t>
  </si>
  <si>
    <t>Negombo St. Peter's  Central M. V.</t>
  </si>
  <si>
    <t xml:space="preserve">Negombo St. Joseph's K. V. </t>
  </si>
  <si>
    <t>Thimbirigaskatuwa Dutugemunu M. V.</t>
  </si>
  <si>
    <t>Only moveable property was vested school amalgamated 
to Timbirigaskatuwa</t>
  </si>
  <si>
    <t>Niripola R. C. K. V.</t>
  </si>
  <si>
    <t>Nugegoda St. Joseph's G. M. V.</t>
  </si>
  <si>
    <t>Pahathgama R. C. K. V.</t>
  </si>
  <si>
    <t xml:space="preserve">Payagala North R. C. G. K. V. </t>
  </si>
  <si>
    <t xml:space="preserve">Payagala Bandaranayake M. V. </t>
  </si>
  <si>
    <t xml:space="preserve">Daluwakotuwa St. Anne's  M. V. </t>
  </si>
  <si>
    <t>Daluwakotuwa St. Anne's P. V.</t>
  </si>
  <si>
    <t>Palangaturai S. K. V.</t>
  </si>
  <si>
    <t>Pallansena R. C. P. V.</t>
  </si>
  <si>
    <t>Pamunugama Gonsalves M. V.</t>
  </si>
  <si>
    <t xml:space="preserve">Panadura St. Anthony's B. M. V. </t>
  </si>
  <si>
    <t xml:space="preserve">Panadura St. Anthony's G. M. V. </t>
  </si>
  <si>
    <t>Peliyagoda R. C. P. V.</t>
  </si>
  <si>
    <t>Peralanda St. Joseph's J. S. V.</t>
  </si>
  <si>
    <t>Pitipana M. V.</t>
  </si>
  <si>
    <t xml:space="preserve">Puwakpitiya R. C. K. V. </t>
  </si>
  <si>
    <t xml:space="preserve">Puwakpitiya C. C. T. M. V. </t>
  </si>
  <si>
    <t>Ragama Basilica P. V.</t>
  </si>
  <si>
    <t>Ragama Basilica M. V.</t>
  </si>
  <si>
    <t xml:space="preserve">Rajagiriya Hewavitharana Model P. V.  </t>
  </si>
  <si>
    <t>Rajagiriya R. C. T. M. V.</t>
  </si>
  <si>
    <t>Ratmalana R. C. P. V.</t>
  </si>
  <si>
    <t>Rawathawatta R. C. V.</t>
  </si>
  <si>
    <t xml:space="preserve">School amalgamated to Sapugaskanda M. V. </t>
  </si>
  <si>
    <t xml:space="preserve">Sarikkalimulla R. C. P. V. </t>
  </si>
  <si>
    <t xml:space="preserve"> Sea Street St. Sebastian's M. V.</t>
  </si>
  <si>
    <t>Seeduwa R. C. P. V.</t>
  </si>
  <si>
    <t>Davisamara M. V.</t>
  </si>
  <si>
    <t xml:space="preserve">Slave Island Holy Rosary T. V. </t>
  </si>
  <si>
    <t>Slave Island Holy Rosary S. K. V.</t>
  </si>
  <si>
    <t xml:space="preserve">Tarala Sirikurusa K. V. </t>
  </si>
  <si>
    <t>Thalahena R. C. K. V.</t>
  </si>
  <si>
    <t xml:space="preserve">Thibbotugoda Gamini Vidyalaya  </t>
  </si>
  <si>
    <t xml:space="preserve">Thillanduwa R. C. K. V. </t>
  </si>
  <si>
    <t>Thoppuwa R. C. T. M. V.</t>
  </si>
  <si>
    <t xml:space="preserve">Thoppuwa St. Philip Neri's K. V. </t>
  </si>
  <si>
    <t>Tudella Nimala Maria M. V.</t>
  </si>
  <si>
    <t>Udugampola R. C. P. V.</t>
  </si>
  <si>
    <t xml:space="preserve">Uswetakeiyawa St. Mary's M. V. </t>
  </si>
  <si>
    <t xml:space="preserve">Veliweriya Madduma Bandara K. V. </t>
  </si>
  <si>
    <t xml:space="preserve">Wadduwa R. C. S. B. S. </t>
  </si>
  <si>
    <t xml:space="preserve">Wadduwa St. Mary's M. V. </t>
  </si>
  <si>
    <t xml:space="preserve">Waragoda St. Paul's G. M. V. </t>
  </si>
  <si>
    <t>Watinapaha R. C. P. V.</t>
  </si>
  <si>
    <t>Wattala St. Anne's G. P. V.</t>
  </si>
  <si>
    <t>Wattala R. C. T.  M. V .</t>
  </si>
  <si>
    <t xml:space="preserve">Wattala St. Anne's G. M. V. </t>
  </si>
  <si>
    <t>Welihena R. C. T. V.</t>
  </si>
  <si>
    <t>Welikada Dharmapala P. V.</t>
  </si>
  <si>
    <t>Welikanna R. C. K. V.</t>
  </si>
  <si>
    <t>Welivita St. Mary's M. V.</t>
  </si>
  <si>
    <t>Palliyawatta Don Bosco V.</t>
  </si>
  <si>
    <t xml:space="preserve">Wewala R. C. P. V. </t>
  </si>
  <si>
    <t xml:space="preserve">Yakkaduwa P. V. </t>
  </si>
  <si>
    <t xml:space="preserve">Yatiyana R. C. K. V. </t>
  </si>
  <si>
    <t xml:space="preserve">Schools that were taken over in 1960 - Changes in Schools </t>
  </si>
  <si>
    <t>Amandoluwa Roman Catholic Primary Vidyalaya, Amandoluwa</t>
  </si>
  <si>
    <t xml:space="preserve">Bambukuliya R. C. S . G. S.
Bambukuliya R. C. S. B. S. </t>
  </si>
  <si>
    <t xml:space="preserve">Bolawalana R. C. Infants S.
Bolawalana R. C. S. B. S.
Bolawalana R. C. S. G. S. 
St. Joseph's Boarding School </t>
  </si>
  <si>
    <t>Diyalagoda R. C. S. B. S.
Diyalagoda R. C. E. B. S.</t>
  </si>
  <si>
    <t>Ethukala St. Sylvester M. V.</t>
  </si>
  <si>
    <t xml:space="preserve">Gorakadeniya P. S. </t>
  </si>
  <si>
    <t xml:space="preserve">Kalamulla R. C. S. B. S. and 
Kalamulla R. C. S. G. S. </t>
  </si>
  <si>
    <t xml:space="preserve">Kaluwarippuwa R. C. S .G. S.
Kaluwarippuwa R. C. S. B. S. </t>
  </si>
  <si>
    <t xml:space="preserve">Katunayake R. C. S. B. S.
Katunayake R. C. S. G. S. </t>
  </si>
  <si>
    <t>Kimbulapitiya R. C. S. B. S. 
Kimbulapitiya R. C. S. G. S.</t>
  </si>
  <si>
    <t xml:space="preserve">Kongodamulla R. C. S. B. S.
Kongodamulla R. C. S. G.S. </t>
  </si>
  <si>
    <t xml:space="preserve">Lunupokuna St. Andrew's S. M. S.
Lunupokuna St. Andrew's T. M. S. </t>
  </si>
  <si>
    <t xml:space="preserve">Madampalla R. C. S. B. S.
Madampella R. C. S. G. S. </t>
  </si>
  <si>
    <t>Munnakkaraya St Nicholas S. M. V.</t>
  </si>
  <si>
    <t>Negombo (Grand Street) St Mary's T. B. S.
Negombo (Grand Street) St Mary's T. G. S.</t>
  </si>
  <si>
    <t xml:space="preserve">Daluwakotuwa St. Anne's  M. V.                                                               </t>
  </si>
  <si>
    <t xml:space="preserve">Panadura St. Anthony's  College
Panadura R. C. M. S. </t>
  </si>
  <si>
    <t>Ragama Basilica P. M. V.</t>
  </si>
  <si>
    <t xml:space="preserve">Thoppuwa St. Philipneri K. V. </t>
  </si>
  <si>
    <r>
      <rPr>
        <sz val="11"/>
        <rFont val="Cambria"/>
        <family val="1"/>
      </rPr>
      <t>Veliweriya Madduma Bandara P. V.</t>
    </r>
    <r>
      <rPr>
        <sz val="11"/>
        <color rgb="FFFF0000"/>
        <rFont val="Cambria"/>
        <family val="1"/>
      </rPr>
      <t xml:space="preserve"> </t>
    </r>
  </si>
  <si>
    <t xml:space="preserve">Nittambuwa St. Anthony's K. V. </t>
  </si>
  <si>
    <t xml:space="preserve">Welihena R. C. P. V. </t>
  </si>
  <si>
    <t xml:space="preserve">Wewala St. Xavier M. V. </t>
  </si>
  <si>
    <t xml:space="preserve"> Catholic Government Schools</t>
  </si>
  <si>
    <t xml:space="preserve"> Catholic Students in Government Schools</t>
  </si>
  <si>
    <t>Kattuwa</t>
  </si>
  <si>
    <t xml:space="preserve">Vested Schools </t>
  </si>
  <si>
    <t>11     12</t>
  </si>
  <si>
    <t>26    27</t>
  </si>
  <si>
    <t>28     29</t>
  </si>
  <si>
    <t>christking43@gmail.com</t>
  </si>
  <si>
    <t>01539</t>
  </si>
  <si>
    <t>2024.03.20</t>
  </si>
  <si>
    <t>No. 420/B, Mawathagama, Dankotuwa</t>
  </si>
  <si>
    <t>2024.03.15</t>
  </si>
  <si>
    <t>2024.03.06</t>
  </si>
  <si>
    <t>00018</t>
  </si>
  <si>
    <t>071-0622236 071-5322040</t>
  </si>
  <si>
    <t>Uswatta Circle Road, Moratuwa</t>
  </si>
  <si>
    <t>00178</t>
  </si>
  <si>
    <t>2024.03.11</t>
  </si>
  <si>
    <t>No. 55/1, Vivekananda Hill,                  Colombo 13</t>
  </si>
  <si>
    <t>Regina Kavitha</t>
  </si>
  <si>
    <t>Carmel Convent, Colombo 13</t>
  </si>
  <si>
    <t>2023.09.15</t>
  </si>
  <si>
    <t>31      32</t>
  </si>
  <si>
    <t>34     35</t>
  </si>
  <si>
    <t>41      42</t>
  </si>
  <si>
    <t>43      44</t>
  </si>
  <si>
    <t xml:space="preserve"> 49            50</t>
  </si>
  <si>
    <t>53                   54</t>
  </si>
  <si>
    <t xml:space="preserve"> A. R. Sudath Hemantha Fernando  </t>
  </si>
  <si>
    <t xml:space="preserve">No. 123, Kala Eliya, Ja-ela </t>
  </si>
  <si>
    <t xml:space="preserve">No. 53 U, Bandigoda Churuch Road, Batagama North, Ja-ela </t>
  </si>
  <si>
    <t xml:space="preserve">No. 42, Morawatta Road, Nagoda, Kandana </t>
  </si>
  <si>
    <t xml:space="preserve"> M. P. A. Thushari J. Fernando </t>
  </si>
  <si>
    <t xml:space="preserve">Diocesan </t>
  </si>
  <si>
    <t xml:space="preserve">No. 283/2, Negombo Road, Yatiyana, Minuwangoda </t>
  </si>
  <si>
    <t xml:space="preserve">No. 314/A, Old Negombo Road, Dalugama, Kelaniya </t>
  </si>
  <si>
    <r>
      <t>53/A/11,</t>
    </r>
    <r>
      <rPr>
        <sz val="11"/>
        <color theme="1"/>
        <rFont val="Cambria"/>
        <family val="1"/>
      </rPr>
      <t xml:space="preserve">"Nuwanasa", </t>
    </r>
    <r>
      <rPr>
        <sz val="11"/>
        <color theme="1"/>
        <rFont val="Cambria"/>
        <family val="1"/>
        <scheme val="major"/>
      </rPr>
      <t>Balagalawatte, Hendala, Wattala</t>
    </r>
  </si>
  <si>
    <t>071-4023276</t>
  </si>
  <si>
    <t>R. Antonraj</t>
  </si>
  <si>
    <t>071-6009933 076-9933998</t>
  </si>
  <si>
    <t>nimalamaria@gmail.com</t>
  </si>
  <si>
    <t>01538</t>
  </si>
  <si>
    <t>3/4/5</t>
  </si>
  <si>
    <t>2024.06.05</t>
  </si>
  <si>
    <t xml:space="preserve">Kattuwa St. Francis Sales K. S. V. </t>
  </si>
  <si>
    <t xml:space="preserve">Kattuwa, Negombo </t>
  </si>
  <si>
    <t>011-2233408</t>
  </si>
  <si>
    <t>077-1757825</t>
  </si>
  <si>
    <t xml:space="preserve">No. 211/C, Adikarimulla West, Dunagaha </t>
  </si>
  <si>
    <t xml:space="preserve">No. 69 A, Jubily Mawatha, Kadawala, Katana </t>
  </si>
  <si>
    <t xml:space="preserve">Kochchikade Christ King College                                              (Kochchikade M. V.) 
</t>
  </si>
  <si>
    <t>2024 Statistics - Posted</t>
  </si>
  <si>
    <t xml:space="preserve">2024 Statistics - Sent to Office </t>
  </si>
  <si>
    <t>Kochchikade Christ King College          
Kochchikade</t>
  </si>
  <si>
    <t>Amalgamated/Andimulla P. V.</t>
  </si>
  <si>
    <t>Bandiyamulla Gajaba K. V.</t>
  </si>
  <si>
    <t xml:space="preserve">Amalgamated/Batepola R. C. P. V. </t>
  </si>
  <si>
    <t>Amalgamated/Bolawalana Nimala Mariya  M. V.</t>
  </si>
  <si>
    <t>Amalgamated/Burullapitiya M. V.</t>
  </si>
  <si>
    <t xml:space="preserve">Amalgamated/Dalugama St. Francis M. V. </t>
  </si>
  <si>
    <t>Amalgamated/Delatura K. S. V.</t>
  </si>
  <si>
    <t xml:space="preserve">Amalgamated/Diyalagoda M. V. </t>
  </si>
  <si>
    <t xml:space="preserve">Duwana R. C. S. M. K. V.    </t>
  </si>
  <si>
    <t xml:space="preserve">Amalgamated/Galkissa St. Anthony's K. V. </t>
  </si>
  <si>
    <t>Gorakadeniya Primary Vidyalaya</t>
  </si>
  <si>
    <t xml:space="preserve">Amalgamated/Grandpass St. Joseph's G. M. V. </t>
  </si>
  <si>
    <t>Halawakanda Primary Vidyalaya</t>
  </si>
  <si>
    <t xml:space="preserve">Hapugoda St. Mary's  Model School                                                      Hapugoda St. Mary's  Model School                                                                             </t>
  </si>
  <si>
    <t>Hill Street  St. Anthony's T. B. M. V.</t>
  </si>
  <si>
    <t xml:space="preserve">Amalgamated/Kadalana St. Anthony's V. </t>
  </si>
  <si>
    <t xml:space="preserve">Amalgamated/Kadawatha R. C. K. V. </t>
  </si>
  <si>
    <t xml:space="preserve">Amalgamated/Kalamulla R. C. K. V. </t>
  </si>
  <si>
    <t>Amalgamated/Kaluwarippuwa P. V.</t>
  </si>
  <si>
    <t>Amalgamated/Kandawala St. Joseph's  K. S. V.</t>
  </si>
  <si>
    <t xml:space="preserve">Amalgamated/Katukurunda R. C. M. V. </t>
  </si>
  <si>
    <t>Amalgamated/Katunayake R. C. M. V.</t>
  </si>
  <si>
    <t>Amalgamated/Katuwapitiya St. Sebastian's K. S. V.</t>
  </si>
  <si>
    <t>Amalgamated/Kepungoda St. Anthony's  K. V.</t>
  </si>
  <si>
    <t>Amalgamated/Kimbulapitiya R. C. P. V.</t>
  </si>
  <si>
    <t xml:space="preserve">Kochchikade Christ King College </t>
  </si>
  <si>
    <t xml:space="preserve"> X</t>
  </si>
  <si>
    <t>Amalgamated /Kurukulawa St. Lazarus K. V.</t>
  </si>
  <si>
    <t>Uyana K. V. /Amalgamated with a government school</t>
  </si>
  <si>
    <t xml:space="preserve">Lunupokuna St. Andrew's V. /Amalgamated with Mutwal De La Salle College </t>
  </si>
  <si>
    <t xml:space="preserve">Amalgamated /Pahala Madampalla K. V. </t>
  </si>
  <si>
    <t xml:space="preserve">School shifted/ Mahawatta  St. Anthony's T.  M. V.  </t>
  </si>
  <si>
    <t xml:space="preserve">Amalgamated /Maggona St. Mary's K. V. </t>
  </si>
  <si>
    <t xml:space="preserve">Muruthana St. Anthony's K. V. </t>
  </si>
  <si>
    <t xml:space="preserve">Amalgamated/Nagoda St. John The Baptist M. V. </t>
  </si>
  <si>
    <t xml:space="preserve">Amalgamated/Nayakakanda Good Shepherd Convent </t>
  </si>
  <si>
    <t xml:space="preserve">Amalgamated/ Negombo Asirimath Devamatha M. V.    </t>
  </si>
  <si>
    <t>Amalgamated/Pamunugama Gonsalves M. V.</t>
  </si>
  <si>
    <t xml:space="preserve">Amalgamated/Panadura St. Anthony's B. M. V. </t>
  </si>
  <si>
    <t>Amalgamated/Pitipana M. V.</t>
  </si>
  <si>
    <t>School closed and divested</t>
  </si>
  <si>
    <t xml:space="preserve">School closed and the land divested </t>
  </si>
  <si>
    <t xml:space="preserve">Thoppuwa R. C. T. B. S.
</t>
  </si>
  <si>
    <t>Amalgamated/Tudella Nimala Maria M. V.</t>
  </si>
  <si>
    <t xml:space="preserve">Amalgamated/Uswetakeiyawa St. Mary's M. V. </t>
  </si>
  <si>
    <t xml:space="preserve">Amalgamated/Veliweriya Madduma Bandara K. V. </t>
  </si>
  <si>
    <t xml:space="preserve">Amalgamated/Wadduwa St. Mary's M. V. </t>
  </si>
  <si>
    <t>Amalgamated/Palliyawatta Don Bosco V.</t>
  </si>
  <si>
    <t xml:space="preserve">Amalgamated/Yatiyana R. C. K. V. </t>
  </si>
  <si>
    <t xml:space="preserve">School closed and the children were admitted to Ekala G. B. Senanayaka M. V. </t>
  </si>
  <si>
    <t>Holy Cross</t>
  </si>
  <si>
    <t>School Closed and Divested</t>
  </si>
  <si>
    <t xml:space="preserve">Primary of  Pamunugama M. V. </t>
  </si>
  <si>
    <t xml:space="preserve">Bopitiya R. C. S. B. S.  has been made primary of Pamunugama MV.  The Pamunugama MV is partly (Primary) in Vested Land and Partly in Government Land. </t>
  </si>
  <si>
    <t xml:space="preserve">Beruwela R. C. K. V. </t>
  </si>
  <si>
    <t>School Closed and divested</t>
  </si>
  <si>
    <t>Bollate</t>
  </si>
  <si>
    <t xml:space="preserve">Beruwala </t>
  </si>
  <si>
    <t xml:space="preserve">Mirigama </t>
  </si>
  <si>
    <t xml:space="preserve">School closed and the children who were in this school have been added to Government school Moratuwa Podu Jaya Vidyalaya </t>
  </si>
  <si>
    <t>School shifted and the land divested</t>
  </si>
  <si>
    <t>077-4004976</t>
  </si>
  <si>
    <t>071-5619588 070-3949711</t>
  </si>
  <si>
    <t>077-8916723</t>
  </si>
  <si>
    <t>075-8102291 072-8003530 W</t>
  </si>
  <si>
    <t>2024.08.07</t>
  </si>
  <si>
    <t xml:space="preserve">W. M. K. P. Kamal Fernando </t>
  </si>
  <si>
    <t>071-9202080</t>
  </si>
  <si>
    <t xml:space="preserve">No. 460/B, Thalahena, Negombo </t>
  </si>
  <si>
    <t>2024.08.08</t>
  </si>
  <si>
    <t>School closed and the land divested in 1999</t>
  </si>
  <si>
    <t>A section of the school divested</t>
  </si>
  <si>
    <t>2024.08.12</t>
  </si>
  <si>
    <t>School amalgamated and the land divested</t>
  </si>
  <si>
    <t>School closed and the land divested</t>
  </si>
  <si>
    <t>School Closed and the land divested</t>
  </si>
  <si>
    <t>2024.08.13</t>
  </si>
  <si>
    <t>.</t>
  </si>
  <si>
    <t xml:space="preserve">M. M. M. Irshad </t>
  </si>
  <si>
    <t>077-3995950</t>
  </si>
  <si>
    <t xml:space="preserve">Bopitiya Primary of Pamunugama Maha Vidyalaya
</t>
  </si>
  <si>
    <t>2024.08.14</t>
  </si>
  <si>
    <t xml:space="preserve">W. W. Deepthi Niluka Fernando </t>
  </si>
  <si>
    <t>071- 8023245</t>
  </si>
  <si>
    <t>No. 168, 14th Lane, Pilaminawatta, Dodangoda</t>
  </si>
  <si>
    <t>2024.08.16</t>
  </si>
  <si>
    <t>2024.08.20</t>
  </si>
  <si>
    <t xml:space="preserve"> School closed and the children who were in this school admitted to Beruwala R. C. S. B. S.  </t>
  </si>
  <si>
    <t xml:space="preserve">the children who were in Beruwala R. C. S. G. S. have been admitted  to Beruwala R. C. S. B. S./Beruwela R. C. K. V. </t>
  </si>
  <si>
    <t xml:space="preserve"> School closed and the children who were in this school admitted to Andiambalama R. C. S. B. S.  </t>
  </si>
  <si>
    <t>the children who were in  Andiambalama R. C. S. G. S. have been admitted to Andiambalama R. C. S. B. S. / Andiambalama R. C. P. V.</t>
  </si>
  <si>
    <t xml:space="preserve">School closed and the children who were in this school have been admitted to Government school Bollatha Dharmapala M. V. </t>
  </si>
  <si>
    <t xml:space="preserve">School Closed and Children who were in this school have been admitted to Government School Godigamuwa M. V. </t>
  </si>
  <si>
    <t>Amalgamated/Kongodamulla St. Anthony's K. S. V./  School was shifted to another land given by the church and 
the former land was divested</t>
  </si>
  <si>
    <t>Amalgamated with Janajaya School and the land divested</t>
  </si>
  <si>
    <t xml:space="preserve"> School closed and the children were admitted to Sedawatte Siddartha M. M. V. </t>
  </si>
  <si>
    <t>School closed, the children were admitted to Vijayarathnam M. V. and the land divested</t>
  </si>
  <si>
    <t>School closed and the children were admitted to 
Udammita Dr. Kulasinghe M. V. and land divested</t>
  </si>
  <si>
    <t xml:space="preserve">The children who were in Dehiyagatha R. C. S. B. S.  have been admitted  to Dehiyagatha  R. C. S. G. S. /Dehiyagatha Holy Rosary College.  The secondary school was shifted to another location part of which is owned by the church. Primary school remains in the church premises. </t>
  </si>
  <si>
    <t xml:space="preserve">Wewala R. C. S. B. S. and Wewala R. C. S. G. S. were amalgamated and made  primary school. Its call Wewala R. C. P. V. </t>
  </si>
  <si>
    <t xml:space="preserve">Wewala R. C. S. B. S. and Wewala R. C. S. G. S. were amalgamated and made secondary school. Its call Wewala St. Xavier M. V. </t>
  </si>
  <si>
    <t xml:space="preserve">School Closed and the land divested. Children who were in this school have been admitted to Government School Kalutara Sugatha V. </t>
  </si>
  <si>
    <t xml:space="preserve">Pilapitiya M. V.        </t>
  </si>
  <si>
    <t>School closed and divested.  The children were admitted to                           Duwa R. C. S. G. S.</t>
  </si>
  <si>
    <t xml:space="preserve"> School closed and divested. The children who were in this school admitted to Dehiyagatha  R. C. S. G. S.</t>
  </si>
  <si>
    <t xml:space="preserve">The two schools and Dalupotha Methodist College were 
amalgamated. Primary school was taken to the premises of the 
Methodist school/Dalupotha M. V. </t>
  </si>
  <si>
    <t>The children who were in Duwa R. C. S. B. S. have been admitted  to Duwa R. C. S. G. S./Duwa K. V.</t>
  </si>
  <si>
    <t>2024.08.23</t>
  </si>
  <si>
    <t>2024.08.26</t>
  </si>
  <si>
    <t xml:space="preserve">Lunupokuna St. Andrew's  V.                                                                                              (Amalgamated with Mutwal De La Salle College) Now Mutwal De La Salle - Primary  </t>
  </si>
  <si>
    <t xml:space="preserve">Lunupokuna, Modara, Colombo 15     </t>
  </si>
  <si>
    <t>2024.08.28</t>
  </si>
  <si>
    <t>2024.08.30</t>
  </si>
  <si>
    <t>2024.09.04</t>
  </si>
  <si>
    <t xml:space="preserve">Miriswatta Henarathgoda 
Keppettipola M. V.       </t>
  </si>
  <si>
    <t>2024.09.11</t>
  </si>
  <si>
    <t>2024.09.03</t>
  </si>
  <si>
    <t xml:space="preserve">negzonal.ka1583@gmail.com </t>
  </si>
  <si>
    <t>1583</t>
  </si>
  <si>
    <t xml:space="preserve">No. 163/30, Tissera Watta, Daluwakotuwa, Kochchikade </t>
  </si>
  <si>
    <t>No.  55/1,  Hill Street, Colombo 13</t>
  </si>
  <si>
    <t xml:space="preserve">stantonyboysts13@gmail.com </t>
  </si>
  <si>
    <t>0214</t>
  </si>
  <si>
    <t>02298</t>
  </si>
  <si>
    <t xml:space="preserve">Rockland Watta, Magalkanda, Maggona </t>
  </si>
  <si>
    <t>2024.09.02</t>
  </si>
  <si>
    <t>2024.09.13</t>
  </si>
  <si>
    <r>
      <t xml:space="preserve">077 6465647 075 2030269 </t>
    </r>
    <r>
      <rPr>
        <b/>
        <sz val="11"/>
        <color theme="1"/>
        <rFont val="Cambria"/>
        <family val="1"/>
        <scheme val="major"/>
      </rPr>
      <t>076 7368590</t>
    </r>
  </si>
  <si>
    <t xml:space="preserve">mellawagedararcps@gmail.com </t>
  </si>
  <si>
    <t>2024.08.15</t>
  </si>
  <si>
    <t>031-2283033</t>
  </si>
  <si>
    <t xml:space="preserve">sebastianmvenderamulla@gmail.com </t>
  </si>
  <si>
    <t>071-6486063 076-6663297</t>
  </si>
  <si>
    <t>2024.08.27</t>
  </si>
  <si>
    <t>011-2183466</t>
  </si>
  <si>
    <t>00435</t>
  </si>
  <si>
    <t xml:space="preserve">dampejuniorschool@gmail.com </t>
  </si>
  <si>
    <t>M. L. M. Rajapaksa</t>
  </si>
  <si>
    <t>071-9500677</t>
  </si>
  <si>
    <t xml:space="preserve">No. 129, Sarvodaya  Mawatha, Madapatha </t>
  </si>
  <si>
    <t xml:space="preserve">Dikowita Sastraloka Vidyalaya
</t>
  </si>
  <si>
    <t>N. A. M. S. Gunatilaka</t>
  </si>
  <si>
    <t xml:space="preserve">No. 42/3/A, Nadi Uyana, Peris Mawatha, Borelasgamuwa </t>
  </si>
  <si>
    <t>011-2957051</t>
  </si>
  <si>
    <t xml:space="preserve">negzonal.je1557@gmail.com </t>
  </si>
  <si>
    <t>01557</t>
  </si>
  <si>
    <t xml:space="preserve">No. 413/1, Polpitimukalana, Kandana </t>
  </si>
  <si>
    <t>00216</t>
  </si>
  <si>
    <t>No. 100/1, St. James Street, Colombo 15</t>
  </si>
  <si>
    <t xml:space="preserve">Christian </t>
  </si>
  <si>
    <t xml:space="preserve">negzonal.ka1402@gmail.com </t>
  </si>
  <si>
    <t xml:space="preserve">No. 80, Gurugewatta, Hospital Road, Dankotuwa </t>
  </si>
  <si>
    <t>negzonal.ka1385@gmail.com</t>
  </si>
  <si>
    <t>Schools in Western Province 1951 - 1960</t>
  </si>
  <si>
    <t>Section</t>
  </si>
  <si>
    <t xml:space="preserve">No </t>
  </si>
  <si>
    <t xml:space="preserve">Name of School </t>
  </si>
  <si>
    <t xml:space="preserve">Management </t>
  </si>
  <si>
    <t xml:space="preserve">Class </t>
  </si>
  <si>
    <t>Grade</t>
  </si>
  <si>
    <t xml:space="preserve">Situation </t>
  </si>
  <si>
    <t xml:space="preserve">Post Town </t>
  </si>
  <si>
    <t>I. English Schools</t>
  </si>
  <si>
    <t xml:space="preserve">C/S. Mary's Polwatta </t>
  </si>
  <si>
    <t>RC</t>
  </si>
  <si>
    <t>G</t>
  </si>
  <si>
    <t>Colombo Municipality</t>
  </si>
  <si>
    <t>Colombo 03</t>
  </si>
  <si>
    <t>II. Sinhalese Schools</t>
  </si>
  <si>
    <t xml:space="preserve">C/Chekku Street </t>
  </si>
  <si>
    <t>M</t>
  </si>
  <si>
    <t>J</t>
  </si>
  <si>
    <t>Colombo 11</t>
  </si>
  <si>
    <t xml:space="preserve">III . Tamil Schools </t>
  </si>
  <si>
    <t>C/ St. Lucias', Hill Street</t>
  </si>
  <si>
    <t>B</t>
  </si>
  <si>
    <t>P</t>
  </si>
  <si>
    <t>Colombo 13</t>
  </si>
  <si>
    <t xml:space="preserve">IV. Estate Schools </t>
  </si>
  <si>
    <t>V. Pirivenas</t>
  </si>
  <si>
    <t>VI. Night Schools</t>
  </si>
  <si>
    <t xml:space="preserve">negzonal.ng1372@gmail.com </t>
  </si>
  <si>
    <t xml:space="preserve"> M. Theja Deepika </t>
  </si>
  <si>
    <t xml:space="preserve">Pradeep Morters, Daluwakotuwa , Kochchikade </t>
  </si>
  <si>
    <t>2024.08.31</t>
  </si>
  <si>
    <t xml:space="preserve">No- 10/159, Pamunuwila Gardernes, Pamunuwila, Gonawala </t>
  </si>
  <si>
    <t xml:space="preserve">betepolaprimary@gmail.com </t>
  </si>
  <si>
    <t xml:space="preserve">L. G. 16, Colombo Road, Divulapitiya </t>
  </si>
  <si>
    <t>2024.07.17</t>
  </si>
  <si>
    <t xml:space="preserve">G. C. C. Peris </t>
  </si>
  <si>
    <t>071-4444389</t>
  </si>
  <si>
    <t xml:space="preserve">No. 102/14, Solaman Mawatha, Panadura </t>
  </si>
  <si>
    <t>2024.09.05</t>
  </si>
  <si>
    <t>2024.09.09</t>
  </si>
  <si>
    <t>011-2918679</t>
  </si>
  <si>
    <t xml:space="preserve">Dushanthi </t>
  </si>
  <si>
    <t>071-0590323</t>
  </si>
  <si>
    <t xml:space="preserve">Our Lady of Madhu Church, Suduwella,                 Ja-ela </t>
  </si>
  <si>
    <t>2024.10.28</t>
  </si>
  <si>
    <t xml:space="preserve">athiripitiyapv@gmail.com </t>
  </si>
  <si>
    <t>01129</t>
  </si>
  <si>
    <t xml:space="preserve">P. S. Upathissa </t>
  </si>
  <si>
    <t>071-4500563</t>
  </si>
  <si>
    <t xml:space="preserve">No. 40, Parakkrama Road, Mattumagala, Ragama </t>
  </si>
  <si>
    <t xml:space="preserve">negzonalka1411@gmail.com </t>
  </si>
  <si>
    <t>01411</t>
  </si>
  <si>
    <t>2024.10.13</t>
  </si>
  <si>
    <t>2024.10.15</t>
  </si>
  <si>
    <t>Madampitiya Road, Mutwal,                     Colombo 15</t>
  </si>
  <si>
    <t>2024.10.02</t>
  </si>
  <si>
    <t>2024.10.21</t>
  </si>
  <si>
    <t>2024.09.30</t>
  </si>
  <si>
    <t xml:space="preserve">Muruthana, Kochchikade   </t>
  </si>
  <si>
    <t>01407</t>
  </si>
  <si>
    <t>2024.10.10</t>
  </si>
  <si>
    <t>2024.10.09</t>
  </si>
  <si>
    <t>St. Rita's Road, Ratmalana</t>
  </si>
  <si>
    <t>2024.08.29</t>
  </si>
  <si>
    <t xml:space="preserve">075-7323271 070-5137161                                     </t>
  </si>
  <si>
    <t>High Level Road, Nugegoda</t>
  </si>
  <si>
    <t>2024.10.07</t>
  </si>
  <si>
    <t>070-7235064</t>
  </si>
  <si>
    <t>01354</t>
  </si>
  <si>
    <t xml:space="preserve">M. A.  Sewani Dabarera </t>
  </si>
  <si>
    <t xml:space="preserve">Muruthana Kanishta  V. 
</t>
  </si>
  <si>
    <t>St. Mary's Lane, Mattakkuliya, Colombo 15</t>
  </si>
  <si>
    <t>2024.09.10</t>
  </si>
  <si>
    <t xml:space="preserve">dalugamafrancismv@gmail.com </t>
  </si>
  <si>
    <t xml:space="preserve">2                 </t>
  </si>
  <si>
    <t>2024.09.19</t>
  </si>
  <si>
    <t xml:space="preserve">T. B. D. U. Thilani Darmappriya </t>
  </si>
  <si>
    <t>071-449568</t>
  </si>
  <si>
    <t>No. 40/5/1/1, Yatiyana Watta Road, Hadigama, Piliyandala</t>
  </si>
  <si>
    <t>2024.10.01</t>
  </si>
  <si>
    <t xml:space="preserve">goodshepherdbmv@yahoo.com </t>
  </si>
  <si>
    <t>036-2250494</t>
  </si>
  <si>
    <t>00326</t>
  </si>
  <si>
    <t xml:space="preserve">H. D. Shashika N. Hettiarachchi </t>
  </si>
  <si>
    <t>077-8781492</t>
  </si>
  <si>
    <t>No. 256/B11, Labugama Road, Niripola, Hanwella</t>
  </si>
  <si>
    <t>2024.09.25</t>
  </si>
  <si>
    <t>Kerawalapitiya, Hendala, Wattala</t>
  </si>
  <si>
    <t xml:space="preserve">No. 75/B, Lasaras Mawatha, Elpitiwala, Ragama </t>
  </si>
  <si>
    <t>2024.09.20</t>
  </si>
  <si>
    <t>Negombo Road, Wattala</t>
  </si>
  <si>
    <t xml:space="preserve">principalrctwattala@gmail.com </t>
  </si>
  <si>
    <t>01326</t>
  </si>
  <si>
    <t xml:space="preserve">No. 703/6, Eksath Mawatha, Gongithota, Enderamulla </t>
  </si>
  <si>
    <t xml:space="preserve">No. 95, St. Anthony's Mawatha, Dabuwa, Ragama </t>
  </si>
  <si>
    <t>2024.09.24</t>
  </si>
  <si>
    <t xml:space="preserve">Makewita Pandukabaya P. V.
</t>
  </si>
  <si>
    <t>071-4572405</t>
  </si>
  <si>
    <t xml:space="preserve">gmpandukabhayakv@gmail.com </t>
  </si>
  <si>
    <t>01171</t>
  </si>
  <si>
    <t xml:space="preserve">D. V. I. L. Dickwella </t>
  </si>
  <si>
    <t xml:space="preserve">No. 339/F, Galahitiyawa  South, Ganemulla </t>
  </si>
  <si>
    <t xml:space="preserve">Kepungoda St. Anthony's  V.
</t>
  </si>
  <si>
    <t>01347</t>
  </si>
  <si>
    <t>01541</t>
  </si>
  <si>
    <t>2024.09.18</t>
  </si>
  <si>
    <t xml:space="preserve">Annet Sugana Antonypillai </t>
  </si>
  <si>
    <t>071-8278755</t>
  </si>
  <si>
    <t xml:space="preserve">No. 218 2/4, Jaya Mawatha, Dippitigoda, Kelaniya </t>
  </si>
  <si>
    <t>2024.09.17</t>
  </si>
  <si>
    <t>00003</t>
  </si>
  <si>
    <t>2024.09.26</t>
  </si>
  <si>
    <t>00001</t>
  </si>
  <si>
    <t>Remind 2024.11.11</t>
  </si>
  <si>
    <t>075-9992290</t>
  </si>
  <si>
    <t>SLTS 1</t>
  </si>
  <si>
    <t>maththumagalarcc@gmail.com</t>
  </si>
  <si>
    <t>01021</t>
  </si>
  <si>
    <t>2024.10.30</t>
  </si>
  <si>
    <t xml:space="preserve">W. H. I. Perera </t>
  </si>
  <si>
    <t>071-7253842</t>
  </si>
  <si>
    <t xml:space="preserve">No. 88, Parakrama Road, Galudapita, Ragama </t>
  </si>
  <si>
    <t>2024.11.06</t>
  </si>
  <si>
    <t>remind 2024.11.28</t>
  </si>
  <si>
    <t>negzonal.ng1358@gmail.com</t>
  </si>
  <si>
    <t xml:space="preserve">H. Achini Abesekara </t>
  </si>
  <si>
    <t>071-8089051</t>
  </si>
  <si>
    <t xml:space="preserve">R. K. I. H. Ranasinghe </t>
  </si>
  <si>
    <t>071-1155433</t>
  </si>
  <si>
    <t>No. 131/20/2, Oruthota Road, Mudungoda</t>
  </si>
  <si>
    <t xml:space="preserve">negzonal.ka1584@gmail.com </t>
  </si>
  <si>
    <t>01584</t>
  </si>
  <si>
    <t xml:space="preserve">M. R. Filision </t>
  </si>
  <si>
    <t xml:space="preserve">No. 534/19/3, 1st Lane Prison Road, Dalupotha, Negombo </t>
  </si>
  <si>
    <t>2024.11.18</t>
  </si>
  <si>
    <t xml:space="preserve">GA 2  </t>
  </si>
  <si>
    <t>15.01.1962</t>
  </si>
  <si>
    <t>GA 3</t>
  </si>
  <si>
    <t>06.04.1963</t>
  </si>
  <si>
    <t xml:space="preserve">GA 4                        </t>
  </si>
  <si>
    <t>GA 5</t>
  </si>
  <si>
    <t>CA 2</t>
  </si>
  <si>
    <t>KA 2</t>
  </si>
  <si>
    <t xml:space="preserve">GB 1               </t>
  </si>
  <si>
    <t>GB 2</t>
  </si>
  <si>
    <t xml:space="preserve">GD 4           </t>
  </si>
  <si>
    <t xml:space="preserve"> GD 5</t>
  </si>
  <si>
    <t>GD 10</t>
  </si>
  <si>
    <t xml:space="preserve">CL 3                   </t>
  </si>
  <si>
    <t xml:space="preserve">19.10.1962   </t>
  </si>
  <si>
    <t xml:space="preserve">Tamil      </t>
  </si>
  <si>
    <t xml:space="preserve"> _                       503                </t>
  </si>
  <si>
    <t xml:space="preserve">_                                     401                                </t>
  </si>
  <si>
    <t xml:space="preserve">_                           79.72                 </t>
  </si>
  <si>
    <t xml:space="preserve">203                         379                 </t>
  </si>
  <si>
    <t xml:space="preserve">194                           347                               </t>
  </si>
  <si>
    <t xml:space="preserve">95.56       91.55          </t>
  </si>
  <si>
    <t xml:space="preserve"> CL 4</t>
  </si>
  <si>
    <t xml:space="preserve"> 8.12.1962</t>
  </si>
  <si>
    <t xml:space="preserve">    Sinhala</t>
  </si>
  <si>
    <t xml:space="preserve">    18     19</t>
  </si>
  <si>
    <t>Welivita, Kaduwela</t>
  </si>
  <si>
    <t>Welivita St. Mary's M. V.
Welivita, Kaduwela</t>
  </si>
  <si>
    <t>Timali Law</t>
  </si>
  <si>
    <t>077-5601187</t>
  </si>
  <si>
    <t xml:space="preserve">M. Suneetha Samarakoon </t>
  </si>
  <si>
    <t>Mutwal St. Anthony's G. M. V. 
Mutwal</t>
  </si>
  <si>
    <t>Kepungoda St. Anthony's  K. V.
Kepungoda, Pamunugama</t>
  </si>
  <si>
    <t>Kirimatiyagara Holy Family G. M. V. 
Kirimatiyagara, Kadawatha</t>
  </si>
  <si>
    <t xml:space="preserve">Kirimatiyagara Holy Family G. M. V. 
</t>
  </si>
  <si>
    <t>W. A. Eshani Wanigasekara</t>
  </si>
  <si>
    <t>070-7202791  071-8202791</t>
  </si>
  <si>
    <t xml:space="preserve"> 20     21 </t>
  </si>
  <si>
    <t>C. Srimali Colobage</t>
  </si>
  <si>
    <t>071-6057547</t>
  </si>
  <si>
    <t xml:space="preserve">No. 402, Munidasa Kumarathunga Mawatha, Kurana, Katunayake </t>
  </si>
  <si>
    <t xml:space="preserve">   22          23         24    25</t>
  </si>
  <si>
    <t>15/10/2025</t>
  </si>
  <si>
    <t>2025 August 26</t>
  </si>
  <si>
    <t>2025 September 11</t>
  </si>
  <si>
    <t xml:space="preserve">Dungalpitiya Junior Secondary Vidyalaya
</t>
  </si>
  <si>
    <t>Dungalpitiya  Junior Secondary Vidyalaya
Dungalpitiya, Thalahena, Negombo</t>
  </si>
  <si>
    <t>2025.08.26</t>
  </si>
  <si>
    <t>2025.09.09</t>
  </si>
  <si>
    <t>070-7235064                                077-0235064</t>
  </si>
  <si>
    <t xml:space="preserve">Delathura Junior Secendary Vidyalaya
</t>
  </si>
  <si>
    <t>Delathura Junior Secendary Vidyalaya
Delatura, Ja-ela</t>
  </si>
  <si>
    <t>2025.10.20</t>
  </si>
  <si>
    <t>01364</t>
  </si>
  <si>
    <t xml:space="preserve">  Main Street, Negombo                         </t>
  </si>
  <si>
    <t xml:space="preserve">Aruna Lakmal Vithanage </t>
  </si>
  <si>
    <t>071-8043928</t>
  </si>
  <si>
    <t xml:space="preserve">Katana Mariya Rajinie K. V.
</t>
  </si>
  <si>
    <t>Katana Mariya Rajinie K. V.
Katana</t>
  </si>
  <si>
    <t xml:space="preserve">M. D. Harshani B.  Wicramasooriya </t>
  </si>
  <si>
    <t>2025.10.22</t>
  </si>
  <si>
    <t>D. Thulya R. Senadhira</t>
  </si>
  <si>
    <t>077-3561975 071-8240835</t>
  </si>
  <si>
    <t xml:space="preserve">No. 1/33, St. Anne's Church Road, Weligampitiya, Ja-ela </t>
  </si>
  <si>
    <t>2025.09.12</t>
  </si>
  <si>
    <t>2025.09.15</t>
  </si>
  <si>
    <t>2025.09.01</t>
  </si>
  <si>
    <t>2025.09.19</t>
  </si>
  <si>
    <t>01366</t>
  </si>
  <si>
    <t>2025.10.03</t>
  </si>
  <si>
    <t>077-3656087</t>
  </si>
  <si>
    <t xml:space="preserve">K. Maleena S. Fernando </t>
  </si>
  <si>
    <t xml:space="preserve">No. 86/8, St. Nichola's Road, Munnakkaraya, Negambo </t>
  </si>
  <si>
    <t>077-5381129</t>
  </si>
  <si>
    <t>2025 Statistics - Posted</t>
  </si>
  <si>
    <t xml:space="preserve">2025 Statistics - Sent to Office </t>
  </si>
  <si>
    <t>2025.10.30</t>
  </si>
  <si>
    <t>11.04.962</t>
  </si>
  <si>
    <t xml:space="preserve">Dampe R. C. S. M. S. Madapatha </t>
  </si>
  <si>
    <t xml:space="preserve"> CD 5</t>
  </si>
  <si>
    <t>13, 319</t>
  </si>
  <si>
    <t>1.10.1962</t>
  </si>
  <si>
    <t xml:space="preserve">Sujith Wanniarachchi </t>
  </si>
  <si>
    <t>077-7143394</t>
  </si>
  <si>
    <t xml:space="preserve">M. W. M. L. S. Mathmaluwa </t>
  </si>
  <si>
    <t>No. 125/8, Sri Gunanda Mawatha,    Colombo 13</t>
  </si>
  <si>
    <t>071-9215262</t>
  </si>
  <si>
    <t xml:space="preserve">P. I. Arundathi Pinnaduwa </t>
  </si>
  <si>
    <t xml:space="preserve"> 36     37</t>
  </si>
  <si>
    <t>KK  5</t>
  </si>
  <si>
    <t>15.06.1962</t>
  </si>
  <si>
    <t>KP 5</t>
  </si>
  <si>
    <t>KW 1</t>
  </si>
  <si>
    <t>21.05.1962</t>
  </si>
  <si>
    <t>KW 2</t>
  </si>
  <si>
    <t>10.08.1962</t>
  </si>
  <si>
    <t>Avissawella St. Mary's  College  S. M. S.</t>
  </si>
  <si>
    <t>13.07.1962</t>
  </si>
  <si>
    <t>27.12.1962</t>
  </si>
  <si>
    <t>Borella  All Saints College &amp;  All Saints   S. M. S.</t>
  </si>
  <si>
    <t xml:space="preserve">Borella All Saints R. C. T. M. S.                                          </t>
  </si>
  <si>
    <t>Bambalapitiya R. C. T. M. S. &amp;  R. C. S. M. S</t>
  </si>
  <si>
    <t>13.06.1962</t>
  </si>
  <si>
    <t>KB 1</t>
  </si>
  <si>
    <t>05.01.1962</t>
  </si>
  <si>
    <t>KB 2</t>
  </si>
  <si>
    <t>30.12.1961</t>
  </si>
  <si>
    <t>KB 3</t>
  </si>
  <si>
    <t>KD 2</t>
  </si>
  <si>
    <t>KD 3</t>
  </si>
  <si>
    <t>Diyalagoda R. C. T. M. S.</t>
  </si>
  <si>
    <t>KD 4</t>
  </si>
  <si>
    <t>26.04.1963</t>
  </si>
  <si>
    <t>21.03.1962</t>
  </si>
  <si>
    <t xml:space="preserve">Kalamulla R. C. S. B. S. </t>
  </si>
  <si>
    <t>KK 1</t>
  </si>
  <si>
    <t>KK 2</t>
  </si>
  <si>
    <t>KK 3</t>
  </si>
  <si>
    <t>06.04.1962</t>
  </si>
  <si>
    <t>KK  4</t>
  </si>
  <si>
    <t>29.05.1962</t>
  </si>
  <si>
    <t>KM 2</t>
  </si>
  <si>
    <t xml:space="preserve">Maggona  S. B. S. /T. B. S. /Refomatory </t>
  </si>
  <si>
    <t>KM 3</t>
  </si>
  <si>
    <t>KM 1</t>
  </si>
  <si>
    <t>29.11.1961</t>
  </si>
  <si>
    <t>KM 6</t>
  </si>
  <si>
    <t>02.04.1965</t>
  </si>
  <si>
    <t>28.03.1962</t>
  </si>
  <si>
    <t>Panadura R. C. S. M. S. /                                              St. Anthony's  College</t>
  </si>
  <si>
    <t>2025.10.27</t>
  </si>
  <si>
    <t>01380</t>
  </si>
  <si>
    <t xml:space="preserve">  negzonal.je1567@gmail.com</t>
  </si>
  <si>
    <t>01567</t>
  </si>
  <si>
    <t xml:space="preserve"> No. 90 D, Mabima, Makevita, Ja-ela </t>
  </si>
  <si>
    <t>2025.11.06</t>
  </si>
  <si>
    <t>2025.10.31</t>
  </si>
  <si>
    <t xml:space="preserve">ngzonal.ka1403@gmail.com </t>
  </si>
  <si>
    <t xml:space="preserve">T. I. E. Mohotti </t>
  </si>
  <si>
    <t>077-2258148</t>
  </si>
  <si>
    <t>No. 170/1/A, Kotarupe, Raddolugama</t>
  </si>
  <si>
    <t>2025.11.04</t>
  </si>
  <si>
    <t xml:space="preserve">St. Peter's Kanishta Vidyalaya
Basiyawatte, Thalahena </t>
  </si>
  <si>
    <t xml:space="preserve">Basiyawatte, Thalahena </t>
  </si>
  <si>
    <t>01357</t>
  </si>
  <si>
    <t xml:space="preserve">N. A. N. Dilani Nishshanka </t>
  </si>
  <si>
    <t>2025.12.</t>
  </si>
  <si>
    <t xml:space="preserve">Rev. Fr. A. V. Alfred </t>
  </si>
  <si>
    <t>077-9559160</t>
  </si>
  <si>
    <t>St. Anne's Church, No. 121, Sri Kathiresan Street, Colombo 13</t>
  </si>
  <si>
    <t>OMI</t>
  </si>
  <si>
    <t xml:space="preserve">Hasika Rathnayake </t>
  </si>
  <si>
    <t>071-1147000</t>
  </si>
  <si>
    <t xml:space="preserve"> Mery Priyanka  A.C</t>
  </si>
  <si>
    <t xml:space="preserve">St. Theresa's Convent, St. Anthony's Mawatha, Kollupitiya </t>
  </si>
  <si>
    <t xml:space="preserve">F. N. Priyadarshani Pigera </t>
  </si>
  <si>
    <t>077-6613671</t>
  </si>
  <si>
    <t xml:space="preserve">No. 18/1, Battaramulla Road, Ethul Kotte </t>
  </si>
  <si>
    <t>SLPS III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</si>
</sst>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/mmm/yyyy;@"/>
    <numFmt numFmtId="165" formatCode="[$-F800]dddd\,\ mmmm\ dd\,\ yyyy"/>
    <numFmt numFmtId="166" formatCode="[$-409]d\-mmm\-yyyy;@"/>
    <numFmt numFmtId="167" formatCode="[$-409]d/mmm;@"/>
    <numFmt numFmtId="168" formatCode="[$-409]dddd\,\ mmmm\ d\,\ yyyy"/>
  </numFmts>
  <fonts count="54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0"/>
      <color theme="1"/>
      <name val="Cambria"/>
      <family val="1"/>
    </font>
    <font>
      <sz val="11"/>
      <color rgb="FFFF0000"/>
      <name val="Cambria"/>
      <family val="1"/>
    </font>
    <font>
      <b/>
      <sz val="11"/>
      <color rgb="FFFF0000"/>
      <name val="Cambria"/>
      <family val="1"/>
    </font>
    <font>
      <b/>
      <sz val="48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1"/>
      <color theme="1"/>
      <name val="Cambria"/>
      <family val="1"/>
      <scheme val="major"/>
    </font>
    <font>
      <u/>
      <sz val="11"/>
      <color theme="10"/>
      <name val="Calibri"/>
      <family val="2"/>
    </font>
    <font>
      <sz val="11"/>
      <name val="Cambria"/>
      <family val="1"/>
      <scheme val="major"/>
    </font>
    <font>
      <sz val="11"/>
      <color rgb="FFFF0000"/>
      <name val="Cambria"/>
      <family val="1"/>
      <scheme val="maj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mbria"/>
      <family val="1"/>
      <scheme val="major"/>
    </font>
    <font>
      <sz val="8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1"/>
      <color rgb="FFFF0000"/>
      <name val="Franklin Gothic Heavy"/>
      <family val="2"/>
    </font>
    <font>
      <sz val="11"/>
      <color rgb="FFC00000"/>
      <name val="Cambria"/>
      <family val="1"/>
      <scheme val="major"/>
    </font>
    <font>
      <b/>
      <sz val="15"/>
      <color theme="1"/>
      <name val="Cambria"/>
      <family val="1"/>
      <scheme val="major"/>
    </font>
    <font>
      <b/>
      <sz val="15"/>
      <color rgb="FFFF0000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u/>
      <sz val="11"/>
      <name val="Calibri"/>
      <family val="2"/>
    </font>
    <font>
      <u/>
      <sz val="11"/>
      <color theme="1"/>
      <name val="Calibri"/>
      <family val="2"/>
    </font>
    <font>
      <u/>
      <sz val="10"/>
      <color theme="10"/>
      <name val="Calibri"/>
      <family val="2"/>
    </font>
    <font>
      <b/>
      <sz val="12"/>
      <color theme="1"/>
      <name val="Cambria"/>
      <family val="1"/>
    </font>
    <font>
      <u/>
      <sz val="11"/>
      <color theme="10"/>
      <name val="Cambria"/>
      <family val="1"/>
    </font>
    <font>
      <u/>
      <sz val="11"/>
      <name val="Cambria"/>
      <family val="1"/>
    </font>
    <font>
      <b/>
      <sz val="9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rgb="FFC00000"/>
      <name val="Cambria"/>
      <family val="1"/>
    </font>
    <font>
      <b/>
      <sz val="11"/>
      <color rgb="FFC00000"/>
      <name val="Cambria"/>
      <family val="1"/>
    </font>
    <font>
      <b/>
      <sz val="28"/>
      <color theme="1"/>
      <name val="Cordia New"/>
      <family val="2"/>
      <charset val="222"/>
    </font>
    <font>
      <b/>
      <sz val="28"/>
      <color theme="1"/>
      <name val="Cambria"/>
      <family val="1"/>
    </font>
    <font>
      <b/>
      <sz val="26"/>
      <color theme="1"/>
      <name val="Cordia New"/>
      <family val="2"/>
      <charset val="222"/>
    </font>
    <font>
      <b/>
      <sz val="26"/>
      <color theme="1"/>
      <name val="Cambria"/>
      <family val="1"/>
    </font>
    <font>
      <b/>
      <sz val="18"/>
      <color theme="1"/>
      <name val="Cambria"/>
      <family val="1"/>
      <scheme val="major"/>
    </font>
    <font>
      <b/>
      <sz val="24"/>
      <color theme="1"/>
      <name val="Cambria"/>
      <family val="1"/>
      <scheme val="major"/>
    </font>
    <font>
      <b/>
      <sz val="24"/>
      <color theme="1"/>
      <name val="Cordia New"/>
      <family val="2"/>
      <charset val="222"/>
    </font>
    <font>
      <b/>
      <sz val="24"/>
      <color theme="1"/>
      <name val="Cambria"/>
      <family val="1"/>
    </font>
    <font>
      <b/>
      <sz val="22"/>
      <color theme="1"/>
      <name val="Cambria"/>
      <family val="1"/>
      <scheme val="major"/>
    </font>
    <font>
      <sz val="11"/>
      <color rgb="FFC00000"/>
      <name val="Calibri"/>
      <family val="2"/>
      <scheme val="minor"/>
    </font>
    <font>
      <sz val="12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8"/>
      <name val="Calibri"/>
      <family val="2"/>
      <scheme val="minor"/>
    </font>
    <font>
      <u/>
      <sz val="11"/>
      <color rgb="FFFF0000"/>
      <name val="Calibri"/>
      <family val="2"/>
    </font>
    <font>
      <b/>
      <sz val="10"/>
      <color rgb="FFFF000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9" tint="-0.499984740745262"/>
      </left>
      <right style="thin">
        <color indexed="64"/>
      </right>
      <top style="thin">
        <color theme="9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 tint="-0.499984740745262"/>
      </left>
      <right style="thin">
        <color indexed="64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9" tint="-0.499984740745262"/>
      </right>
      <top/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9" tint="-0.499984740745262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1082">
    <xf numFmtId="0" fontId="0" fillId="0" borderId="0" xfId="0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left" vertical="center"/>
    </xf>
    <xf numFmtId="0" fontId="2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49" fontId="11" fillId="2" borderId="6" xfId="0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/>
    </xf>
    <xf numFmtId="0" fontId="12" fillId="0" borderId="9" xfId="1" applyFill="1" applyBorder="1" applyAlignment="1" applyProtection="1">
      <alignment horizontal="center" vertical="center"/>
    </xf>
    <xf numFmtId="49" fontId="11" fillId="0" borderId="9" xfId="0" applyNumberFormat="1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left" vertical="center" wrapText="1"/>
    </xf>
    <xf numFmtId="164" fontId="11" fillId="0" borderId="9" xfId="0" applyNumberFormat="1" applyFont="1" applyFill="1" applyBorder="1" applyAlignment="1">
      <alignment horizontal="center" vertical="center"/>
    </xf>
    <xf numFmtId="0" fontId="11" fillId="0" borderId="9" xfId="0" applyNumberFormat="1" applyFont="1" applyFill="1" applyBorder="1" applyAlignment="1">
      <alignment horizontal="center" vertical="center"/>
    </xf>
    <xf numFmtId="165" fontId="11" fillId="0" borderId="9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1" applyFill="1" applyBorder="1" applyAlignment="1" applyProtection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/>
    </xf>
    <xf numFmtId="164" fontId="11" fillId="0" borderId="1" xfId="0" applyNumberFormat="1" applyFont="1" applyFill="1" applyBorder="1" applyAlignment="1">
      <alignment horizontal="center" vertical="center"/>
    </xf>
    <xf numFmtId="49" fontId="11" fillId="2" borderId="9" xfId="0" applyNumberFormat="1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11" fillId="0" borderId="9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11" fillId="0" borderId="9" xfId="0" quotePrefix="1" applyFon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12" fillId="2" borderId="1" xfId="1" applyFill="1" applyBorder="1" applyAlignment="1" applyProtection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 wrapText="1"/>
    </xf>
    <xf numFmtId="0" fontId="11" fillId="0" borderId="1" xfId="0" quotePrefix="1" applyFont="1" applyFill="1" applyBorder="1" applyAlignment="1">
      <alignment horizontal="center" vertical="center" wrapText="1"/>
    </xf>
    <xf numFmtId="0" fontId="10" fillId="2" borderId="1" xfId="0" applyFont="1" applyFill="1" applyBorder="1"/>
    <xf numFmtId="0" fontId="14" fillId="2" borderId="1" xfId="0" applyFont="1" applyFill="1" applyBorder="1"/>
    <xf numFmtId="2" fontId="13" fillId="0" borderId="9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166" fontId="11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13" fillId="0" borderId="1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2" fontId="13" fillId="2" borderId="9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/>
    <xf numFmtId="0" fontId="15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1" fillId="0" borderId="1" xfId="0" applyFont="1" applyFill="1" applyBorder="1"/>
    <xf numFmtId="0" fontId="15" fillId="0" borderId="1" xfId="0" applyFont="1" applyFill="1" applyBorder="1" applyAlignment="1">
      <alignment horizontal="center" vertical="center"/>
    </xf>
    <xf numFmtId="2" fontId="13" fillId="0" borderId="1" xfId="0" applyNumberFormat="1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165" fontId="11" fillId="2" borderId="13" xfId="0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left" vertical="center"/>
    </xf>
    <xf numFmtId="0" fontId="10" fillId="2" borderId="6" xfId="0" applyFont="1" applyFill="1" applyBorder="1"/>
    <xf numFmtId="0" fontId="14" fillId="2" borderId="6" xfId="0" applyFont="1" applyFill="1" applyBorder="1"/>
    <xf numFmtId="0" fontId="14" fillId="2" borderId="6" xfId="0" applyFont="1" applyFill="1" applyBorder="1" applyAlignment="1">
      <alignment horizontal="center"/>
    </xf>
    <xf numFmtId="0" fontId="10" fillId="0" borderId="1" xfId="0" applyFont="1" applyFill="1" applyBorder="1"/>
    <xf numFmtId="0" fontId="11" fillId="0" borderId="1" xfId="0" applyFont="1" applyBorder="1" applyAlignment="1">
      <alignment horizontal="center" vertical="center"/>
    </xf>
    <xf numFmtId="0" fontId="14" fillId="0" borderId="1" xfId="0" applyFont="1" applyFill="1" applyBorder="1"/>
    <xf numFmtId="0" fontId="13" fillId="0" borderId="1" xfId="0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7" xfId="0" applyFont="1" applyFill="1" applyBorder="1" applyAlignment="1">
      <alignment vertical="center"/>
    </xf>
    <xf numFmtId="49" fontId="13" fillId="0" borderId="9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1" fillId="0" borderId="1" xfId="0" applyFont="1" applyFill="1" applyBorder="1" applyAlignment="1">
      <alignment vertical="center"/>
    </xf>
    <xf numFmtId="0" fontId="11" fillId="0" borderId="9" xfId="0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center"/>
    </xf>
    <xf numFmtId="0" fontId="11" fillId="0" borderId="0" xfId="0" applyFont="1" applyFill="1" applyAlignment="1">
      <alignment horizontal="center" vertical="center"/>
    </xf>
    <xf numFmtId="166" fontId="11" fillId="0" borderId="1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wrapText="1"/>
    </xf>
    <xf numFmtId="0" fontId="14" fillId="0" borderId="7" xfId="0" applyFont="1" applyFill="1" applyBorder="1"/>
    <xf numFmtId="49" fontId="13" fillId="0" borderId="9" xfId="0" applyNumberFormat="1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vertical="center"/>
    </xf>
    <xf numFmtId="0" fontId="11" fillId="0" borderId="53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/>
    </xf>
    <xf numFmtId="0" fontId="12" fillId="0" borderId="6" xfId="1" applyFill="1" applyBorder="1" applyAlignment="1" applyProtection="1">
      <alignment horizontal="center" vertical="center"/>
    </xf>
    <xf numFmtId="0" fontId="11" fillId="0" borderId="5" xfId="0" applyFont="1" applyFill="1" applyBorder="1" applyAlignment="1">
      <alignment horizontal="center" vertical="center" wrapText="1"/>
    </xf>
    <xf numFmtId="0" fontId="9" fillId="2" borderId="54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165" fontId="22" fillId="2" borderId="54" xfId="0" applyNumberFormat="1" applyFont="1" applyFill="1" applyBorder="1" applyAlignment="1">
      <alignment vertical="center"/>
    </xf>
    <xf numFmtId="0" fontId="24" fillId="4" borderId="40" xfId="0" applyFont="1" applyFill="1" applyBorder="1" applyAlignment="1">
      <alignment horizontal="center" vertical="center"/>
    </xf>
    <xf numFmtId="164" fontId="24" fillId="4" borderId="23" xfId="0" applyNumberFormat="1" applyFont="1" applyFill="1" applyBorder="1" applyAlignment="1">
      <alignment horizontal="center" vertical="center" wrapText="1"/>
    </xf>
    <xf numFmtId="164" fontId="24" fillId="4" borderId="24" xfId="0" applyNumberFormat="1" applyFont="1" applyFill="1" applyBorder="1" applyAlignment="1">
      <alignment horizontal="center" vertical="center" wrapText="1"/>
    </xf>
    <xf numFmtId="164" fontId="24" fillId="4" borderId="25" xfId="0" applyNumberFormat="1" applyFont="1" applyFill="1" applyBorder="1" applyAlignment="1">
      <alignment horizontal="center" vertical="center" wrapText="1"/>
    </xf>
    <xf numFmtId="0" fontId="24" fillId="4" borderId="42" xfId="0" applyFont="1" applyFill="1" applyBorder="1" applyAlignment="1">
      <alignment horizontal="center" vertical="center"/>
    </xf>
    <xf numFmtId="0" fontId="14" fillId="0" borderId="12" xfId="0" applyFont="1" applyFill="1" applyBorder="1"/>
    <xf numFmtId="0" fontId="14" fillId="0" borderId="7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vertical="center" wrapText="1"/>
    </xf>
    <xf numFmtId="0" fontId="11" fillId="0" borderId="52" xfId="0" applyFont="1" applyFill="1" applyBorder="1" applyAlignment="1">
      <alignment horizontal="center" vertical="center"/>
    </xf>
    <xf numFmtId="0" fontId="26" fillId="0" borderId="9" xfId="1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>
      <alignment vertical="center" wrapText="1"/>
    </xf>
    <xf numFmtId="0" fontId="13" fillId="0" borderId="7" xfId="0" applyFont="1" applyFill="1" applyBorder="1" applyAlignment="1">
      <alignment horizontal="center" vertical="center"/>
    </xf>
    <xf numFmtId="0" fontId="12" fillId="0" borderId="13" xfId="1" applyFill="1" applyBorder="1" applyAlignment="1" applyProtection="1">
      <alignment horizontal="center" vertical="center"/>
    </xf>
    <xf numFmtId="49" fontId="11" fillId="0" borderId="13" xfId="0" applyNumberFormat="1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vertical="center" wrapText="1"/>
    </xf>
    <xf numFmtId="0" fontId="14" fillId="0" borderId="6" xfId="0" applyFont="1" applyFill="1" applyBorder="1"/>
    <xf numFmtId="49" fontId="11" fillId="0" borderId="6" xfId="0" applyNumberFormat="1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vertical="center"/>
    </xf>
    <xf numFmtId="0" fontId="11" fillId="0" borderId="5" xfId="0" applyFont="1" applyFill="1" applyBorder="1" applyAlignment="1">
      <alignment horizontal="center" vertical="center"/>
    </xf>
    <xf numFmtId="49" fontId="13" fillId="0" borderId="6" xfId="0" applyNumberFormat="1" applyFont="1" applyFill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27" fillId="0" borderId="1" xfId="1" applyFont="1" applyFill="1" applyBorder="1" applyAlignment="1" applyProtection="1">
      <alignment horizontal="center" vertical="center"/>
    </xf>
    <xf numFmtId="0" fontId="11" fillId="0" borderId="7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 wrapText="1"/>
    </xf>
    <xf numFmtId="0" fontId="28" fillId="0" borderId="1" xfId="1" applyFont="1" applyFill="1" applyBorder="1" applyAlignment="1" applyProtection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49" fontId="11" fillId="0" borderId="13" xfId="0" applyNumberFormat="1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vertical="center" wrapText="1"/>
    </xf>
    <xf numFmtId="0" fontId="13" fillId="0" borderId="5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/>
    </xf>
    <xf numFmtId="165" fontId="11" fillId="0" borderId="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2" borderId="12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center" vertical="center" wrapText="1"/>
    </xf>
    <xf numFmtId="0" fontId="14" fillId="0" borderId="9" xfId="0" applyFont="1" applyFill="1" applyBorder="1"/>
    <xf numFmtId="0" fontId="11" fillId="0" borderId="9" xfId="0" applyFont="1" applyBorder="1" applyAlignment="1">
      <alignment horizontal="center" vertical="center"/>
    </xf>
    <xf numFmtId="0" fontId="2" fillId="2" borderId="6" xfId="0" applyFont="1" applyFill="1" applyBorder="1" applyAlignment="1">
      <alignment wrapText="1"/>
    </xf>
    <xf numFmtId="0" fontId="2" fillId="2" borderId="7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3" fillId="2" borderId="7" xfId="0" applyFont="1" applyFill="1" applyBorder="1" applyAlignment="1">
      <alignment horizontal="left" wrapText="1"/>
    </xf>
    <xf numFmtId="0" fontId="3" fillId="2" borderId="12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0" fontId="2" fillId="2" borderId="12" xfId="0" applyFont="1" applyFill="1" applyBorder="1" applyAlignment="1">
      <alignment horizontal="left" wrapText="1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4" fillId="0" borderId="5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166" fontId="11" fillId="4" borderId="9" xfId="0" applyNumberFormat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left" vertical="center"/>
    </xf>
    <xf numFmtId="0" fontId="3" fillId="7" borderId="6" xfId="0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30" fillId="0" borderId="1" xfId="1" applyNumberFormat="1" applyFont="1" applyFill="1" applyBorder="1" applyAlignment="1" applyProtection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9" xfId="1" applyNumberFormat="1" applyFont="1" applyFill="1" applyBorder="1" applyAlignment="1" applyProtection="1">
      <alignment horizontal="center" vertical="center"/>
    </xf>
    <xf numFmtId="49" fontId="2" fillId="0" borderId="1" xfId="1" applyNumberFormat="1" applyFont="1" applyFill="1" applyBorder="1" applyAlignment="1" applyProtection="1">
      <alignment horizontal="center" vertical="center"/>
    </xf>
    <xf numFmtId="49" fontId="30" fillId="0" borderId="9" xfId="1" applyNumberFormat="1" applyFont="1" applyFill="1" applyBorder="1" applyAlignment="1" applyProtection="1">
      <alignment horizontal="center" vertical="center"/>
    </xf>
    <xf numFmtId="49" fontId="3" fillId="0" borderId="1" xfId="1" applyNumberFormat="1" applyFont="1" applyFill="1" applyBorder="1" applyAlignment="1" applyProtection="1">
      <alignment horizontal="center" vertical="center"/>
    </xf>
    <xf numFmtId="49" fontId="3" fillId="0" borderId="52" xfId="1" applyNumberFormat="1" applyFont="1" applyFill="1" applyBorder="1" applyAlignment="1" applyProtection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49" fontId="30" fillId="2" borderId="1" xfId="1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/>
    <xf numFmtId="49" fontId="3" fillId="0" borderId="1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30" fillId="0" borderId="6" xfId="1" applyNumberFormat="1" applyFont="1" applyFill="1" applyBorder="1" applyAlignment="1" applyProtection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wrapText="1"/>
    </xf>
    <xf numFmtId="0" fontId="2" fillId="0" borderId="7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/>
    </xf>
    <xf numFmtId="0" fontId="29" fillId="4" borderId="49" xfId="0" applyFont="1" applyFill="1" applyBorder="1" applyAlignment="1">
      <alignment horizontal="center" vertical="center" wrapText="1"/>
    </xf>
    <xf numFmtId="0" fontId="29" fillId="4" borderId="50" xfId="0" applyFont="1" applyFill="1" applyBorder="1" applyAlignment="1">
      <alignment horizontal="center" vertical="center" wrapText="1"/>
    </xf>
    <xf numFmtId="0" fontId="29" fillId="4" borderId="5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2" fillId="0" borderId="5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4" borderId="61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164" fontId="33" fillId="4" borderId="19" xfId="0" applyNumberFormat="1" applyFont="1" applyFill="1" applyBorder="1" applyAlignment="1">
      <alignment vertical="center" wrapText="1"/>
    </xf>
    <xf numFmtId="164" fontId="33" fillId="4" borderId="9" xfId="0" applyNumberFormat="1" applyFont="1" applyFill="1" applyBorder="1" applyAlignment="1">
      <alignment horizontal="center" vertical="center" wrapText="1"/>
    </xf>
    <xf numFmtId="164" fontId="33" fillId="4" borderId="54" xfId="0" applyNumberFormat="1" applyFont="1" applyFill="1" applyBorder="1" applyAlignment="1">
      <alignment vertical="center" wrapText="1"/>
    </xf>
    <xf numFmtId="0" fontId="34" fillId="4" borderId="9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vertical="center"/>
    </xf>
    <xf numFmtId="0" fontId="35" fillId="0" borderId="1" xfId="0" applyFont="1" applyFill="1" applyBorder="1" applyAlignment="1">
      <alignment horizontal="center" vertical="center" wrapText="1"/>
    </xf>
    <xf numFmtId="164" fontId="35" fillId="0" borderId="1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67" fontId="2" fillId="2" borderId="0" xfId="0" applyNumberFormat="1" applyFont="1" applyFill="1" applyBorder="1" applyAlignment="1">
      <alignment vertical="center"/>
    </xf>
    <xf numFmtId="167" fontId="24" fillId="4" borderId="1" xfId="0" applyNumberFormat="1" applyFont="1" applyFill="1" applyBorder="1" applyAlignment="1">
      <alignment horizontal="center" vertical="center"/>
    </xf>
    <xf numFmtId="167" fontId="24" fillId="4" borderId="31" xfId="0" applyNumberFormat="1" applyFont="1" applyFill="1" applyBorder="1" applyAlignment="1">
      <alignment horizontal="center" vertical="center"/>
    </xf>
    <xf numFmtId="167" fontId="0" fillId="2" borderId="6" xfId="0" applyNumberFormat="1" applyFill="1" applyBorder="1"/>
    <xf numFmtId="167" fontId="0" fillId="2" borderId="1" xfId="0" applyNumberFormat="1" applyFill="1" applyBorder="1"/>
    <xf numFmtId="167" fontId="0" fillId="0" borderId="1" xfId="0" applyNumberFormat="1" applyBorder="1"/>
    <xf numFmtId="167" fontId="2" fillId="2" borderId="1" xfId="0" applyNumberFormat="1" applyFont="1" applyFill="1" applyBorder="1" applyAlignment="1">
      <alignment vertical="center"/>
    </xf>
    <xf numFmtId="167" fontId="0" fillId="0" borderId="9" xfId="0" applyNumberFormat="1" applyBorder="1"/>
    <xf numFmtId="167" fontId="13" fillId="0" borderId="1" xfId="0" applyNumberFormat="1" applyFont="1" applyFill="1" applyBorder="1" applyAlignment="1">
      <alignment horizontal="center" vertical="center"/>
    </xf>
    <xf numFmtId="167" fontId="0" fillId="0" borderId="6" xfId="0" applyNumberFormat="1" applyBorder="1"/>
    <xf numFmtId="167" fontId="24" fillId="4" borderId="40" xfId="0" applyNumberFormat="1" applyFont="1" applyFill="1" applyBorder="1" applyAlignment="1">
      <alignment horizontal="center" vertical="center"/>
    </xf>
    <xf numFmtId="167" fontId="24" fillId="4" borderId="42" xfId="0" applyNumberFormat="1" applyFont="1" applyFill="1" applyBorder="1" applyAlignment="1">
      <alignment horizontal="center" vertical="center"/>
    </xf>
    <xf numFmtId="167" fontId="11" fillId="0" borderId="6" xfId="0" applyNumberFormat="1" applyFont="1" applyFill="1" applyBorder="1"/>
    <xf numFmtId="167" fontId="11" fillId="0" borderId="1" xfId="0" applyNumberFormat="1" applyFont="1" applyFill="1" applyBorder="1"/>
    <xf numFmtId="167" fontId="11" fillId="0" borderId="9" xfId="0" applyNumberFormat="1" applyFont="1" applyFill="1" applyBorder="1"/>
    <xf numFmtId="167" fontId="11" fillId="0" borderId="1" xfId="0" applyNumberFormat="1" applyFont="1" applyFill="1" applyBorder="1" applyAlignment="1">
      <alignment vertical="center"/>
    </xf>
    <xf numFmtId="167" fontId="11" fillId="0" borderId="9" xfId="0" applyNumberFormat="1" applyFont="1" applyFill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  <xf numFmtId="167" fontId="14" fillId="0" borderId="1" xfId="0" applyNumberFormat="1" applyFont="1" applyFill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0" fillId="0" borderId="1" xfId="0" applyNumberFormat="1" applyFill="1" applyBorder="1"/>
    <xf numFmtId="167" fontId="10" fillId="0" borderId="1" xfId="0" applyNumberFormat="1" applyFont="1" applyBorder="1"/>
    <xf numFmtId="0" fontId="0" fillId="0" borderId="0" xfId="0" applyAlignment="1">
      <alignment horizontal="center"/>
    </xf>
    <xf numFmtId="0" fontId="9" fillId="0" borderId="40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/>
    <xf numFmtId="0" fontId="9" fillId="0" borderId="69" xfId="0" applyFont="1" applyBorder="1" applyAlignment="1"/>
    <xf numFmtId="0" fontId="9" fillId="0" borderId="42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49" fontId="13" fillId="0" borderId="1" xfId="1" applyNumberFormat="1" applyFont="1" applyFill="1" applyBorder="1" applyAlignment="1" applyProtection="1">
      <alignment horizontal="center" vertical="center"/>
    </xf>
    <xf numFmtId="168" fontId="35" fillId="4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vertical="center"/>
    </xf>
    <xf numFmtId="49" fontId="10" fillId="2" borderId="6" xfId="0" applyNumberFormat="1" applyFont="1" applyFill="1" applyBorder="1"/>
    <xf numFmtId="49" fontId="10" fillId="2" borderId="1" xfId="0" applyNumberFormat="1" applyFont="1" applyFill="1" applyBorder="1"/>
    <xf numFmtId="49" fontId="14" fillId="0" borderId="1" xfId="0" applyNumberFormat="1" applyFont="1" applyFill="1" applyBorder="1"/>
    <xf numFmtId="49" fontId="15" fillId="0" borderId="1" xfId="0" applyNumberFormat="1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center" vertical="center" wrapText="1"/>
    </xf>
    <xf numFmtId="49" fontId="14" fillId="0" borderId="9" xfId="0" applyNumberFormat="1" applyFont="1" applyFill="1" applyBorder="1"/>
    <xf numFmtId="49" fontId="2" fillId="2" borderId="1" xfId="0" applyNumberFormat="1" applyFont="1" applyFill="1" applyBorder="1" applyAlignment="1">
      <alignment vertical="center"/>
    </xf>
    <xf numFmtId="49" fontId="11" fillId="0" borderId="12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/>
    <xf numFmtId="49" fontId="16" fillId="2" borderId="9" xfId="0" applyNumberFormat="1" applyFont="1" applyFill="1" applyBorder="1" applyAlignment="1">
      <alignment horizontal="center" wrapText="1"/>
    </xf>
    <xf numFmtId="49" fontId="14" fillId="0" borderId="1" xfId="0" applyNumberFormat="1" applyFont="1" applyFill="1" applyBorder="1" applyAlignment="1">
      <alignment horizontal="center"/>
    </xf>
    <xf numFmtId="166" fontId="2" fillId="2" borderId="0" xfId="0" applyNumberFormat="1" applyFont="1" applyFill="1" applyBorder="1" applyAlignment="1">
      <alignment vertical="center"/>
    </xf>
    <xf numFmtId="166" fontId="11" fillId="2" borderId="6" xfId="0" applyNumberFormat="1" applyFont="1" applyFill="1" applyBorder="1" applyAlignment="1">
      <alignment horizontal="center" vertical="center"/>
    </xf>
    <xf numFmtId="166" fontId="11" fillId="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vertical="center"/>
    </xf>
    <xf numFmtId="166" fontId="11" fillId="0" borderId="9" xfId="0" applyNumberFormat="1" applyFont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 wrapText="1"/>
    </xf>
    <xf numFmtId="3" fontId="11" fillId="2" borderId="6" xfId="0" applyNumberFormat="1" applyFont="1" applyFill="1" applyBorder="1" applyAlignment="1">
      <alignment horizontal="center" vertical="center"/>
    </xf>
    <xf numFmtId="3" fontId="11" fillId="0" borderId="1" xfId="0" applyNumberFormat="1" applyFont="1" applyFill="1" applyBorder="1" applyAlignment="1">
      <alignment horizontal="center" vertical="center" wrapText="1"/>
    </xf>
    <xf numFmtId="3" fontId="11" fillId="0" borderId="7" xfId="0" applyNumberFormat="1" applyFont="1" applyFill="1" applyBorder="1" applyAlignment="1">
      <alignment horizontal="center" vertical="center"/>
    </xf>
    <xf numFmtId="3" fontId="11" fillId="0" borderId="12" xfId="0" applyNumberFormat="1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4" borderId="70" xfId="0" applyFont="1" applyFill="1" applyBorder="1" applyAlignment="1">
      <alignment horizontal="center" vertical="center" wrapText="1"/>
    </xf>
    <xf numFmtId="3" fontId="11" fillId="0" borderId="9" xfId="0" applyNumberFormat="1" applyFont="1" applyFill="1" applyBorder="1" applyAlignment="1">
      <alignment horizontal="center" vertical="center" wrapText="1"/>
    </xf>
    <xf numFmtId="3" fontId="11" fillId="0" borderId="1" xfId="0" applyNumberFormat="1" applyFont="1" applyFill="1" applyBorder="1" applyAlignment="1">
      <alignment horizontal="center" vertical="center"/>
    </xf>
    <xf numFmtId="3" fontId="11" fillId="0" borderId="12" xfId="0" applyNumberFormat="1" applyFont="1" applyFill="1" applyBorder="1" applyAlignment="1">
      <alignment horizontal="center" vertical="center"/>
    </xf>
    <xf numFmtId="3" fontId="13" fillId="0" borderId="1" xfId="0" applyNumberFormat="1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3" fontId="11" fillId="0" borderId="9" xfId="0" applyNumberFormat="1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167" fontId="13" fillId="0" borderId="7" xfId="0" applyNumberFormat="1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 wrapText="1"/>
    </xf>
    <xf numFmtId="167" fontId="11" fillId="0" borderId="1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4" fillId="4" borderId="31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vertical="center"/>
    </xf>
    <xf numFmtId="0" fontId="32" fillId="4" borderId="20" xfId="0" applyFont="1" applyFill="1" applyBorder="1" applyAlignment="1">
      <alignment horizontal="center" vertical="center"/>
    </xf>
    <xf numFmtId="0" fontId="32" fillId="4" borderId="1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7" fillId="2" borderId="1" xfId="0" applyFont="1" applyFill="1" applyBorder="1" applyAlignment="1">
      <alignment horizontal="left" vertical="center" wrapText="1"/>
    </xf>
    <xf numFmtId="0" fontId="36" fillId="0" borderId="3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37" fillId="2" borderId="7" xfId="0" applyFont="1" applyFill="1" applyBorder="1" applyAlignment="1">
      <alignment vertical="center"/>
    </xf>
    <xf numFmtId="0" fontId="7" fillId="2" borderId="7" xfId="0" applyFont="1" applyFill="1" applyBorder="1" applyAlignment="1">
      <alignment horizontal="left" vertical="center"/>
    </xf>
    <xf numFmtId="0" fontId="37" fillId="2" borderId="7" xfId="0" applyFont="1" applyFill="1" applyBorder="1" applyAlignment="1">
      <alignment horizontal="left" vertical="center" wrapText="1"/>
    </xf>
    <xf numFmtId="0" fontId="37" fillId="2" borderId="7" xfId="0" applyFont="1" applyFill="1" applyBorder="1" applyAlignment="1">
      <alignment horizontal="left" vertical="center"/>
    </xf>
    <xf numFmtId="0" fontId="37" fillId="2" borderId="7" xfId="0" applyFont="1" applyFill="1" applyBorder="1" applyAlignment="1">
      <alignment vertical="center" wrapText="1"/>
    </xf>
    <xf numFmtId="0" fontId="37" fillId="2" borderId="5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2" fillId="8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57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56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74" xfId="0" applyFont="1" applyFill="1" applyBorder="1" applyAlignment="1">
      <alignment horizontal="left" vertical="center"/>
    </xf>
    <xf numFmtId="0" fontId="2" fillId="2" borderId="5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/>
    </xf>
    <xf numFmtId="0" fontId="2" fillId="2" borderId="56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6" fillId="1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9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5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9" fillId="4" borderId="21" xfId="0" applyFont="1" applyFill="1" applyBorder="1" applyAlignment="1">
      <alignment horizontal="center" wrapText="1"/>
    </xf>
    <xf numFmtId="0" fontId="32" fillId="4" borderId="20" xfId="0" applyFont="1" applyFill="1" applyBorder="1" applyAlignment="1">
      <alignment horizontal="center" vertical="center"/>
    </xf>
    <xf numFmtId="0" fontId="32" fillId="4" borderId="1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vertical="center" wrapText="1"/>
    </xf>
    <xf numFmtId="167" fontId="11" fillId="0" borderId="1" xfId="0" applyNumberFormat="1" applyFont="1" applyFill="1" applyBorder="1" applyAlignment="1">
      <alignment horizontal="center" vertical="center"/>
    </xf>
    <xf numFmtId="167" fontId="24" fillId="4" borderId="38" xfId="0" applyNumberFormat="1" applyFont="1" applyFill="1" applyBorder="1" applyAlignment="1">
      <alignment horizontal="center" vertical="center"/>
    </xf>
    <xf numFmtId="167" fontId="24" fillId="4" borderId="9" xfId="0" applyNumberFormat="1" applyFont="1" applyFill="1" applyBorder="1" applyAlignment="1">
      <alignment horizontal="center" vertical="center"/>
    </xf>
    <xf numFmtId="167" fontId="13" fillId="0" borderId="1" xfId="0" applyNumberFormat="1" applyFont="1" applyFill="1" applyBorder="1" applyAlignment="1">
      <alignment vertical="center"/>
    </xf>
    <xf numFmtId="167" fontId="11" fillId="0" borderId="1" xfId="0" applyNumberFormat="1" applyFont="1" applyBorder="1" applyAlignment="1">
      <alignment vertical="center"/>
    </xf>
    <xf numFmtId="167" fontId="21" fillId="0" borderId="1" xfId="0" applyNumberFormat="1" applyFont="1" applyFill="1" applyBorder="1" applyAlignment="1">
      <alignment vertical="center"/>
    </xf>
    <xf numFmtId="167" fontId="0" fillId="0" borderId="1" xfId="0" applyNumberFormat="1" applyBorder="1" applyAlignment="1"/>
    <xf numFmtId="167" fontId="14" fillId="0" borderId="1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2" fillId="2" borderId="19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 vertical="center"/>
    </xf>
    <xf numFmtId="0" fontId="36" fillId="2" borderId="7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0" fontId="36" fillId="2" borderId="7" xfId="0" applyFont="1" applyFill="1" applyBorder="1" applyAlignment="1">
      <alignment horizontal="center"/>
    </xf>
    <xf numFmtId="0" fontId="37" fillId="2" borderId="7" xfId="0" applyFont="1" applyFill="1" applyBorder="1" applyAlignment="1">
      <alignment horizontal="center" vertical="center"/>
    </xf>
    <xf numFmtId="0" fontId="36" fillId="2" borderId="7" xfId="0" applyFont="1" applyFill="1" applyBorder="1" applyAlignment="1">
      <alignment horizontal="center" wrapText="1"/>
    </xf>
    <xf numFmtId="0" fontId="11" fillId="0" borderId="9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5" fillId="0" borderId="9" xfId="0" applyFont="1" applyFill="1" applyBorder="1" applyAlignment="1">
      <alignment horizontal="center" vertical="center"/>
    </xf>
    <xf numFmtId="0" fontId="35" fillId="2" borderId="9" xfId="0" applyFont="1" applyFill="1" applyBorder="1" applyAlignment="1">
      <alignment vertical="center"/>
    </xf>
    <xf numFmtId="0" fontId="35" fillId="0" borderId="11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 vertical="center"/>
    </xf>
    <xf numFmtId="0" fontId="35" fillId="0" borderId="9" xfId="0" applyFont="1" applyBorder="1" applyAlignment="1">
      <alignment horizontal="left" vertical="center"/>
    </xf>
    <xf numFmtId="0" fontId="35" fillId="0" borderId="9" xfId="0" applyFont="1" applyBorder="1" applyAlignment="1">
      <alignment horizontal="center" vertical="center"/>
    </xf>
    <xf numFmtId="0" fontId="35" fillId="0" borderId="9" xfId="0" applyFont="1" applyBorder="1" applyAlignment="1">
      <alignment vertical="center"/>
    </xf>
    <xf numFmtId="0" fontId="35" fillId="0" borderId="9" xfId="0" applyFont="1" applyFill="1" applyBorder="1" applyAlignment="1">
      <alignment horizontal="center" vertical="center" wrapText="1"/>
    </xf>
    <xf numFmtId="49" fontId="35" fillId="0" borderId="9" xfId="0" applyNumberFormat="1" applyFont="1" applyFill="1" applyBorder="1" applyAlignment="1">
      <alignment horizontal="center" vertical="center" wrapText="1"/>
    </xf>
    <xf numFmtId="164" fontId="35" fillId="0" borderId="9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1" applyBorder="1" applyAlignment="1" applyProtection="1">
      <alignment horizontal="center" vertical="center"/>
    </xf>
    <xf numFmtId="0" fontId="6" fillId="2" borderId="12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2" borderId="77" xfId="0" applyFont="1" applyFill="1" applyBorder="1" applyAlignment="1">
      <alignment horizontal="left" vertical="center"/>
    </xf>
    <xf numFmtId="0" fontId="6" fillId="2" borderId="7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wrapText="1"/>
    </xf>
    <xf numFmtId="0" fontId="15" fillId="0" borderId="1" xfId="0" applyFont="1" applyBorder="1"/>
    <xf numFmtId="0" fontId="3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/>
    </xf>
    <xf numFmtId="2" fontId="48" fillId="0" borderId="9" xfId="0" applyNumberFormat="1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 vertical="center"/>
    </xf>
    <xf numFmtId="49" fontId="35" fillId="0" borderId="9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49" fillId="0" borderId="1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vertical="center" wrapText="1"/>
    </xf>
    <xf numFmtId="0" fontId="2" fillId="1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 wrapText="1"/>
    </xf>
    <xf numFmtId="0" fontId="9" fillId="13" borderId="37" xfId="0" applyFont="1" applyFill="1" applyBorder="1" applyAlignment="1">
      <alignment horizontal="center"/>
    </xf>
    <xf numFmtId="0" fontId="9" fillId="13" borderId="29" xfId="0" applyFont="1" applyFill="1" applyBorder="1" applyAlignment="1">
      <alignment horizontal="center" vertical="center"/>
    </xf>
    <xf numFmtId="0" fontId="9" fillId="13" borderId="34" xfId="0" applyFont="1" applyFill="1" applyBorder="1" applyAlignment="1">
      <alignment horizontal="center" vertical="center"/>
    </xf>
    <xf numFmtId="0" fontId="11" fillId="0" borderId="40" xfId="0" applyFont="1" applyBorder="1"/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69" xfId="0" applyFont="1" applyBorder="1" applyAlignment="1">
      <alignment horizontal="center" vertical="center"/>
    </xf>
    <xf numFmtId="0" fontId="11" fillId="0" borderId="40" xfId="0" applyFont="1" applyBorder="1" applyAlignment="1">
      <alignment horizontal="left" vertical="center"/>
    </xf>
    <xf numFmtId="0" fontId="0" fillId="0" borderId="78" xfId="0" applyBorder="1"/>
    <xf numFmtId="0" fontId="11" fillId="0" borderId="69" xfId="0" applyFont="1" applyBorder="1"/>
    <xf numFmtId="0" fontId="11" fillId="0" borderId="42" xfId="0" applyFont="1" applyBorder="1"/>
    <xf numFmtId="0" fontId="11" fillId="0" borderId="31" xfId="0" applyFont="1" applyBorder="1" applyAlignment="1">
      <alignment horizontal="center"/>
    </xf>
    <xf numFmtId="0" fontId="11" fillId="0" borderId="31" xfId="0" applyFont="1" applyBorder="1"/>
    <xf numFmtId="0" fontId="11" fillId="0" borderId="32" xfId="0" applyFont="1" applyBorder="1"/>
    <xf numFmtId="0" fontId="12" fillId="0" borderId="9" xfId="1" applyBorder="1" applyAlignment="1" applyProtection="1">
      <alignment vertical="center"/>
    </xf>
    <xf numFmtId="0" fontId="11" fillId="0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2" fontId="11" fillId="0" borderId="9" xfId="0" applyNumberFormat="1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1" fillId="2" borderId="6" xfId="0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/>
    </xf>
    <xf numFmtId="0" fontId="47" fillId="0" borderId="1" xfId="0" applyFont="1" applyBorder="1"/>
    <xf numFmtId="0" fontId="6" fillId="0" borderId="1" xfId="0" applyFont="1" applyFill="1" applyBorder="1" applyAlignment="1">
      <alignment horizontal="center" vertical="center" wrapText="1"/>
    </xf>
    <xf numFmtId="3" fontId="14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24" fillId="4" borderId="49" xfId="0" applyFont="1" applyFill="1" applyBorder="1" applyAlignment="1">
      <alignment horizontal="center" vertical="center" wrapText="1"/>
    </xf>
    <xf numFmtId="0" fontId="9" fillId="4" borderId="49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" fillId="4" borderId="49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3" fontId="13" fillId="0" borderId="1" xfId="0" applyNumberFormat="1" applyFont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wrapText="1"/>
    </xf>
    <xf numFmtId="0" fontId="2" fillId="10" borderId="7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49" fontId="30" fillId="10" borderId="1" xfId="1" applyNumberFormat="1" applyFont="1" applyFill="1" applyBorder="1" applyAlignment="1" applyProtection="1">
      <alignment horizontal="center" vertical="center"/>
    </xf>
    <xf numFmtId="49" fontId="11" fillId="10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 wrapText="1"/>
    </xf>
    <xf numFmtId="164" fontId="11" fillId="10" borderId="1" xfId="0" applyNumberFormat="1" applyFont="1" applyFill="1" applyBorder="1" applyAlignment="1">
      <alignment horizontal="center" vertical="center"/>
    </xf>
    <xf numFmtId="0" fontId="11" fillId="10" borderId="9" xfId="0" applyNumberFormat="1" applyFont="1" applyFill="1" applyBorder="1" applyAlignment="1">
      <alignment horizontal="center" vertical="center"/>
    </xf>
    <xf numFmtId="165" fontId="11" fillId="10" borderId="9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2" fontId="13" fillId="10" borderId="9" xfId="0" applyNumberFormat="1" applyFont="1" applyFill="1" applyBorder="1" applyAlignment="1">
      <alignment horizontal="center" vertical="center"/>
    </xf>
    <xf numFmtId="166" fontId="11" fillId="10" borderId="1" xfId="0" applyNumberFormat="1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vertical="center"/>
    </xf>
    <xf numFmtId="0" fontId="2" fillId="10" borderId="0" xfId="0" applyFont="1" applyFill="1" applyAlignment="1">
      <alignment vertical="center"/>
    </xf>
    <xf numFmtId="0" fontId="2" fillId="10" borderId="7" xfId="0" applyFont="1" applyFill="1" applyBorder="1" applyAlignment="1">
      <alignment horizontal="left" wrapText="1"/>
    </xf>
    <xf numFmtId="0" fontId="2" fillId="10" borderId="7" xfId="0" applyFont="1" applyFill="1" applyBorder="1" applyAlignment="1">
      <alignment horizontal="left" vertical="center" wrapText="1"/>
    </xf>
    <xf numFmtId="0" fontId="2" fillId="10" borderId="5" xfId="0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center" vertical="center"/>
    </xf>
    <xf numFmtId="49" fontId="11" fillId="10" borderId="1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/>
    </xf>
    <xf numFmtId="0" fontId="14" fillId="10" borderId="7" xfId="0" applyFont="1" applyFill="1" applyBorder="1"/>
    <xf numFmtId="0" fontId="13" fillId="10" borderId="7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167" fontId="0" fillId="10" borderId="1" xfId="0" applyNumberFormat="1" applyFill="1" applyBorder="1"/>
    <xf numFmtId="49" fontId="13" fillId="10" borderId="1" xfId="0" applyNumberFormat="1" applyFont="1" applyFill="1" applyBorder="1" applyAlignment="1">
      <alignment horizontal="center" vertical="center"/>
    </xf>
    <xf numFmtId="0" fontId="14" fillId="10" borderId="1" xfId="0" applyFont="1" applyFill="1" applyBorder="1"/>
    <xf numFmtId="167" fontId="11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 wrapText="1"/>
    </xf>
    <xf numFmtId="0" fontId="11" fillId="10" borderId="9" xfId="0" applyFont="1" applyFill="1" applyBorder="1" applyAlignment="1">
      <alignment horizontal="center" vertical="center"/>
    </xf>
    <xf numFmtId="0" fontId="12" fillId="10" borderId="1" xfId="1" applyFill="1" applyBorder="1" applyAlignment="1" applyProtection="1">
      <alignment horizontal="center" vertical="center"/>
    </xf>
    <xf numFmtId="49" fontId="30" fillId="10" borderId="9" xfId="1" applyNumberFormat="1" applyFont="1" applyFill="1" applyBorder="1" applyAlignment="1" applyProtection="1">
      <alignment horizontal="center" vertical="center"/>
    </xf>
    <xf numFmtId="49" fontId="11" fillId="10" borderId="9" xfId="0" applyNumberFormat="1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left" vertical="center" wrapText="1"/>
    </xf>
    <xf numFmtId="0" fontId="11" fillId="10" borderId="9" xfId="0" applyFont="1" applyFill="1" applyBorder="1" applyAlignment="1">
      <alignment horizontal="center" vertical="center" wrapText="1"/>
    </xf>
    <xf numFmtId="164" fontId="11" fillId="10" borderId="6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2" fillId="10" borderId="3" xfId="0" applyFont="1" applyFill="1" applyBorder="1" applyAlignment="1">
      <alignment horizontal="center" vertical="center" wrapText="1"/>
    </xf>
    <xf numFmtId="0" fontId="12" fillId="10" borderId="9" xfId="1" applyFill="1" applyBorder="1" applyAlignment="1" applyProtection="1">
      <alignment horizontal="center" vertical="center" wrapText="1"/>
    </xf>
    <xf numFmtId="49" fontId="2" fillId="10" borderId="1" xfId="0" applyNumberFormat="1" applyFont="1" applyFill="1" applyBorder="1" applyAlignment="1">
      <alignment vertical="center"/>
    </xf>
    <xf numFmtId="2" fontId="13" fillId="10" borderId="1" xfId="0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vertical="center"/>
    </xf>
    <xf numFmtId="167" fontId="2" fillId="10" borderId="1" xfId="0" applyNumberFormat="1" applyFont="1" applyFill="1" applyBorder="1" applyAlignment="1">
      <alignment vertical="center"/>
    </xf>
    <xf numFmtId="167" fontId="2" fillId="10" borderId="0" xfId="0" applyNumberFormat="1" applyFont="1" applyFill="1" applyBorder="1" applyAlignment="1">
      <alignment vertical="center"/>
    </xf>
    <xf numFmtId="49" fontId="11" fillId="10" borderId="9" xfId="0" applyNumberFormat="1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49" fontId="3" fillId="10" borderId="9" xfId="1" applyNumberFormat="1" applyFont="1" applyFill="1" applyBorder="1" applyAlignment="1" applyProtection="1">
      <alignment horizontal="center" vertical="center"/>
    </xf>
    <xf numFmtId="0" fontId="11" fillId="10" borderId="9" xfId="0" applyFont="1" applyFill="1" applyBorder="1" applyAlignment="1">
      <alignment vertical="center"/>
    </xf>
    <xf numFmtId="167" fontId="21" fillId="10" borderId="1" xfId="0" applyNumberFormat="1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 wrapText="1"/>
    </xf>
    <xf numFmtId="49" fontId="3" fillId="10" borderId="1" xfId="1" applyNumberFormat="1" applyFont="1" applyFill="1" applyBorder="1" applyAlignment="1" applyProtection="1">
      <alignment horizontal="center" vertical="center"/>
    </xf>
    <xf numFmtId="3" fontId="11" fillId="10" borderId="1" xfId="0" applyNumberFormat="1" applyFont="1" applyFill="1" applyBorder="1" applyAlignment="1">
      <alignment horizontal="center" vertical="center"/>
    </xf>
    <xf numFmtId="49" fontId="18" fillId="10" borderId="1" xfId="0" applyNumberFormat="1" applyFont="1" applyFill="1" applyBorder="1" applyAlignment="1">
      <alignment horizontal="center" vertical="center" wrapText="1"/>
    </xf>
    <xf numFmtId="167" fontId="11" fillId="10" borderId="1" xfId="0" applyNumberFormat="1" applyFont="1" applyFill="1" applyBorder="1" applyAlignment="1">
      <alignment vertical="center"/>
    </xf>
    <xf numFmtId="49" fontId="2" fillId="10" borderId="9" xfId="0" applyNumberFormat="1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49" fontId="13" fillId="10" borderId="9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49" fontId="13" fillId="10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left" vertical="center"/>
    </xf>
    <xf numFmtId="0" fontId="14" fillId="10" borderId="9" xfId="0" applyFont="1" applyFill="1" applyBorder="1" applyAlignment="1">
      <alignment horizontal="center" vertical="center"/>
    </xf>
    <xf numFmtId="0" fontId="12" fillId="10" borderId="6" xfId="1" applyFill="1" applyBorder="1" applyAlignment="1" applyProtection="1">
      <alignment horizontal="center" vertical="center"/>
    </xf>
    <xf numFmtId="49" fontId="3" fillId="10" borderId="6" xfId="1" applyNumberFormat="1" applyFont="1" applyFill="1" applyBorder="1" applyAlignment="1" applyProtection="1">
      <alignment horizontal="center" vertical="center"/>
    </xf>
    <xf numFmtId="49" fontId="11" fillId="10" borderId="6" xfId="0" applyNumberFormat="1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167" fontId="14" fillId="10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 wrapText="1"/>
    </xf>
    <xf numFmtId="164" fontId="14" fillId="0" borderId="1" xfId="0" applyNumberFormat="1" applyFont="1" applyFill="1" applyBorder="1" applyAlignment="1">
      <alignment horizontal="center" vertical="center"/>
    </xf>
    <xf numFmtId="0" fontId="14" fillId="0" borderId="9" xfId="0" applyNumberFormat="1" applyFont="1" applyFill="1" applyBorder="1" applyAlignment="1">
      <alignment horizontal="center" vertical="center"/>
    </xf>
    <xf numFmtId="165" fontId="14" fillId="0" borderId="9" xfId="0" applyNumberFormat="1" applyFont="1" applyFill="1" applyBorder="1" applyAlignment="1">
      <alignment horizontal="center" vertical="center"/>
    </xf>
    <xf numFmtId="0" fontId="53" fillId="0" borderId="9" xfId="0" applyFont="1" applyFill="1" applyBorder="1" applyAlignment="1">
      <alignment horizontal="center" vertical="center"/>
    </xf>
    <xf numFmtId="49" fontId="14" fillId="0" borderId="9" xfId="0" applyNumberFormat="1" applyFont="1" applyFill="1" applyBorder="1" applyAlignment="1">
      <alignment horizontal="center" vertical="center" wrapText="1"/>
    </xf>
    <xf numFmtId="2" fontId="14" fillId="0" borderId="9" xfId="0" applyNumberFormat="1" applyFont="1" applyFill="1" applyBorder="1" applyAlignment="1">
      <alignment horizontal="center" vertical="center"/>
    </xf>
    <xf numFmtId="166" fontId="14" fillId="4" borderId="1" xfId="0" applyNumberFormat="1" applyFont="1" applyFill="1" applyBorder="1" applyAlignment="1">
      <alignment horizontal="center" vertical="center"/>
    </xf>
    <xf numFmtId="167" fontId="14" fillId="0" borderId="1" xfId="0" applyNumberFormat="1" applyFont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35" fillId="10" borderId="1" xfId="0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left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12" fillId="10" borderId="1" xfId="1" applyFill="1" applyBorder="1" applyAlignment="1" applyProtection="1">
      <alignment vertical="center"/>
    </xf>
    <xf numFmtId="0" fontId="11" fillId="10" borderId="7" xfId="0" applyFont="1" applyFill="1" applyBorder="1" applyAlignment="1">
      <alignment vertical="center"/>
    </xf>
    <xf numFmtId="164" fontId="11" fillId="10" borderId="9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wrapText="1"/>
    </xf>
    <xf numFmtId="0" fontId="3" fillId="2" borderId="7" xfId="0" applyFont="1" applyFill="1" applyBorder="1" applyAlignment="1">
      <alignment vertical="center" wrapText="1"/>
    </xf>
    <xf numFmtId="49" fontId="31" fillId="0" borderId="12" xfId="1" applyNumberFormat="1" applyFont="1" applyFill="1" applyBorder="1" applyAlignment="1" applyProtection="1">
      <alignment horizontal="center" vertical="center"/>
    </xf>
    <xf numFmtId="0" fontId="26" fillId="10" borderId="9" xfId="1" applyFont="1" applyFill="1" applyBorder="1" applyAlignment="1" applyProtection="1">
      <alignment horizontal="center" vertical="center"/>
    </xf>
    <xf numFmtId="49" fontId="31" fillId="10" borderId="9" xfId="1" applyNumberFormat="1" applyFont="1" applyFill="1" applyBorder="1" applyAlignment="1" applyProtection="1">
      <alignment horizontal="center" vertical="center"/>
    </xf>
    <xf numFmtId="49" fontId="13" fillId="10" borderId="9" xfId="0" applyNumberFormat="1" applyFont="1" applyFill="1" applyBorder="1" applyAlignment="1">
      <alignment horizontal="center" vertical="center" wrapText="1"/>
    </xf>
    <xf numFmtId="0" fontId="13" fillId="10" borderId="9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/>
    </xf>
    <xf numFmtId="166" fontId="13" fillId="10" borderId="1" xfId="0" applyNumberFormat="1" applyFont="1" applyFill="1" applyBorder="1" applyAlignment="1">
      <alignment horizontal="center" vertical="center"/>
    </xf>
    <xf numFmtId="167" fontId="13" fillId="10" borderId="1" xfId="0" applyNumberFormat="1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2" fillId="10" borderId="9" xfId="1" applyFill="1" applyBorder="1" applyAlignment="1" applyProtection="1">
      <alignment horizontal="center" vertical="center"/>
    </xf>
    <xf numFmtId="0" fontId="11" fillId="10" borderId="9" xfId="0" applyFont="1" applyFill="1" applyBorder="1" applyAlignment="1">
      <alignment vertical="center" wrapText="1"/>
    </xf>
    <xf numFmtId="0" fontId="11" fillId="10" borderId="12" xfId="0" applyFont="1" applyFill="1" applyBorder="1" applyAlignment="1">
      <alignment horizontal="center" vertical="center"/>
    </xf>
    <xf numFmtId="49" fontId="2" fillId="10" borderId="12" xfId="0" applyNumberFormat="1" applyFont="1" applyFill="1" applyBorder="1" applyAlignment="1">
      <alignment horizontal="center" vertical="center"/>
    </xf>
    <xf numFmtId="0" fontId="11" fillId="10" borderId="52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/>
    </xf>
    <xf numFmtId="0" fontId="2" fillId="10" borderId="57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166" fontId="11" fillId="10" borderId="9" xfId="0" applyNumberFormat="1" applyFont="1" applyFill="1" applyBorder="1" applyAlignment="1">
      <alignment horizontal="center" vertical="center"/>
    </xf>
    <xf numFmtId="167" fontId="11" fillId="10" borderId="9" xfId="0" applyNumberFormat="1" applyFont="1" applyFill="1" applyBorder="1" applyAlignment="1">
      <alignment horizontal="center" vertical="center"/>
    </xf>
    <xf numFmtId="167" fontId="14" fillId="10" borderId="9" xfId="0" applyNumberFormat="1" applyFont="1" applyFill="1" applyBorder="1" applyAlignment="1">
      <alignment horizontal="center" vertical="center"/>
    </xf>
    <xf numFmtId="164" fontId="13" fillId="10" borderId="1" xfId="0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wrapText="1"/>
    </xf>
    <xf numFmtId="49" fontId="14" fillId="10" borderId="1" xfId="0" applyNumberFormat="1" applyFont="1" applyFill="1" applyBorder="1" applyAlignment="1">
      <alignment wrapText="1"/>
    </xf>
    <xf numFmtId="0" fontId="14" fillId="10" borderId="1" xfId="0" applyFont="1" applyFill="1" applyBorder="1" applyAlignment="1">
      <alignment wrapText="1"/>
    </xf>
    <xf numFmtId="49" fontId="11" fillId="10" borderId="6" xfId="0" applyNumberFormat="1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vertical="center"/>
    </xf>
    <xf numFmtId="0" fontId="11" fillId="10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49" fontId="13" fillId="10" borderId="6" xfId="0" applyNumberFormat="1" applyFont="1" applyFill="1" applyBorder="1" applyAlignment="1">
      <alignment horizontal="center" vertical="center"/>
    </xf>
    <xf numFmtId="166" fontId="11" fillId="10" borderId="6" xfId="0" applyNumberFormat="1" applyFont="1" applyFill="1" applyBorder="1" applyAlignment="1">
      <alignment horizontal="center" vertical="center"/>
    </xf>
    <xf numFmtId="167" fontId="11" fillId="10" borderId="6" xfId="0" applyNumberFormat="1" applyFont="1" applyFill="1" applyBorder="1" applyAlignment="1">
      <alignment horizontal="center" vertical="center"/>
    </xf>
    <xf numFmtId="167" fontId="14" fillId="10" borderId="6" xfId="0" applyNumberFormat="1" applyFont="1" applyFill="1" applyBorder="1" applyAlignment="1">
      <alignment horizontal="center" vertical="center"/>
    </xf>
    <xf numFmtId="0" fontId="17" fillId="10" borderId="9" xfId="1" applyFont="1" applyFill="1" applyBorder="1" applyAlignment="1" applyProtection="1">
      <alignment horizontal="center" vertical="center"/>
    </xf>
    <xf numFmtId="49" fontId="11" fillId="10" borderId="1" xfId="0" applyNumberFormat="1" applyFont="1" applyFill="1" applyBorder="1" applyAlignment="1">
      <alignment vertical="center"/>
    </xf>
    <xf numFmtId="0" fontId="2" fillId="10" borderId="12" xfId="0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center" vertical="center" wrapText="1"/>
    </xf>
    <xf numFmtId="3" fontId="11" fillId="10" borderId="7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 wrapText="1"/>
    </xf>
    <xf numFmtId="167" fontId="0" fillId="10" borderId="1" xfId="0" applyNumberFormat="1" applyFill="1" applyBorder="1" applyAlignment="1"/>
    <xf numFmtId="49" fontId="0" fillId="10" borderId="1" xfId="0" applyNumberForma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wrapText="1"/>
    </xf>
    <xf numFmtId="0" fontId="6" fillId="2" borderId="7" xfId="0" applyFont="1" applyFill="1" applyBorder="1" applyAlignment="1">
      <alignment horizontal="left" vertical="center" wrapText="1"/>
    </xf>
    <xf numFmtId="0" fontId="52" fillId="0" borderId="1" xfId="1" applyFont="1" applyFill="1" applyBorder="1" applyAlignment="1" applyProtection="1">
      <alignment horizontal="center" vertical="center"/>
    </xf>
    <xf numFmtId="49" fontId="6" fillId="0" borderId="1" xfId="1" applyNumberFormat="1" applyFont="1" applyFill="1" applyBorder="1" applyAlignment="1" applyProtection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/>
    </xf>
    <xf numFmtId="0" fontId="12" fillId="10" borderId="1" xfId="1" applyFill="1" applyBorder="1" applyAlignment="1" applyProtection="1">
      <alignment horizontal="center" vertical="center" wrapText="1"/>
    </xf>
    <xf numFmtId="0" fontId="11" fillId="10" borderId="1" xfId="0" applyFont="1" applyFill="1" applyBorder="1"/>
    <xf numFmtId="0" fontId="44" fillId="2" borderId="12" xfId="0" applyFont="1" applyFill="1" applyBorder="1" applyAlignment="1">
      <alignment horizontal="left" vertical="center"/>
    </xf>
    <xf numFmtId="0" fontId="45" fillId="2" borderId="52" xfId="0" applyFont="1" applyFill="1" applyBorder="1" applyAlignment="1">
      <alignment horizontal="left" vertical="center"/>
    </xf>
    <xf numFmtId="0" fontId="45" fillId="2" borderId="53" xfId="0" applyFont="1" applyFill="1" applyBorder="1" applyAlignment="1">
      <alignment horizontal="left" vertical="center"/>
    </xf>
    <xf numFmtId="0" fontId="45" fillId="2" borderId="5" xfId="0" applyFont="1" applyFill="1" applyBorder="1" applyAlignment="1">
      <alignment horizontal="left" vertical="center"/>
    </xf>
    <xf numFmtId="0" fontId="45" fillId="2" borderId="71" xfId="0" applyFont="1" applyFill="1" applyBorder="1" applyAlignment="1">
      <alignment horizontal="left" vertical="center"/>
    </xf>
    <xf numFmtId="0" fontId="45" fillId="2" borderId="72" xfId="0" applyFont="1" applyFill="1" applyBorder="1" applyAlignment="1">
      <alignment horizontal="left" vertical="center"/>
    </xf>
    <xf numFmtId="0" fontId="50" fillId="0" borderId="0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39" fillId="0" borderId="52" xfId="0" applyFont="1" applyBorder="1" applyAlignment="1">
      <alignment horizontal="center" vertical="center"/>
    </xf>
    <xf numFmtId="0" fontId="39" fillId="0" borderId="53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71" xfId="0" applyFont="1" applyBorder="1" applyAlignment="1">
      <alignment horizontal="center" vertical="center"/>
    </xf>
    <xf numFmtId="0" fontId="39" fillId="0" borderId="72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3" fontId="11" fillId="0" borderId="1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36" fillId="2" borderId="9" xfId="0" applyFont="1" applyFill="1" applyBorder="1" applyAlignment="1">
      <alignment horizontal="center" vertical="center" wrapText="1"/>
    </xf>
    <xf numFmtId="0" fontId="36" fillId="2" borderId="6" xfId="0" applyFont="1" applyFill="1" applyBorder="1" applyAlignment="1">
      <alignment horizontal="center" vertical="center" wrapText="1"/>
    </xf>
    <xf numFmtId="0" fontId="37" fillId="2" borderId="9" xfId="0" applyFont="1" applyFill="1" applyBorder="1" applyAlignment="1">
      <alignment vertical="center"/>
    </xf>
    <xf numFmtId="0" fontId="37" fillId="2" borderId="6" xfId="0" applyFont="1" applyFill="1" applyBorder="1" applyAlignment="1">
      <alignment vertical="center"/>
    </xf>
    <xf numFmtId="0" fontId="36" fillId="2" borderId="6" xfId="0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37" fillId="2" borderId="6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24" fillId="4" borderId="58" xfId="0" applyFont="1" applyFill="1" applyBorder="1" applyAlignment="1">
      <alignment horizontal="center" vertical="center" wrapText="1"/>
    </xf>
    <xf numFmtId="0" fontId="24" fillId="4" borderId="59" xfId="0" applyFont="1" applyFill="1" applyBorder="1" applyAlignment="1">
      <alignment horizontal="center" vertical="center" wrapText="1"/>
    </xf>
    <xf numFmtId="0" fontId="24" fillId="4" borderId="21" xfId="0" applyFont="1" applyFill="1" applyBorder="1" applyAlignment="1">
      <alignment horizontal="center" vertical="center" wrapText="1"/>
    </xf>
    <xf numFmtId="0" fontId="24" fillId="4" borderId="44" xfId="0" applyFont="1" applyFill="1" applyBorder="1" applyAlignment="1">
      <alignment horizontal="center" vertical="center" wrapText="1"/>
    </xf>
    <xf numFmtId="0" fontId="24" fillId="4" borderId="60" xfId="0" applyFont="1" applyFill="1" applyBorder="1" applyAlignment="1">
      <alignment horizontal="center" vertical="center" wrapText="1"/>
    </xf>
    <xf numFmtId="0" fontId="43" fillId="2" borderId="12" xfId="0" applyFont="1" applyFill="1" applyBorder="1" applyAlignment="1">
      <alignment horizontal="left" vertical="center"/>
    </xf>
    <xf numFmtId="0" fontId="43" fillId="2" borderId="52" xfId="0" applyFont="1" applyFill="1" applyBorder="1" applyAlignment="1">
      <alignment horizontal="left" vertical="center"/>
    </xf>
    <xf numFmtId="0" fontId="43" fillId="2" borderId="19" xfId="0" applyFont="1" applyFill="1" applyBorder="1" applyAlignment="1">
      <alignment horizontal="left" vertical="center"/>
    </xf>
    <xf numFmtId="0" fontId="43" fillId="2" borderId="0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40" fillId="2" borderId="1" xfId="0" applyFont="1" applyFill="1" applyBorder="1" applyAlignment="1">
      <alignment horizontal="left" vertical="center"/>
    </xf>
    <xf numFmtId="0" fontId="4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67" fontId="11" fillId="0" borderId="7" xfId="0" applyNumberFormat="1" applyFont="1" applyFill="1" applyBorder="1" applyAlignment="1">
      <alignment horizontal="center" vertical="center"/>
    </xf>
    <xf numFmtId="167" fontId="11" fillId="0" borderId="39" xfId="0" applyNumberFormat="1" applyFont="1" applyFill="1" applyBorder="1" applyAlignment="1">
      <alignment horizontal="center" vertical="center"/>
    </xf>
    <xf numFmtId="167" fontId="11" fillId="0" borderId="16" xfId="0" applyNumberFormat="1" applyFont="1" applyFill="1" applyBorder="1" applyAlignment="1">
      <alignment horizontal="center" vertical="center"/>
    </xf>
    <xf numFmtId="167" fontId="11" fillId="0" borderId="7" xfId="0" applyNumberFormat="1" applyFont="1" applyBorder="1" applyAlignment="1">
      <alignment horizontal="center" vertical="center"/>
    </xf>
    <xf numFmtId="167" fontId="11" fillId="0" borderId="39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167" fontId="11" fillId="10" borderId="7" xfId="0" applyNumberFormat="1" applyFont="1" applyFill="1" applyBorder="1" applyAlignment="1">
      <alignment horizontal="center" vertical="center"/>
    </xf>
    <xf numFmtId="167" fontId="11" fillId="10" borderId="39" xfId="0" applyNumberFormat="1" applyFont="1" applyFill="1" applyBorder="1" applyAlignment="1">
      <alignment horizontal="center" vertical="center"/>
    </xf>
    <xf numFmtId="167" fontId="11" fillId="10" borderId="16" xfId="0" applyNumberFormat="1" applyFont="1" applyFill="1" applyBorder="1" applyAlignment="1">
      <alignment horizontal="center" vertical="center"/>
    </xf>
    <xf numFmtId="167" fontId="14" fillId="0" borderId="7" xfId="0" applyNumberFormat="1" applyFont="1" applyFill="1" applyBorder="1" applyAlignment="1">
      <alignment horizontal="center" vertical="center"/>
    </xf>
    <xf numFmtId="167" fontId="14" fillId="0" borderId="39" xfId="0" applyNumberFormat="1" applyFont="1" applyFill="1" applyBorder="1" applyAlignment="1">
      <alignment horizontal="center" vertical="center"/>
    </xf>
    <xf numFmtId="167" fontId="14" fillId="0" borderId="16" xfId="0" applyNumberFormat="1" applyFont="1" applyFill="1" applyBorder="1" applyAlignment="1">
      <alignment horizontal="center" vertical="center"/>
    </xf>
    <xf numFmtId="167" fontId="2" fillId="2" borderId="7" xfId="0" applyNumberFormat="1" applyFont="1" applyFill="1" applyBorder="1" applyAlignment="1">
      <alignment horizontal="center" vertical="center"/>
    </xf>
    <xf numFmtId="167" fontId="2" fillId="2" borderId="39" xfId="0" applyNumberFormat="1" applyFont="1" applyFill="1" applyBorder="1" applyAlignment="1">
      <alignment horizontal="center" vertical="center"/>
    </xf>
    <xf numFmtId="167" fontId="2" fillId="2" borderId="16" xfId="0" applyNumberFormat="1" applyFont="1" applyFill="1" applyBorder="1" applyAlignment="1">
      <alignment horizontal="center" vertical="center"/>
    </xf>
    <xf numFmtId="0" fontId="11" fillId="0" borderId="7" xfId="0" applyNumberFormat="1" applyFont="1" applyFill="1" applyBorder="1" applyAlignment="1">
      <alignment horizontal="center" vertical="center"/>
    </xf>
    <xf numFmtId="0" fontId="11" fillId="0" borderId="39" xfId="0" applyNumberFormat="1" applyFont="1" applyFill="1" applyBorder="1" applyAlignment="1">
      <alignment horizontal="center" vertical="center"/>
    </xf>
    <xf numFmtId="0" fontId="11" fillId="0" borderId="16" xfId="0" applyNumberFormat="1" applyFont="1" applyFill="1" applyBorder="1" applyAlignment="1">
      <alignment horizontal="center" vertical="center"/>
    </xf>
    <xf numFmtId="167" fontId="2" fillId="10" borderId="7" xfId="0" applyNumberFormat="1" applyFont="1" applyFill="1" applyBorder="1" applyAlignment="1">
      <alignment horizontal="center" vertical="center"/>
    </xf>
    <xf numFmtId="167" fontId="2" fillId="10" borderId="39" xfId="0" applyNumberFormat="1" applyFont="1" applyFill="1" applyBorder="1" applyAlignment="1">
      <alignment horizontal="center" vertical="center"/>
    </xf>
    <xf numFmtId="167" fontId="2" fillId="10" borderId="16" xfId="0" applyNumberFormat="1" applyFont="1" applyFill="1" applyBorder="1" applyAlignment="1">
      <alignment horizontal="center" vertical="center"/>
    </xf>
    <xf numFmtId="167" fontId="13" fillId="0" borderId="7" xfId="0" applyNumberFormat="1" applyFont="1" applyFill="1" applyBorder="1" applyAlignment="1">
      <alignment horizontal="center" vertical="center"/>
    </xf>
    <xf numFmtId="167" fontId="13" fillId="0" borderId="39" xfId="0" applyNumberFormat="1" applyFont="1" applyFill="1" applyBorder="1" applyAlignment="1">
      <alignment horizontal="center" vertical="center"/>
    </xf>
    <xf numFmtId="167" fontId="13" fillId="0" borderId="16" xfId="0" applyNumberFormat="1" applyFont="1" applyFill="1" applyBorder="1" applyAlignment="1">
      <alignment horizontal="center" vertical="center"/>
    </xf>
    <xf numFmtId="165" fontId="11" fillId="0" borderId="7" xfId="0" applyNumberFormat="1" applyFont="1" applyFill="1" applyBorder="1" applyAlignment="1">
      <alignment horizontal="center" vertical="center"/>
    </xf>
    <xf numFmtId="165" fontId="11" fillId="0" borderId="39" xfId="0" applyNumberFormat="1" applyFont="1" applyFill="1" applyBorder="1" applyAlignment="1">
      <alignment horizontal="center" vertical="center"/>
    </xf>
    <xf numFmtId="165" fontId="11" fillId="0" borderId="16" xfId="0" applyNumberFormat="1" applyFont="1" applyFill="1" applyBorder="1" applyAlignment="1">
      <alignment horizontal="center" vertical="center"/>
    </xf>
    <xf numFmtId="49" fontId="11" fillId="0" borderId="7" xfId="0" applyNumberFormat="1" applyFont="1" applyFill="1" applyBorder="1" applyAlignment="1">
      <alignment horizontal="center" vertical="center"/>
    </xf>
    <xf numFmtId="49" fontId="11" fillId="0" borderId="39" xfId="0" applyNumberFormat="1" applyFont="1" applyFill="1" applyBorder="1" applyAlignment="1">
      <alignment horizontal="center" vertical="center"/>
    </xf>
    <xf numFmtId="49" fontId="11" fillId="0" borderId="16" xfId="0" applyNumberFormat="1" applyFont="1" applyFill="1" applyBorder="1" applyAlignment="1">
      <alignment horizontal="center" vertical="center"/>
    </xf>
    <xf numFmtId="167" fontId="14" fillId="0" borderId="7" xfId="0" applyNumberFormat="1" applyFont="1" applyFill="1" applyBorder="1" applyAlignment="1">
      <alignment horizontal="center" vertical="center" wrapText="1"/>
    </xf>
    <xf numFmtId="167" fontId="14" fillId="0" borderId="39" xfId="0" applyNumberFormat="1" applyFont="1" applyFill="1" applyBorder="1" applyAlignment="1">
      <alignment horizontal="center" vertical="center" wrapText="1"/>
    </xf>
    <xf numFmtId="167" fontId="14" fillId="0" borderId="16" xfId="0" applyNumberFormat="1" applyFont="1" applyFill="1" applyBorder="1" applyAlignment="1">
      <alignment horizontal="center" vertical="center" wrapText="1"/>
    </xf>
    <xf numFmtId="167" fontId="13" fillId="10" borderId="7" xfId="0" applyNumberFormat="1" applyFont="1" applyFill="1" applyBorder="1" applyAlignment="1">
      <alignment horizontal="center" vertical="center"/>
    </xf>
    <xf numFmtId="167" fontId="13" fillId="10" borderId="39" xfId="0" applyNumberFormat="1" applyFont="1" applyFill="1" applyBorder="1" applyAlignment="1">
      <alignment horizontal="center" vertical="center"/>
    </xf>
    <xf numFmtId="167" fontId="13" fillId="10" borderId="16" xfId="0" applyNumberFormat="1" applyFont="1" applyFill="1" applyBorder="1" applyAlignment="1">
      <alignment horizontal="center" vertical="center"/>
    </xf>
    <xf numFmtId="167" fontId="14" fillId="10" borderId="39" xfId="0" applyNumberFormat="1" applyFont="1" applyFill="1" applyBorder="1" applyAlignment="1">
      <alignment horizontal="center" vertical="center"/>
    </xf>
    <xf numFmtId="167" fontId="14" fillId="10" borderId="1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1" fillId="10" borderId="7" xfId="0" applyNumberFormat="1" applyFont="1" applyFill="1" applyBorder="1" applyAlignment="1">
      <alignment horizontal="center" vertical="center"/>
    </xf>
    <xf numFmtId="165" fontId="11" fillId="10" borderId="39" xfId="0" applyNumberFormat="1" applyFont="1" applyFill="1" applyBorder="1" applyAlignment="1">
      <alignment horizontal="center" vertical="center"/>
    </xf>
    <xf numFmtId="165" fontId="11" fillId="10" borderId="16" xfId="0" applyNumberFormat="1" applyFont="1" applyFill="1" applyBorder="1" applyAlignment="1">
      <alignment horizontal="center" vertical="center"/>
    </xf>
    <xf numFmtId="167" fontId="24" fillId="4" borderId="37" xfId="0" applyNumberFormat="1" applyFont="1" applyFill="1" applyBorder="1" applyAlignment="1">
      <alignment horizontal="center" vertical="center"/>
    </xf>
    <xf numFmtId="167" fontId="24" fillId="4" borderId="29" xfId="0" applyNumberFormat="1" applyFont="1" applyFill="1" applyBorder="1" applyAlignment="1">
      <alignment horizontal="center" vertical="center"/>
    </xf>
    <xf numFmtId="167" fontId="24" fillId="4" borderId="34" xfId="0" applyNumberFormat="1" applyFont="1" applyFill="1" applyBorder="1" applyAlignment="1">
      <alignment horizontal="center" vertical="center"/>
    </xf>
    <xf numFmtId="167" fontId="11" fillId="0" borderId="62" xfId="0" applyNumberFormat="1" applyFont="1" applyFill="1" applyBorder="1" applyAlignment="1">
      <alignment horizontal="center" vertical="center"/>
    </xf>
    <xf numFmtId="167" fontId="11" fillId="0" borderId="63" xfId="0" applyNumberFormat="1" applyFont="1" applyFill="1" applyBorder="1" applyAlignment="1">
      <alignment horizontal="center" vertical="center"/>
    </xf>
    <xf numFmtId="167" fontId="11" fillId="0" borderId="65" xfId="0" applyNumberFormat="1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167" fontId="11" fillId="2" borderId="7" xfId="0" applyNumberFormat="1" applyFont="1" applyFill="1" applyBorder="1" applyAlignment="1">
      <alignment horizontal="center" vertical="center"/>
    </xf>
    <xf numFmtId="167" fontId="11" fillId="2" borderId="39" xfId="0" applyNumberFormat="1" applyFont="1" applyFill="1" applyBorder="1" applyAlignment="1">
      <alignment horizontal="center" vertical="center"/>
    </xf>
    <xf numFmtId="167" fontId="11" fillId="2" borderId="16" xfId="0" applyNumberFormat="1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3" fontId="11" fillId="0" borderId="9" xfId="0" applyNumberFormat="1" applyFont="1" applyFill="1" applyBorder="1" applyAlignment="1">
      <alignment horizontal="center" vertical="center"/>
    </xf>
    <xf numFmtId="167" fontId="0" fillId="0" borderId="7" xfId="0" applyNumberFormat="1" applyBorder="1" applyAlignment="1">
      <alignment horizontal="center"/>
    </xf>
    <xf numFmtId="167" fontId="0" fillId="0" borderId="39" xfId="0" applyNumberFormat="1" applyBorder="1" applyAlignment="1">
      <alignment horizontal="center"/>
    </xf>
    <xf numFmtId="167" fontId="0" fillId="0" borderId="16" xfId="0" applyNumberFormat="1" applyBorder="1" applyAlignment="1">
      <alignment horizontal="center"/>
    </xf>
    <xf numFmtId="17" fontId="11" fillId="0" borderId="7" xfId="0" applyNumberFormat="1" applyFont="1" applyFill="1" applyBorder="1" applyAlignment="1">
      <alignment horizontal="center" vertical="center"/>
    </xf>
    <xf numFmtId="167" fontId="0" fillId="10" borderId="7" xfId="0" applyNumberFormat="1" applyFill="1" applyBorder="1" applyAlignment="1">
      <alignment horizontal="center"/>
    </xf>
    <xf numFmtId="167" fontId="0" fillId="10" borderId="39" xfId="0" applyNumberFormat="1" applyFill="1" applyBorder="1" applyAlignment="1">
      <alignment horizontal="center"/>
    </xf>
    <xf numFmtId="167" fontId="0" fillId="10" borderId="16" xfId="0" applyNumberFormat="1" applyFill="1" applyBorder="1" applyAlignment="1">
      <alignment horizontal="center"/>
    </xf>
    <xf numFmtId="167" fontId="11" fillId="0" borderId="1" xfId="0" applyNumberFormat="1" applyFont="1" applyFill="1" applyBorder="1" applyAlignment="1">
      <alignment horizontal="center" vertical="center"/>
    </xf>
    <xf numFmtId="3" fontId="11" fillId="0" borderId="6" xfId="0" applyNumberFormat="1" applyFont="1" applyFill="1" applyBorder="1" applyAlignment="1">
      <alignment horizontal="center" vertical="center"/>
    </xf>
    <xf numFmtId="167" fontId="11" fillId="0" borderId="7" xfId="0" applyNumberFormat="1" applyFont="1" applyFill="1" applyBorder="1" applyAlignment="1">
      <alignment horizontal="center" vertical="center" wrapText="1"/>
    </xf>
    <xf numFmtId="167" fontId="11" fillId="0" borderId="39" xfId="0" applyNumberFormat="1" applyFont="1" applyFill="1" applyBorder="1" applyAlignment="1">
      <alignment horizontal="center" vertical="center" wrapText="1"/>
    </xf>
    <xf numFmtId="167" fontId="11" fillId="0" borderId="16" xfId="0" applyNumberFormat="1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167" fontId="11" fillId="0" borderId="66" xfId="0" applyNumberFormat="1" applyFont="1" applyFill="1" applyBorder="1" applyAlignment="1">
      <alignment horizontal="center" vertical="center"/>
    </xf>
    <xf numFmtId="167" fontId="11" fillId="0" borderId="67" xfId="0" applyNumberFormat="1" applyFont="1" applyFill="1" applyBorder="1" applyAlignment="1">
      <alignment horizontal="center" vertical="center"/>
    </xf>
    <xf numFmtId="167" fontId="11" fillId="0" borderId="68" xfId="0" applyNumberFormat="1" applyFont="1" applyFill="1" applyBorder="1" applyAlignment="1">
      <alignment horizontal="center" vertical="center"/>
    </xf>
    <xf numFmtId="167" fontId="14" fillId="0" borderId="7" xfId="0" applyNumberFormat="1" applyFont="1" applyBorder="1" applyAlignment="1">
      <alignment horizontal="center" vertical="center"/>
    </xf>
    <xf numFmtId="167" fontId="14" fillId="0" borderId="39" xfId="0" applyNumberFormat="1" applyFont="1" applyBorder="1" applyAlignment="1">
      <alignment horizontal="center" vertical="center"/>
    </xf>
    <xf numFmtId="167" fontId="14" fillId="0" borderId="16" xfId="0" applyNumberFormat="1" applyFont="1" applyBorder="1" applyAlignment="1">
      <alignment horizontal="center" vertical="center"/>
    </xf>
    <xf numFmtId="167" fontId="21" fillId="0" borderId="7" xfId="0" applyNumberFormat="1" applyFont="1" applyFill="1" applyBorder="1" applyAlignment="1">
      <alignment horizontal="center" vertical="center"/>
    </xf>
    <xf numFmtId="167" fontId="21" fillId="0" borderId="39" xfId="0" applyNumberFormat="1" applyFont="1" applyFill="1" applyBorder="1" applyAlignment="1">
      <alignment horizontal="center" vertical="center"/>
    </xf>
    <xf numFmtId="167" fontId="21" fillId="0" borderId="16" xfId="0" applyNumberFormat="1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24" fillId="4" borderId="49" xfId="0" applyFont="1" applyFill="1" applyBorder="1" applyAlignment="1">
      <alignment horizontal="center" vertical="center" wrapText="1"/>
    </xf>
    <xf numFmtId="0" fontId="24" fillId="4" borderId="51" xfId="0" applyFont="1" applyFill="1" applyBorder="1" applyAlignment="1">
      <alignment horizontal="center" vertical="center" wrapText="1"/>
    </xf>
    <xf numFmtId="0" fontId="24" fillId="4" borderId="47" xfId="0" applyFont="1" applyFill="1" applyBorder="1" applyAlignment="1">
      <alignment horizontal="center" vertical="center"/>
    </xf>
    <xf numFmtId="0" fontId="24" fillId="4" borderId="48" xfId="0" applyFont="1" applyFill="1" applyBorder="1" applyAlignment="1">
      <alignment horizontal="center" vertical="center"/>
    </xf>
    <xf numFmtId="49" fontId="24" fillId="4" borderId="38" xfId="0" applyNumberFormat="1" applyFont="1" applyFill="1" applyBorder="1" applyAlignment="1">
      <alignment horizontal="center" wrapText="1"/>
    </xf>
    <xf numFmtId="49" fontId="24" fillId="4" borderId="41" xfId="0" applyNumberFormat="1" applyFont="1" applyFill="1" applyBorder="1" applyAlignment="1">
      <alignment horizontal="center" wrapText="1"/>
    </xf>
    <xf numFmtId="166" fontId="24" fillId="4" borderId="7" xfId="0" applyNumberFormat="1" applyFont="1" applyFill="1" applyBorder="1" applyAlignment="1">
      <alignment horizontal="center" vertical="center"/>
    </xf>
    <xf numFmtId="167" fontId="24" fillId="4" borderId="37" xfId="0" applyNumberFormat="1" applyFont="1" applyFill="1" applyBorder="1" applyAlignment="1">
      <alignment horizontal="center"/>
    </xf>
    <xf numFmtId="167" fontId="24" fillId="4" borderId="29" xfId="0" applyNumberFormat="1" applyFont="1" applyFill="1" applyBorder="1" applyAlignment="1">
      <alignment horizontal="center"/>
    </xf>
    <xf numFmtId="167" fontId="24" fillId="4" borderId="34" xfId="0" applyNumberFormat="1" applyFont="1" applyFill="1" applyBorder="1" applyAlignment="1">
      <alignment horizontal="center"/>
    </xf>
    <xf numFmtId="0" fontId="24" fillId="4" borderId="45" xfId="0" applyFont="1" applyFill="1" applyBorder="1" applyAlignment="1">
      <alignment horizontal="center" vertical="center" wrapText="1"/>
    </xf>
    <xf numFmtId="0" fontId="24" fillId="4" borderId="46" xfId="0" applyFont="1" applyFill="1" applyBorder="1" applyAlignment="1">
      <alignment horizontal="center" vertical="center" wrapText="1"/>
    </xf>
    <xf numFmtId="0" fontId="24" fillId="4" borderId="29" xfId="0" applyFont="1" applyFill="1" applyBorder="1" applyAlignment="1">
      <alignment horizontal="center" vertical="center"/>
    </xf>
    <xf numFmtId="0" fontId="24" fillId="4" borderId="31" xfId="0" applyFont="1" applyFill="1" applyBorder="1" applyAlignment="1">
      <alignment horizontal="center" vertical="center"/>
    </xf>
    <xf numFmtId="0" fontId="24" fillId="4" borderId="29" xfId="0" applyFont="1" applyFill="1" applyBorder="1" applyAlignment="1">
      <alignment horizontal="center" vertical="center" wrapText="1"/>
    </xf>
    <xf numFmtId="0" fontId="24" fillId="4" borderId="31" xfId="0" applyFont="1" applyFill="1" applyBorder="1" applyAlignment="1">
      <alignment horizontal="center" vertical="center" wrapText="1"/>
    </xf>
    <xf numFmtId="0" fontId="24" fillId="4" borderId="50" xfId="0" applyFont="1" applyFill="1" applyBorder="1" applyAlignment="1">
      <alignment horizontal="center" vertical="center" wrapText="1"/>
    </xf>
    <xf numFmtId="0" fontId="9" fillId="4" borderId="49" xfId="0" applyFont="1" applyFill="1" applyBorder="1" applyAlignment="1">
      <alignment horizontal="center" vertical="center" wrapText="1"/>
    </xf>
    <xf numFmtId="0" fontId="9" fillId="4" borderId="50" xfId="0" applyFont="1" applyFill="1" applyBorder="1" applyAlignment="1">
      <alignment horizontal="center" vertical="center" wrapText="1"/>
    </xf>
    <xf numFmtId="0" fontId="9" fillId="4" borderId="51" xfId="0" applyFont="1" applyFill="1" applyBorder="1" applyAlignment="1">
      <alignment horizontal="center" vertical="center" wrapText="1"/>
    </xf>
    <xf numFmtId="0" fontId="24" fillId="4" borderId="16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5" fillId="4" borderId="9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 wrapText="1"/>
    </xf>
    <xf numFmtId="0" fontId="25" fillId="4" borderId="7" xfId="0" applyFont="1" applyFill="1" applyBorder="1" applyAlignment="1">
      <alignment horizontal="center" vertical="center"/>
    </xf>
    <xf numFmtId="0" fontId="25" fillId="4" borderId="39" xfId="0" applyFont="1" applyFill="1" applyBorder="1" applyAlignment="1">
      <alignment horizontal="center" vertical="center"/>
    </xf>
    <xf numFmtId="0" fontId="25" fillId="4" borderId="16" xfId="0" applyFont="1" applyFill="1" applyBorder="1" applyAlignment="1">
      <alignment horizontal="center" vertical="center"/>
    </xf>
    <xf numFmtId="0" fontId="24" fillId="4" borderId="20" xfId="0" applyFont="1" applyFill="1" applyBorder="1" applyAlignment="1">
      <alignment horizontal="center" vertical="center"/>
    </xf>
    <xf numFmtId="0" fontId="24" fillId="4" borderId="13" xfId="0" applyFont="1" applyFill="1" applyBorder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20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0" fontId="24" fillId="4" borderId="22" xfId="0" applyFont="1" applyFill="1" applyBorder="1" applyAlignment="1">
      <alignment horizontal="center" vertical="center" wrapText="1"/>
    </xf>
    <xf numFmtId="49" fontId="24" fillId="4" borderId="35" xfId="0" applyNumberFormat="1" applyFont="1" applyFill="1" applyBorder="1" applyAlignment="1">
      <alignment horizontal="center" vertical="center" wrapText="1"/>
    </xf>
    <xf numFmtId="49" fontId="24" fillId="4" borderId="36" xfId="0" applyNumberFormat="1" applyFont="1" applyFill="1" applyBorder="1" applyAlignment="1">
      <alignment horizontal="center" vertical="center" wrapText="1"/>
    </xf>
    <xf numFmtId="49" fontId="24" fillId="4" borderId="27" xfId="0" applyNumberFormat="1" applyFont="1" applyFill="1" applyBorder="1" applyAlignment="1">
      <alignment horizontal="center" vertical="center" wrapText="1"/>
    </xf>
    <xf numFmtId="0" fontId="24" fillId="4" borderId="43" xfId="0" applyFont="1" applyFill="1" applyBorder="1" applyAlignment="1">
      <alignment horizontal="center" vertical="center" wrapText="1"/>
    </xf>
    <xf numFmtId="0" fontId="24" fillId="4" borderId="34" xfId="0" applyFont="1" applyFill="1" applyBorder="1" applyAlignment="1">
      <alignment horizontal="center" vertical="center" wrapText="1"/>
    </xf>
    <xf numFmtId="0" fontId="24" fillId="4" borderId="32" xfId="0" applyFont="1" applyFill="1" applyBorder="1" applyAlignment="1">
      <alignment horizontal="center" vertical="center" wrapText="1"/>
    </xf>
    <xf numFmtId="164" fontId="24" fillId="4" borderId="28" xfId="0" applyNumberFormat="1" applyFont="1" applyFill="1" applyBorder="1" applyAlignment="1">
      <alignment horizontal="center" vertical="center" wrapText="1"/>
    </xf>
    <xf numFmtId="164" fontId="24" fillId="4" borderId="20" xfId="0" applyNumberFormat="1" applyFont="1" applyFill="1" applyBorder="1" applyAlignment="1">
      <alignment horizontal="center" vertical="center" wrapText="1"/>
    </xf>
    <xf numFmtId="164" fontId="24" fillId="4" borderId="35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65" fontId="23" fillId="5" borderId="0" xfId="0" applyNumberFormat="1" applyFont="1" applyFill="1" applyBorder="1" applyAlignment="1">
      <alignment horizontal="center" vertical="center"/>
    </xf>
    <xf numFmtId="0" fontId="46" fillId="2" borderId="75" xfId="0" applyFont="1" applyFill="1" applyBorder="1" applyAlignment="1">
      <alignment horizontal="center" vertical="center"/>
    </xf>
    <xf numFmtId="0" fontId="42" fillId="2" borderId="75" xfId="0" applyFont="1" applyFill="1" applyBorder="1" applyAlignment="1">
      <alignment horizontal="center" vertical="center"/>
    </xf>
    <xf numFmtId="0" fontId="42" fillId="2" borderId="76" xfId="0" applyFont="1" applyFill="1" applyBorder="1" applyAlignment="1">
      <alignment horizontal="center" vertical="center"/>
    </xf>
    <xf numFmtId="0" fontId="24" fillId="4" borderId="28" xfId="0" applyFont="1" applyFill="1" applyBorder="1" applyAlignment="1">
      <alignment horizontal="center" vertical="center"/>
    </xf>
    <xf numFmtId="0" fontId="24" fillId="4" borderId="30" xfId="0" applyFont="1" applyFill="1" applyBorder="1" applyAlignment="1">
      <alignment horizontal="center" vertical="center"/>
    </xf>
    <xf numFmtId="0" fontId="24" fillId="4" borderId="26" xfId="0" applyFont="1" applyFill="1" applyBorder="1" applyAlignment="1">
      <alignment horizontal="center" vertical="center"/>
    </xf>
    <xf numFmtId="49" fontId="29" fillId="4" borderId="20" xfId="0" applyNumberFormat="1" applyFont="1" applyFill="1" applyBorder="1" applyAlignment="1">
      <alignment horizontal="center" vertical="center"/>
    </xf>
    <xf numFmtId="49" fontId="29" fillId="4" borderId="13" xfId="0" applyNumberFormat="1" applyFont="1" applyFill="1" applyBorder="1" applyAlignment="1">
      <alignment horizontal="center" vertical="center"/>
    </xf>
    <xf numFmtId="49" fontId="29" fillId="4" borderId="22" xfId="0" applyNumberFormat="1" applyFont="1" applyFill="1" applyBorder="1" applyAlignment="1">
      <alignment horizontal="center" vertical="center"/>
    </xf>
    <xf numFmtId="17" fontId="11" fillId="0" borderId="39" xfId="0" applyNumberFormat="1" applyFont="1" applyFill="1" applyBorder="1" applyAlignment="1">
      <alignment horizontal="center" vertical="center"/>
    </xf>
    <xf numFmtId="17" fontId="11" fillId="0" borderId="16" xfId="0" applyNumberFormat="1" applyFont="1" applyFill="1" applyBorder="1" applyAlignment="1">
      <alignment horizontal="center" vertical="center"/>
    </xf>
    <xf numFmtId="167" fontId="0" fillId="2" borderId="7" xfId="0" applyNumberFormat="1" applyFill="1" applyBorder="1" applyAlignment="1">
      <alignment horizontal="center"/>
    </xf>
    <xf numFmtId="167" fontId="0" fillId="2" borderId="39" xfId="0" applyNumberFormat="1" applyFill="1" applyBorder="1" applyAlignment="1">
      <alignment horizontal="center"/>
    </xf>
    <xf numFmtId="167" fontId="0" fillId="2" borderId="16" xfId="0" applyNumberForma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39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24" fillId="4" borderId="7" xfId="0" applyFont="1" applyFill="1" applyBorder="1" applyAlignment="1">
      <alignment horizontal="center" vertical="center"/>
    </xf>
    <xf numFmtId="0" fontId="24" fillId="4" borderId="37" xfId="0" applyFont="1" applyFill="1" applyBorder="1" applyAlignment="1">
      <alignment horizontal="center"/>
    </xf>
    <xf numFmtId="0" fontId="24" fillId="4" borderId="29" xfId="0" applyFont="1" applyFill="1" applyBorder="1" applyAlignment="1">
      <alignment horizontal="center"/>
    </xf>
    <xf numFmtId="0" fontId="43" fillId="2" borderId="75" xfId="0" applyFont="1" applyFill="1" applyBorder="1" applyAlignment="1">
      <alignment horizontal="center" vertical="center"/>
    </xf>
    <xf numFmtId="0" fontId="43" fillId="2" borderId="76" xfId="0" applyFont="1" applyFill="1" applyBorder="1" applyAlignment="1">
      <alignment horizontal="center" vertical="center"/>
    </xf>
    <xf numFmtId="0" fontId="24" fillId="4" borderId="38" xfId="0" applyFont="1" applyFill="1" applyBorder="1" applyAlignment="1">
      <alignment horizontal="center" wrapText="1"/>
    </xf>
    <xf numFmtId="0" fontId="24" fillId="4" borderId="41" xfId="0" applyFont="1" applyFill="1" applyBorder="1" applyAlignment="1">
      <alignment horizontal="center" wrapText="1"/>
    </xf>
    <xf numFmtId="0" fontId="24" fillId="4" borderId="34" xfId="0" applyFont="1" applyFill="1" applyBorder="1" applyAlignment="1">
      <alignment horizontal="center"/>
    </xf>
    <xf numFmtId="0" fontId="35" fillId="0" borderId="7" xfId="0" applyFont="1" applyBorder="1" applyAlignment="1">
      <alignment horizontal="center" vertical="center"/>
    </xf>
    <xf numFmtId="0" fontId="35" fillId="0" borderId="39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4" borderId="20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32" fillId="4" borderId="20" xfId="0" applyFont="1" applyFill="1" applyBorder="1" applyAlignment="1">
      <alignment horizontal="center" vertical="center" wrapText="1"/>
    </xf>
    <xf numFmtId="0" fontId="32" fillId="4" borderId="13" xfId="0" applyFont="1" applyFill="1" applyBorder="1" applyAlignment="1">
      <alignment horizontal="center" vertical="center" wrapText="1"/>
    </xf>
    <xf numFmtId="0" fontId="32" fillId="4" borderId="6" xfId="0" applyFont="1" applyFill="1" applyBorder="1" applyAlignment="1">
      <alignment horizontal="center" vertical="center" wrapText="1"/>
    </xf>
    <xf numFmtId="0" fontId="32" fillId="4" borderId="20" xfId="0" applyFont="1" applyFill="1" applyBorder="1" applyAlignment="1">
      <alignment horizontal="center" vertical="center"/>
    </xf>
    <xf numFmtId="0" fontId="32" fillId="4" borderId="1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 wrapText="1"/>
    </xf>
    <xf numFmtId="0" fontId="32" fillId="4" borderId="9" xfId="0" applyFont="1" applyFill="1" applyBorder="1" applyAlignment="1">
      <alignment horizontal="center" vertical="center" textRotation="90" wrapText="1"/>
    </xf>
    <xf numFmtId="0" fontId="32" fillId="4" borderId="13" xfId="0" applyFont="1" applyFill="1" applyBorder="1" applyAlignment="1">
      <alignment horizontal="center" vertical="center" textRotation="90" wrapText="1"/>
    </xf>
    <xf numFmtId="0" fontId="9" fillId="4" borderId="20" xfId="0" applyFont="1" applyFill="1" applyBorder="1" applyAlignment="1">
      <alignment horizontal="center" vertical="center" textRotation="90"/>
    </xf>
    <xf numFmtId="0" fontId="9" fillId="4" borderId="13" xfId="0" applyFont="1" applyFill="1" applyBorder="1" applyAlignment="1">
      <alignment horizontal="center" vertical="center" textRotation="90"/>
    </xf>
    <xf numFmtId="0" fontId="9" fillId="4" borderId="20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34" fillId="4" borderId="9" xfId="0" applyFont="1" applyFill="1" applyBorder="1" applyAlignment="1">
      <alignment horizontal="center" vertical="center" wrapText="1"/>
    </xf>
    <xf numFmtId="0" fontId="34" fillId="4" borderId="13" xfId="0" applyFont="1" applyFill="1" applyBorder="1" applyAlignment="1">
      <alignment horizontal="center" vertical="center" wrapText="1"/>
    </xf>
    <xf numFmtId="0" fontId="34" fillId="4" borderId="7" xfId="0" applyFont="1" applyFill="1" applyBorder="1" applyAlignment="1">
      <alignment horizontal="center" vertical="center"/>
    </xf>
    <xf numFmtId="0" fontId="34" fillId="4" borderId="39" xfId="0" applyFont="1" applyFill="1" applyBorder="1" applyAlignment="1">
      <alignment horizontal="center" vertical="center"/>
    </xf>
    <xf numFmtId="0" fontId="34" fillId="4" borderId="16" xfId="0" applyFont="1" applyFill="1" applyBorder="1" applyAlignment="1">
      <alignment horizontal="center" vertical="center"/>
    </xf>
    <xf numFmtId="0" fontId="33" fillId="4" borderId="20" xfId="0" applyFont="1" applyFill="1" applyBorder="1" applyAlignment="1">
      <alignment horizontal="center" vertical="center" wrapText="1"/>
    </xf>
    <xf numFmtId="0" fontId="33" fillId="4" borderId="13" xfId="0" applyFont="1" applyFill="1" applyBorder="1" applyAlignment="1">
      <alignment horizontal="center" vertical="center" wrapText="1"/>
    </xf>
    <xf numFmtId="0" fontId="33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49" fontId="32" fillId="4" borderId="20" xfId="0" applyNumberFormat="1" applyFont="1" applyFill="1" applyBorder="1" applyAlignment="1">
      <alignment horizontal="center" vertical="center" wrapText="1"/>
    </xf>
    <xf numFmtId="49" fontId="32" fillId="4" borderId="13" xfId="0" applyNumberFormat="1" applyFont="1" applyFill="1" applyBorder="1" applyAlignment="1">
      <alignment horizontal="center" vertical="center" wrapText="1"/>
    </xf>
    <xf numFmtId="49" fontId="32" fillId="4" borderId="6" xfId="0" applyNumberFormat="1" applyFont="1" applyFill="1" applyBorder="1" applyAlignment="1">
      <alignment horizontal="center" vertical="center" wrapText="1"/>
    </xf>
    <xf numFmtId="0" fontId="33" fillId="4" borderId="9" xfId="0" applyFont="1" applyFill="1" applyBorder="1" applyAlignment="1">
      <alignment horizontal="center" vertical="center" wrapText="1"/>
    </xf>
    <xf numFmtId="0" fontId="33" fillId="4" borderId="9" xfId="0" applyFont="1" applyFill="1" applyBorder="1" applyAlignment="1">
      <alignment horizontal="center" vertical="center"/>
    </xf>
    <xf numFmtId="0" fontId="33" fillId="4" borderId="13" xfId="0" applyFont="1" applyFill="1" applyBorder="1" applyAlignment="1">
      <alignment horizontal="center" vertical="center"/>
    </xf>
    <xf numFmtId="0" fontId="9" fillId="4" borderId="53" xfId="0" applyFont="1" applyFill="1" applyBorder="1" applyAlignment="1">
      <alignment horizontal="center" vertical="center" wrapText="1"/>
    </xf>
    <xf numFmtId="0" fontId="9" fillId="4" borderId="54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62" xfId="0" applyFont="1" applyFill="1" applyBorder="1" applyAlignment="1">
      <alignment horizontal="center" wrapText="1"/>
    </xf>
    <xf numFmtId="0" fontId="9" fillId="4" borderId="21" xfId="0" applyFont="1" applyFill="1" applyBorder="1" applyAlignment="1">
      <alignment horizontal="center" wrapText="1"/>
    </xf>
    <xf numFmtId="0" fontId="9" fillId="4" borderId="63" xfId="0" applyFont="1" applyFill="1" applyBorder="1" applyAlignment="1">
      <alignment horizontal="left" vertical="center" wrapText="1"/>
    </xf>
    <xf numFmtId="0" fontId="9" fillId="4" borderId="63" xfId="0" applyFont="1" applyFill="1" applyBorder="1" applyAlignment="1">
      <alignment horizontal="center" wrapText="1"/>
    </xf>
    <xf numFmtId="0" fontId="9" fillId="4" borderId="61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164" fontId="33" fillId="4" borderId="12" xfId="0" applyNumberFormat="1" applyFont="1" applyFill="1" applyBorder="1" applyAlignment="1">
      <alignment horizontal="center" vertical="center" wrapText="1"/>
    </xf>
    <xf numFmtId="164" fontId="33" fillId="4" borderId="52" xfId="0" applyNumberFormat="1" applyFont="1" applyFill="1" applyBorder="1" applyAlignment="1">
      <alignment horizontal="center" vertical="center" wrapText="1"/>
    </xf>
    <xf numFmtId="164" fontId="33" fillId="4" borderId="53" xfId="0" applyNumberFormat="1" applyFont="1" applyFill="1" applyBorder="1" applyAlignment="1">
      <alignment horizontal="center" vertical="center" wrapText="1"/>
    </xf>
    <xf numFmtId="0" fontId="9" fillId="4" borderId="64" xfId="0" applyFont="1" applyFill="1" applyBorder="1" applyAlignment="1">
      <alignment horizontal="center" vertical="center"/>
    </xf>
    <xf numFmtId="0" fontId="9" fillId="4" borderId="50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wrapText="1"/>
    </xf>
    <xf numFmtId="0" fontId="9" fillId="4" borderId="30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4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anthi/Asanthi%20Backup/New%20Data%20Base/V.S.%20Data%20Base%202023%20Jan.%20-%20Asanth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anthi\Asanthi%20Backup\New%20Data%20Base\V.S.%20Data%20Base%202023%20Jan.%20-%20Asanth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 Take Over "/>
      <sheetName val="At Present"/>
      <sheetName val="Government Catholic Schools "/>
    </sheetNames>
    <sheetDataSet>
      <sheetData sheetId="0" refreshError="1"/>
      <sheetData sheetId="1" refreshError="1">
        <row r="3">
          <cell r="V3">
            <v>45302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 Presen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stmaryscollege1943@gmail.com" TargetMode="External"/><Relationship Id="rId21" Type="http://schemas.openxmlformats.org/officeDocument/2006/relationships/hyperlink" Target="mailto:rctmvrajagiriya@gmail.com" TargetMode="External"/><Relationship Id="rId42" Type="http://schemas.openxmlformats.org/officeDocument/2006/relationships/hyperlink" Target="mailto:kottestcprincipal@gmail.com" TargetMode="External"/><Relationship Id="rId47" Type="http://schemas.openxmlformats.org/officeDocument/2006/relationships/hyperlink" Target="mailto:negzonal.ng1370@gmail.com" TargetMode="External"/><Relationship Id="rId63" Type="http://schemas.openxmlformats.org/officeDocument/2006/relationships/hyperlink" Target="mailto:donboscowattala@gmail.com" TargetMode="External"/><Relationship Id="rId68" Type="http://schemas.openxmlformats.org/officeDocument/2006/relationships/hyperlink" Target="mailto:sjgsnugegoda@gmail.com" TargetMode="External"/><Relationship Id="rId84" Type="http://schemas.openxmlformats.org/officeDocument/2006/relationships/hyperlink" Target="mailto:katukurundarcc@gmail.com" TargetMode="External"/><Relationship Id="rId89" Type="http://schemas.openxmlformats.org/officeDocument/2006/relationships/hyperlink" Target="mailto:finellamendis@gmail.com" TargetMode="External"/><Relationship Id="rId112" Type="http://schemas.openxmlformats.org/officeDocument/2006/relationships/hyperlink" Target="mailto:negzonal.ng1358@gmail.com" TargetMode="External"/><Relationship Id="rId16" Type="http://schemas.openxmlformats.org/officeDocument/2006/relationships/hyperlink" Target="mailto:ssbvmoratuwa@yahoo.com" TargetMode="External"/><Relationship Id="rId107" Type="http://schemas.openxmlformats.org/officeDocument/2006/relationships/hyperlink" Target="mailto:negzonalka1411@gmail.com" TargetMode="External"/><Relationship Id="rId11" Type="http://schemas.openxmlformats.org/officeDocument/2006/relationships/hyperlink" Target="mailto:stluciascollege@yahoo.com" TargetMode="External"/><Relationship Id="rId32" Type="http://schemas.openxmlformats.org/officeDocument/2006/relationships/hyperlink" Target="mailto:kamaragodarcjs@gmail.com" TargetMode="External"/><Relationship Id="rId37" Type="http://schemas.openxmlformats.org/officeDocument/2006/relationships/hyperlink" Target="mailto:negzonal.je1537@gmail.com" TargetMode="External"/><Relationship Id="rId53" Type="http://schemas.openxmlformats.org/officeDocument/2006/relationships/hyperlink" Target="mailto:negzonal.ng1344@gmail.com" TargetMode="External"/><Relationship Id="rId58" Type="http://schemas.openxmlformats.org/officeDocument/2006/relationships/hyperlink" Target="mailto:basilicaragama@gmail.com" TargetMode="External"/><Relationship Id="rId74" Type="http://schemas.openxmlformats.org/officeDocument/2006/relationships/hyperlink" Target="mailto:negzonal.ng1342@gmail.com" TargetMode="External"/><Relationship Id="rId79" Type="http://schemas.openxmlformats.org/officeDocument/2006/relationships/hyperlink" Target="mailto:principals.prc@gmail.com" TargetMode="External"/><Relationship Id="rId102" Type="http://schemas.openxmlformats.org/officeDocument/2006/relationships/hyperlink" Target="mailto:dampejuniorschool@gmail.com" TargetMode="External"/><Relationship Id="rId5" Type="http://schemas.openxmlformats.org/officeDocument/2006/relationships/hyperlink" Target="mailto:stjosephcollege14@gmail.com" TargetMode="External"/><Relationship Id="rId90" Type="http://schemas.openxmlformats.org/officeDocument/2006/relationships/hyperlink" Target="mailto:stanthonysbps@gmail.com" TargetMode="External"/><Relationship Id="rId95" Type="http://schemas.openxmlformats.org/officeDocument/2006/relationships/hyperlink" Target="mailto:negzonal.ka1407@gmail.com" TargetMode="External"/><Relationship Id="rId22" Type="http://schemas.openxmlformats.org/officeDocument/2006/relationships/hyperlink" Target="mailto:rocarathmalanavid@gmail.com" TargetMode="External"/><Relationship Id="rId27" Type="http://schemas.openxmlformats.org/officeDocument/2006/relationships/hyperlink" Target="mailto:dickovita.shasthraloka@gmail.com" TargetMode="External"/><Relationship Id="rId43" Type="http://schemas.openxmlformats.org/officeDocument/2006/relationships/hyperlink" Target="mailto:kurukulawalazarus@gmail.com" TargetMode="External"/><Relationship Id="rId48" Type="http://schemas.openxmlformats.org/officeDocument/2006/relationships/hyperlink" Target="mailto:negzonal.je1542@gmail.com" TargetMode="External"/><Relationship Id="rId64" Type="http://schemas.openxmlformats.org/officeDocument/2006/relationships/hyperlink" Target="mailto:negzonal.je1574@gmail.com" TargetMode="External"/><Relationship Id="rId69" Type="http://schemas.openxmlformats.org/officeDocument/2006/relationships/hyperlink" Target="mailto:negzonal.je1005@gmail.com" TargetMode="External"/><Relationship Id="rId113" Type="http://schemas.openxmlformats.org/officeDocument/2006/relationships/hyperlink" Target="mailto:negzonal.ka1584@gmail.com" TargetMode="External"/><Relationship Id="rId80" Type="http://schemas.openxmlformats.org/officeDocument/2006/relationships/hyperlink" Target="mailto:negzonal.ka1377@gmail.com" TargetMode="External"/><Relationship Id="rId85" Type="http://schemas.openxmlformats.org/officeDocument/2006/relationships/hyperlink" Target="mailto:st.marys@yahoo.com" TargetMode="External"/><Relationship Id="rId12" Type="http://schemas.openxmlformats.org/officeDocument/2006/relationships/hyperlink" Target="mailto:romancatholicbalika@gmail.com" TargetMode="External"/><Relationship Id="rId17" Type="http://schemas.openxmlformats.org/officeDocument/2006/relationships/hyperlink" Target="mailto:delasalle15@gmail.com" TargetMode="External"/><Relationship Id="rId33" Type="http://schemas.openxmlformats.org/officeDocument/2006/relationships/hyperlink" Target="mailto:negzonal.je1566@gmail.com" TargetMode="External"/><Relationship Id="rId38" Type="http://schemas.openxmlformats.org/officeDocument/2006/relationships/hyperlink" Target="mailto:rcpskerawalapitiya@yahoo.com" TargetMode="External"/><Relationship Id="rId59" Type="http://schemas.openxmlformats.org/officeDocument/2006/relationships/hyperlink" Target="mailto:davisamaracollege@gmail.com" TargetMode="External"/><Relationship Id="rId103" Type="http://schemas.openxmlformats.org/officeDocument/2006/relationships/hyperlink" Target="mailto:negzonal.je1557@gmail.com" TargetMode="External"/><Relationship Id="rId108" Type="http://schemas.openxmlformats.org/officeDocument/2006/relationships/hyperlink" Target="mailto:dalugamafrancismv@gmail.com" TargetMode="External"/><Relationship Id="rId54" Type="http://schemas.openxmlformats.org/officeDocument/2006/relationships/hyperlink" Target="mailto:palangaturaischool@gmail.com" TargetMode="External"/><Relationship Id="rId70" Type="http://schemas.openxmlformats.org/officeDocument/2006/relationships/hyperlink" Target="mailto:negzonal1545@gmail.com" TargetMode="External"/><Relationship Id="rId75" Type="http://schemas.openxmlformats.org/officeDocument/2006/relationships/hyperlink" Target="mailto:negzonal.je1573@gmail.com" TargetMode="External"/><Relationship Id="rId91" Type="http://schemas.openxmlformats.org/officeDocument/2006/relationships/hyperlink" Target="mailto:katukurunda.smc@yahoo.com" TargetMode="External"/><Relationship Id="rId96" Type="http://schemas.openxmlformats.org/officeDocument/2006/relationships/hyperlink" Target="mailto:chandikagovinna@gmailcom" TargetMode="External"/><Relationship Id="rId1" Type="http://schemas.openxmlformats.org/officeDocument/2006/relationships/hyperlink" Target="mailto:st.anthonysgsp@gmail.com" TargetMode="External"/><Relationship Id="rId6" Type="http://schemas.openxmlformats.org/officeDocument/2006/relationships/hyperlink" Target="mailto:stjdmbcol14@outlook.com" TargetMode="External"/><Relationship Id="rId15" Type="http://schemas.openxmlformats.org/officeDocument/2006/relationships/hyperlink" Target="mailto:avemariayacollege@gmail.com" TargetMode="External"/><Relationship Id="rId23" Type="http://schemas.openxmlformats.org/officeDocument/2006/relationships/hyperlink" Target="mailto:rrccmoratuwa@gmail.com" TargetMode="External"/><Relationship Id="rId28" Type="http://schemas.openxmlformats.org/officeDocument/2006/relationships/hyperlink" Target="mailto:sebastianmvenderamulla@gmail.com" TargetMode="External"/><Relationship Id="rId36" Type="http://schemas.openxmlformats.org/officeDocument/2006/relationships/hyperlink" Target="mailto:negzonal.ng01347@gmail.com" TargetMode="External"/><Relationship Id="rId49" Type="http://schemas.openxmlformats.org/officeDocument/2006/relationships/hyperlink" Target="mailto:nayakakandaprimaryschool@gmil.com" TargetMode="External"/><Relationship Id="rId57" Type="http://schemas.openxmlformats.org/officeDocument/2006/relationships/hyperlink" Target="mailto:negzonal.ng1367@gmail.com" TargetMode="External"/><Relationship Id="rId106" Type="http://schemas.openxmlformats.org/officeDocument/2006/relationships/hyperlink" Target="mailto:athiripitiyapv@gmail.com" TargetMode="External"/><Relationship Id="rId114" Type="http://schemas.openxmlformats.org/officeDocument/2006/relationships/hyperlink" Target="mailto:ngzonal.ka1403@gmail.com" TargetMode="External"/><Relationship Id="rId10" Type="http://schemas.openxmlformats.org/officeDocument/2006/relationships/hyperlink" Target="mailto:anthonians.col3@gmail.com" TargetMode="External"/><Relationship Id="rId31" Type="http://schemas.openxmlformats.org/officeDocument/2006/relationships/hyperlink" Target="mailto:kaluwarippuwaeast@gmail.com" TargetMode="External"/><Relationship Id="rId44" Type="http://schemas.openxmlformats.org/officeDocument/2006/relationships/hyperlink" Target="mailto:negzonal.ng1345@gmail.com" TargetMode="External"/><Relationship Id="rId52" Type="http://schemas.openxmlformats.org/officeDocument/2006/relationships/hyperlink" Target="mailto:negzonal.ng1362@gmail.com" TargetMode="External"/><Relationship Id="rId60" Type="http://schemas.openxmlformats.org/officeDocument/2006/relationships/hyperlink" Target="mailto:negzonal.ng1349@gmail.com" TargetMode="External"/><Relationship Id="rId65" Type="http://schemas.openxmlformats.org/officeDocument/2006/relationships/hyperlink" Target="mailto:myatiyanarckv@gmail.com" TargetMode="External"/><Relationship Id="rId73" Type="http://schemas.openxmlformats.org/officeDocument/2006/relationships/hyperlink" Target="mailto:negzonal.ne1346@gmail.com" TargetMode="External"/><Relationship Id="rId78" Type="http://schemas.openxmlformats.org/officeDocument/2006/relationships/hyperlink" Target="mailto:stanthonyscollegew@gmail.com" TargetMode="External"/><Relationship Id="rId81" Type="http://schemas.openxmlformats.org/officeDocument/2006/relationships/hyperlink" Target="mailto:atrckv@gmail.com" TargetMode="External"/><Relationship Id="rId86" Type="http://schemas.openxmlformats.org/officeDocument/2006/relationships/hyperlink" Target="mailto:dmtaralasirikurusakv@gmail.com" TargetMode="External"/><Relationship Id="rId94" Type="http://schemas.openxmlformats.org/officeDocument/2006/relationships/hyperlink" Target="mailto:andimullaps1@gmail.com" TargetMode="External"/><Relationship Id="rId99" Type="http://schemas.openxmlformats.org/officeDocument/2006/relationships/hyperlink" Target="mailto:negzonal.ka1583@gmail.com" TargetMode="External"/><Relationship Id="rId101" Type="http://schemas.openxmlformats.org/officeDocument/2006/relationships/hyperlink" Target="mailto:mellawagedararcps@gmail.com" TargetMode="External"/><Relationship Id="rId4" Type="http://schemas.openxmlformats.org/officeDocument/2006/relationships/hyperlink" Target="mailto:diyalagodaprimary023007@gmail.com" TargetMode="External"/><Relationship Id="rId9" Type="http://schemas.openxmlformats.org/officeDocument/2006/relationships/hyperlink" Target="mailto:anthonys.sch.kadalana.@gmail.com" TargetMode="External"/><Relationship Id="rId13" Type="http://schemas.openxmlformats.org/officeDocument/2006/relationships/hyperlink" Target="mailto:cgsgmv@gmail.com" TargetMode="External"/><Relationship Id="rId18" Type="http://schemas.openxmlformats.org/officeDocument/2006/relationships/hyperlink" Target="mailto:stanthonysbmvco15@gmail.com" TargetMode="External"/><Relationship Id="rId39" Type="http://schemas.openxmlformats.org/officeDocument/2006/relationships/hyperlink" Target="mailto:negzonal.ka1392@gmail.com" TargetMode="External"/><Relationship Id="rId109" Type="http://schemas.openxmlformats.org/officeDocument/2006/relationships/hyperlink" Target="mailto:principalrctwattala@gmail.com" TargetMode="External"/><Relationship Id="rId34" Type="http://schemas.openxmlformats.org/officeDocument/2006/relationships/hyperlink" Target="mailto:sebastiancollege.kandana@gmail.com" TargetMode="External"/><Relationship Id="rId50" Type="http://schemas.openxmlformats.org/officeDocument/2006/relationships/hyperlink" Target="mailto:goodshepherdbmv@yahoo.com" TargetMode="External"/><Relationship Id="rId55" Type="http://schemas.openxmlformats.org/officeDocument/2006/relationships/hyperlink" Target="mailto:negzonal.ng1356@gmail.com" TargetMode="External"/><Relationship Id="rId76" Type="http://schemas.openxmlformats.org/officeDocument/2006/relationships/hyperlink" Target="mailto:stannesbmv@gmail.com" TargetMode="External"/><Relationship Id="rId97" Type="http://schemas.openxmlformats.org/officeDocument/2006/relationships/hyperlink" Target="mailto:christking43@gmail.com" TargetMode="External"/><Relationship Id="rId104" Type="http://schemas.openxmlformats.org/officeDocument/2006/relationships/hyperlink" Target="mailto:negzonal.ka1402@gmail.com" TargetMode="External"/><Relationship Id="rId7" Type="http://schemas.openxmlformats.org/officeDocument/2006/relationships/hyperlink" Target="mailto:stmaryscol13@gmail.com" TargetMode="External"/><Relationship Id="rId71" Type="http://schemas.openxmlformats.org/officeDocument/2006/relationships/hyperlink" Target="mailto:negzonal.ng01350@gmail.com" TargetMode="External"/><Relationship Id="rId92" Type="http://schemas.openxmlformats.org/officeDocument/2006/relationships/hyperlink" Target="mailto:allsaintsbalika@gmail.com" TargetMode="External"/><Relationship Id="rId2" Type="http://schemas.openxmlformats.org/officeDocument/2006/relationships/hyperlink" Target="mailto:smcmatugamafb@gmail.com" TargetMode="External"/><Relationship Id="rId29" Type="http://schemas.openxmlformats.org/officeDocument/2006/relationships/hyperlink" Target="mailto:negzonal.ka1385@gmail.com" TargetMode="External"/><Relationship Id="rId24" Type="http://schemas.openxmlformats.org/officeDocument/2006/relationships/hyperlink" Target="mailto:holyrosarytv125@gmail.com" TargetMode="External"/><Relationship Id="rId40" Type="http://schemas.openxmlformats.org/officeDocument/2006/relationships/hyperlink" Target="mailto:negzonal.ng1343@gmail.com" TargetMode="External"/><Relationship Id="rId45" Type="http://schemas.openxmlformats.org/officeDocument/2006/relationships/hyperlink" Target="mailto:negzonal.ng1369@gmail.com" TargetMode="External"/><Relationship Id="rId66" Type="http://schemas.openxmlformats.org/officeDocument/2006/relationships/hyperlink" Target="mailto:kirimatiyagaracbkv@gmail.com" TargetMode="External"/><Relationship Id="rId87" Type="http://schemas.openxmlformats.org/officeDocument/2006/relationships/hyperlink" Target="mailto:roshaniraban8@gmail.com" TargetMode="External"/><Relationship Id="rId110" Type="http://schemas.openxmlformats.org/officeDocument/2006/relationships/hyperlink" Target="mailto:gmpandukabhayakv@gmail.com" TargetMode="External"/><Relationship Id="rId115" Type="http://schemas.openxmlformats.org/officeDocument/2006/relationships/printerSettings" Target="../printerSettings/printerSettings4.bin"/><Relationship Id="rId61" Type="http://schemas.openxmlformats.org/officeDocument/2006/relationships/hyperlink" Target="mailto:minuwatinapaharcpschool@gmail.com" TargetMode="External"/><Relationship Id="rId82" Type="http://schemas.openxmlformats.org/officeDocument/2006/relationships/hyperlink" Target="mailto:negzonal.ng1364@gmail.com" TargetMode="External"/><Relationship Id="rId19" Type="http://schemas.openxmlformats.org/officeDocument/2006/relationships/hyperlink" Target="mailto:zonho.divs.niripolahanwella@gmail.com" TargetMode="External"/><Relationship Id="rId14" Type="http://schemas.openxmlformats.org/officeDocument/2006/relationships/hyperlink" Target="mailto:srshanthana@gmail.com" TargetMode="External"/><Relationship Id="rId30" Type="http://schemas.openxmlformats.org/officeDocument/2006/relationships/hyperlink" Target="mailto:negzonal.je1541@gmail.com" TargetMode="External"/><Relationship Id="rId35" Type="http://schemas.openxmlformats.org/officeDocument/2006/relationships/hyperlink" Target="mailto:negzol.je1548@gmail.com" TargetMode="External"/><Relationship Id="rId56" Type="http://schemas.openxmlformats.org/officeDocument/2006/relationships/hyperlink" Target="mailto:negzonal.ng1355@gmail.com" TargetMode="External"/><Relationship Id="rId77" Type="http://schemas.openxmlformats.org/officeDocument/2006/relationships/hyperlink" Target="mailto:pahalamadampellakv1900@gmail.com" TargetMode="External"/><Relationship Id="rId100" Type="http://schemas.openxmlformats.org/officeDocument/2006/relationships/hyperlink" Target="mailto:stantonyboysts13@gmail.com" TargetMode="External"/><Relationship Id="rId105" Type="http://schemas.openxmlformats.org/officeDocument/2006/relationships/hyperlink" Target="mailto:betepolaprimary@gmail.com" TargetMode="External"/><Relationship Id="rId8" Type="http://schemas.openxmlformats.org/officeDocument/2006/relationships/hyperlink" Target="mailto:st.annescolombo13@gmail.com" TargetMode="External"/><Relationship Id="rId51" Type="http://schemas.openxmlformats.org/officeDocument/2006/relationships/hyperlink" Target="mailto:negzonal.ng1361@gmail.com" TargetMode="External"/><Relationship Id="rId72" Type="http://schemas.openxmlformats.org/officeDocument/2006/relationships/hyperlink" Target="mailto:stpaulsbalika@yahoo.com" TargetMode="External"/><Relationship Id="rId93" Type="http://schemas.openxmlformats.org/officeDocument/2006/relationships/hyperlink" Target="mailto:hfcdehiwela@gmail.com" TargetMode="External"/><Relationship Id="rId98" Type="http://schemas.openxmlformats.org/officeDocument/2006/relationships/hyperlink" Target="mailto:nimalamaria@gmail.com" TargetMode="External"/><Relationship Id="rId3" Type="http://schemas.openxmlformats.org/officeDocument/2006/relationships/hyperlink" Target="mailto:stmaryschoolkl@gmail.com" TargetMode="External"/><Relationship Id="rId25" Type="http://schemas.openxmlformats.org/officeDocument/2006/relationships/hyperlink" Target="mailto:zonho.dirs.welikannarckv@gmail.com" TargetMode="External"/><Relationship Id="rId46" Type="http://schemas.openxmlformats.org/officeDocument/2006/relationships/hyperlink" Target="mailto:negzonal.ge1572@gmail.com" TargetMode="External"/><Relationship Id="rId67" Type="http://schemas.openxmlformats.org/officeDocument/2006/relationships/hyperlink" Target="mailto:negzonal.kal387@gmail.com" TargetMode="External"/><Relationship Id="rId20" Type="http://schemas.openxmlformats.org/officeDocument/2006/relationships/hyperlink" Target="mailto:zonho.divs.pahathgamarcv@gmail.com" TargetMode="External"/><Relationship Id="rId41" Type="http://schemas.openxmlformats.org/officeDocument/2006/relationships/hyperlink" Target="mailto:kongodamullaschool@gmail.com" TargetMode="External"/><Relationship Id="rId62" Type="http://schemas.openxmlformats.org/officeDocument/2006/relationships/hyperlink" Target="mailto:stannepri00@gmail.com" TargetMode="External"/><Relationship Id="rId83" Type="http://schemas.openxmlformats.org/officeDocument/2006/relationships/hyperlink" Target="mailto:negzonal.je1561@gmail.com" TargetMode="External"/><Relationship Id="rId88" Type="http://schemas.openxmlformats.org/officeDocument/2006/relationships/hyperlink" Target="mailto:gmgajabakv@gmail.com" TargetMode="External"/><Relationship Id="rId111" Type="http://schemas.openxmlformats.org/officeDocument/2006/relationships/hyperlink" Target="mailto:maththumagalarcc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stanthonyscollegew@gmail.com" TargetMode="External"/><Relationship Id="rId2" Type="http://schemas.openxmlformats.org/officeDocument/2006/relationships/hyperlink" Target="mailto:negzonal.ng1342@gmail.com" TargetMode="External"/><Relationship Id="rId1" Type="http://schemas.openxmlformats.org/officeDocument/2006/relationships/hyperlink" Target="mailto:kottestcprincipal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negzonal.ng1372@gmail.com" TargetMode="External"/><Relationship Id="rId2" Type="http://schemas.openxmlformats.org/officeDocument/2006/relationships/hyperlink" Target="mailto:negzonal.kat1418@gmail.com" TargetMode="External"/><Relationship Id="rId1" Type="http://schemas.openxmlformats.org/officeDocument/2006/relationships/hyperlink" Target="mailto:popep.6thm.v@gmail.com" TargetMode="Externa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I293"/>
  <sheetViews>
    <sheetView workbookViewId="0">
      <selection activeCell="B14" sqref="A14:XFD14"/>
    </sheetView>
  </sheetViews>
  <sheetFormatPr defaultColWidth="8.88671875" defaultRowHeight="13.8" x14ac:dyDescent="0.3"/>
  <cols>
    <col min="1" max="1" width="6" style="224" customWidth="1"/>
    <col min="2" max="2" width="47.109375" style="409" customWidth="1"/>
    <col min="3" max="3" width="20.5546875" style="409" customWidth="1"/>
    <col min="4" max="4" width="15.44140625" style="409" bestFit="1" customWidth="1"/>
    <col min="5" max="8" width="20.5546875" style="409" customWidth="1"/>
    <col min="9" max="9" width="38.109375" style="409" customWidth="1"/>
    <col min="10" max="16384" width="8.88671875" style="409"/>
  </cols>
  <sheetData>
    <row r="2" spans="1:9" ht="20.25" customHeight="1" x14ac:dyDescent="0.3">
      <c r="A2" s="789" t="s">
        <v>2085</v>
      </c>
      <c r="B2" s="790"/>
      <c r="C2" s="790"/>
      <c r="D2" s="790"/>
      <c r="E2" s="790"/>
      <c r="F2" s="790"/>
      <c r="G2" s="790"/>
      <c r="H2" s="790"/>
      <c r="I2" s="791"/>
    </row>
    <row r="3" spans="1:9" ht="14.25" customHeight="1" x14ac:dyDescent="0.3">
      <c r="A3" s="792"/>
      <c r="B3" s="793"/>
      <c r="C3" s="793"/>
      <c r="D3" s="793"/>
      <c r="E3" s="793"/>
      <c r="F3" s="793"/>
      <c r="G3" s="793"/>
      <c r="H3" s="793"/>
      <c r="I3" s="794"/>
    </row>
    <row r="4" spans="1:9" s="411" customFormat="1" ht="30" customHeight="1" x14ac:dyDescent="0.3">
      <c r="A4" s="440" t="s">
        <v>0</v>
      </c>
      <c r="B4" s="440" t="s">
        <v>545</v>
      </c>
      <c r="C4" s="440" t="s">
        <v>4</v>
      </c>
      <c r="D4" s="440" t="s">
        <v>5</v>
      </c>
      <c r="E4" s="440" t="s">
        <v>6</v>
      </c>
      <c r="F4" s="440" t="s">
        <v>7</v>
      </c>
      <c r="G4" s="440" t="s">
        <v>8</v>
      </c>
      <c r="H4" s="440" t="s">
        <v>9</v>
      </c>
      <c r="I4" s="440" t="s">
        <v>2086</v>
      </c>
    </row>
    <row r="5" spans="1:9" ht="30" customHeight="1" x14ac:dyDescent="0.3">
      <c r="A5" s="9">
        <v>1</v>
      </c>
      <c r="B5" s="24" t="s">
        <v>10</v>
      </c>
      <c r="C5" s="412" t="s">
        <v>13</v>
      </c>
      <c r="D5" s="412" t="s">
        <v>14</v>
      </c>
      <c r="E5" s="412" t="s">
        <v>15</v>
      </c>
      <c r="F5" s="412" t="s">
        <v>14</v>
      </c>
      <c r="G5" s="412" t="s">
        <v>14</v>
      </c>
      <c r="H5" s="412" t="s">
        <v>16</v>
      </c>
      <c r="I5" s="412"/>
    </row>
    <row r="6" spans="1:9" ht="30" customHeight="1" x14ac:dyDescent="0.3">
      <c r="A6" s="9">
        <v>2</v>
      </c>
      <c r="B6" s="16" t="s">
        <v>17</v>
      </c>
      <c r="C6" s="412" t="s">
        <v>13</v>
      </c>
      <c r="D6" s="412" t="s">
        <v>19</v>
      </c>
      <c r="E6" s="412" t="s">
        <v>20</v>
      </c>
      <c r="F6" s="412" t="s">
        <v>21</v>
      </c>
      <c r="G6" s="412" t="s">
        <v>22</v>
      </c>
      <c r="H6" s="412" t="s">
        <v>23</v>
      </c>
      <c r="I6" s="412"/>
    </row>
    <row r="7" spans="1:9" ht="30" customHeight="1" x14ac:dyDescent="0.3">
      <c r="A7" s="9">
        <v>3</v>
      </c>
      <c r="B7" s="16" t="s">
        <v>24</v>
      </c>
      <c r="C7" s="412" t="s">
        <v>26</v>
      </c>
      <c r="D7" s="412" t="s">
        <v>27</v>
      </c>
      <c r="E7" s="412" t="s">
        <v>28</v>
      </c>
      <c r="F7" s="412" t="s">
        <v>29</v>
      </c>
      <c r="G7" s="412" t="s">
        <v>30</v>
      </c>
      <c r="H7" s="412" t="s">
        <v>31</v>
      </c>
      <c r="I7" s="412"/>
    </row>
    <row r="8" spans="1:9" ht="30" customHeight="1" x14ac:dyDescent="0.3">
      <c r="A8" s="9">
        <v>4</v>
      </c>
      <c r="B8" s="24" t="s">
        <v>2090</v>
      </c>
      <c r="C8" s="412" t="s">
        <v>26</v>
      </c>
      <c r="D8" s="412" t="s">
        <v>27</v>
      </c>
      <c r="E8" s="412" t="s">
        <v>891</v>
      </c>
      <c r="F8" s="412" t="s">
        <v>29</v>
      </c>
      <c r="G8" s="412" t="s">
        <v>30</v>
      </c>
      <c r="H8" s="412" t="s">
        <v>31</v>
      </c>
      <c r="I8" s="412"/>
    </row>
    <row r="9" spans="1:9" ht="30" customHeight="1" x14ac:dyDescent="0.3">
      <c r="A9" s="9">
        <v>5</v>
      </c>
      <c r="B9" s="24" t="s">
        <v>2091</v>
      </c>
      <c r="C9" s="412" t="s">
        <v>26</v>
      </c>
      <c r="D9" s="412" t="s">
        <v>27</v>
      </c>
      <c r="E9" s="412" t="s">
        <v>891</v>
      </c>
      <c r="F9" s="412" t="s">
        <v>29</v>
      </c>
      <c r="G9" s="412" t="s">
        <v>30</v>
      </c>
      <c r="H9" s="412" t="s">
        <v>31</v>
      </c>
      <c r="I9" s="412"/>
    </row>
    <row r="10" spans="1:9" ht="30" customHeight="1" x14ac:dyDescent="0.3">
      <c r="A10" s="9">
        <v>6</v>
      </c>
      <c r="B10" s="24" t="s">
        <v>2092</v>
      </c>
      <c r="C10" s="412" t="s">
        <v>26</v>
      </c>
      <c r="D10" s="412" t="s">
        <v>31</v>
      </c>
      <c r="E10" s="412" t="s">
        <v>37</v>
      </c>
      <c r="F10" s="412" t="s">
        <v>29</v>
      </c>
      <c r="G10" s="412" t="s">
        <v>38</v>
      </c>
      <c r="H10" s="412" t="s">
        <v>39</v>
      </c>
      <c r="I10" s="412"/>
    </row>
    <row r="11" spans="1:9" ht="30" customHeight="1" x14ac:dyDescent="0.3">
      <c r="A11" s="9">
        <v>7</v>
      </c>
      <c r="B11" s="24" t="s">
        <v>2093</v>
      </c>
      <c r="C11" s="412" t="s">
        <v>26</v>
      </c>
      <c r="D11" s="412" t="s">
        <v>31</v>
      </c>
      <c r="E11" s="412" t="s">
        <v>37</v>
      </c>
      <c r="F11" s="412" t="s">
        <v>29</v>
      </c>
      <c r="G11" s="412" t="s">
        <v>38</v>
      </c>
      <c r="H11" s="412" t="s">
        <v>39</v>
      </c>
      <c r="I11" s="412"/>
    </row>
    <row r="12" spans="1:9" ht="30" customHeight="1" x14ac:dyDescent="0.3">
      <c r="A12" s="9">
        <v>8</v>
      </c>
      <c r="B12" s="16" t="s">
        <v>40</v>
      </c>
      <c r="C12" s="412" t="s">
        <v>21</v>
      </c>
      <c r="D12" s="412" t="s">
        <v>42</v>
      </c>
      <c r="E12" s="412" t="s">
        <v>43</v>
      </c>
      <c r="F12" s="412" t="s">
        <v>21</v>
      </c>
      <c r="G12" s="412" t="s">
        <v>44</v>
      </c>
      <c r="H12" s="412" t="s">
        <v>42</v>
      </c>
      <c r="I12" s="412"/>
    </row>
    <row r="13" spans="1:9" ht="30" customHeight="1" x14ac:dyDescent="0.3">
      <c r="A13" s="9">
        <v>9</v>
      </c>
      <c r="B13" s="24" t="s">
        <v>2094</v>
      </c>
      <c r="C13" s="412" t="s">
        <v>13</v>
      </c>
      <c r="D13" s="412" t="s">
        <v>42</v>
      </c>
      <c r="E13" s="412" t="s">
        <v>203</v>
      </c>
      <c r="F13" s="412" t="s">
        <v>14</v>
      </c>
      <c r="G13" s="412" t="s">
        <v>14</v>
      </c>
      <c r="H13" s="412" t="s">
        <v>203</v>
      </c>
      <c r="I13" s="412"/>
    </row>
    <row r="14" spans="1:9" ht="30" customHeight="1" x14ac:dyDescent="0.3">
      <c r="A14" s="9">
        <v>10</v>
      </c>
      <c r="B14" s="16" t="s">
        <v>45</v>
      </c>
      <c r="C14" s="412" t="s">
        <v>13</v>
      </c>
      <c r="D14" s="412" t="s">
        <v>19</v>
      </c>
      <c r="E14" s="412" t="s">
        <v>20</v>
      </c>
      <c r="F14" s="412" t="s">
        <v>21</v>
      </c>
      <c r="G14" s="412" t="s">
        <v>22</v>
      </c>
      <c r="H14" s="412" t="s">
        <v>23</v>
      </c>
      <c r="I14" s="412"/>
    </row>
    <row r="15" spans="1:9" ht="30" customHeight="1" x14ac:dyDescent="0.3">
      <c r="A15" s="9">
        <v>11</v>
      </c>
      <c r="B15" s="24" t="s">
        <v>47</v>
      </c>
      <c r="C15" s="412" t="s">
        <v>21</v>
      </c>
      <c r="D15" s="412" t="s">
        <v>49</v>
      </c>
      <c r="E15" s="412" t="s">
        <v>50</v>
      </c>
      <c r="F15" s="412" t="s">
        <v>21</v>
      </c>
      <c r="G15" s="412" t="s">
        <v>21</v>
      </c>
      <c r="H15" s="412" t="s">
        <v>51</v>
      </c>
      <c r="I15" s="412"/>
    </row>
    <row r="16" spans="1:9" ht="30" customHeight="1" x14ac:dyDescent="0.3">
      <c r="A16" s="9">
        <v>12</v>
      </c>
      <c r="B16" s="16" t="s">
        <v>52</v>
      </c>
      <c r="C16" s="412" t="s">
        <v>21</v>
      </c>
      <c r="D16" s="412" t="s">
        <v>49</v>
      </c>
      <c r="E16" s="412" t="s">
        <v>50</v>
      </c>
      <c r="F16" s="412" t="s">
        <v>21</v>
      </c>
      <c r="G16" s="412" t="s">
        <v>21</v>
      </c>
      <c r="H16" s="412" t="s">
        <v>51</v>
      </c>
      <c r="I16" s="412"/>
    </row>
    <row r="17" spans="1:9" ht="30" customHeight="1" x14ac:dyDescent="0.3">
      <c r="A17" s="9">
        <v>13</v>
      </c>
      <c r="B17" s="24" t="s">
        <v>2095</v>
      </c>
      <c r="C17" s="412" t="s">
        <v>26</v>
      </c>
      <c r="D17" s="412" t="s">
        <v>31</v>
      </c>
      <c r="E17" s="412" t="s">
        <v>2096</v>
      </c>
      <c r="F17" s="412" t="s">
        <v>29</v>
      </c>
      <c r="G17" s="412" t="s">
        <v>30</v>
      </c>
      <c r="H17" s="412" t="s">
        <v>31</v>
      </c>
      <c r="I17" s="412"/>
    </row>
    <row r="18" spans="1:9" ht="30" customHeight="1" x14ac:dyDescent="0.3">
      <c r="A18" s="9">
        <v>14</v>
      </c>
      <c r="B18" s="24" t="s">
        <v>2097</v>
      </c>
      <c r="C18" s="412" t="s">
        <v>26</v>
      </c>
      <c r="D18" s="412" t="s">
        <v>31</v>
      </c>
      <c r="E18" s="412" t="s">
        <v>2096</v>
      </c>
      <c r="F18" s="412" t="s">
        <v>29</v>
      </c>
      <c r="G18" s="412" t="s">
        <v>30</v>
      </c>
      <c r="H18" s="412" t="s">
        <v>31</v>
      </c>
      <c r="I18" s="412"/>
    </row>
    <row r="19" spans="1:9" ht="30" customHeight="1" x14ac:dyDescent="0.3">
      <c r="A19" s="9">
        <v>15</v>
      </c>
      <c r="B19" s="16" t="s">
        <v>56</v>
      </c>
      <c r="C19" s="412" t="s">
        <v>26</v>
      </c>
      <c r="D19" s="412" t="s">
        <v>27</v>
      </c>
      <c r="E19" s="412" t="s">
        <v>2098</v>
      </c>
      <c r="F19" s="412" t="s">
        <v>29</v>
      </c>
      <c r="G19" s="412" t="s">
        <v>30</v>
      </c>
      <c r="H19" s="412" t="s">
        <v>31</v>
      </c>
      <c r="I19" s="412"/>
    </row>
    <row r="20" spans="1:9" ht="30" customHeight="1" x14ac:dyDescent="0.3">
      <c r="A20" s="9">
        <v>16</v>
      </c>
      <c r="B20" s="24" t="s">
        <v>58</v>
      </c>
      <c r="C20" s="412" t="s">
        <v>13</v>
      </c>
      <c r="D20" s="412" t="s">
        <v>14</v>
      </c>
      <c r="E20" s="412" t="s">
        <v>15</v>
      </c>
      <c r="F20" s="412" t="s">
        <v>14</v>
      </c>
      <c r="G20" s="412" t="s">
        <v>14</v>
      </c>
      <c r="H20" s="412" t="s">
        <v>15</v>
      </c>
      <c r="I20" s="412"/>
    </row>
    <row r="21" spans="1:9" ht="30" customHeight="1" x14ac:dyDescent="0.3">
      <c r="A21" s="9">
        <v>17</v>
      </c>
      <c r="B21" s="16" t="s">
        <v>59</v>
      </c>
      <c r="C21" s="412" t="s">
        <v>13</v>
      </c>
      <c r="D21" s="412" t="s">
        <v>29</v>
      </c>
      <c r="E21" s="412" t="s">
        <v>313</v>
      </c>
      <c r="F21" s="412" t="s">
        <v>29</v>
      </c>
      <c r="G21" s="412" t="s">
        <v>29</v>
      </c>
      <c r="H21" s="412" t="s">
        <v>29</v>
      </c>
      <c r="I21" s="412"/>
    </row>
    <row r="22" spans="1:9" ht="30" customHeight="1" x14ac:dyDescent="0.3">
      <c r="A22" s="9">
        <v>18</v>
      </c>
      <c r="B22" s="16" t="s">
        <v>61</v>
      </c>
      <c r="C22" s="412" t="s">
        <v>26</v>
      </c>
      <c r="D22" s="412" t="s">
        <v>30</v>
      </c>
      <c r="E22" s="412" t="s">
        <v>430</v>
      </c>
      <c r="F22" s="412" t="s">
        <v>29</v>
      </c>
      <c r="G22" s="412" t="s">
        <v>30</v>
      </c>
      <c r="H22" s="412" t="s">
        <v>30</v>
      </c>
      <c r="I22" s="412"/>
    </row>
    <row r="23" spans="1:9" ht="30" customHeight="1" x14ac:dyDescent="0.3">
      <c r="A23" s="9">
        <v>19</v>
      </c>
      <c r="B23" s="24" t="s">
        <v>64</v>
      </c>
      <c r="C23" s="412" t="s">
        <v>66</v>
      </c>
      <c r="D23" s="412" t="s">
        <v>67</v>
      </c>
      <c r="E23" s="412" t="s">
        <v>68</v>
      </c>
      <c r="F23" s="412" t="s">
        <v>29</v>
      </c>
      <c r="G23" s="412" t="s">
        <v>26</v>
      </c>
      <c r="H23" s="412" t="s">
        <v>69</v>
      </c>
      <c r="I23" s="412"/>
    </row>
    <row r="24" spans="1:9" ht="30" customHeight="1" x14ac:dyDescent="0.3">
      <c r="A24" s="9">
        <v>20</v>
      </c>
      <c r="B24" s="24" t="s">
        <v>70</v>
      </c>
      <c r="C24" s="412" t="s">
        <v>66</v>
      </c>
      <c r="D24" s="412" t="s">
        <v>67</v>
      </c>
      <c r="E24" s="412" t="s">
        <v>68</v>
      </c>
      <c r="F24" s="412" t="s">
        <v>29</v>
      </c>
      <c r="G24" s="412" t="s">
        <v>30</v>
      </c>
      <c r="H24" s="412" t="s">
        <v>69</v>
      </c>
      <c r="I24" s="412"/>
    </row>
    <row r="25" spans="1:9" ht="30" customHeight="1" x14ac:dyDescent="0.3">
      <c r="A25" s="9">
        <v>21</v>
      </c>
      <c r="B25" s="16" t="s">
        <v>2099</v>
      </c>
      <c r="C25" s="412" t="s">
        <v>26</v>
      </c>
      <c r="D25" s="412" t="s">
        <v>31</v>
      </c>
      <c r="E25" s="412" t="s">
        <v>74</v>
      </c>
      <c r="F25" s="412" t="s">
        <v>29</v>
      </c>
      <c r="G25" s="412" t="s">
        <v>38</v>
      </c>
      <c r="H25" s="412" t="s">
        <v>39</v>
      </c>
      <c r="I25" s="412"/>
    </row>
    <row r="26" spans="1:9" ht="30" customHeight="1" x14ac:dyDescent="0.3">
      <c r="A26" s="9">
        <v>22</v>
      </c>
      <c r="B26" s="16" t="s">
        <v>2100</v>
      </c>
      <c r="C26" s="412" t="s">
        <v>26</v>
      </c>
      <c r="D26" s="412" t="s">
        <v>31</v>
      </c>
      <c r="E26" s="412" t="s">
        <v>74</v>
      </c>
      <c r="F26" s="412" t="s">
        <v>29</v>
      </c>
      <c r="G26" s="412" t="s">
        <v>38</v>
      </c>
      <c r="H26" s="412" t="s">
        <v>39</v>
      </c>
      <c r="I26" s="412"/>
    </row>
    <row r="27" spans="1:9" ht="30" customHeight="1" x14ac:dyDescent="0.3">
      <c r="A27" s="9">
        <v>23</v>
      </c>
      <c r="B27" s="24" t="s">
        <v>2101</v>
      </c>
      <c r="C27" s="412" t="s">
        <v>13</v>
      </c>
      <c r="D27" s="412" t="s">
        <v>14</v>
      </c>
      <c r="E27" s="412" t="s">
        <v>15</v>
      </c>
      <c r="F27" s="412" t="s">
        <v>14</v>
      </c>
      <c r="G27" s="412" t="s">
        <v>14</v>
      </c>
      <c r="H27" s="412" t="s">
        <v>16</v>
      </c>
      <c r="I27" s="412"/>
    </row>
    <row r="28" spans="1:9" ht="30" customHeight="1" x14ac:dyDescent="0.3">
      <c r="A28" s="9">
        <v>24</v>
      </c>
      <c r="B28" s="24" t="s">
        <v>2102</v>
      </c>
      <c r="C28" s="412" t="s">
        <v>13</v>
      </c>
      <c r="D28" s="412" t="s">
        <v>14</v>
      </c>
      <c r="E28" s="412" t="s">
        <v>15</v>
      </c>
      <c r="F28" s="412" t="s">
        <v>14</v>
      </c>
      <c r="G28" s="412" t="s">
        <v>14</v>
      </c>
      <c r="H28" s="412" t="s">
        <v>16</v>
      </c>
      <c r="I28" s="412"/>
    </row>
    <row r="29" spans="1:9" ht="30" customHeight="1" x14ac:dyDescent="0.3">
      <c r="A29" s="9">
        <v>25</v>
      </c>
      <c r="B29" s="24" t="s">
        <v>2103</v>
      </c>
      <c r="C29" s="412" t="s">
        <v>26</v>
      </c>
      <c r="D29" s="412" t="s">
        <v>27</v>
      </c>
      <c r="E29" s="412" t="s">
        <v>77</v>
      </c>
      <c r="F29" s="412" t="s">
        <v>29</v>
      </c>
      <c r="G29" s="412" t="s">
        <v>30</v>
      </c>
      <c r="H29" s="412" t="s">
        <v>30</v>
      </c>
      <c r="I29" s="412"/>
    </row>
    <row r="30" spans="1:9" ht="30" customHeight="1" x14ac:dyDescent="0.3">
      <c r="A30" s="9">
        <v>26</v>
      </c>
      <c r="B30" s="24" t="s">
        <v>2104</v>
      </c>
      <c r="C30" s="412" t="s">
        <v>26</v>
      </c>
      <c r="D30" s="412" t="s">
        <v>27</v>
      </c>
      <c r="E30" s="412" t="s">
        <v>77</v>
      </c>
      <c r="F30" s="412" t="s">
        <v>29</v>
      </c>
      <c r="G30" s="412" t="s">
        <v>30</v>
      </c>
      <c r="H30" s="412" t="s">
        <v>30</v>
      </c>
      <c r="I30" s="412"/>
    </row>
    <row r="31" spans="1:9" ht="30" customHeight="1" x14ac:dyDescent="0.3">
      <c r="A31" s="9">
        <v>27</v>
      </c>
      <c r="B31" s="24" t="s">
        <v>2105</v>
      </c>
      <c r="C31" s="412" t="s">
        <v>26</v>
      </c>
      <c r="D31" s="412" t="s">
        <v>27</v>
      </c>
      <c r="E31" s="412" t="s">
        <v>77</v>
      </c>
      <c r="F31" s="412" t="s">
        <v>29</v>
      </c>
      <c r="G31" s="412" t="s">
        <v>30</v>
      </c>
      <c r="H31" s="412" t="s">
        <v>30</v>
      </c>
      <c r="I31" s="412"/>
    </row>
    <row r="32" spans="1:9" ht="30" customHeight="1" x14ac:dyDescent="0.3">
      <c r="A32" s="9">
        <v>28</v>
      </c>
      <c r="B32" s="16" t="s">
        <v>2106</v>
      </c>
      <c r="C32" s="412" t="s">
        <v>26</v>
      </c>
      <c r="D32" s="412" t="s">
        <v>27</v>
      </c>
      <c r="E32" s="412" t="s">
        <v>77</v>
      </c>
      <c r="F32" s="412" t="s">
        <v>29</v>
      </c>
      <c r="G32" s="412" t="s">
        <v>30</v>
      </c>
      <c r="H32" s="412" t="s">
        <v>30</v>
      </c>
      <c r="I32" s="412"/>
    </row>
    <row r="33" spans="1:9" ht="30" customHeight="1" x14ac:dyDescent="0.3">
      <c r="A33" s="9">
        <v>29</v>
      </c>
      <c r="B33" s="24" t="s">
        <v>2107</v>
      </c>
      <c r="C33" s="412" t="s">
        <v>26</v>
      </c>
      <c r="D33" s="412" t="s">
        <v>27</v>
      </c>
      <c r="E33" s="412" t="s">
        <v>77</v>
      </c>
      <c r="F33" s="412" t="s">
        <v>29</v>
      </c>
      <c r="G33" s="412" t="s">
        <v>30</v>
      </c>
      <c r="H33" s="412" t="s">
        <v>30</v>
      </c>
      <c r="I33" s="412"/>
    </row>
    <row r="34" spans="1:9" ht="30" customHeight="1" x14ac:dyDescent="0.3">
      <c r="A34" s="9">
        <v>30</v>
      </c>
      <c r="B34" s="24" t="s">
        <v>2108</v>
      </c>
      <c r="C34" s="412" t="s">
        <v>66</v>
      </c>
      <c r="D34" s="412" t="s">
        <v>67</v>
      </c>
      <c r="E34" s="412" t="s">
        <v>2109</v>
      </c>
      <c r="F34" s="412" t="s">
        <v>29</v>
      </c>
      <c r="G34" s="412" t="s">
        <v>29</v>
      </c>
      <c r="H34" s="412" t="s">
        <v>29</v>
      </c>
      <c r="I34" s="412"/>
    </row>
    <row r="35" spans="1:9" ht="30" customHeight="1" x14ac:dyDescent="0.3">
      <c r="A35" s="9">
        <v>31</v>
      </c>
      <c r="B35" s="24" t="s">
        <v>2110</v>
      </c>
      <c r="C35" s="412" t="s">
        <v>66</v>
      </c>
      <c r="D35" s="412" t="s">
        <v>80</v>
      </c>
      <c r="E35" s="412" t="s">
        <v>2111</v>
      </c>
      <c r="F35" s="412" t="s">
        <v>29</v>
      </c>
      <c r="G35" s="412" t="s">
        <v>30</v>
      </c>
      <c r="H35" s="412" t="s">
        <v>69</v>
      </c>
      <c r="I35" s="412"/>
    </row>
    <row r="36" spans="1:9" ht="30" customHeight="1" x14ac:dyDescent="0.3">
      <c r="A36" s="9">
        <v>32</v>
      </c>
      <c r="B36" s="24" t="s">
        <v>2112</v>
      </c>
      <c r="C36" s="412" t="s">
        <v>66</v>
      </c>
      <c r="D36" s="412" t="s">
        <v>80</v>
      </c>
      <c r="E36" s="412" t="s">
        <v>2111</v>
      </c>
      <c r="F36" s="412" t="s">
        <v>29</v>
      </c>
      <c r="G36" s="412" t="s">
        <v>30</v>
      </c>
      <c r="H36" s="412" t="s">
        <v>69</v>
      </c>
      <c r="I36" s="412"/>
    </row>
    <row r="37" spans="1:9" ht="30" customHeight="1" x14ac:dyDescent="0.3">
      <c r="A37" s="9">
        <v>33</v>
      </c>
      <c r="B37" s="16" t="s">
        <v>2113</v>
      </c>
      <c r="C37" s="412" t="s">
        <v>21</v>
      </c>
      <c r="D37" s="412" t="s">
        <v>84</v>
      </c>
      <c r="E37" s="412" t="s">
        <v>85</v>
      </c>
      <c r="F37" s="412" t="s">
        <v>21</v>
      </c>
      <c r="G37" s="412" t="s">
        <v>21</v>
      </c>
      <c r="H37" s="412" t="s">
        <v>85</v>
      </c>
      <c r="I37" s="412"/>
    </row>
    <row r="38" spans="1:9" ht="30" customHeight="1" x14ac:dyDescent="0.3">
      <c r="A38" s="9">
        <v>34</v>
      </c>
      <c r="B38" s="16" t="s">
        <v>2114</v>
      </c>
      <c r="C38" s="412" t="s">
        <v>21</v>
      </c>
      <c r="D38" s="412" t="s">
        <v>84</v>
      </c>
      <c r="E38" s="412" t="s">
        <v>85</v>
      </c>
      <c r="F38" s="412" t="s">
        <v>21</v>
      </c>
      <c r="G38" s="412" t="s">
        <v>21</v>
      </c>
      <c r="H38" s="412" t="s">
        <v>85</v>
      </c>
      <c r="I38" s="412"/>
    </row>
    <row r="39" spans="1:9" ht="30" customHeight="1" x14ac:dyDescent="0.3">
      <c r="A39" s="9">
        <v>35</v>
      </c>
      <c r="B39" s="16" t="s">
        <v>86</v>
      </c>
      <c r="C39" s="412" t="s">
        <v>21</v>
      </c>
      <c r="D39" s="412" t="s">
        <v>84</v>
      </c>
      <c r="E39" s="412" t="s">
        <v>85</v>
      </c>
      <c r="F39" s="412" t="s">
        <v>21</v>
      </c>
      <c r="G39" s="412" t="s">
        <v>21</v>
      </c>
      <c r="H39" s="412" t="s">
        <v>85</v>
      </c>
      <c r="I39" s="412"/>
    </row>
    <row r="40" spans="1:9" ht="30" customHeight="1" x14ac:dyDescent="0.3">
      <c r="A40" s="9">
        <v>36</v>
      </c>
      <c r="B40" s="24" t="s">
        <v>2115</v>
      </c>
      <c r="C40" s="412" t="s">
        <v>26</v>
      </c>
      <c r="D40" s="412" t="s">
        <v>29</v>
      </c>
      <c r="E40" s="412" t="s">
        <v>90</v>
      </c>
      <c r="F40" s="412" t="s">
        <v>29</v>
      </c>
      <c r="G40" s="412" t="s">
        <v>38</v>
      </c>
      <c r="H40" s="412" t="s">
        <v>38</v>
      </c>
      <c r="I40" s="412"/>
    </row>
    <row r="41" spans="1:9" ht="30" customHeight="1" x14ac:dyDescent="0.3">
      <c r="A41" s="9">
        <v>37</v>
      </c>
      <c r="B41" s="24" t="s">
        <v>2116</v>
      </c>
      <c r="C41" s="412" t="s">
        <v>26</v>
      </c>
      <c r="D41" s="412" t="s">
        <v>29</v>
      </c>
      <c r="E41" s="412" t="s">
        <v>90</v>
      </c>
      <c r="F41" s="412" t="s">
        <v>29</v>
      </c>
      <c r="G41" s="412" t="s">
        <v>38</v>
      </c>
      <c r="H41" s="412" t="s">
        <v>38</v>
      </c>
      <c r="I41" s="412"/>
    </row>
    <row r="42" spans="1:9" ht="30" customHeight="1" x14ac:dyDescent="0.3">
      <c r="A42" s="9">
        <v>38</v>
      </c>
      <c r="B42" s="16" t="s">
        <v>91</v>
      </c>
      <c r="C42" s="412" t="s">
        <v>26</v>
      </c>
      <c r="D42" s="412" t="s">
        <v>30</v>
      </c>
      <c r="E42" s="412" t="s">
        <v>34</v>
      </c>
      <c r="F42" s="412" t="s">
        <v>29</v>
      </c>
      <c r="G42" s="412" t="s">
        <v>93</v>
      </c>
      <c r="H42" s="412" t="s">
        <v>39</v>
      </c>
      <c r="I42" s="412"/>
    </row>
    <row r="43" spans="1:9" ht="30" customHeight="1" x14ac:dyDescent="0.3">
      <c r="A43" s="9">
        <v>39</v>
      </c>
      <c r="B43" s="24" t="s">
        <v>2117</v>
      </c>
      <c r="C43" s="412" t="s">
        <v>66</v>
      </c>
      <c r="D43" s="412" t="s">
        <v>96</v>
      </c>
      <c r="E43" s="412" t="s">
        <v>97</v>
      </c>
      <c r="F43" s="412" t="s">
        <v>29</v>
      </c>
      <c r="G43" s="412" t="s">
        <v>98</v>
      </c>
      <c r="H43" s="412" t="s">
        <v>99</v>
      </c>
      <c r="I43" s="412"/>
    </row>
    <row r="44" spans="1:9" ht="30" customHeight="1" x14ac:dyDescent="0.3">
      <c r="A44" s="9">
        <v>40</v>
      </c>
      <c r="B44" s="24" t="s">
        <v>2118</v>
      </c>
      <c r="C44" s="412" t="s">
        <v>66</v>
      </c>
      <c r="D44" s="412" t="s">
        <v>96</v>
      </c>
      <c r="E44" s="412" t="s">
        <v>97</v>
      </c>
      <c r="F44" s="412" t="s">
        <v>29</v>
      </c>
      <c r="G44" s="412" t="s">
        <v>98</v>
      </c>
      <c r="H44" s="412" t="s">
        <v>99</v>
      </c>
      <c r="I44" s="412"/>
    </row>
    <row r="45" spans="1:9" ht="30" customHeight="1" x14ac:dyDescent="0.3">
      <c r="A45" s="9">
        <v>41</v>
      </c>
      <c r="B45" s="24" t="s">
        <v>2119</v>
      </c>
      <c r="C45" s="412" t="s">
        <v>26</v>
      </c>
      <c r="D45" s="412" t="s">
        <v>26</v>
      </c>
      <c r="E45" s="412" t="s">
        <v>102</v>
      </c>
      <c r="F45" s="412" t="s">
        <v>29</v>
      </c>
      <c r="G45" s="412" t="s">
        <v>26</v>
      </c>
      <c r="H45" s="412" t="s">
        <v>30</v>
      </c>
      <c r="I45" s="412"/>
    </row>
    <row r="46" spans="1:9" ht="30" customHeight="1" x14ac:dyDescent="0.3">
      <c r="A46" s="9">
        <v>42</v>
      </c>
      <c r="B46" s="24" t="s">
        <v>2120</v>
      </c>
      <c r="C46" s="412" t="s">
        <v>26</v>
      </c>
      <c r="D46" s="412" t="s">
        <v>26</v>
      </c>
      <c r="E46" s="412" t="s">
        <v>102</v>
      </c>
      <c r="F46" s="412" t="s">
        <v>29</v>
      </c>
      <c r="G46" s="412" t="s">
        <v>26</v>
      </c>
      <c r="H46" s="412" t="s">
        <v>30</v>
      </c>
      <c r="I46" s="412"/>
    </row>
    <row r="47" spans="1:9" ht="30" customHeight="1" x14ac:dyDescent="0.3">
      <c r="A47" s="9">
        <v>43</v>
      </c>
      <c r="B47" s="24" t="s">
        <v>103</v>
      </c>
      <c r="C47" s="412" t="s">
        <v>21</v>
      </c>
      <c r="D47" s="412" t="s">
        <v>42</v>
      </c>
      <c r="E47" s="412" t="s">
        <v>105</v>
      </c>
      <c r="F47" s="412" t="s">
        <v>21</v>
      </c>
      <c r="G47" s="412" t="s">
        <v>44</v>
      </c>
      <c r="H47" s="412" t="s">
        <v>43</v>
      </c>
      <c r="I47" s="412"/>
    </row>
    <row r="48" spans="1:9" ht="30" customHeight="1" x14ac:dyDescent="0.3">
      <c r="A48" s="9">
        <v>44</v>
      </c>
      <c r="B48" s="16" t="s">
        <v>107</v>
      </c>
      <c r="C48" s="412" t="s">
        <v>21</v>
      </c>
      <c r="D48" s="412" t="s">
        <v>49</v>
      </c>
      <c r="E48" s="412" t="s">
        <v>109</v>
      </c>
      <c r="F48" s="412" t="s">
        <v>110</v>
      </c>
      <c r="G48" s="412" t="s">
        <v>44</v>
      </c>
      <c r="H48" s="412" t="s">
        <v>109</v>
      </c>
      <c r="I48" s="412"/>
    </row>
    <row r="49" spans="1:9" ht="30" customHeight="1" x14ac:dyDescent="0.3">
      <c r="A49" s="9">
        <v>45</v>
      </c>
      <c r="B49" s="24" t="s">
        <v>111</v>
      </c>
      <c r="C49" s="412" t="s">
        <v>21</v>
      </c>
      <c r="D49" s="412" t="s">
        <v>49</v>
      </c>
      <c r="E49" s="412" t="s">
        <v>109</v>
      </c>
      <c r="F49" s="412" t="s">
        <v>110</v>
      </c>
      <c r="G49" s="412" t="s">
        <v>44</v>
      </c>
      <c r="H49" s="412" t="s">
        <v>109</v>
      </c>
      <c r="I49" s="412"/>
    </row>
    <row r="50" spans="1:9" ht="30" customHeight="1" x14ac:dyDescent="0.3">
      <c r="A50" s="9">
        <v>46</v>
      </c>
      <c r="B50" s="16" t="s">
        <v>2121</v>
      </c>
      <c r="C50" s="412" t="s">
        <v>66</v>
      </c>
      <c r="D50" s="412" t="s">
        <v>80</v>
      </c>
      <c r="E50" s="412" t="s">
        <v>115</v>
      </c>
      <c r="F50" s="412" t="s">
        <v>29</v>
      </c>
      <c r="G50" s="412" t="s">
        <v>26</v>
      </c>
      <c r="H50" s="412" t="s">
        <v>69</v>
      </c>
      <c r="I50" s="412"/>
    </row>
    <row r="51" spans="1:9" ht="30" customHeight="1" x14ac:dyDescent="0.3">
      <c r="A51" s="9">
        <v>47</v>
      </c>
      <c r="B51" s="16" t="s">
        <v>2122</v>
      </c>
      <c r="C51" s="412" t="s">
        <v>66</v>
      </c>
      <c r="D51" s="412" t="s">
        <v>80</v>
      </c>
      <c r="E51" s="412" t="s">
        <v>115</v>
      </c>
      <c r="F51" s="412" t="s">
        <v>29</v>
      </c>
      <c r="G51" s="412" t="s">
        <v>26</v>
      </c>
      <c r="H51" s="412" t="s">
        <v>69</v>
      </c>
      <c r="I51" s="412"/>
    </row>
    <row r="52" spans="1:9" ht="30" customHeight="1" x14ac:dyDescent="0.3">
      <c r="A52" s="9">
        <v>48</v>
      </c>
      <c r="B52" s="24" t="s">
        <v>2123</v>
      </c>
      <c r="C52" s="412" t="s">
        <v>66</v>
      </c>
      <c r="D52" s="412" t="s">
        <v>80</v>
      </c>
      <c r="E52" s="412" t="s">
        <v>117</v>
      </c>
      <c r="F52" s="412" t="s">
        <v>29</v>
      </c>
      <c r="G52" s="412" t="s">
        <v>26</v>
      </c>
      <c r="H52" s="412" t="s">
        <v>69</v>
      </c>
      <c r="I52" s="412"/>
    </row>
    <row r="53" spans="1:9" ht="30" customHeight="1" x14ac:dyDescent="0.3">
      <c r="A53" s="9">
        <v>49</v>
      </c>
      <c r="B53" s="24" t="s">
        <v>2124</v>
      </c>
      <c r="C53" s="412" t="s">
        <v>66</v>
      </c>
      <c r="D53" s="412" t="s">
        <v>80</v>
      </c>
      <c r="E53" s="412" t="s">
        <v>117</v>
      </c>
      <c r="F53" s="412" t="s">
        <v>29</v>
      </c>
      <c r="G53" s="412" t="s">
        <v>26</v>
      </c>
      <c r="H53" s="412" t="s">
        <v>69</v>
      </c>
      <c r="I53" s="412"/>
    </row>
    <row r="54" spans="1:9" ht="30" customHeight="1" x14ac:dyDescent="0.3">
      <c r="A54" s="9">
        <v>50</v>
      </c>
      <c r="B54" s="24" t="s">
        <v>2125</v>
      </c>
      <c r="C54" s="412" t="s">
        <v>26</v>
      </c>
      <c r="D54" s="412" t="s">
        <v>31</v>
      </c>
      <c r="E54" s="412" t="s">
        <v>157</v>
      </c>
      <c r="F54" s="412" t="s">
        <v>29</v>
      </c>
      <c r="G54" s="412" t="s">
        <v>14</v>
      </c>
      <c r="H54" s="412" t="s">
        <v>16</v>
      </c>
      <c r="I54" s="412"/>
    </row>
    <row r="55" spans="1:9" ht="30" customHeight="1" x14ac:dyDescent="0.3">
      <c r="A55" s="9">
        <v>51</v>
      </c>
      <c r="B55" s="16" t="s">
        <v>2126</v>
      </c>
      <c r="C55" s="412" t="s">
        <v>26</v>
      </c>
      <c r="D55" s="412" t="s">
        <v>31</v>
      </c>
      <c r="E55" s="412" t="s">
        <v>157</v>
      </c>
      <c r="F55" s="412" t="s">
        <v>29</v>
      </c>
      <c r="G55" s="412" t="s">
        <v>14</v>
      </c>
      <c r="H55" s="412" t="s">
        <v>16</v>
      </c>
      <c r="I55" s="412"/>
    </row>
    <row r="56" spans="1:9" ht="30" customHeight="1" x14ac:dyDescent="0.3">
      <c r="A56" s="9">
        <v>52</v>
      </c>
      <c r="B56" s="16" t="s">
        <v>118</v>
      </c>
      <c r="C56" s="412" t="s">
        <v>21</v>
      </c>
      <c r="D56" s="412" t="s">
        <v>84</v>
      </c>
      <c r="E56" s="412" t="s">
        <v>120</v>
      </c>
      <c r="F56" s="412" t="s">
        <v>110</v>
      </c>
      <c r="G56" s="412" t="s">
        <v>21</v>
      </c>
      <c r="H56" s="412" t="s">
        <v>85</v>
      </c>
      <c r="I56" s="412"/>
    </row>
    <row r="57" spans="1:9" ht="30" customHeight="1" x14ac:dyDescent="0.3">
      <c r="A57" s="9">
        <v>53</v>
      </c>
      <c r="B57" s="16" t="s">
        <v>121</v>
      </c>
      <c r="C57" s="412" t="s">
        <v>21</v>
      </c>
      <c r="D57" s="412" t="s">
        <v>84</v>
      </c>
      <c r="E57" s="412" t="s">
        <v>120</v>
      </c>
      <c r="F57" s="412" t="s">
        <v>110</v>
      </c>
      <c r="G57" s="412" t="s">
        <v>21</v>
      </c>
      <c r="H57" s="412" t="s">
        <v>85</v>
      </c>
      <c r="I57" s="412"/>
    </row>
    <row r="58" spans="1:9" ht="30" customHeight="1" x14ac:dyDescent="0.3">
      <c r="A58" s="9">
        <v>54</v>
      </c>
      <c r="B58" s="24" t="s">
        <v>123</v>
      </c>
      <c r="C58" s="412" t="s">
        <v>66</v>
      </c>
      <c r="D58" s="412" t="s">
        <v>125</v>
      </c>
      <c r="E58" s="412" t="s">
        <v>126</v>
      </c>
      <c r="F58" s="412" t="s">
        <v>29</v>
      </c>
      <c r="G58" s="412" t="s">
        <v>98</v>
      </c>
      <c r="H58" s="412" t="s">
        <v>125</v>
      </c>
      <c r="I58" s="412"/>
    </row>
    <row r="59" spans="1:9" ht="30" customHeight="1" x14ac:dyDescent="0.3">
      <c r="A59" s="9">
        <v>55</v>
      </c>
      <c r="B59" s="24" t="s">
        <v>127</v>
      </c>
      <c r="C59" s="412" t="s">
        <v>69</v>
      </c>
      <c r="D59" s="412" t="s">
        <v>96</v>
      </c>
      <c r="E59" s="412" t="s">
        <v>97</v>
      </c>
      <c r="F59" s="412" t="s">
        <v>29</v>
      </c>
      <c r="G59" s="412" t="s">
        <v>98</v>
      </c>
      <c r="H59" s="412" t="s">
        <v>99</v>
      </c>
      <c r="I59" s="412"/>
    </row>
    <row r="60" spans="1:9" ht="30" customHeight="1" x14ac:dyDescent="0.3">
      <c r="A60" s="9">
        <v>56</v>
      </c>
      <c r="B60" s="16" t="s">
        <v>2127</v>
      </c>
      <c r="C60" s="412" t="s">
        <v>26</v>
      </c>
      <c r="D60" s="412" t="s">
        <v>31</v>
      </c>
      <c r="E60" s="412" t="s">
        <v>74</v>
      </c>
      <c r="F60" s="412" t="s">
        <v>29</v>
      </c>
      <c r="G60" s="412" t="s">
        <v>38</v>
      </c>
      <c r="H60" s="412" t="s">
        <v>39</v>
      </c>
      <c r="I60" s="412"/>
    </row>
    <row r="61" spans="1:9" ht="30" customHeight="1" x14ac:dyDescent="0.3">
      <c r="A61" s="9">
        <v>57</v>
      </c>
      <c r="B61" s="16" t="s">
        <v>2128</v>
      </c>
      <c r="C61" s="412" t="s">
        <v>13</v>
      </c>
      <c r="D61" s="412" t="s">
        <v>14</v>
      </c>
      <c r="E61" s="412" t="s">
        <v>130</v>
      </c>
      <c r="F61" s="412" t="s">
        <v>14</v>
      </c>
      <c r="G61" s="412" t="s">
        <v>14</v>
      </c>
      <c r="H61" s="412" t="s">
        <v>16</v>
      </c>
      <c r="I61" s="412"/>
    </row>
    <row r="62" spans="1:9" ht="30" customHeight="1" x14ac:dyDescent="0.3">
      <c r="A62" s="9">
        <v>58</v>
      </c>
      <c r="B62" s="24" t="s">
        <v>2129</v>
      </c>
      <c r="C62" s="412" t="s">
        <v>13</v>
      </c>
      <c r="D62" s="412" t="s">
        <v>14</v>
      </c>
      <c r="E62" s="412" t="s">
        <v>130</v>
      </c>
      <c r="F62" s="412" t="s">
        <v>14</v>
      </c>
      <c r="G62" s="412" t="s">
        <v>14</v>
      </c>
      <c r="H62" s="412" t="s">
        <v>16</v>
      </c>
      <c r="I62" s="412"/>
    </row>
    <row r="63" spans="1:9" ht="30" customHeight="1" x14ac:dyDescent="0.3">
      <c r="A63" s="9">
        <v>59</v>
      </c>
      <c r="B63" s="24" t="s">
        <v>131</v>
      </c>
      <c r="C63" s="412" t="s">
        <v>13</v>
      </c>
      <c r="D63" s="412" t="s">
        <v>14</v>
      </c>
      <c r="E63" s="412" t="s">
        <v>130</v>
      </c>
      <c r="F63" s="412" t="s">
        <v>14</v>
      </c>
      <c r="G63" s="412" t="s">
        <v>14</v>
      </c>
      <c r="H63" s="412" t="s">
        <v>16</v>
      </c>
      <c r="I63" s="412"/>
    </row>
    <row r="64" spans="1:9" ht="30" customHeight="1" x14ac:dyDescent="0.3">
      <c r="A64" s="9">
        <v>60</v>
      </c>
      <c r="B64" s="24" t="s">
        <v>2130</v>
      </c>
      <c r="C64" s="412" t="s">
        <v>13</v>
      </c>
      <c r="D64" s="412" t="s">
        <v>14</v>
      </c>
      <c r="E64" s="412" t="s">
        <v>130</v>
      </c>
      <c r="F64" s="412" t="s">
        <v>14</v>
      </c>
      <c r="G64" s="412" t="s">
        <v>14</v>
      </c>
      <c r="H64" s="412" t="s">
        <v>16</v>
      </c>
      <c r="I64" s="412"/>
    </row>
    <row r="65" spans="1:9" ht="30" customHeight="1" x14ac:dyDescent="0.3">
      <c r="A65" s="9">
        <v>61</v>
      </c>
      <c r="B65" s="24" t="s">
        <v>132</v>
      </c>
      <c r="C65" s="412" t="s">
        <v>69</v>
      </c>
      <c r="D65" s="412" t="s">
        <v>80</v>
      </c>
      <c r="E65" s="412" t="s">
        <v>133</v>
      </c>
      <c r="F65" s="412" t="s">
        <v>29</v>
      </c>
      <c r="G65" s="412" t="s">
        <v>30</v>
      </c>
      <c r="H65" s="412" t="s">
        <v>30</v>
      </c>
      <c r="I65" s="412"/>
    </row>
    <row r="66" spans="1:9" ht="30" customHeight="1" x14ac:dyDescent="0.3">
      <c r="A66" s="9">
        <v>62</v>
      </c>
      <c r="B66" s="24" t="s">
        <v>2131</v>
      </c>
      <c r="C66" s="412" t="s">
        <v>26</v>
      </c>
      <c r="D66" s="412" t="s">
        <v>30</v>
      </c>
      <c r="E66" s="412" t="s">
        <v>136</v>
      </c>
      <c r="F66" s="412" t="s">
        <v>29</v>
      </c>
      <c r="G66" s="412" t="s">
        <v>30</v>
      </c>
      <c r="H66" s="412" t="s">
        <v>30</v>
      </c>
      <c r="I66" s="412"/>
    </row>
    <row r="67" spans="1:9" ht="30" customHeight="1" x14ac:dyDescent="0.3">
      <c r="A67" s="9">
        <v>63</v>
      </c>
      <c r="B67" s="24" t="s">
        <v>2132</v>
      </c>
      <c r="C67" s="412" t="s">
        <v>26</v>
      </c>
      <c r="D67" s="412" t="s">
        <v>30</v>
      </c>
      <c r="E67" s="412" t="s">
        <v>136</v>
      </c>
      <c r="F67" s="412" t="s">
        <v>29</v>
      </c>
      <c r="G67" s="412" t="s">
        <v>30</v>
      </c>
      <c r="H67" s="412" t="s">
        <v>30</v>
      </c>
      <c r="I67" s="412"/>
    </row>
    <row r="68" spans="1:9" ht="30" customHeight="1" x14ac:dyDescent="0.3">
      <c r="A68" s="9">
        <v>64</v>
      </c>
      <c r="B68" s="24" t="s">
        <v>137</v>
      </c>
      <c r="C68" s="412" t="s">
        <v>26</v>
      </c>
      <c r="D68" s="412" t="s">
        <v>30</v>
      </c>
      <c r="E68" s="412" t="s">
        <v>139</v>
      </c>
      <c r="F68" s="412" t="s">
        <v>29</v>
      </c>
      <c r="G68" s="412" t="s">
        <v>30</v>
      </c>
      <c r="H68" s="412" t="s">
        <v>30</v>
      </c>
      <c r="I68" s="412"/>
    </row>
    <row r="69" spans="1:9" ht="30" customHeight="1" x14ac:dyDescent="0.3">
      <c r="A69" s="9">
        <v>65</v>
      </c>
      <c r="B69" s="16" t="s">
        <v>2133</v>
      </c>
      <c r="C69" s="412" t="s">
        <v>69</v>
      </c>
      <c r="D69" s="412" t="s">
        <v>80</v>
      </c>
      <c r="E69" s="412" t="s">
        <v>2134</v>
      </c>
      <c r="F69" s="412" t="s">
        <v>29</v>
      </c>
      <c r="G69" s="412" t="s">
        <v>30</v>
      </c>
      <c r="H69" s="412" t="s">
        <v>69</v>
      </c>
      <c r="I69" s="412"/>
    </row>
    <row r="70" spans="1:9" ht="30" customHeight="1" x14ac:dyDescent="0.3">
      <c r="A70" s="9">
        <v>66</v>
      </c>
      <c r="B70" s="24" t="s">
        <v>140</v>
      </c>
      <c r="C70" s="412" t="s">
        <v>69</v>
      </c>
      <c r="D70" s="412" t="s">
        <v>125</v>
      </c>
      <c r="E70" s="412" t="s">
        <v>142</v>
      </c>
      <c r="F70" s="412" t="s">
        <v>29</v>
      </c>
      <c r="G70" s="412" t="s">
        <v>98</v>
      </c>
      <c r="H70" s="412" t="s">
        <v>143</v>
      </c>
      <c r="I70" s="412"/>
    </row>
    <row r="71" spans="1:9" ht="30" customHeight="1" x14ac:dyDescent="0.3">
      <c r="A71" s="9">
        <v>67</v>
      </c>
      <c r="B71" s="24" t="s">
        <v>144</v>
      </c>
      <c r="C71" s="412" t="s">
        <v>26</v>
      </c>
      <c r="D71" s="412" t="s">
        <v>31</v>
      </c>
      <c r="E71" s="412" t="s">
        <v>146</v>
      </c>
      <c r="F71" s="412" t="s">
        <v>29</v>
      </c>
      <c r="G71" s="412" t="s">
        <v>30</v>
      </c>
      <c r="H71" s="412" t="s">
        <v>31</v>
      </c>
      <c r="I71" s="412"/>
    </row>
    <row r="72" spans="1:9" ht="30" customHeight="1" x14ac:dyDescent="0.3">
      <c r="A72" s="9">
        <v>68</v>
      </c>
      <c r="B72" s="16" t="s">
        <v>2135</v>
      </c>
      <c r="C72" s="412" t="s">
        <v>26</v>
      </c>
      <c r="D72" s="412" t="s">
        <v>30</v>
      </c>
      <c r="E72" s="412" t="s">
        <v>148</v>
      </c>
      <c r="F72" s="412" t="s">
        <v>29</v>
      </c>
      <c r="G72" s="412" t="s">
        <v>30</v>
      </c>
      <c r="H72" s="412" t="s">
        <v>31</v>
      </c>
      <c r="I72" s="412"/>
    </row>
    <row r="73" spans="1:9" ht="30" customHeight="1" x14ac:dyDescent="0.3">
      <c r="A73" s="9">
        <v>69</v>
      </c>
      <c r="B73" s="24" t="s">
        <v>2136</v>
      </c>
      <c r="C73" s="412" t="s">
        <v>21</v>
      </c>
      <c r="D73" s="412" t="s">
        <v>49</v>
      </c>
      <c r="E73" s="412" t="s">
        <v>151</v>
      </c>
      <c r="F73" s="412" t="s">
        <v>21</v>
      </c>
      <c r="G73" s="412" t="s">
        <v>44</v>
      </c>
      <c r="H73" s="412" t="s">
        <v>109</v>
      </c>
      <c r="I73" s="412"/>
    </row>
    <row r="74" spans="1:9" ht="30" customHeight="1" x14ac:dyDescent="0.3">
      <c r="A74" s="9">
        <v>70</v>
      </c>
      <c r="B74" s="24" t="s">
        <v>2137</v>
      </c>
      <c r="C74" s="412" t="s">
        <v>21</v>
      </c>
      <c r="D74" s="412" t="s">
        <v>49</v>
      </c>
      <c r="E74" s="412" t="s">
        <v>151</v>
      </c>
      <c r="F74" s="412" t="s">
        <v>21</v>
      </c>
      <c r="G74" s="412" t="s">
        <v>44</v>
      </c>
      <c r="H74" s="412" t="s">
        <v>109</v>
      </c>
      <c r="I74" s="412"/>
    </row>
    <row r="75" spans="1:9" ht="30" customHeight="1" x14ac:dyDescent="0.3">
      <c r="A75" s="9">
        <v>71</v>
      </c>
      <c r="B75" s="24" t="s">
        <v>152</v>
      </c>
      <c r="C75" s="412" t="s">
        <v>13</v>
      </c>
      <c r="D75" s="412" t="s">
        <v>29</v>
      </c>
      <c r="E75" s="412"/>
      <c r="F75" s="412" t="s">
        <v>29</v>
      </c>
      <c r="G75" s="412" t="s">
        <v>38</v>
      </c>
      <c r="H75" s="412" t="s">
        <v>38</v>
      </c>
      <c r="I75" s="412"/>
    </row>
    <row r="76" spans="1:9" ht="30" customHeight="1" x14ac:dyDescent="0.3">
      <c r="A76" s="9">
        <v>72</v>
      </c>
      <c r="B76" s="24" t="s">
        <v>2138</v>
      </c>
      <c r="C76" s="412" t="s">
        <v>13</v>
      </c>
      <c r="D76" s="412" t="s">
        <v>29</v>
      </c>
      <c r="E76" s="412" t="s">
        <v>2139</v>
      </c>
      <c r="F76" s="412" t="s">
        <v>29</v>
      </c>
      <c r="G76" s="412" t="s">
        <v>38</v>
      </c>
      <c r="H76" s="412" t="s">
        <v>2139</v>
      </c>
      <c r="I76" s="412"/>
    </row>
    <row r="77" spans="1:9" ht="30" customHeight="1" x14ac:dyDescent="0.3">
      <c r="A77" s="9">
        <v>73</v>
      </c>
      <c r="B77" s="16" t="s">
        <v>155</v>
      </c>
      <c r="C77" s="412" t="s">
        <v>26</v>
      </c>
      <c r="D77" s="412" t="s">
        <v>31</v>
      </c>
      <c r="E77" s="412"/>
      <c r="F77" s="412" t="s">
        <v>29</v>
      </c>
      <c r="G77" s="412" t="s">
        <v>93</v>
      </c>
      <c r="H77" s="412" t="s">
        <v>39</v>
      </c>
      <c r="I77" s="412"/>
    </row>
    <row r="78" spans="1:9" ht="30" customHeight="1" x14ac:dyDescent="0.3">
      <c r="A78" s="9">
        <v>74</v>
      </c>
      <c r="B78" s="16" t="s">
        <v>158</v>
      </c>
      <c r="C78" s="412" t="s">
        <v>13</v>
      </c>
      <c r="D78" s="412" t="s">
        <v>29</v>
      </c>
      <c r="E78" s="412" t="s">
        <v>160</v>
      </c>
      <c r="F78" s="412" t="s">
        <v>29</v>
      </c>
      <c r="G78" s="412" t="s">
        <v>29</v>
      </c>
      <c r="H78" s="412" t="s">
        <v>161</v>
      </c>
      <c r="I78" s="412"/>
    </row>
    <row r="79" spans="1:9" ht="30" customHeight="1" x14ac:dyDescent="0.3">
      <c r="A79" s="9">
        <v>75</v>
      </c>
      <c r="B79" s="24" t="s">
        <v>2140</v>
      </c>
      <c r="C79" s="412" t="s">
        <v>21</v>
      </c>
      <c r="D79" s="412" t="s">
        <v>164</v>
      </c>
      <c r="E79" s="412" t="s">
        <v>165</v>
      </c>
      <c r="F79" s="412" t="s">
        <v>21</v>
      </c>
      <c r="G79" s="412" t="s">
        <v>21</v>
      </c>
      <c r="H79" s="412" t="s">
        <v>164</v>
      </c>
      <c r="I79" s="412"/>
    </row>
    <row r="80" spans="1:9" ht="30" customHeight="1" x14ac:dyDescent="0.3">
      <c r="A80" s="9">
        <v>76</v>
      </c>
      <c r="B80" s="24" t="s">
        <v>2141</v>
      </c>
      <c r="C80" s="412" t="s">
        <v>21</v>
      </c>
      <c r="D80" s="412" t="s">
        <v>164</v>
      </c>
      <c r="E80" s="412" t="s">
        <v>165</v>
      </c>
      <c r="F80" s="412" t="s">
        <v>21</v>
      </c>
      <c r="G80" s="412" t="s">
        <v>21</v>
      </c>
      <c r="H80" s="412" t="s">
        <v>164</v>
      </c>
      <c r="I80" s="412"/>
    </row>
    <row r="81" spans="1:9" ht="30" customHeight="1" x14ac:dyDescent="0.3">
      <c r="A81" s="9">
        <v>77</v>
      </c>
      <c r="B81" s="16" t="s">
        <v>166</v>
      </c>
      <c r="C81" s="412" t="s">
        <v>21</v>
      </c>
      <c r="D81" s="412" t="s">
        <v>164</v>
      </c>
      <c r="E81" s="412" t="s">
        <v>165</v>
      </c>
      <c r="F81" s="412" t="s">
        <v>21</v>
      </c>
      <c r="G81" s="412" t="s">
        <v>21</v>
      </c>
      <c r="H81" s="412" t="s">
        <v>164</v>
      </c>
      <c r="I81" s="412"/>
    </row>
    <row r="82" spans="1:9" ht="30" customHeight="1" x14ac:dyDescent="0.3">
      <c r="A82" s="9">
        <v>78</v>
      </c>
      <c r="B82" s="16" t="s">
        <v>168</v>
      </c>
      <c r="C82" s="412" t="s">
        <v>13</v>
      </c>
      <c r="D82" s="412" t="s">
        <v>14</v>
      </c>
      <c r="E82" s="412"/>
      <c r="F82" s="412" t="s">
        <v>14</v>
      </c>
      <c r="G82" s="412" t="s">
        <v>14</v>
      </c>
      <c r="H82" s="412" t="s">
        <v>16</v>
      </c>
      <c r="I82" s="412"/>
    </row>
    <row r="83" spans="1:9" ht="30" customHeight="1" x14ac:dyDescent="0.3">
      <c r="A83" s="9">
        <v>79</v>
      </c>
      <c r="B83" s="24" t="s">
        <v>2142</v>
      </c>
      <c r="C83" s="412" t="s">
        <v>21</v>
      </c>
      <c r="D83" s="412" t="s">
        <v>19</v>
      </c>
      <c r="E83" s="412" t="s">
        <v>362</v>
      </c>
      <c r="F83" s="412" t="s">
        <v>21</v>
      </c>
      <c r="G83" s="412" t="s">
        <v>22</v>
      </c>
      <c r="H83" s="412" t="s">
        <v>23</v>
      </c>
      <c r="I83" s="412"/>
    </row>
    <row r="84" spans="1:9" ht="30" customHeight="1" x14ac:dyDescent="0.3">
      <c r="A84" s="9">
        <v>80</v>
      </c>
      <c r="B84" s="24" t="s">
        <v>170</v>
      </c>
      <c r="C84" s="412" t="s">
        <v>69</v>
      </c>
      <c r="D84" s="412" t="s">
        <v>67</v>
      </c>
      <c r="E84" s="412" t="s">
        <v>172</v>
      </c>
      <c r="F84" s="412" t="s">
        <v>29</v>
      </c>
      <c r="G84" s="412" t="s">
        <v>30</v>
      </c>
      <c r="H84" s="412" t="s">
        <v>69</v>
      </c>
      <c r="I84" s="412"/>
    </row>
    <row r="85" spans="1:9" ht="30" customHeight="1" x14ac:dyDescent="0.3">
      <c r="A85" s="9">
        <v>81</v>
      </c>
      <c r="B85" s="24" t="s">
        <v>173</v>
      </c>
      <c r="C85" s="412" t="s">
        <v>21</v>
      </c>
      <c r="D85" s="412" t="s">
        <v>164</v>
      </c>
      <c r="E85" s="412"/>
      <c r="F85" s="412" t="s">
        <v>21</v>
      </c>
      <c r="G85" s="412" t="s">
        <v>21</v>
      </c>
      <c r="H85" s="412" t="s">
        <v>84</v>
      </c>
      <c r="I85" s="412"/>
    </row>
    <row r="86" spans="1:9" ht="30" customHeight="1" x14ac:dyDescent="0.3">
      <c r="A86" s="9">
        <v>82</v>
      </c>
      <c r="B86" s="24" t="s">
        <v>176</v>
      </c>
      <c r="C86" s="412" t="s">
        <v>21</v>
      </c>
      <c r="D86" s="412" t="s">
        <v>164</v>
      </c>
      <c r="E86" s="412"/>
      <c r="F86" s="412" t="s">
        <v>21</v>
      </c>
      <c r="G86" s="412" t="s">
        <v>21</v>
      </c>
      <c r="H86" s="412" t="s">
        <v>84</v>
      </c>
      <c r="I86" s="412"/>
    </row>
    <row r="87" spans="1:9" ht="30" customHeight="1" x14ac:dyDescent="0.3">
      <c r="A87" s="9">
        <v>83</v>
      </c>
      <c r="B87" s="24" t="s">
        <v>178</v>
      </c>
      <c r="C87" s="412" t="s">
        <v>21</v>
      </c>
      <c r="D87" s="412" t="s">
        <v>164</v>
      </c>
      <c r="E87" s="412"/>
      <c r="F87" s="412" t="s">
        <v>21</v>
      </c>
      <c r="G87" s="412" t="s">
        <v>21</v>
      </c>
      <c r="H87" s="412" t="s">
        <v>84</v>
      </c>
      <c r="I87" s="412"/>
    </row>
    <row r="88" spans="1:9" ht="30" customHeight="1" x14ac:dyDescent="0.3">
      <c r="A88" s="9">
        <v>84</v>
      </c>
      <c r="B88" s="24" t="s">
        <v>180</v>
      </c>
      <c r="C88" s="412" t="s">
        <v>13</v>
      </c>
      <c r="D88" s="412" t="s">
        <v>29</v>
      </c>
      <c r="E88" s="412" t="s">
        <v>160</v>
      </c>
      <c r="F88" s="412" t="s">
        <v>29</v>
      </c>
      <c r="G88" s="412" t="s">
        <v>29</v>
      </c>
      <c r="H88" s="412" t="s">
        <v>161</v>
      </c>
      <c r="I88" s="412"/>
    </row>
    <row r="89" spans="1:9" ht="30" customHeight="1" x14ac:dyDescent="0.3">
      <c r="A89" s="9">
        <v>85</v>
      </c>
      <c r="B89" s="16" t="s">
        <v>182</v>
      </c>
      <c r="C89" s="412" t="s">
        <v>21</v>
      </c>
      <c r="D89" s="412" t="s">
        <v>84</v>
      </c>
      <c r="E89" s="412" t="s">
        <v>184</v>
      </c>
      <c r="F89" s="412" t="s">
        <v>21</v>
      </c>
      <c r="G89" s="412" t="s">
        <v>21</v>
      </c>
      <c r="H89" s="412" t="s">
        <v>84</v>
      </c>
      <c r="I89" s="412"/>
    </row>
    <row r="90" spans="1:9" ht="30" customHeight="1" x14ac:dyDescent="0.3">
      <c r="A90" s="9">
        <v>86</v>
      </c>
      <c r="B90" s="16" t="s">
        <v>185</v>
      </c>
      <c r="C90" s="412" t="s">
        <v>21</v>
      </c>
      <c r="D90" s="412" t="s">
        <v>84</v>
      </c>
      <c r="E90" s="412" t="s">
        <v>184</v>
      </c>
      <c r="F90" s="412" t="s">
        <v>21</v>
      </c>
      <c r="G90" s="412" t="s">
        <v>21</v>
      </c>
      <c r="H90" s="412" t="s">
        <v>84</v>
      </c>
      <c r="I90" s="412"/>
    </row>
    <row r="91" spans="1:9" ht="30" customHeight="1" x14ac:dyDescent="0.3">
      <c r="A91" s="9">
        <v>87</v>
      </c>
      <c r="B91" s="24" t="s">
        <v>2143</v>
      </c>
      <c r="C91" s="412" t="s">
        <v>21</v>
      </c>
      <c r="D91" s="412" t="s">
        <v>42</v>
      </c>
      <c r="E91" s="412" t="s">
        <v>191</v>
      </c>
      <c r="F91" s="412" t="s">
        <v>21</v>
      </c>
      <c r="G91" s="412" t="s">
        <v>44</v>
      </c>
      <c r="H91" s="412" t="s">
        <v>43</v>
      </c>
      <c r="I91" s="412"/>
    </row>
    <row r="92" spans="1:9" ht="30" customHeight="1" x14ac:dyDescent="0.3">
      <c r="A92" s="9">
        <v>88</v>
      </c>
      <c r="B92" s="24" t="s">
        <v>187</v>
      </c>
      <c r="C92" s="412" t="s">
        <v>69</v>
      </c>
      <c r="D92" s="412" t="s">
        <v>80</v>
      </c>
      <c r="E92" s="412" t="s">
        <v>69</v>
      </c>
      <c r="F92" s="412" t="s">
        <v>29</v>
      </c>
      <c r="G92" s="412" t="s">
        <v>30</v>
      </c>
      <c r="H92" s="412" t="s">
        <v>69</v>
      </c>
      <c r="I92" s="412"/>
    </row>
    <row r="93" spans="1:9" ht="30" customHeight="1" x14ac:dyDescent="0.3">
      <c r="A93" s="9">
        <v>89</v>
      </c>
      <c r="B93" s="16" t="s">
        <v>2144</v>
      </c>
      <c r="C93" s="412" t="s">
        <v>21</v>
      </c>
      <c r="D93" s="412" t="s">
        <v>42</v>
      </c>
      <c r="E93" s="412" t="s">
        <v>191</v>
      </c>
      <c r="F93" s="412" t="s">
        <v>21</v>
      </c>
      <c r="G93" s="412" t="s">
        <v>44</v>
      </c>
      <c r="H93" s="412" t="s">
        <v>43</v>
      </c>
      <c r="I93" s="412"/>
    </row>
    <row r="94" spans="1:9" ht="30" customHeight="1" x14ac:dyDescent="0.3">
      <c r="A94" s="9">
        <v>90</v>
      </c>
      <c r="B94" s="16" t="s">
        <v>2145</v>
      </c>
      <c r="C94" s="412" t="s">
        <v>21</v>
      </c>
      <c r="D94" s="412" t="s">
        <v>42</v>
      </c>
      <c r="E94" s="412" t="s">
        <v>191</v>
      </c>
      <c r="F94" s="412" t="s">
        <v>21</v>
      </c>
      <c r="G94" s="412" t="s">
        <v>44</v>
      </c>
      <c r="H94" s="412" t="s">
        <v>43</v>
      </c>
      <c r="I94" s="412"/>
    </row>
    <row r="95" spans="1:9" ht="30" customHeight="1" x14ac:dyDescent="0.3">
      <c r="A95" s="9">
        <v>91</v>
      </c>
      <c r="B95" s="24" t="s">
        <v>2146</v>
      </c>
      <c r="C95" s="412" t="s">
        <v>69</v>
      </c>
      <c r="D95" s="412" t="s">
        <v>96</v>
      </c>
      <c r="E95" s="412" t="s">
        <v>194</v>
      </c>
      <c r="F95" s="412" t="s">
        <v>29</v>
      </c>
      <c r="G95" s="412" t="s">
        <v>98</v>
      </c>
      <c r="H95" s="412" t="s">
        <v>143</v>
      </c>
      <c r="I95" s="412"/>
    </row>
    <row r="96" spans="1:9" ht="30" customHeight="1" x14ac:dyDescent="0.3">
      <c r="A96" s="9">
        <v>92</v>
      </c>
      <c r="B96" s="24" t="s">
        <v>2147</v>
      </c>
      <c r="C96" s="412" t="s">
        <v>69</v>
      </c>
      <c r="D96" s="412" t="s">
        <v>96</v>
      </c>
      <c r="E96" s="412" t="s">
        <v>194</v>
      </c>
      <c r="F96" s="412" t="s">
        <v>29</v>
      </c>
      <c r="G96" s="412" t="s">
        <v>98</v>
      </c>
      <c r="H96" s="412" t="s">
        <v>143</v>
      </c>
      <c r="I96" s="412"/>
    </row>
    <row r="97" spans="1:9" ht="30" customHeight="1" x14ac:dyDescent="0.3">
      <c r="A97" s="9">
        <v>93</v>
      </c>
      <c r="B97" s="24" t="s">
        <v>195</v>
      </c>
      <c r="C97" s="412" t="s">
        <v>69</v>
      </c>
      <c r="D97" s="412" t="s">
        <v>67</v>
      </c>
      <c r="E97" s="412" t="s">
        <v>197</v>
      </c>
      <c r="F97" s="412" t="s">
        <v>29</v>
      </c>
      <c r="G97" s="412" t="s">
        <v>30</v>
      </c>
      <c r="H97" s="412" t="s">
        <v>69</v>
      </c>
      <c r="I97" s="412"/>
    </row>
    <row r="98" spans="1:9" ht="30" customHeight="1" x14ac:dyDescent="0.3">
      <c r="A98" s="9">
        <v>94</v>
      </c>
      <c r="B98" s="24" t="s">
        <v>198</v>
      </c>
      <c r="C98" s="412" t="s">
        <v>13</v>
      </c>
      <c r="D98" s="412" t="s">
        <v>29</v>
      </c>
      <c r="E98" s="412" t="s">
        <v>154</v>
      </c>
      <c r="F98" s="412" t="s">
        <v>29</v>
      </c>
      <c r="G98" s="412" t="s">
        <v>38</v>
      </c>
      <c r="H98" s="412" t="s">
        <v>38</v>
      </c>
      <c r="I98" s="412"/>
    </row>
    <row r="99" spans="1:9" ht="30" customHeight="1" x14ac:dyDescent="0.3">
      <c r="A99" s="9">
        <v>95</v>
      </c>
      <c r="B99" s="24" t="s">
        <v>2148</v>
      </c>
      <c r="C99" s="412" t="s">
        <v>13</v>
      </c>
      <c r="D99" s="412" t="s">
        <v>14</v>
      </c>
      <c r="E99" s="412" t="s">
        <v>201</v>
      </c>
      <c r="F99" s="412" t="s">
        <v>14</v>
      </c>
      <c r="G99" s="412" t="s">
        <v>14</v>
      </c>
      <c r="H99" s="412" t="s">
        <v>14</v>
      </c>
      <c r="I99" s="412"/>
    </row>
    <row r="100" spans="1:9" ht="30" customHeight="1" x14ac:dyDescent="0.3">
      <c r="A100" s="9">
        <v>96</v>
      </c>
      <c r="B100" s="24" t="s">
        <v>2149</v>
      </c>
      <c r="C100" s="412" t="s">
        <v>13</v>
      </c>
      <c r="D100" s="412" t="s">
        <v>14</v>
      </c>
      <c r="E100" s="412" t="s">
        <v>201</v>
      </c>
      <c r="F100" s="412" t="s">
        <v>14</v>
      </c>
      <c r="G100" s="412" t="s">
        <v>14</v>
      </c>
      <c r="H100" s="412" t="s">
        <v>14</v>
      </c>
      <c r="I100" s="412"/>
    </row>
    <row r="101" spans="1:9" ht="30" customHeight="1" x14ac:dyDescent="0.3">
      <c r="A101" s="9">
        <v>97</v>
      </c>
      <c r="B101" s="24" t="s">
        <v>2150</v>
      </c>
      <c r="C101" s="412" t="s">
        <v>13</v>
      </c>
      <c r="D101" s="412" t="s">
        <v>19</v>
      </c>
      <c r="E101" s="412" t="s">
        <v>362</v>
      </c>
      <c r="F101" s="412" t="s">
        <v>21</v>
      </c>
      <c r="G101" s="412" t="s">
        <v>22</v>
      </c>
      <c r="H101" s="412" t="s">
        <v>23</v>
      </c>
      <c r="I101" s="412"/>
    </row>
    <row r="102" spans="1:9" ht="30" customHeight="1" x14ac:dyDescent="0.3">
      <c r="A102" s="9">
        <v>98</v>
      </c>
      <c r="B102" s="16" t="s">
        <v>202</v>
      </c>
      <c r="C102" s="412" t="s">
        <v>13</v>
      </c>
      <c r="D102" s="412" t="s">
        <v>14</v>
      </c>
      <c r="E102" s="412" t="s">
        <v>14</v>
      </c>
      <c r="F102" s="412" t="s">
        <v>14</v>
      </c>
      <c r="G102" s="412" t="s">
        <v>14</v>
      </c>
      <c r="H102" s="412" t="s">
        <v>203</v>
      </c>
      <c r="I102" s="412"/>
    </row>
    <row r="103" spans="1:9" ht="30" customHeight="1" x14ac:dyDescent="0.3">
      <c r="A103" s="9">
        <v>99</v>
      </c>
      <c r="B103" s="16" t="s">
        <v>2151</v>
      </c>
      <c r="C103" s="412" t="s">
        <v>26</v>
      </c>
      <c r="D103" s="412" t="s">
        <v>31</v>
      </c>
      <c r="E103" s="412" t="s">
        <v>205</v>
      </c>
      <c r="F103" s="412" t="s">
        <v>29</v>
      </c>
      <c r="G103" s="412" t="s">
        <v>26</v>
      </c>
      <c r="H103" s="412" t="s">
        <v>31</v>
      </c>
      <c r="I103" s="412"/>
    </row>
    <row r="104" spans="1:9" ht="30" customHeight="1" x14ac:dyDescent="0.3">
      <c r="A104" s="9">
        <v>100</v>
      </c>
      <c r="B104" s="16" t="s">
        <v>2152</v>
      </c>
      <c r="C104" s="412" t="s">
        <v>26</v>
      </c>
      <c r="D104" s="412" t="s">
        <v>31</v>
      </c>
      <c r="E104" s="412" t="s">
        <v>205</v>
      </c>
      <c r="F104" s="412" t="s">
        <v>29</v>
      </c>
      <c r="G104" s="412" t="s">
        <v>26</v>
      </c>
      <c r="H104" s="412" t="s">
        <v>31</v>
      </c>
      <c r="I104" s="412"/>
    </row>
    <row r="105" spans="1:9" ht="30" customHeight="1" x14ac:dyDescent="0.3">
      <c r="A105" s="9">
        <v>101</v>
      </c>
      <c r="B105" s="24" t="s">
        <v>206</v>
      </c>
      <c r="C105" s="412" t="s">
        <v>13</v>
      </c>
      <c r="D105" s="412" t="s">
        <v>29</v>
      </c>
      <c r="E105" s="412" t="s">
        <v>208</v>
      </c>
      <c r="F105" s="412" t="s">
        <v>29</v>
      </c>
      <c r="G105" s="412" t="s">
        <v>38</v>
      </c>
      <c r="H105" s="412" t="s">
        <v>38</v>
      </c>
      <c r="I105" s="412"/>
    </row>
    <row r="106" spans="1:9" ht="30" customHeight="1" x14ac:dyDescent="0.3">
      <c r="A106" s="9">
        <v>102</v>
      </c>
      <c r="B106" s="24" t="s">
        <v>209</v>
      </c>
      <c r="C106" s="412" t="s">
        <v>69</v>
      </c>
      <c r="D106" s="412" t="s">
        <v>67</v>
      </c>
      <c r="E106" s="412" t="s">
        <v>67</v>
      </c>
      <c r="F106" s="412" t="s">
        <v>29</v>
      </c>
      <c r="G106" s="412" t="s">
        <v>30</v>
      </c>
      <c r="H106" s="412" t="s">
        <v>69</v>
      </c>
      <c r="I106" s="412"/>
    </row>
    <row r="107" spans="1:9" ht="30" customHeight="1" x14ac:dyDescent="0.3">
      <c r="A107" s="9">
        <v>103</v>
      </c>
      <c r="B107" s="24" t="s">
        <v>211</v>
      </c>
      <c r="C107" s="412" t="s">
        <v>69</v>
      </c>
      <c r="D107" s="412" t="s">
        <v>67</v>
      </c>
      <c r="E107" s="412" t="s">
        <v>67</v>
      </c>
      <c r="F107" s="412" t="s">
        <v>29</v>
      </c>
      <c r="G107" s="412" t="s">
        <v>30</v>
      </c>
      <c r="H107" s="412" t="s">
        <v>69</v>
      </c>
      <c r="I107" s="412"/>
    </row>
    <row r="108" spans="1:9" ht="30" customHeight="1" x14ac:dyDescent="0.3">
      <c r="A108" s="9">
        <v>104</v>
      </c>
      <c r="B108" s="16" t="s">
        <v>213</v>
      </c>
      <c r="C108" s="412" t="s">
        <v>69</v>
      </c>
      <c r="D108" s="412" t="s">
        <v>67</v>
      </c>
      <c r="E108" s="412" t="s">
        <v>67</v>
      </c>
      <c r="F108" s="412" t="s">
        <v>29</v>
      </c>
      <c r="G108" s="412" t="s">
        <v>30</v>
      </c>
      <c r="H108" s="412" t="s">
        <v>69</v>
      </c>
      <c r="I108" s="412"/>
    </row>
    <row r="109" spans="1:9" ht="30" customHeight="1" x14ac:dyDescent="0.3">
      <c r="A109" s="9">
        <v>105</v>
      </c>
      <c r="B109" s="24" t="s">
        <v>2153</v>
      </c>
      <c r="C109" s="412" t="s">
        <v>26</v>
      </c>
      <c r="D109" s="412" t="s">
        <v>31</v>
      </c>
      <c r="E109" s="412" t="s">
        <v>217</v>
      </c>
      <c r="F109" s="412" t="s">
        <v>29</v>
      </c>
      <c r="G109" s="412" t="s">
        <v>30</v>
      </c>
      <c r="H109" s="412" t="s">
        <v>31</v>
      </c>
      <c r="I109" s="412"/>
    </row>
    <row r="110" spans="1:9" ht="30" customHeight="1" x14ac:dyDescent="0.3">
      <c r="A110" s="9">
        <v>106</v>
      </c>
      <c r="B110" s="16" t="s">
        <v>2154</v>
      </c>
      <c r="C110" s="412" t="s">
        <v>26</v>
      </c>
      <c r="D110" s="412" t="s">
        <v>31</v>
      </c>
      <c r="E110" s="412" t="s">
        <v>217</v>
      </c>
      <c r="F110" s="412" t="s">
        <v>29</v>
      </c>
      <c r="G110" s="412" t="s">
        <v>30</v>
      </c>
      <c r="H110" s="412" t="s">
        <v>31</v>
      </c>
      <c r="I110" s="412"/>
    </row>
    <row r="111" spans="1:9" ht="30" customHeight="1" x14ac:dyDescent="0.3">
      <c r="A111" s="9">
        <v>107</v>
      </c>
      <c r="B111" s="16" t="s">
        <v>218</v>
      </c>
      <c r="C111" s="412" t="s">
        <v>69</v>
      </c>
      <c r="D111" s="412" t="s">
        <v>80</v>
      </c>
      <c r="E111" s="412" t="s">
        <v>220</v>
      </c>
      <c r="F111" s="412" t="s">
        <v>29</v>
      </c>
      <c r="G111" s="412" t="s">
        <v>30</v>
      </c>
      <c r="H111" s="412" t="s">
        <v>69</v>
      </c>
      <c r="I111" s="412"/>
    </row>
    <row r="112" spans="1:9" ht="30" customHeight="1" x14ac:dyDescent="0.3">
      <c r="A112" s="9">
        <v>108</v>
      </c>
      <c r="B112" s="24" t="s">
        <v>221</v>
      </c>
      <c r="C112" s="412" t="s">
        <v>26</v>
      </c>
      <c r="D112" s="412" t="s">
        <v>31</v>
      </c>
      <c r="E112" s="412" t="s">
        <v>37</v>
      </c>
      <c r="F112" s="412" t="s">
        <v>29</v>
      </c>
      <c r="G112" s="412" t="s">
        <v>30</v>
      </c>
      <c r="H112" s="412" t="s">
        <v>31</v>
      </c>
      <c r="I112" s="412"/>
    </row>
    <row r="113" spans="1:9" ht="30" customHeight="1" x14ac:dyDescent="0.3">
      <c r="A113" s="9">
        <v>109</v>
      </c>
      <c r="B113" s="24" t="s">
        <v>222</v>
      </c>
      <c r="C113" s="412" t="s">
        <v>21</v>
      </c>
      <c r="D113" s="412" t="s">
        <v>42</v>
      </c>
      <c r="E113" s="412" t="s">
        <v>224</v>
      </c>
      <c r="F113" s="412" t="s">
        <v>21</v>
      </c>
      <c r="G113" s="412" t="s">
        <v>44</v>
      </c>
      <c r="H113" s="412" t="s">
        <v>42</v>
      </c>
      <c r="I113" s="412"/>
    </row>
    <row r="114" spans="1:9" ht="30" customHeight="1" x14ac:dyDescent="0.3">
      <c r="A114" s="9">
        <v>110</v>
      </c>
      <c r="B114" s="16" t="s">
        <v>2155</v>
      </c>
      <c r="C114" s="412" t="s">
        <v>13</v>
      </c>
      <c r="D114" s="412" t="s">
        <v>14</v>
      </c>
      <c r="E114" s="412" t="s">
        <v>201</v>
      </c>
      <c r="F114" s="412" t="s">
        <v>14</v>
      </c>
      <c r="G114" s="412" t="s">
        <v>14</v>
      </c>
      <c r="H114" s="412" t="s">
        <v>14</v>
      </c>
      <c r="I114" s="412"/>
    </row>
    <row r="115" spans="1:9" ht="30" customHeight="1" x14ac:dyDescent="0.3">
      <c r="A115" s="9">
        <v>111</v>
      </c>
      <c r="B115" s="16" t="s">
        <v>2156</v>
      </c>
      <c r="C115" s="412" t="s">
        <v>13</v>
      </c>
      <c r="D115" s="412" t="s">
        <v>14</v>
      </c>
      <c r="E115" s="412" t="s">
        <v>201</v>
      </c>
      <c r="F115" s="412" t="s">
        <v>14</v>
      </c>
      <c r="G115" s="412" t="s">
        <v>14</v>
      </c>
      <c r="H115" s="412" t="s">
        <v>14</v>
      </c>
      <c r="I115" s="412"/>
    </row>
    <row r="116" spans="1:9" ht="30" customHeight="1" x14ac:dyDescent="0.3">
      <c r="A116" s="9">
        <v>112</v>
      </c>
      <c r="B116" s="24" t="s">
        <v>2157</v>
      </c>
      <c r="C116" s="412" t="s">
        <v>26</v>
      </c>
      <c r="D116" s="412" t="s">
        <v>27</v>
      </c>
      <c r="E116" s="412" t="s">
        <v>228</v>
      </c>
      <c r="F116" s="412" t="s">
        <v>29</v>
      </c>
      <c r="G116" s="412" t="s">
        <v>30</v>
      </c>
      <c r="H116" s="412" t="s">
        <v>31</v>
      </c>
      <c r="I116" s="412"/>
    </row>
    <row r="117" spans="1:9" ht="30" customHeight="1" x14ac:dyDescent="0.3">
      <c r="A117" s="9">
        <v>113</v>
      </c>
      <c r="B117" s="24" t="s">
        <v>2158</v>
      </c>
      <c r="C117" s="412" t="s">
        <v>26</v>
      </c>
      <c r="D117" s="412" t="s">
        <v>27</v>
      </c>
      <c r="E117" s="412" t="s">
        <v>228</v>
      </c>
      <c r="F117" s="412" t="s">
        <v>29</v>
      </c>
      <c r="G117" s="412" t="s">
        <v>30</v>
      </c>
      <c r="H117" s="412" t="s">
        <v>31</v>
      </c>
      <c r="I117" s="412"/>
    </row>
    <row r="118" spans="1:9" ht="30" customHeight="1" x14ac:dyDescent="0.3">
      <c r="A118" s="9">
        <v>114</v>
      </c>
      <c r="B118" s="24" t="s">
        <v>2159</v>
      </c>
      <c r="C118" s="412" t="s">
        <v>26</v>
      </c>
      <c r="D118" s="412" t="s">
        <v>27</v>
      </c>
      <c r="E118" s="412" t="s">
        <v>231</v>
      </c>
      <c r="F118" s="412" t="s">
        <v>29</v>
      </c>
      <c r="G118" s="412" t="s">
        <v>30</v>
      </c>
      <c r="H118" s="412" t="s">
        <v>30</v>
      </c>
      <c r="I118" s="412"/>
    </row>
    <row r="119" spans="1:9" ht="30" customHeight="1" x14ac:dyDescent="0.3">
      <c r="A119" s="9">
        <v>115</v>
      </c>
      <c r="B119" s="24" t="s">
        <v>2160</v>
      </c>
      <c r="C119" s="412" t="s">
        <v>26</v>
      </c>
      <c r="D119" s="412" t="s">
        <v>27</v>
      </c>
      <c r="E119" s="412" t="s">
        <v>231</v>
      </c>
      <c r="F119" s="412" t="s">
        <v>29</v>
      </c>
      <c r="G119" s="412" t="s">
        <v>30</v>
      </c>
      <c r="H119" s="412" t="s">
        <v>30</v>
      </c>
      <c r="I119" s="412"/>
    </row>
    <row r="120" spans="1:9" ht="30" customHeight="1" x14ac:dyDescent="0.3">
      <c r="A120" s="9">
        <v>116</v>
      </c>
      <c r="B120" s="24" t="s">
        <v>232</v>
      </c>
      <c r="C120" s="412" t="s">
        <v>69</v>
      </c>
      <c r="D120" s="412" t="s">
        <v>96</v>
      </c>
      <c r="E120" s="412" t="s">
        <v>99</v>
      </c>
      <c r="F120" s="412" t="s">
        <v>29</v>
      </c>
      <c r="G120" s="412" t="s">
        <v>98</v>
      </c>
      <c r="H120" s="412" t="s">
        <v>99</v>
      </c>
      <c r="I120" s="412"/>
    </row>
    <row r="121" spans="1:9" ht="30" customHeight="1" x14ac:dyDescent="0.3">
      <c r="A121" s="9">
        <v>117</v>
      </c>
      <c r="B121" s="24" t="s">
        <v>2161</v>
      </c>
      <c r="C121" s="412" t="s">
        <v>69</v>
      </c>
      <c r="D121" s="412" t="s">
        <v>80</v>
      </c>
      <c r="E121" s="412" t="s">
        <v>133</v>
      </c>
      <c r="F121" s="412" t="s">
        <v>29</v>
      </c>
      <c r="G121" s="412" t="s">
        <v>30</v>
      </c>
      <c r="H121" s="412" t="s">
        <v>30</v>
      </c>
      <c r="I121" s="412"/>
    </row>
    <row r="122" spans="1:9" ht="30" customHeight="1" x14ac:dyDescent="0.3">
      <c r="A122" s="9">
        <v>118</v>
      </c>
      <c r="B122" s="24" t="s">
        <v>2162</v>
      </c>
      <c r="C122" s="412" t="s">
        <v>69</v>
      </c>
      <c r="D122" s="412" t="s">
        <v>80</v>
      </c>
      <c r="E122" s="412" t="s">
        <v>133</v>
      </c>
      <c r="F122" s="412" t="s">
        <v>29</v>
      </c>
      <c r="G122" s="412" t="s">
        <v>30</v>
      </c>
      <c r="H122" s="412" t="s">
        <v>30</v>
      </c>
      <c r="I122" s="412"/>
    </row>
    <row r="123" spans="1:9" ht="30" customHeight="1" x14ac:dyDescent="0.3">
      <c r="A123" s="9">
        <v>119</v>
      </c>
      <c r="B123" s="16" t="s">
        <v>235</v>
      </c>
      <c r="C123" s="412" t="s">
        <v>69</v>
      </c>
      <c r="D123" s="412" t="s">
        <v>125</v>
      </c>
      <c r="E123" s="412" t="s">
        <v>237</v>
      </c>
      <c r="F123" s="412" t="s">
        <v>29</v>
      </c>
      <c r="G123" s="412" t="s">
        <v>98</v>
      </c>
      <c r="H123" s="412" t="s">
        <v>125</v>
      </c>
      <c r="I123" s="412"/>
    </row>
    <row r="124" spans="1:9" ht="30" customHeight="1" x14ac:dyDescent="0.3">
      <c r="A124" s="9">
        <v>120</v>
      </c>
      <c r="B124" s="24" t="s">
        <v>2163</v>
      </c>
      <c r="C124" s="412" t="s">
        <v>26</v>
      </c>
      <c r="D124" s="412" t="s">
        <v>31</v>
      </c>
      <c r="E124" s="412" t="s">
        <v>34</v>
      </c>
      <c r="F124" s="412" t="s">
        <v>29</v>
      </c>
      <c r="G124" s="412" t="s">
        <v>30</v>
      </c>
      <c r="H124" s="412" t="s">
        <v>31</v>
      </c>
      <c r="I124" s="412"/>
    </row>
    <row r="125" spans="1:9" ht="30" customHeight="1" x14ac:dyDescent="0.3">
      <c r="A125" s="9">
        <v>121</v>
      </c>
      <c r="B125" s="24" t="s">
        <v>2164</v>
      </c>
      <c r="C125" s="412" t="s">
        <v>26</v>
      </c>
      <c r="D125" s="412" t="s">
        <v>31</v>
      </c>
      <c r="E125" s="412" t="s">
        <v>34</v>
      </c>
      <c r="F125" s="412" t="s">
        <v>29</v>
      </c>
      <c r="G125" s="412" t="s">
        <v>30</v>
      </c>
      <c r="H125" s="412" t="s">
        <v>31</v>
      </c>
      <c r="I125" s="412"/>
    </row>
    <row r="126" spans="1:9" ht="30" customHeight="1" x14ac:dyDescent="0.3">
      <c r="A126" s="9">
        <v>122</v>
      </c>
      <c r="B126" s="24" t="s">
        <v>1409</v>
      </c>
      <c r="C126" s="412" t="s">
        <v>69</v>
      </c>
      <c r="D126" s="412" t="s">
        <v>96</v>
      </c>
      <c r="E126" s="412" t="s">
        <v>240</v>
      </c>
      <c r="F126" s="412" t="s">
        <v>29</v>
      </c>
      <c r="G126" s="412" t="s">
        <v>98</v>
      </c>
      <c r="H126" s="412" t="s">
        <v>143</v>
      </c>
      <c r="I126" s="412"/>
    </row>
    <row r="127" spans="1:9" ht="30" customHeight="1" x14ac:dyDescent="0.3">
      <c r="A127" s="9">
        <v>123</v>
      </c>
      <c r="B127" s="24" t="s">
        <v>239</v>
      </c>
      <c r="C127" s="412" t="s">
        <v>69</v>
      </c>
      <c r="D127" s="412" t="s">
        <v>96</v>
      </c>
      <c r="E127" s="412" t="s">
        <v>240</v>
      </c>
      <c r="F127" s="412" t="s">
        <v>29</v>
      </c>
      <c r="G127" s="412" t="s">
        <v>98</v>
      </c>
      <c r="H127" s="412" t="s">
        <v>143</v>
      </c>
      <c r="I127" s="412"/>
    </row>
    <row r="128" spans="1:9" ht="30" customHeight="1" x14ac:dyDescent="0.3">
      <c r="A128" s="9">
        <v>124</v>
      </c>
      <c r="B128" s="24" t="s">
        <v>2165</v>
      </c>
      <c r="C128" s="412" t="s">
        <v>21</v>
      </c>
      <c r="D128" s="412" t="s">
        <v>241</v>
      </c>
      <c r="E128" s="412" t="s">
        <v>242</v>
      </c>
      <c r="F128" s="412" t="s">
        <v>21</v>
      </c>
      <c r="G128" s="412" t="s">
        <v>21</v>
      </c>
      <c r="H128" s="412" t="s">
        <v>51</v>
      </c>
      <c r="I128" s="412"/>
    </row>
    <row r="129" spans="1:9" ht="30" customHeight="1" x14ac:dyDescent="0.3">
      <c r="A129" s="9">
        <v>125</v>
      </c>
      <c r="B129" s="16" t="s">
        <v>243</v>
      </c>
      <c r="C129" s="412" t="s">
        <v>26</v>
      </c>
      <c r="D129" s="412" t="s">
        <v>26</v>
      </c>
      <c r="E129" s="412" t="s">
        <v>244</v>
      </c>
      <c r="F129" s="412" t="s">
        <v>29</v>
      </c>
      <c r="G129" s="412" t="s">
        <v>30</v>
      </c>
      <c r="H129" s="412" t="s">
        <v>30</v>
      </c>
      <c r="I129" s="412"/>
    </row>
    <row r="130" spans="1:9" ht="30" customHeight="1" x14ac:dyDescent="0.3">
      <c r="A130" s="9">
        <v>126</v>
      </c>
      <c r="B130" s="16" t="s">
        <v>2166</v>
      </c>
      <c r="C130" s="412" t="s">
        <v>21</v>
      </c>
      <c r="D130" s="412" t="s">
        <v>49</v>
      </c>
      <c r="E130" s="412" t="s">
        <v>246</v>
      </c>
      <c r="F130" s="412" t="s">
        <v>21</v>
      </c>
      <c r="G130" s="412" t="s">
        <v>21</v>
      </c>
      <c r="H130" s="412" t="s">
        <v>51</v>
      </c>
      <c r="I130" s="412"/>
    </row>
    <row r="131" spans="1:9" ht="30" customHeight="1" x14ac:dyDescent="0.3">
      <c r="A131" s="9">
        <v>127</v>
      </c>
      <c r="B131" s="16" t="s">
        <v>247</v>
      </c>
      <c r="C131" s="412" t="s">
        <v>21</v>
      </c>
      <c r="D131" s="412" t="s">
        <v>84</v>
      </c>
      <c r="E131" s="412" t="s">
        <v>249</v>
      </c>
      <c r="F131" s="412" t="s">
        <v>21</v>
      </c>
      <c r="G131" s="412" t="s">
        <v>250</v>
      </c>
      <c r="H131" s="412" t="s">
        <v>249</v>
      </c>
      <c r="I131" s="412"/>
    </row>
    <row r="132" spans="1:9" ht="30" customHeight="1" x14ac:dyDescent="0.3">
      <c r="A132" s="9">
        <v>128</v>
      </c>
      <c r="B132" s="16" t="s">
        <v>2167</v>
      </c>
      <c r="C132" s="412" t="s">
        <v>26</v>
      </c>
      <c r="D132" s="412" t="s">
        <v>31</v>
      </c>
      <c r="E132" s="412" t="s">
        <v>34</v>
      </c>
      <c r="F132" s="412" t="s">
        <v>29</v>
      </c>
      <c r="G132" s="412" t="s">
        <v>38</v>
      </c>
      <c r="H132" s="412" t="s">
        <v>39</v>
      </c>
      <c r="I132" s="412"/>
    </row>
    <row r="133" spans="1:9" ht="30" customHeight="1" x14ac:dyDescent="0.3">
      <c r="A133" s="9">
        <v>129</v>
      </c>
      <c r="B133" s="24" t="s">
        <v>2168</v>
      </c>
      <c r="C133" s="412" t="s">
        <v>26</v>
      </c>
      <c r="D133" s="412" t="s">
        <v>31</v>
      </c>
      <c r="E133" s="412" t="s">
        <v>252</v>
      </c>
      <c r="F133" s="412" t="s">
        <v>29</v>
      </c>
      <c r="G133" s="412" t="s">
        <v>38</v>
      </c>
      <c r="H133" s="412" t="s">
        <v>39</v>
      </c>
      <c r="I133" s="412"/>
    </row>
    <row r="134" spans="1:9" ht="30" customHeight="1" x14ac:dyDescent="0.3">
      <c r="A134" s="9">
        <v>130</v>
      </c>
      <c r="B134" s="24" t="s">
        <v>2169</v>
      </c>
      <c r="C134" s="412" t="s">
        <v>26</v>
      </c>
      <c r="D134" s="412" t="s">
        <v>31</v>
      </c>
      <c r="E134" s="412" t="s">
        <v>252</v>
      </c>
      <c r="F134" s="412" t="s">
        <v>29</v>
      </c>
      <c r="G134" s="412" t="s">
        <v>38</v>
      </c>
      <c r="H134" s="412" t="s">
        <v>39</v>
      </c>
      <c r="I134" s="412"/>
    </row>
    <row r="135" spans="1:9" ht="30" customHeight="1" x14ac:dyDescent="0.3">
      <c r="A135" s="9">
        <v>131</v>
      </c>
      <c r="B135" s="24" t="s">
        <v>253</v>
      </c>
      <c r="C135" s="412" t="s">
        <v>21</v>
      </c>
      <c r="D135" s="412" t="s">
        <v>42</v>
      </c>
      <c r="E135" s="412" t="s">
        <v>255</v>
      </c>
      <c r="F135" s="412" t="s">
        <v>21</v>
      </c>
      <c r="G135" s="412" t="s">
        <v>44</v>
      </c>
      <c r="H135" s="412" t="s">
        <v>42</v>
      </c>
      <c r="I135" s="412"/>
    </row>
    <row r="136" spans="1:9" ht="30" customHeight="1" x14ac:dyDescent="0.3">
      <c r="A136" s="9">
        <v>132</v>
      </c>
      <c r="B136" s="16" t="s">
        <v>256</v>
      </c>
      <c r="C136" s="412" t="s">
        <v>21</v>
      </c>
      <c r="D136" s="412" t="s">
        <v>49</v>
      </c>
      <c r="E136" s="412" t="s">
        <v>258</v>
      </c>
      <c r="F136" s="412" t="s">
        <v>21</v>
      </c>
      <c r="G136" s="412" t="s">
        <v>21</v>
      </c>
      <c r="H136" s="412" t="s">
        <v>164</v>
      </c>
      <c r="I136" s="412"/>
    </row>
    <row r="137" spans="1:9" ht="30" customHeight="1" x14ac:dyDescent="0.3">
      <c r="A137" s="9">
        <v>133</v>
      </c>
      <c r="B137" s="16" t="s">
        <v>259</v>
      </c>
      <c r="C137" s="412" t="s">
        <v>21</v>
      </c>
      <c r="D137" s="412" t="s">
        <v>49</v>
      </c>
      <c r="E137" s="412" t="s">
        <v>258</v>
      </c>
      <c r="F137" s="412" t="s">
        <v>21</v>
      </c>
      <c r="G137" s="412" t="s">
        <v>21</v>
      </c>
      <c r="H137" s="412" t="s">
        <v>164</v>
      </c>
      <c r="I137" s="412"/>
    </row>
    <row r="138" spans="1:9" ht="30" customHeight="1" x14ac:dyDescent="0.3">
      <c r="A138" s="9">
        <v>134</v>
      </c>
      <c r="B138" s="16" t="s">
        <v>261</v>
      </c>
      <c r="C138" s="412" t="s">
        <v>21</v>
      </c>
      <c r="D138" s="412" t="s">
        <v>49</v>
      </c>
      <c r="E138" s="412" t="s">
        <v>258</v>
      </c>
      <c r="F138" s="412" t="s">
        <v>21</v>
      </c>
      <c r="G138" s="412" t="s">
        <v>21</v>
      </c>
      <c r="H138" s="412" t="s">
        <v>164</v>
      </c>
      <c r="I138" s="412"/>
    </row>
    <row r="139" spans="1:9" ht="30" customHeight="1" x14ac:dyDescent="0.3">
      <c r="A139" s="9">
        <v>135</v>
      </c>
      <c r="B139" s="16" t="s">
        <v>2170</v>
      </c>
      <c r="C139" s="412" t="s">
        <v>26</v>
      </c>
      <c r="D139" s="412" t="s">
        <v>27</v>
      </c>
      <c r="E139" s="412" t="s">
        <v>2171</v>
      </c>
      <c r="F139" s="412" t="s">
        <v>417</v>
      </c>
      <c r="G139" s="412" t="s">
        <v>26</v>
      </c>
      <c r="H139" s="412" t="s">
        <v>31</v>
      </c>
      <c r="I139" s="412"/>
    </row>
    <row r="140" spans="1:9" ht="30" customHeight="1" x14ac:dyDescent="0.3">
      <c r="A140" s="9">
        <v>136</v>
      </c>
      <c r="B140" s="16" t="s">
        <v>263</v>
      </c>
      <c r="C140" s="412" t="s">
        <v>21</v>
      </c>
      <c r="D140" s="412" t="s">
        <v>84</v>
      </c>
      <c r="E140" s="412" t="s">
        <v>249</v>
      </c>
      <c r="F140" s="412" t="s">
        <v>21</v>
      </c>
      <c r="G140" s="412" t="s">
        <v>250</v>
      </c>
      <c r="H140" s="412" t="s">
        <v>249</v>
      </c>
      <c r="I140" s="412"/>
    </row>
    <row r="141" spans="1:9" ht="30" customHeight="1" x14ac:dyDescent="0.3">
      <c r="A141" s="9">
        <v>137</v>
      </c>
      <c r="B141" s="16" t="s">
        <v>265</v>
      </c>
      <c r="C141" s="412" t="s">
        <v>69</v>
      </c>
      <c r="D141" s="412" t="s">
        <v>80</v>
      </c>
      <c r="E141" s="412" t="s">
        <v>267</v>
      </c>
      <c r="F141" s="412" t="s">
        <v>29</v>
      </c>
      <c r="G141" s="412" t="s">
        <v>26</v>
      </c>
      <c r="H141" s="412" t="s">
        <v>31</v>
      </c>
      <c r="I141" s="412"/>
    </row>
    <row r="142" spans="1:9" ht="30" customHeight="1" x14ac:dyDescent="0.3">
      <c r="A142" s="9">
        <v>138</v>
      </c>
      <c r="B142" s="24" t="s">
        <v>268</v>
      </c>
      <c r="C142" s="412" t="s">
        <v>26</v>
      </c>
      <c r="D142" s="412" t="s">
        <v>30</v>
      </c>
      <c r="E142" s="412" t="s">
        <v>148</v>
      </c>
      <c r="F142" s="412" t="s">
        <v>29</v>
      </c>
      <c r="G142" s="412" t="s">
        <v>26</v>
      </c>
      <c r="H142" s="412" t="s">
        <v>30</v>
      </c>
      <c r="I142" s="412"/>
    </row>
    <row r="143" spans="1:9" ht="30" customHeight="1" x14ac:dyDescent="0.3">
      <c r="A143" s="9">
        <v>139</v>
      </c>
      <c r="B143" s="24" t="s">
        <v>270</v>
      </c>
      <c r="C143" s="412" t="s">
        <v>26</v>
      </c>
      <c r="D143" s="412" t="s">
        <v>27</v>
      </c>
      <c r="E143" s="412" t="s">
        <v>272</v>
      </c>
      <c r="F143" s="412" t="s">
        <v>29</v>
      </c>
      <c r="G143" s="412" t="s">
        <v>30</v>
      </c>
      <c r="H143" s="412" t="s">
        <v>30</v>
      </c>
      <c r="I143" s="412"/>
    </row>
    <row r="144" spans="1:9" ht="30" customHeight="1" x14ac:dyDescent="0.3">
      <c r="A144" s="9">
        <v>140</v>
      </c>
      <c r="B144" s="24" t="s">
        <v>2172</v>
      </c>
      <c r="C144" s="412" t="s">
        <v>69</v>
      </c>
      <c r="D144" s="412" t="s">
        <v>96</v>
      </c>
      <c r="E144" s="412" t="s">
        <v>275</v>
      </c>
      <c r="F144" s="412" t="s">
        <v>29</v>
      </c>
      <c r="G144" s="412" t="s">
        <v>98</v>
      </c>
      <c r="H144" s="412" t="s">
        <v>125</v>
      </c>
      <c r="I144" s="412"/>
    </row>
    <row r="145" spans="1:9" ht="30" customHeight="1" x14ac:dyDescent="0.3">
      <c r="A145" s="9">
        <v>141</v>
      </c>
      <c r="B145" s="24" t="s">
        <v>2173</v>
      </c>
      <c r="C145" s="412" t="s">
        <v>69</v>
      </c>
      <c r="D145" s="412" t="s">
        <v>96</v>
      </c>
      <c r="E145" s="412" t="s">
        <v>275</v>
      </c>
      <c r="F145" s="412" t="s">
        <v>29</v>
      </c>
      <c r="G145" s="412" t="s">
        <v>98</v>
      </c>
      <c r="H145" s="412" t="s">
        <v>125</v>
      </c>
      <c r="I145" s="412"/>
    </row>
    <row r="146" spans="1:9" ht="30" customHeight="1" x14ac:dyDescent="0.3">
      <c r="A146" s="9">
        <v>142</v>
      </c>
      <c r="B146" s="24" t="s">
        <v>2174</v>
      </c>
      <c r="C146" s="412" t="s">
        <v>13</v>
      </c>
      <c r="D146" s="412" t="s">
        <v>19</v>
      </c>
      <c r="E146" s="412" t="s">
        <v>357</v>
      </c>
      <c r="F146" s="412" t="s">
        <v>21</v>
      </c>
      <c r="G146" s="412" t="s">
        <v>22</v>
      </c>
      <c r="H146" s="412" t="s">
        <v>23</v>
      </c>
      <c r="I146" s="412"/>
    </row>
    <row r="147" spans="1:9" ht="30" customHeight="1" x14ac:dyDescent="0.3">
      <c r="A147" s="9">
        <v>143</v>
      </c>
      <c r="B147" s="24" t="s">
        <v>2175</v>
      </c>
      <c r="C147" s="412" t="s">
        <v>21</v>
      </c>
      <c r="D147" s="412" t="s">
        <v>42</v>
      </c>
      <c r="E147" s="412" t="s">
        <v>409</v>
      </c>
      <c r="F147" s="412" t="s">
        <v>21</v>
      </c>
      <c r="G147" s="412" t="s">
        <v>44</v>
      </c>
      <c r="H147" s="412" t="s">
        <v>43</v>
      </c>
      <c r="I147" s="412"/>
    </row>
    <row r="148" spans="1:9" ht="30" customHeight="1" x14ac:dyDescent="0.3">
      <c r="A148" s="9">
        <v>144</v>
      </c>
      <c r="B148" s="16" t="s">
        <v>2176</v>
      </c>
      <c r="C148" s="412" t="s">
        <v>21</v>
      </c>
      <c r="D148" s="412" t="s">
        <v>164</v>
      </c>
      <c r="E148" s="412" t="s">
        <v>2177</v>
      </c>
      <c r="F148" s="412" t="s">
        <v>21</v>
      </c>
      <c r="G148" s="412" t="s">
        <v>21</v>
      </c>
      <c r="H148" s="412" t="s">
        <v>164</v>
      </c>
      <c r="I148" s="412"/>
    </row>
    <row r="149" spans="1:9" ht="30" customHeight="1" x14ac:dyDescent="0.3">
      <c r="A149" s="9">
        <v>145</v>
      </c>
      <c r="B149" s="16" t="s">
        <v>2178</v>
      </c>
      <c r="C149" s="412" t="s">
        <v>21</v>
      </c>
      <c r="D149" s="412" t="s">
        <v>164</v>
      </c>
      <c r="E149" s="412" t="s">
        <v>2177</v>
      </c>
      <c r="F149" s="412" t="s">
        <v>21</v>
      </c>
      <c r="G149" s="412" t="s">
        <v>21</v>
      </c>
      <c r="H149" s="412" t="s">
        <v>164</v>
      </c>
      <c r="I149" s="412"/>
    </row>
    <row r="150" spans="1:9" ht="30" customHeight="1" x14ac:dyDescent="0.3">
      <c r="A150" s="9">
        <v>146</v>
      </c>
      <c r="B150" s="24" t="s">
        <v>276</v>
      </c>
      <c r="C150" s="412" t="s">
        <v>69</v>
      </c>
      <c r="D150" s="412" t="s">
        <v>125</v>
      </c>
      <c r="E150" s="412" t="s">
        <v>278</v>
      </c>
      <c r="F150" s="412" t="s">
        <v>29</v>
      </c>
      <c r="G150" s="412" t="s">
        <v>98</v>
      </c>
      <c r="H150" s="412" t="s">
        <v>125</v>
      </c>
      <c r="I150" s="412"/>
    </row>
    <row r="151" spans="1:9" ht="30" customHeight="1" x14ac:dyDescent="0.3">
      <c r="A151" s="9">
        <v>147</v>
      </c>
      <c r="B151" s="24" t="s">
        <v>2179</v>
      </c>
      <c r="C151" s="412" t="s">
        <v>26</v>
      </c>
      <c r="D151" s="412" t="s">
        <v>31</v>
      </c>
      <c r="E151" s="412" t="s">
        <v>280</v>
      </c>
      <c r="F151" s="412" t="s">
        <v>29</v>
      </c>
      <c r="G151" s="412" t="s">
        <v>38</v>
      </c>
      <c r="H151" s="412" t="s">
        <v>39</v>
      </c>
      <c r="I151" s="412"/>
    </row>
    <row r="152" spans="1:9" ht="30" customHeight="1" x14ac:dyDescent="0.3">
      <c r="A152" s="9">
        <v>148</v>
      </c>
      <c r="B152" s="24" t="s">
        <v>2180</v>
      </c>
      <c r="C152" s="412" t="s">
        <v>26</v>
      </c>
      <c r="D152" s="412" t="s">
        <v>31</v>
      </c>
      <c r="E152" s="412" t="s">
        <v>280</v>
      </c>
      <c r="F152" s="412" t="s">
        <v>29</v>
      </c>
      <c r="G152" s="412" t="s">
        <v>38</v>
      </c>
      <c r="H152" s="412" t="s">
        <v>39</v>
      </c>
      <c r="I152" s="412"/>
    </row>
    <row r="153" spans="1:9" ht="30" customHeight="1" x14ac:dyDescent="0.3">
      <c r="A153" s="9">
        <v>149</v>
      </c>
      <c r="B153" s="10" t="s">
        <v>281</v>
      </c>
      <c r="C153" s="412" t="s">
        <v>21</v>
      </c>
      <c r="D153" s="412" t="s">
        <v>164</v>
      </c>
      <c r="E153" s="412" t="s">
        <v>2181</v>
      </c>
      <c r="F153" s="412" t="s">
        <v>21</v>
      </c>
      <c r="G153" s="412" t="s">
        <v>21</v>
      </c>
      <c r="H153" s="412" t="s">
        <v>164</v>
      </c>
      <c r="I153" s="412"/>
    </row>
    <row r="154" spans="1:9" ht="30" customHeight="1" x14ac:dyDescent="0.3">
      <c r="A154" s="9">
        <v>150</v>
      </c>
      <c r="B154" s="24" t="s">
        <v>2182</v>
      </c>
      <c r="C154" s="412" t="s">
        <v>13</v>
      </c>
      <c r="D154" s="412" t="s">
        <v>14</v>
      </c>
      <c r="E154" s="412" t="s">
        <v>286</v>
      </c>
      <c r="F154" s="412" t="s">
        <v>14</v>
      </c>
      <c r="G154" s="412" t="s">
        <v>14</v>
      </c>
      <c r="H154" s="412" t="s">
        <v>16</v>
      </c>
      <c r="I154" s="412"/>
    </row>
    <row r="155" spans="1:9" ht="30" customHeight="1" x14ac:dyDescent="0.3">
      <c r="A155" s="9">
        <v>151</v>
      </c>
      <c r="B155" s="24" t="s">
        <v>2183</v>
      </c>
      <c r="C155" s="412" t="s">
        <v>13</v>
      </c>
      <c r="D155" s="412" t="s">
        <v>14</v>
      </c>
      <c r="E155" s="412" t="s">
        <v>286</v>
      </c>
      <c r="F155" s="412" t="s">
        <v>14</v>
      </c>
      <c r="G155" s="412" t="s">
        <v>14</v>
      </c>
      <c r="H155" s="412" t="s">
        <v>15</v>
      </c>
      <c r="I155" s="412"/>
    </row>
    <row r="156" spans="1:9" ht="30" customHeight="1" x14ac:dyDescent="0.3">
      <c r="A156" s="9">
        <v>152</v>
      </c>
      <c r="B156" s="16" t="s">
        <v>2184</v>
      </c>
      <c r="C156" s="412" t="s">
        <v>13</v>
      </c>
      <c r="D156" s="412" t="s">
        <v>14</v>
      </c>
      <c r="E156" s="412" t="s">
        <v>286</v>
      </c>
      <c r="F156" s="412" t="s">
        <v>14</v>
      </c>
      <c r="G156" s="412" t="s">
        <v>14</v>
      </c>
      <c r="H156" s="412" t="s">
        <v>15</v>
      </c>
      <c r="I156" s="412"/>
    </row>
    <row r="157" spans="1:9" ht="30" customHeight="1" x14ac:dyDescent="0.3">
      <c r="A157" s="9">
        <v>153</v>
      </c>
      <c r="B157" s="16" t="s">
        <v>2185</v>
      </c>
      <c r="C157" s="412" t="s">
        <v>13</v>
      </c>
      <c r="D157" s="412" t="s">
        <v>14</v>
      </c>
      <c r="E157" s="412" t="s">
        <v>286</v>
      </c>
      <c r="F157" s="412" t="s">
        <v>14</v>
      </c>
      <c r="G157" s="412" t="s">
        <v>14</v>
      </c>
      <c r="H157" s="412" t="s">
        <v>15</v>
      </c>
      <c r="I157" s="412"/>
    </row>
    <row r="158" spans="1:9" ht="30" customHeight="1" x14ac:dyDescent="0.3">
      <c r="A158" s="9">
        <v>154</v>
      </c>
      <c r="B158" s="24" t="s">
        <v>287</v>
      </c>
      <c r="C158" s="412" t="s">
        <v>13</v>
      </c>
      <c r="D158" s="412" t="s">
        <v>14</v>
      </c>
      <c r="E158" s="412" t="s">
        <v>286</v>
      </c>
      <c r="F158" s="412" t="s">
        <v>14</v>
      </c>
      <c r="G158" s="412" t="s">
        <v>14</v>
      </c>
      <c r="H158" s="412" t="s">
        <v>15</v>
      </c>
      <c r="I158" s="412"/>
    </row>
    <row r="159" spans="1:9" ht="30" customHeight="1" x14ac:dyDescent="0.3">
      <c r="A159" s="9">
        <v>155</v>
      </c>
      <c r="B159" s="16" t="s">
        <v>289</v>
      </c>
      <c r="C159" s="412" t="s">
        <v>21</v>
      </c>
      <c r="D159" s="412" t="s">
        <v>164</v>
      </c>
      <c r="E159" s="412" t="s">
        <v>2181</v>
      </c>
      <c r="F159" s="412" t="s">
        <v>21</v>
      </c>
      <c r="G159" s="412" t="s">
        <v>21</v>
      </c>
      <c r="H159" s="412" t="s">
        <v>164</v>
      </c>
      <c r="I159" s="412"/>
    </row>
    <row r="160" spans="1:9" ht="30" customHeight="1" x14ac:dyDescent="0.3">
      <c r="A160" s="9">
        <v>156</v>
      </c>
      <c r="B160" s="16" t="s">
        <v>2186</v>
      </c>
      <c r="C160" s="412" t="s">
        <v>21</v>
      </c>
      <c r="D160" s="412" t="s">
        <v>42</v>
      </c>
      <c r="E160" s="412" t="s">
        <v>43</v>
      </c>
      <c r="F160" s="412" t="s">
        <v>21</v>
      </c>
      <c r="G160" s="412" t="s">
        <v>44</v>
      </c>
      <c r="H160" s="412" t="s">
        <v>42</v>
      </c>
      <c r="I160" s="412"/>
    </row>
    <row r="161" spans="1:9" ht="30" customHeight="1" x14ac:dyDescent="0.3">
      <c r="A161" s="9">
        <v>157</v>
      </c>
      <c r="B161" s="16" t="s">
        <v>291</v>
      </c>
      <c r="C161" s="412" t="s">
        <v>69</v>
      </c>
      <c r="D161" s="412" t="s">
        <v>80</v>
      </c>
      <c r="E161" s="412" t="s">
        <v>293</v>
      </c>
      <c r="F161" s="412" t="s">
        <v>29</v>
      </c>
      <c r="G161" s="412" t="s">
        <v>29</v>
      </c>
      <c r="H161" s="412" t="s">
        <v>29</v>
      </c>
      <c r="I161" s="412"/>
    </row>
    <row r="162" spans="1:9" ht="30" customHeight="1" x14ac:dyDescent="0.3">
      <c r="A162" s="9">
        <v>158</v>
      </c>
      <c r="B162" s="16" t="s">
        <v>294</v>
      </c>
      <c r="C162" s="412" t="s">
        <v>26</v>
      </c>
      <c r="D162" s="412" t="s">
        <v>30</v>
      </c>
      <c r="E162" s="412" t="s">
        <v>296</v>
      </c>
      <c r="F162" s="412" t="s">
        <v>29</v>
      </c>
      <c r="G162" s="412" t="s">
        <v>30</v>
      </c>
      <c r="H162" s="412" t="s">
        <v>30</v>
      </c>
      <c r="I162" s="412"/>
    </row>
    <row r="163" spans="1:9" ht="30" customHeight="1" x14ac:dyDescent="0.3">
      <c r="A163" s="9">
        <v>159</v>
      </c>
      <c r="B163" s="16" t="s">
        <v>297</v>
      </c>
      <c r="C163" s="412" t="s">
        <v>69</v>
      </c>
      <c r="D163" s="412" t="s">
        <v>125</v>
      </c>
      <c r="E163" s="412" t="s">
        <v>299</v>
      </c>
      <c r="F163" s="412" t="s">
        <v>29</v>
      </c>
      <c r="G163" s="412" t="s">
        <v>98</v>
      </c>
      <c r="H163" s="412" t="s">
        <v>125</v>
      </c>
      <c r="I163" s="412"/>
    </row>
    <row r="164" spans="1:9" ht="30" customHeight="1" x14ac:dyDescent="0.3">
      <c r="A164" s="9">
        <v>160</v>
      </c>
      <c r="B164" s="16" t="s">
        <v>300</v>
      </c>
      <c r="C164" s="412" t="s">
        <v>13</v>
      </c>
      <c r="D164" s="412" t="s">
        <v>14</v>
      </c>
      <c r="E164" s="412" t="s">
        <v>302</v>
      </c>
      <c r="F164" s="412" t="s">
        <v>14</v>
      </c>
      <c r="G164" s="412" t="s">
        <v>302</v>
      </c>
      <c r="H164" s="412" t="s">
        <v>302</v>
      </c>
      <c r="I164" s="412"/>
    </row>
    <row r="165" spans="1:9" ht="30" customHeight="1" x14ac:dyDescent="0.3">
      <c r="A165" s="9">
        <v>161</v>
      </c>
      <c r="B165" s="16" t="s">
        <v>303</v>
      </c>
      <c r="C165" s="412" t="s">
        <v>21</v>
      </c>
      <c r="D165" s="412" t="s">
        <v>164</v>
      </c>
      <c r="E165" s="412" t="s">
        <v>305</v>
      </c>
      <c r="F165" s="412" t="s">
        <v>21</v>
      </c>
      <c r="G165" s="412" t="s">
        <v>21</v>
      </c>
      <c r="H165" s="412" t="s">
        <v>164</v>
      </c>
      <c r="I165" s="412"/>
    </row>
    <row r="166" spans="1:9" ht="30" customHeight="1" x14ac:dyDescent="0.3">
      <c r="A166" s="9">
        <v>162</v>
      </c>
      <c r="B166" s="16" t="s">
        <v>2187</v>
      </c>
      <c r="C166" s="412" t="s">
        <v>13</v>
      </c>
      <c r="D166" s="412" t="s">
        <v>19</v>
      </c>
      <c r="E166" s="412" t="s">
        <v>357</v>
      </c>
      <c r="F166" s="412" t="s">
        <v>21</v>
      </c>
      <c r="G166" s="412" t="s">
        <v>22</v>
      </c>
      <c r="H166" s="412" t="s">
        <v>23</v>
      </c>
      <c r="I166" s="412"/>
    </row>
    <row r="167" spans="1:9" ht="30" customHeight="1" x14ac:dyDescent="0.3">
      <c r="A167" s="9">
        <v>163</v>
      </c>
      <c r="B167" s="16" t="s">
        <v>306</v>
      </c>
      <c r="C167" s="412" t="s">
        <v>26</v>
      </c>
      <c r="D167" s="412" t="s">
        <v>31</v>
      </c>
      <c r="E167" s="412" t="s">
        <v>157</v>
      </c>
      <c r="F167" s="412" t="s">
        <v>29</v>
      </c>
      <c r="G167" s="412" t="s">
        <v>38</v>
      </c>
      <c r="H167" s="412" t="s">
        <v>39</v>
      </c>
      <c r="I167" s="412"/>
    </row>
    <row r="168" spans="1:9" ht="30" customHeight="1" x14ac:dyDescent="0.3">
      <c r="A168" s="9">
        <v>164</v>
      </c>
      <c r="B168" s="24" t="s">
        <v>308</v>
      </c>
      <c r="C168" s="412" t="s">
        <v>69</v>
      </c>
      <c r="D168" s="412" t="s">
        <v>67</v>
      </c>
      <c r="E168" s="412" t="s">
        <v>310</v>
      </c>
      <c r="F168" s="412" t="s">
        <v>29</v>
      </c>
      <c r="G168" s="412" t="s">
        <v>29</v>
      </c>
      <c r="H168" s="412" t="s">
        <v>29</v>
      </c>
      <c r="I168" s="412"/>
    </row>
    <row r="169" spans="1:9" ht="30" customHeight="1" x14ac:dyDescent="0.3">
      <c r="A169" s="9">
        <v>165</v>
      </c>
      <c r="B169" s="24" t="s">
        <v>311</v>
      </c>
      <c r="C169" s="412" t="s">
        <v>13</v>
      </c>
      <c r="D169" s="412" t="s">
        <v>29</v>
      </c>
      <c r="E169" s="412" t="s">
        <v>313</v>
      </c>
      <c r="F169" s="412" t="s">
        <v>29</v>
      </c>
      <c r="G169" s="412"/>
      <c r="H169" s="412"/>
      <c r="I169" s="412"/>
    </row>
    <row r="170" spans="1:9" ht="30" customHeight="1" x14ac:dyDescent="0.3">
      <c r="A170" s="9">
        <v>166</v>
      </c>
      <c r="B170" s="24" t="s">
        <v>2188</v>
      </c>
      <c r="C170" s="412" t="s">
        <v>13</v>
      </c>
      <c r="D170" s="412" t="s">
        <v>14</v>
      </c>
      <c r="E170" s="412" t="s">
        <v>454</v>
      </c>
      <c r="F170" s="412" t="s">
        <v>14</v>
      </c>
      <c r="G170" s="412" t="s">
        <v>14</v>
      </c>
      <c r="H170" s="412" t="s">
        <v>203</v>
      </c>
      <c r="I170" s="412"/>
    </row>
    <row r="171" spans="1:9" ht="30" customHeight="1" x14ac:dyDescent="0.3">
      <c r="A171" s="9">
        <v>167</v>
      </c>
      <c r="B171" s="16" t="s">
        <v>314</v>
      </c>
      <c r="C171" s="412" t="s">
        <v>21</v>
      </c>
      <c r="D171" s="412" t="s">
        <v>42</v>
      </c>
      <c r="E171" s="412" t="s">
        <v>43</v>
      </c>
      <c r="F171" s="412" t="s">
        <v>21</v>
      </c>
      <c r="G171" s="412" t="s">
        <v>44</v>
      </c>
      <c r="H171" s="412" t="s">
        <v>43</v>
      </c>
      <c r="I171" s="412"/>
    </row>
    <row r="172" spans="1:9" ht="30" customHeight="1" x14ac:dyDescent="0.3">
      <c r="A172" s="9">
        <v>168</v>
      </c>
      <c r="B172" s="16" t="s">
        <v>2189</v>
      </c>
      <c r="C172" s="412" t="s">
        <v>21</v>
      </c>
      <c r="D172" s="412" t="s">
        <v>42</v>
      </c>
      <c r="E172" s="412" t="s">
        <v>43</v>
      </c>
      <c r="F172" s="412" t="s">
        <v>21</v>
      </c>
      <c r="G172" s="412" t="s">
        <v>44</v>
      </c>
      <c r="H172" s="412" t="s">
        <v>43</v>
      </c>
      <c r="I172" s="412"/>
    </row>
    <row r="173" spans="1:9" s="416" customFormat="1" ht="30" customHeight="1" x14ac:dyDescent="0.3">
      <c r="A173" s="413">
        <v>169</v>
      </c>
      <c r="B173" s="414" t="s">
        <v>316</v>
      </c>
      <c r="C173" s="415" t="s">
        <v>13</v>
      </c>
      <c r="D173" s="415" t="s">
        <v>29</v>
      </c>
      <c r="E173" s="415" t="s">
        <v>318</v>
      </c>
      <c r="F173" s="415" t="s">
        <v>29</v>
      </c>
      <c r="G173" s="415" t="s">
        <v>29</v>
      </c>
      <c r="H173" s="415" t="s">
        <v>29</v>
      </c>
      <c r="I173" s="415"/>
    </row>
    <row r="174" spans="1:9" ht="30" customHeight="1" x14ac:dyDescent="0.3">
      <c r="A174" s="9">
        <v>170</v>
      </c>
      <c r="B174" s="16" t="s">
        <v>319</v>
      </c>
      <c r="C174" s="412" t="s">
        <v>26</v>
      </c>
      <c r="D174" s="412" t="s">
        <v>30</v>
      </c>
      <c r="E174" s="412" t="s">
        <v>321</v>
      </c>
      <c r="F174" s="412" t="s">
        <v>29</v>
      </c>
      <c r="G174" s="412" t="s">
        <v>30</v>
      </c>
      <c r="H174" s="412" t="s">
        <v>30</v>
      </c>
      <c r="I174" s="412"/>
    </row>
    <row r="175" spans="1:9" ht="30" customHeight="1" x14ac:dyDescent="0.3">
      <c r="A175" s="9">
        <v>171</v>
      </c>
      <c r="B175" s="24" t="s">
        <v>322</v>
      </c>
      <c r="C175" s="412" t="s">
        <v>26</v>
      </c>
      <c r="D175" s="412" t="s">
        <v>31</v>
      </c>
      <c r="E175" s="412" t="s">
        <v>55</v>
      </c>
      <c r="F175" s="412" t="s">
        <v>29</v>
      </c>
      <c r="G175" s="412" t="s">
        <v>26</v>
      </c>
      <c r="H175" s="412" t="s">
        <v>31</v>
      </c>
      <c r="I175" s="412"/>
    </row>
    <row r="176" spans="1:9" ht="30" customHeight="1" x14ac:dyDescent="0.3">
      <c r="A176" s="9">
        <v>172</v>
      </c>
      <c r="B176" s="16" t="s">
        <v>324</v>
      </c>
      <c r="C176" s="412" t="s">
        <v>21</v>
      </c>
      <c r="D176" s="412" t="s">
        <v>164</v>
      </c>
      <c r="E176" s="412" t="s">
        <v>326</v>
      </c>
      <c r="F176" s="412" t="s">
        <v>21</v>
      </c>
      <c r="G176" s="412" t="s">
        <v>21</v>
      </c>
      <c r="H176" s="412" t="s">
        <v>164</v>
      </c>
      <c r="I176" s="412"/>
    </row>
    <row r="177" spans="1:9" ht="30" customHeight="1" x14ac:dyDescent="0.3">
      <c r="A177" s="9">
        <v>173</v>
      </c>
      <c r="B177" s="16" t="s">
        <v>328</v>
      </c>
      <c r="C177" s="412" t="s">
        <v>21</v>
      </c>
      <c r="D177" s="412" t="s">
        <v>164</v>
      </c>
      <c r="E177" s="412" t="s">
        <v>326</v>
      </c>
      <c r="F177" s="412" t="s">
        <v>21</v>
      </c>
      <c r="G177" s="412" t="s">
        <v>21</v>
      </c>
      <c r="H177" s="412" t="s">
        <v>164</v>
      </c>
      <c r="I177" s="412"/>
    </row>
    <row r="178" spans="1:9" ht="30" customHeight="1" x14ac:dyDescent="0.3">
      <c r="A178" s="9">
        <v>174</v>
      </c>
      <c r="B178" s="16" t="s">
        <v>330</v>
      </c>
      <c r="C178" s="412" t="s">
        <v>21</v>
      </c>
      <c r="D178" s="412" t="s">
        <v>164</v>
      </c>
      <c r="E178" s="412" t="s">
        <v>326</v>
      </c>
      <c r="F178" s="412" t="s">
        <v>21</v>
      </c>
      <c r="G178" s="412" t="s">
        <v>21</v>
      </c>
      <c r="H178" s="412" t="s">
        <v>164</v>
      </c>
      <c r="I178" s="412"/>
    </row>
    <row r="179" spans="1:9" ht="30" customHeight="1" x14ac:dyDescent="0.3">
      <c r="A179" s="9">
        <v>175</v>
      </c>
      <c r="B179" s="16" t="s">
        <v>332</v>
      </c>
      <c r="C179" s="412" t="s">
        <v>21</v>
      </c>
      <c r="D179" s="412" t="s">
        <v>164</v>
      </c>
      <c r="E179" s="412" t="s">
        <v>334</v>
      </c>
      <c r="F179" s="412" t="s">
        <v>21</v>
      </c>
      <c r="G179" s="412" t="s">
        <v>21</v>
      </c>
      <c r="H179" s="412" t="s">
        <v>164</v>
      </c>
      <c r="I179" s="412"/>
    </row>
    <row r="180" spans="1:9" ht="30" customHeight="1" x14ac:dyDescent="0.3">
      <c r="A180" s="9">
        <v>176</v>
      </c>
      <c r="B180" s="16" t="s">
        <v>2190</v>
      </c>
      <c r="C180" s="412" t="s">
        <v>69</v>
      </c>
      <c r="D180" s="412" t="s">
        <v>67</v>
      </c>
      <c r="E180" s="412" t="s">
        <v>337</v>
      </c>
      <c r="F180" s="412" t="s">
        <v>29</v>
      </c>
      <c r="G180" s="412" t="s">
        <v>30</v>
      </c>
      <c r="H180" s="412" t="s">
        <v>69</v>
      </c>
      <c r="I180" s="412"/>
    </row>
    <row r="181" spans="1:9" ht="30" customHeight="1" x14ac:dyDescent="0.3">
      <c r="A181" s="9">
        <v>177</v>
      </c>
      <c r="B181" s="16" t="s">
        <v>2191</v>
      </c>
      <c r="C181" s="412" t="s">
        <v>69</v>
      </c>
      <c r="D181" s="412" t="s">
        <v>67</v>
      </c>
      <c r="E181" s="412" t="s">
        <v>337</v>
      </c>
      <c r="F181" s="412" t="s">
        <v>29</v>
      </c>
      <c r="G181" s="412" t="s">
        <v>30</v>
      </c>
      <c r="H181" s="412" t="s">
        <v>69</v>
      </c>
      <c r="I181" s="412"/>
    </row>
    <row r="182" spans="1:9" ht="30" customHeight="1" x14ac:dyDescent="0.3">
      <c r="A182" s="9">
        <v>178</v>
      </c>
      <c r="B182" s="24" t="s">
        <v>338</v>
      </c>
      <c r="C182" s="412"/>
      <c r="D182" s="412"/>
      <c r="E182" s="412"/>
      <c r="F182" s="412"/>
      <c r="G182" s="412" t="s">
        <v>29</v>
      </c>
      <c r="H182" s="412" t="s">
        <v>341</v>
      </c>
      <c r="I182" s="412"/>
    </row>
    <row r="183" spans="1:9" ht="30" customHeight="1" x14ac:dyDescent="0.3">
      <c r="A183" s="9">
        <v>179</v>
      </c>
      <c r="B183" s="16" t="s">
        <v>2192</v>
      </c>
      <c r="C183" s="412" t="s">
        <v>69</v>
      </c>
      <c r="D183" s="412" t="s">
        <v>125</v>
      </c>
      <c r="E183" s="412" t="s">
        <v>344</v>
      </c>
      <c r="F183" s="412" t="s">
        <v>29</v>
      </c>
      <c r="G183" s="412" t="s">
        <v>98</v>
      </c>
      <c r="H183" s="412" t="s">
        <v>125</v>
      </c>
      <c r="I183" s="412"/>
    </row>
    <row r="184" spans="1:9" ht="30" customHeight="1" x14ac:dyDescent="0.3">
      <c r="A184" s="9">
        <v>180</v>
      </c>
      <c r="B184" s="16" t="s">
        <v>2193</v>
      </c>
      <c r="C184" s="412" t="s">
        <v>69</v>
      </c>
      <c r="D184" s="412" t="s">
        <v>125</v>
      </c>
      <c r="E184" s="412" t="s">
        <v>344</v>
      </c>
      <c r="F184" s="412" t="s">
        <v>29</v>
      </c>
      <c r="G184" s="412" t="s">
        <v>98</v>
      </c>
      <c r="H184" s="412" t="s">
        <v>125</v>
      </c>
      <c r="I184" s="412"/>
    </row>
    <row r="185" spans="1:9" ht="30" customHeight="1" x14ac:dyDescent="0.3">
      <c r="A185" s="9">
        <v>181</v>
      </c>
      <c r="B185" s="24" t="s">
        <v>345</v>
      </c>
      <c r="C185" s="412" t="s">
        <v>69</v>
      </c>
      <c r="D185" s="412" t="s">
        <v>125</v>
      </c>
      <c r="E185" s="412" t="s">
        <v>344</v>
      </c>
      <c r="F185" s="412" t="s">
        <v>29</v>
      </c>
      <c r="G185" s="412" t="s">
        <v>98</v>
      </c>
      <c r="H185" s="412" t="s">
        <v>125</v>
      </c>
      <c r="I185" s="412"/>
    </row>
    <row r="186" spans="1:9" ht="30" customHeight="1" x14ac:dyDescent="0.3">
      <c r="A186" s="9">
        <v>182</v>
      </c>
      <c r="B186" s="24" t="s">
        <v>347</v>
      </c>
      <c r="C186" s="412" t="s">
        <v>69</v>
      </c>
      <c r="D186" s="412" t="s">
        <v>125</v>
      </c>
      <c r="E186" s="412" t="s">
        <v>344</v>
      </c>
      <c r="F186" s="412" t="s">
        <v>29</v>
      </c>
      <c r="G186" s="412" t="s">
        <v>98</v>
      </c>
      <c r="H186" s="412" t="s">
        <v>125</v>
      </c>
      <c r="I186" s="412"/>
    </row>
    <row r="187" spans="1:9" ht="30" customHeight="1" x14ac:dyDescent="0.3">
      <c r="A187" s="9">
        <v>183</v>
      </c>
      <c r="B187" s="16" t="s">
        <v>2194</v>
      </c>
      <c r="C187" s="412" t="s">
        <v>26</v>
      </c>
      <c r="D187" s="412" t="s">
        <v>26</v>
      </c>
      <c r="E187" s="412" t="s">
        <v>321</v>
      </c>
      <c r="F187" s="412" t="s">
        <v>29</v>
      </c>
      <c r="G187" s="412" t="s">
        <v>30</v>
      </c>
      <c r="H187" s="412" t="s">
        <v>30</v>
      </c>
      <c r="I187" s="412"/>
    </row>
    <row r="188" spans="1:9" ht="30" customHeight="1" x14ac:dyDescent="0.3">
      <c r="A188" s="9">
        <v>184</v>
      </c>
      <c r="B188" s="16" t="s">
        <v>2195</v>
      </c>
      <c r="C188" s="412" t="s">
        <v>26</v>
      </c>
      <c r="D188" s="412" t="s">
        <v>26</v>
      </c>
      <c r="E188" s="412" t="s">
        <v>321</v>
      </c>
      <c r="F188" s="412" t="s">
        <v>29</v>
      </c>
      <c r="G188" s="412" t="s">
        <v>30</v>
      </c>
      <c r="H188" s="412" t="s">
        <v>30</v>
      </c>
      <c r="I188" s="412"/>
    </row>
    <row r="189" spans="1:9" ht="30" customHeight="1" x14ac:dyDescent="0.3">
      <c r="A189" s="9">
        <v>185</v>
      </c>
      <c r="B189" s="16" t="s">
        <v>350</v>
      </c>
      <c r="C189" s="412" t="s">
        <v>26</v>
      </c>
      <c r="D189" s="412" t="s">
        <v>26</v>
      </c>
      <c r="E189" s="412" t="s">
        <v>321</v>
      </c>
      <c r="F189" s="412" t="s">
        <v>29</v>
      </c>
      <c r="G189" s="412" t="s">
        <v>30</v>
      </c>
      <c r="H189" s="412" t="s">
        <v>30</v>
      </c>
      <c r="I189" s="412"/>
    </row>
    <row r="190" spans="1:9" ht="30" customHeight="1" x14ac:dyDescent="0.3">
      <c r="A190" s="9">
        <v>186</v>
      </c>
      <c r="B190" s="16" t="s">
        <v>353</v>
      </c>
      <c r="C190" s="412" t="s">
        <v>26</v>
      </c>
      <c r="D190" s="412" t="s">
        <v>26</v>
      </c>
      <c r="E190" s="412" t="s">
        <v>321</v>
      </c>
      <c r="F190" s="412" t="s">
        <v>29</v>
      </c>
      <c r="G190" s="412" t="s">
        <v>30</v>
      </c>
      <c r="H190" s="412" t="s">
        <v>30</v>
      </c>
      <c r="I190" s="412"/>
    </row>
    <row r="191" spans="1:9" ht="30" customHeight="1" x14ac:dyDescent="0.3">
      <c r="A191" s="9">
        <v>187</v>
      </c>
      <c r="B191" s="24" t="s">
        <v>2196</v>
      </c>
      <c r="C191" s="412" t="s">
        <v>26</v>
      </c>
      <c r="D191" s="412" t="s">
        <v>26</v>
      </c>
      <c r="E191" s="412" t="s">
        <v>102</v>
      </c>
      <c r="F191" s="412" t="s">
        <v>29</v>
      </c>
      <c r="G191" s="412" t="s">
        <v>30</v>
      </c>
      <c r="H191" s="412" t="s">
        <v>31</v>
      </c>
      <c r="I191" s="412"/>
    </row>
    <row r="192" spans="1:9" ht="30" customHeight="1" x14ac:dyDescent="0.3">
      <c r="A192" s="9">
        <v>188</v>
      </c>
      <c r="B192" s="24" t="s">
        <v>355</v>
      </c>
      <c r="C192" s="412" t="s">
        <v>13</v>
      </c>
      <c r="D192" s="412" t="s">
        <v>19</v>
      </c>
      <c r="E192" s="412" t="s">
        <v>357</v>
      </c>
      <c r="F192" s="412" t="s">
        <v>21</v>
      </c>
      <c r="G192" s="412" t="s">
        <v>22</v>
      </c>
      <c r="H192" s="412" t="s">
        <v>23</v>
      </c>
      <c r="I192" s="412"/>
    </row>
    <row r="193" spans="1:9" ht="30" customHeight="1" x14ac:dyDescent="0.3">
      <c r="A193" s="9">
        <v>189</v>
      </c>
      <c r="B193" s="16" t="s">
        <v>358</v>
      </c>
      <c r="C193" s="412" t="s">
        <v>21</v>
      </c>
      <c r="D193" s="412" t="s">
        <v>241</v>
      </c>
      <c r="E193" s="412" t="s">
        <v>242</v>
      </c>
      <c r="F193" s="412" t="s">
        <v>21</v>
      </c>
      <c r="G193" s="412" t="s">
        <v>44</v>
      </c>
      <c r="H193" s="412" t="s">
        <v>109</v>
      </c>
      <c r="I193" s="412"/>
    </row>
    <row r="194" spans="1:9" ht="30" customHeight="1" x14ac:dyDescent="0.3">
      <c r="A194" s="9">
        <v>190</v>
      </c>
      <c r="B194" s="24" t="s">
        <v>360</v>
      </c>
      <c r="C194" s="412" t="s">
        <v>13</v>
      </c>
      <c r="D194" s="412" t="s">
        <v>19</v>
      </c>
      <c r="E194" s="412" t="s">
        <v>362</v>
      </c>
      <c r="F194" s="412" t="s">
        <v>21</v>
      </c>
      <c r="G194" s="412" t="s">
        <v>22</v>
      </c>
      <c r="H194" s="412" t="s">
        <v>23</v>
      </c>
      <c r="I194" s="412"/>
    </row>
    <row r="195" spans="1:9" ht="30" customHeight="1" x14ac:dyDescent="0.3">
      <c r="A195" s="9">
        <v>191</v>
      </c>
      <c r="B195" s="24" t="s">
        <v>363</v>
      </c>
      <c r="C195" s="412" t="s">
        <v>13</v>
      </c>
      <c r="D195" s="412" t="s">
        <v>14</v>
      </c>
      <c r="E195" s="412" t="s">
        <v>365</v>
      </c>
      <c r="F195" s="412" t="s">
        <v>14</v>
      </c>
      <c r="G195" s="412" t="s">
        <v>14</v>
      </c>
      <c r="H195" s="412" t="s">
        <v>16</v>
      </c>
      <c r="I195" s="412"/>
    </row>
    <row r="196" spans="1:9" ht="30" customHeight="1" x14ac:dyDescent="0.3">
      <c r="A196" s="9">
        <v>192</v>
      </c>
      <c r="B196" s="24" t="s">
        <v>366</v>
      </c>
      <c r="C196" s="412" t="s">
        <v>13</v>
      </c>
      <c r="D196" s="412" t="s">
        <v>14</v>
      </c>
      <c r="E196" s="412" t="s">
        <v>365</v>
      </c>
      <c r="F196" s="412" t="s">
        <v>14</v>
      </c>
      <c r="G196" s="412" t="s">
        <v>14</v>
      </c>
      <c r="H196" s="412" t="s">
        <v>16</v>
      </c>
      <c r="I196" s="412"/>
    </row>
    <row r="197" spans="1:9" ht="30" customHeight="1" x14ac:dyDescent="0.3">
      <c r="A197" s="9">
        <v>193</v>
      </c>
      <c r="B197" s="24" t="s">
        <v>368</v>
      </c>
      <c r="C197" s="412" t="s">
        <v>26</v>
      </c>
      <c r="D197" s="412" t="s">
        <v>26</v>
      </c>
      <c r="E197" s="412" t="s">
        <v>370</v>
      </c>
      <c r="F197" s="412" t="s">
        <v>29</v>
      </c>
      <c r="G197" s="412" t="s">
        <v>30</v>
      </c>
      <c r="H197" s="412" t="s">
        <v>30</v>
      </c>
      <c r="I197" s="412"/>
    </row>
    <row r="198" spans="1:9" ht="30" customHeight="1" x14ac:dyDescent="0.3">
      <c r="A198" s="9">
        <v>194</v>
      </c>
      <c r="B198" s="24" t="s">
        <v>371</v>
      </c>
      <c r="C198" s="412" t="s">
        <v>26</v>
      </c>
      <c r="D198" s="412" t="s">
        <v>26</v>
      </c>
      <c r="E198" s="412" t="s">
        <v>370</v>
      </c>
      <c r="F198" s="412" t="s">
        <v>29</v>
      </c>
      <c r="G198" s="412" t="s">
        <v>30</v>
      </c>
      <c r="H198" s="412" t="s">
        <v>30</v>
      </c>
      <c r="I198" s="412"/>
    </row>
    <row r="199" spans="1:9" ht="30" customHeight="1" x14ac:dyDescent="0.3">
      <c r="A199" s="9">
        <v>195</v>
      </c>
      <c r="B199" s="24" t="s">
        <v>373</v>
      </c>
      <c r="C199" s="412" t="s">
        <v>26</v>
      </c>
      <c r="D199" s="412" t="s">
        <v>26</v>
      </c>
      <c r="E199" s="412" t="s">
        <v>370</v>
      </c>
      <c r="F199" s="412" t="s">
        <v>29</v>
      </c>
      <c r="G199" s="412" t="s">
        <v>30</v>
      </c>
      <c r="H199" s="412" t="s">
        <v>30</v>
      </c>
      <c r="I199" s="412"/>
    </row>
    <row r="200" spans="1:9" ht="30" customHeight="1" x14ac:dyDescent="0.3">
      <c r="A200" s="9">
        <v>196</v>
      </c>
      <c r="B200" s="24" t="s">
        <v>375</v>
      </c>
      <c r="C200" s="412" t="s">
        <v>26</v>
      </c>
      <c r="D200" s="412" t="s">
        <v>26</v>
      </c>
      <c r="E200" s="412" t="s">
        <v>244</v>
      </c>
      <c r="F200" s="412" t="s">
        <v>29</v>
      </c>
      <c r="G200" s="412" t="s">
        <v>30</v>
      </c>
      <c r="H200" s="412" t="s">
        <v>30</v>
      </c>
      <c r="I200" s="412"/>
    </row>
    <row r="201" spans="1:9" ht="30" customHeight="1" x14ac:dyDescent="0.3">
      <c r="A201" s="9">
        <v>197</v>
      </c>
      <c r="B201" s="16" t="s">
        <v>2197</v>
      </c>
      <c r="C201" s="412" t="s">
        <v>69</v>
      </c>
      <c r="D201" s="412" t="s">
        <v>80</v>
      </c>
      <c r="E201" s="412" t="s">
        <v>81</v>
      </c>
      <c r="F201" s="412" t="s">
        <v>29</v>
      </c>
      <c r="G201" s="412" t="s">
        <v>30</v>
      </c>
      <c r="H201" s="412" t="s">
        <v>69</v>
      </c>
      <c r="I201" s="412"/>
    </row>
    <row r="202" spans="1:9" ht="30" customHeight="1" x14ac:dyDescent="0.3">
      <c r="A202" s="9">
        <v>198</v>
      </c>
      <c r="B202" s="24" t="s">
        <v>2198</v>
      </c>
      <c r="C202" s="412" t="s">
        <v>69</v>
      </c>
      <c r="D202" s="412" t="s">
        <v>80</v>
      </c>
      <c r="E202" s="412" t="s">
        <v>81</v>
      </c>
      <c r="F202" s="412" t="s">
        <v>29</v>
      </c>
      <c r="G202" s="412" t="s">
        <v>30</v>
      </c>
      <c r="H202" s="412" t="s">
        <v>69</v>
      </c>
      <c r="I202" s="412"/>
    </row>
    <row r="203" spans="1:9" ht="30" customHeight="1" x14ac:dyDescent="0.3">
      <c r="A203" s="9">
        <v>199</v>
      </c>
      <c r="B203" s="24" t="s">
        <v>2199</v>
      </c>
      <c r="C203" s="412" t="s">
        <v>69</v>
      </c>
      <c r="D203" s="412" t="s">
        <v>80</v>
      </c>
      <c r="E203" s="412" t="s">
        <v>81</v>
      </c>
      <c r="F203" s="412" t="s">
        <v>29</v>
      </c>
      <c r="G203" s="412" t="s">
        <v>30</v>
      </c>
      <c r="H203" s="412" t="s">
        <v>69</v>
      </c>
      <c r="I203" s="412"/>
    </row>
    <row r="204" spans="1:9" ht="30" customHeight="1" x14ac:dyDescent="0.3">
      <c r="A204" s="9">
        <v>200</v>
      </c>
      <c r="B204" s="24" t="s">
        <v>2200</v>
      </c>
      <c r="C204" s="412" t="s">
        <v>69</v>
      </c>
      <c r="D204" s="412" t="s">
        <v>96</v>
      </c>
      <c r="E204" s="412" t="s">
        <v>2201</v>
      </c>
      <c r="F204" s="412" t="s">
        <v>29</v>
      </c>
      <c r="G204" s="412" t="s">
        <v>98</v>
      </c>
      <c r="H204" s="412" t="s">
        <v>2202</v>
      </c>
      <c r="I204" s="412"/>
    </row>
    <row r="205" spans="1:9" ht="30" customHeight="1" x14ac:dyDescent="0.3">
      <c r="A205" s="9">
        <v>201</v>
      </c>
      <c r="B205" s="16" t="s">
        <v>2203</v>
      </c>
      <c r="C205" s="412" t="s">
        <v>21</v>
      </c>
      <c r="D205" s="412" t="s">
        <v>42</v>
      </c>
      <c r="E205" s="412" t="s">
        <v>380</v>
      </c>
      <c r="F205" s="412" t="s">
        <v>14</v>
      </c>
      <c r="G205" s="412" t="s">
        <v>14</v>
      </c>
      <c r="H205" s="412" t="s">
        <v>203</v>
      </c>
      <c r="I205" s="412"/>
    </row>
    <row r="206" spans="1:9" ht="30" customHeight="1" x14ac:dyDescent="0.3">
      <c r="A206" s="9">
        <v>202</v>
      </c>
      <c r="B206" s="16" t="s">
        <v>2204</v>
      </c>
      <c r="C206" s="412" t="s">
        <v>21</v>
      </c>
      <c r="D206" s="412" t="s">
        <v>42</v>
      </c>
      <c r="E206" s="412" t="s">
        <v>380</v>
      </c>
      <c r="F206" s="412" t="s">
        <v>14</v>
      </c>
      <c r="G206" s="412" t="s">
        <v>14</v>
      </c>
      <c r="H206" s="412" t="s">
        <v>203</v>
      </c>
      <c r="I206" s="412"/>
    </row>
    <row r="207" spans="1:9" ht="30" customHeight="1" x14ac:dyDescent="0.3">
      <c r="A207" s="9">
        <v>203</v>
      </c>
      <c r="B207" s="16" t="s">
        <v>381</v>
      </c>
      <c r="C207" s="412" t="s">
        <v>21</v>
      </c>
      <c r="D207" s="412" t="s">
        <v>42</v>
      </c>
      <c r="E207" s="412" t="s">
        <v>380</v>
      </c>
      <c r="F207" s="412" t="s">
        <v>14</v>
      </c>
      <c r="G207" s="412" t="s">
        <v>14</v>
      </c>
      <c r="H207" s="412" t="s">
        <v>203</v>
      </c>
      <c r="I207" s="412"/>
    </row>
    <row r="208" spans="1:9" ht="30" customHeight="1" x14ac:dyDescent="0.3">
      <c r="A208" s="9">
        <v>204</v>
      </c>
      <c r="B208" s="24" t="s">
        <v>2205</v>
      </c>
      <c r="C208" s="412" t="s">
        <v>13</v>
      </c>
      <c r="D208" s="412" t="s">
        <v>14</v>
      </c>
      <c r="E208" s="412"/>
      <c r="F208" s="412"/>
      <c r="G208" s="412"/>
      <c r="H208" s="412"/>
      <c r="I208" s="412"/>
    </row>
    <row r="209" spans="1:9" ht="30" customHeight="1" x14ac:dyDescent="0.3">
      <c r="A209" s="9">
        <v>205</v>
      </c>
      <c r="B209" s="16" t="s">
        <v>383</v>
      </c>
      <c r="C209" s="412" t="s">
        <v>69</v>
      </c>
      <c r="D209" s="412" t="s">
        <v>96</v>
      </c>
      <c r="E209" s="412" t="s">
        <v>99</v>
      </c>
      <c r="F209" s="412" t="s">
        <v>29</v>
      </c>
      <c r="G209" s="412" t="s">
        <v>98</v>
      </c>
      <c r="H209" s="412" t="s">
        <v>99</v>
      </c>
      <c r="I209" s="412"/>
    </row>
    <row r="210" spans="1:9" ht="30" customHeight="1" x14ac:dyDescent="0.3">
      <c r="A210" s="9">
        <v>206</v>
      </c>
      <c r="B210" s="16" t="s">
        <v>385</v>
      </c>
      <c r="C210" s="412" t="s">
        <v>69</v>
      </c>
      <c r="D210" s="412" t="s">
        <v>96</v>
      </c>
      <c r="E210" s="412" t="s">
        <v>387</v>
      </c>
      <c r="F210" s="412" t="s">
        <v>29</v>
      </c>
      <c r="G210" s="412" t="s">
        <v>30</v>
      </c>
      <c r="H210" s="412" t="s">
        <v>69</v>
      </c>
      <c r="I210" s="412"/>
    </row>
    <row r="211" spans="1:9" ht="30" customHeight="1" x14ac:dyDescent="0.3">
      <c r="A211" s="9">
        <v>207</v>
      </c>
      <c r="B211" s="24" t="s">
        <v>2206</v>
      </c>
      <c r="C211" s="412" t="s">
        <v>26</v>
      </c>
      <c r="D211" s="412" t="s">
        <v>26</v>
      </c>
      <c r="E211" s="412" t="s">
        <v>296</v>
      </c>
      <c r="F211" s="412" t="s">
        <v>29</v>
      </c>
      <c r="G211" s="412" t="s">
        <v>30</v>
      </c>
      <c r="H211" s="412" t="s">
        <v>30</v>
      </c>
      <c r="I211" s="412"/>
    </row>
    <row r="212" spans="1:9" ht="30" customHeight="1" x14ac:dyDescent="0.3">
      <c r="A212" s="9">
        <v>208</v>
      </c>
      <c r="B212" s="24" t="s">
        <v>2207</v>
      </c>
      <c r="C212" s="412" t="s">
        <v>26</v>
      </c>
      <c r="D212" s="412" t="s">
        <v>30</v>
      </c>
      <c r="E212" s="412" t="s">
        <v>296</v>
      </c>
      <c r="F212" s="412" t="s">
        <v>29</v>
      </c>
      <c r="G212" s="412" t="s">
        <v>30</v>
      </c>
      <c r="H212" s="412" t="s">
        <v>30</v>
      </c>
      <c r="I212" s="412"/>
    </row>
    <row r="213" spans="1:9" ht="30" customHeight="1" x14ac:dyDescent="0.3">
      <c r="A213" s="9">
        <v>209</v>
      </c>
      <c r="B213" s="24" t="s">
        <v>390</v>
      </c>
      <c r="C213" s="412" t="s">
        <v>13</v>
      </c>
      <c r="D213" s="412" t="s">
        <v>19</v>
      </c>
      <c r="E213" s="412" t="s">
        <v>20</v>
      </c>
      <c r="F213" s="412" t="s">
        <v>110</v>
      </c>
      <c r="G213" s="412" t="s">
        <v>22</v>
      </c>
      <c r="H213" s="412" t="s">
        <v>23</v>
      </c>
      <c r="I213" s="412"/>
    </row>
    <row r="214" spans="1:9" ht="30" customHeight="1" x14ac:dyDescent="0.3">
      <c r="A214" s="9">
        <v>210</v>
      </c>
      <c r="B214" s="24" t="s">
        <v>392</v>
      </c>
      <c r="C214" s="412" t="s">
        <v>13</v>
      </c>
      <c r="D214" s="412" t="s">
        <v>19</v>
      </c>
      <c r="E214" s="412" t="s">
        <v>20</v>
      </c>
      <c r="F214" s="412" t="s">
        <v>21</v>
      </c>
      <c r="G214" s="412" t="s">
        <v>22</v>
      </c>
      <c r="H214" s="412" t="s">
        <v>23</v>
      </c>
      <c r="I214" s="412"/>
    </row>
    <row r="215" spans="1:9" ht="30" customHeight="1" x14ac:dyDescent="0.3">
      <c r="A215" s="9">
        <v>211</v>
      </c>
      <c r="B215" s="24" t="s">
        <v>394</v>
      </c>
      <c r="C215" s="412" t="s">
        <v>69</v>
      </c>
      <c r="D215" s="412" t="s">
        <v>96</v>
      </c>
      <c r="E215" s="412" t="s">
        <v>96</v>
      </c>
      <c r="F215" s="412" t="s">
        <v>29</v>
      </c>
      <c r="G215" s="412" t="s">
        <v>30</v>
      </c>
      <c r="H215" s="412" t="s">
        <v>69</v>
      </c>
      <c r="I215" s="412"/>
    </row>
    <row r="216" spans="1:9" ht="30" customHeight="1" x14ac:dyDescent="0.3">
      <c r="A216" s="9">
        <v>212</v>
      </c>
      <c r="B216" s="24" t="s">
        <v>396</v>
      </c>
      <c r="C216" s="412" t="s">
        <v>69</v>
      </c>
      <c r="D216" s="412" t="s">
        <v>96</v>
      </c>
      <c r="E216" s="412" t="s">
        <v>96</v>
      </c>
      <c r="F216" s="412" t="s">
        <v>29</v>
      </c>
      <c r="G216" s="412" t="s">
        <v>30</v>
      </c>
      <c r="H216" s="412" t="s">
        <v>69</v>
      </c>
      <c r="I216" s="412"/>
    </row>
    <row r="217" spans="1:9" ht="30" customHeight="1" x14ac:dyDescent="0.3">
      <c r="A217" s="9">
        <v>213</v>
      </c>
      <c r="B217" s="24" t="s">
        <v>398</v>
      </c>
      <c r="C217" s="412" t="s">
        <v>21</v>
      </c>
      <c r="D217" s="412" t="s">
        <v>241</v>
      </c>
      <c r="E217" s="412" t="s">
        <v>400</v>
      </c>
      <c r="F217" s="412" t="s">
        <v>21</v>
      </c>
      <c r="G217" s="412" t="s">
        <v>250</v>
      </c>
      <c r="H217" s="412" t="s">
        <v>249</v>
      </c>
      <c r="I217" s="412"/>
    </row>
    <row r="218" spans="1:9" ht="30" customHeight="1" x14ac:dyDescent="0.3">
      <c r="A218" s="9">
        <v>214</v>
      </c>
      <c r="B218" s="24" t="s">
        <v>402</v>
      </c>
      <c r="C218" s="412" t="s">
        <v>21</v>
      </c>
      <c r="D218" s="412" t="s">
        <v>241</v>
      </c>
      <c r="E218" s="412" t="s">
        <v>400</v>
      </c>
      <c r="F218" s="412" t="s">
        <v>21</v>
      </c>
      <c r="G218" s="412" t="s">
        <v>250</v>
      </c>
      <c r="H218" s="412" t="s">
        <v>401</v>
      </c>
      <c r="I218" s="412"/>
    </row>
    <row r="219" spans="1:9" ht="30" customHeight="1" x14ac:dyDescent="0.3">
      <c r="A219" s="9">
        <v>215</v>
      </c>
      <c r="B219" s="24" t="s">
        <v>404</v>
      </c>
      <c r="C219" s="412" t="s">
        <v>21</v>
      </c>
      <c r="D219" s="412" t="s">
        <v>42</v>
      </c>
      <c r="E219" s="412" t="s">
        <v>406</v>
      </c>
      <c r="F219" s="412" t="s">
        <v>21</v>
      </c>
      <c r="G219" s="412" t="s">
        <v>44</v>
      </c>
      <c r="H219" s="412" t="s">
        <v>42</v>
      </c>
      <c r="I219" s="412"/>
    </row>
    <row r="220" spans="1:9" ht="30" customHeight="1" x14ac:dyDescent="0.3">
      <c r="A220" s="9">
        <v>216</v>
      </c>
      <c r="B220" s="24" t="s">
        <v>407</v>
      </c>
      <c r="C220" s="412" t="s">
        <v>21</v>
      </c>
      <c r="D220" s="412" t="s">
        <v>42</v>
      </c>
      <c r="E220" s="412" t="s">
        <v>409</v>
      </c>
      <c r="F220" s="412" t="s">
        <v>21</v>
      </c>
      <c r="G220" s="412" t="s">
        <v>44</v>
      </c>
      <c r="H220" s="412" t="s">
        <v>42</v>
      </c>
      <c r="I220" s="412"/>
    </row>
    <row r="221" spans="1:9" ht="30" customHeight="1" x14ac:dyDescent="0.3">
      <c r="A221" s="9">
        <v>217</v>
      </c>
      <c r="B221" s="24" t="s">
        <v>2087</v>
      </c>
      <c r="C221" s="412" t="s">
        <v>69</v>
      </c>
      <c r="D221" s="412" t="s">
        <v>96</v>
      </c>
      <c r="E221" s="412" t="s">
        <v>2208</v>
      </c>
      <c r="F221" s="412" t="s">
        <v>29</v>
      </c>
      <c r="G221" s="412" t="s">
        <v>98</v>
      </c>
      <c r="H221" s="412" t="s">
        <v>2202</v>
      </c>
      <c r="I221" s="412"/>
    </row>
    <row r="222" spans="1:9" ht="30" customHeight="1" x14ac:dyDescent="0.3">
      <c r="A222" s="9">
        <v>218</v>
      </c>
      <c r="B222" s="24" t="s">
        <v>410</v>
      </c>
      <c r="C222" s="412" t="s">
        <v>21</v>
      </c>
      <c r="D222" s="412" t="s">
        <v>42</v>
      </c>
      <c r="E222" s="412" t="s">
        <v>380</v>
      </c>
      <c r="F222" s="412" t="s">
        <v>412</v>
      </c>
      <c r="G222" s="412" t="s">
        <v>14</v>
      </c>
      <c r="H222" s="412" t="s">
        <v>203</v>
      </c>
      <c r="I222" s="412"/>
    </row>
    <row r="223" spans="1:9" ht="30" customHeight="1" x14ac:dyDescent="0.3">
      <c r="A223" s="9">
        <v>219</v>
      </c>
      <c r="B223" s="16" t="s">
        <v>413</v>
      </c>
      <c r="C223" s="412" t="s">
        <v>26</v>
      </c>
      <c r="D223" s="412" t="s">
        <v>30</v>
      </c>
      <c r="E223" s="412" t="s">
        <v>148</v>
      </c>
      <c r="F223" s="412" t="s">
        <v>29</v>
      </c>
      <c r="G223" s="412" t="s">
        <v>30</v>
      </c>
      <c r="H223" s="412" t="s">
        <v>30</v>
      </c>
      <c r="I223" s="412"/>
    </row>
    <row r="224" spans="1:9" ht="30" customHeight="1" x14ac:dyDescent="0.3">
      <c r="A224" s="9">
        <v>220</v>
      </c>
      <c r="B224" s="16" t="s">
        <v>2209</v>
      </c>
      <c r="C224" s="412" t="s">
        <v>26</v>
      </c>
      <c r="D224" s="412" t="s">
        <v>30</v>
      </c>
      <c r="E224" s="412" t="s">
        <v>148</v>
      </c>
      <c r="F224" s="412" t="s">
        <v>29</v>
      </c>
      <c r="G224" s="412" t="s">
        <v>30</v>
      </c>
      <c r="H224" s="412" t="s">
        <v>30</v>
      </c>
      <c r="I224" s="412"/>
    </row>
    <row r="225" spans="1:9" ht="30" customHeight="1" x14ac:dyDescent="0.3">
      <c r="A225" s="9">
        <v>221</v>
      </c>
      <c r="B225" s="16" t="s">
        <v>2210</v>
      </c>
      <c r="C225" s="412" t="s">
        <v>26</v>
      </c>
      <c r="D225" s="412" t="s">
        <v>30</v>
      </c>
      <c r="E225" s="412" t="s">
        <v>148</v>
      </c>
      <c r="F225" s="412" t="s">
        <v>29</v>
      </c>
      <c r="G225" s="412" t="s">
        <v>30</v>
      </c>
      <c r="H225" s="412" t="s">
        <v>30</v>
      </c>
      <c r="I225" s="412"/>
    </row>
    <row r="226" spans="1:9" ht="30" customHeight="1" x14ac:dyDescent="0.3">
      <c r="A226" s="9">
        <v>222</v>
      </c>
      <c r="B226" s="16" t="s">
        <v>2211</v>
      </c>
      <c r="C226" s="412" t="s">
        <v>21</v>
      </c>
      <c r="D226" s="412" t="s">
        <v>84</v>
      </c>
      <c r="E226" s="412" t="s">
        <v>2212</v>
      </c>
      <c r="F226" s="412" t="s">
        <v>21</v>
      </c>
      <c r="G226" s="412" t="s">
        <v>250</v>
      </c>
      <c r="H226" s="412" t="s">
        <v>249</v>
      </c>
      <c r="I226" s="412"/>
    </row>
    <row r="227" spans="1:9" ht="30" customHeight="1" x14ac:dyDescent="0.3">
      <c r="A227" s="9">
        <v>223</v>
      </c>
      <c r="B227" s="24" t="s">
        <v>415</v>
      </c>
      <c r="C227" s="412" t="s">
        <v>26</v>
      </c>
      <c r="D227" s="412" t="s">
        <v>27</v>
      </c>
      <c r="E227" s="412" t="s">
        <v>28</v>
      </c>
      <c r="F227" s="412" t="s">
        <v>417</v>
      </c>
      <c r="G227" s="412" t="s">
        <v>30</v>
      </c>
      <c r="H227" s="412" t="s">
        <v>31</v>
      </c>
      <c r="I227" s="412"/>
    </row>
    <row r="228" spans="1:9" ht="30" customHeight="1" x14ac:dyDescent="0.3">
      <c r="A228" s="9">
        <v>224</v>
      </c>
      <c r="B228" s="24" t="s">
        <v>418</v>
      </c>
      <c r="C228" s="412" t="s">
        <v>26</v>
      </c>
      <c r="D228" s="412" t="s">
        <v>27</v>
      </c>
      <c r="E228" s="412" t="s">
        <v>28</v>
      </c>
      <c r="F228" s="412" t="s">
        <v>417</v>
      </c>
      <c r="G228" s="412" t="s">
        <v>30</v>
      </c>
      <c r="H228" s="412" t="s">
        <v>31</v>
      </c>
      <c r="I228" s="412"/>
    </row>
    <row r="229" spans="1:9" ht="30" customHeight="1" x14ac:dyDescent="0.3">
      <c r="A229" s="9">
        <v>225</v>
      </c>
      <c r="B229" s="24" t="s">
        <v>420</v>
      </c>
      <c r="C229" s="412" t="s">
        <v>21</v>
      </c>
      <c r="D229" s="412" t="s">
        <v>84</v>
      </c>
      <c r="E229" s="412" t="s">
        <v>422</v>
      </c>
      <c r="F229" s="412" t="s">
        <v>21</v>
      </c>
      <c r="G229" s="412" t="s">
        <v>21</v>
      </c>
      <c r="H229" s="412" t="s">
        <v>84</v>
      </c>
      <c r="I229" s="412"/>
    </row>
    <row r="230" spans="1:9" ht="30" customHeight="1" x14ac:dyDescent="0.3">
      <c r="A230" s="9">
        <v>226</v>
      </c>
      <c r="B230" s="24" t="s">
        <v>423</v>
      </c>
      <c r="C230" s="412" t="s">
        <v>21</v>
      </c>
      <c r="D230" s="412" t="s">
        <v>84</v>
      </c>
      <c r="E230" s="412" t="s">
        <v>422</v>
      </c>
      <c r="F230" s="412" t="s">
        <v>21</v>
      </c>
      <c r="G230" s="412" t="s">
        <v>21</v>
      </c>
      <c r="H230" s="412" t="s">
        <v>84</v>
      </c>
      <c r="I230" s="412"/>
    </row>
    <row r="231" spans="1:9" ht="30" customHeight="1" x14ac:dyDescent="0.3">
      <c r="A231" s="9">
        <v>227</v>
      </c>
      <c r="B231" s="24" t="s">
        <v>425</v>
      </c>
      <c r="C231" s="412" t="s">
        <v>13</v>
      </c>
      <c r="D231" s="412" t="s">
        <v>19</v>
      </c>
      <c r="E231" s="412" t="s">
        <v>427</v>
      </c>
      <c r="F231" s="412" t="s">
        <v>29</v>
      </c>
      <c r="G231" s="412" t="s">
        <v>29</v>
      </c>
      <c r="H231" s="412" t="s">
        <v>341</v>
      </c>
      <c r="I231" s="412"/>
    </row>
    <row r="232" spans="1:9" ht="30" customHeight="1" x14ac:dyDescent="0.3">
      <c r="A232" s="9">
        <v>228</v>
      </c>
      <c r="B232" s="24" t="s">
        <v>428</v>
      </c>
      <c r="C232" s="412" t="s">
        <v>26</v>
      </c>
      <c r="D232" s="412" t="s">
        <v>30</v>
      </c>
      <c r="E232" s="412" t="s">
        <v>430</v>
      </c>
      <c r="F232" s="412" t="s">
        <v>29</v>
      </c>
      <c r="G232" s="412" t="s">
        <v>30</v>
      </c>
      <c r="H232" s="412" t="s">
        <v>30</v>
      </c>
      <c r="I232" s="412"/>
    </row>
    <row r="233" spans="1:9" ht="30" customHeight="1" x14ac:dyDescent="0.3">
      <c r="A233" s="9">
        <v>229</v>
      </c>
      <c r="B233" s="24" t="s">
        <v>2213</v>
      </c>
      <c r="C233" s="412" t="s">
        <v>21</v>
      </c>
      <c r="D233" s="412" t="s">
        <v>241</v>
      </c>
      <c r="E233" s="412" t="s">
        <v>2214</v>
      </c>
      <c r="F233" s="412" t="s">
        <v>21</v>
      </c>
      <c r="G233" s="412" t="s">
        <v>250</v>
      </c>
      <c r="H233" s="412" t="s">
        <v>401</v>
      </c>
      <c r="I233" s="412"/>
    </row>
    <row r="234" spans="1:9" ht="30" customHeight="1" x14ac:dyDescent="0.3">
      <c r="A234" s="9">
        <v>230</v>
      </c>
      <c r="B234" s="24" t="s">
        <v>431</v>
      </c>
      <c r="C234" s="412" t="s">
        <v>69</v>
      </c>
      <c r="D234" s="412" t="s">
        <v>67</v>
      </c>
      <c r="E234" s="412" t="s">
        <v>433</v>
      </c>
      <c r="F234" s="412" t="s">
        <v>29</v>
      </c>
      <c r="G234" s="412" t="s">
        <v>29</v>
      </c>
      <c r="H234" s="412" t="s">
        <v>29</v>
      </c>
      <c r="I234" s="412"/>
    </row>
    <row r="235" spans="1:9" ht="30" customHeight="1" x14ac:dyDescent="0.3">
      <c r="A235" s="9">
        <v>231</v>
      </c>
      <c r="B235" s="24" t="s">
        <v>434</v>
      </c>
      <c r="C235" s="412" t="s">
        <v>26</v>
      </c>
      <c r="D235" s="412" t="s">
        <v>27</v>
      </c>
      <c r="E235" s="412" t="s">
        <v>436</v>
      </c>
      <c r="F235" s="412" t="s">
        <v>29</v>
      </c>
      <c r="G235" s="412" t="s">
        <v>30</v>
      </c>
      <c r="H235" s="412" t="s">
        <v>30</v>
      </c>
      <c r="I235" s="412"/>
    </row>
    <row r="236" spans="1:9" ht="30" customHeight="1" x14ac:dyDescent="0.3">
      <c r="A236" s="9">
        <v>232</v>
      </c>
      <c r="B236" s="24" t="s">
        <v>2215</v>
      </c>
      <c r="C236" s="412" t="s">
        <v>26</v>
      </c>
      <c r="D236" s="412" t="s">
        <v>31</v>
      </c>
      <c r="E236" s="412" t="s">
        <v>55</v>
      </c>
      <c r="F236" s="412" t="s">
        <v>29</v>
      </c>
      <c r="G236" s="412" t="s">
        <v>30</v>
      </c>
      <c r="H236" s="412" t="s">
        <v>31</v>
      </c>
      <c r="I236" s="412"/>
    </row>
    <row r="237" spans="1:9" ht="30" customHeight="1" x14ac:dyDescent="0.3">
      <c r="A237" s="9">
        <v>233</v>
      </c>
      <c r="B237" s="24" t="s">
        <v>2216</v>
      </c>
      <c r="C237" s="412" t="s">
        <v>26</v>
      </c>
      <c r="D237" s="412" t="s">
        <v>31</v>
      </c>
      <c r="E237" s="412" t="s">
        <v>55</v>
      </c>
      <c r="F237" s="412" t="s">
        <v>29</v>
      </c>
      <c r="G237" s="412" t="s">
        <v>30</v>
      </c>
      <c r="H237" s="412" t="s">
        <v>31</v>
      </c>
      <c r="I237" s="412"/>
    </row>
    <row r="238" spans="1:9" ht="30" customHeight="1" x14ac:dyDescent="0.3">
      <c r="A238" s="9">
        <v>234</v>
      </c>
      <c r="B238" s="24" t="s">
        <v>2217</v>
      </c>
      <c r="C238" s="412" t="s">
        <v>69</v>
      </c>
      <c r="D238" s="412" t="s">
        <v>80</v>
      </c>
      <c r="E238" s="412" t="s">
        <v>69</v>
      </c>
      <c r="F238" s="412" t="s">
        <v>29</v>
      </c>
      <c r="G238" s="412" t="s">
        <v>30</v>
      </c>
      <c r="H238" s="412" t="s">
        <v>69</v>
      </c>
      <c r="I238" s="412"/>
    </row>
    <row r="239" spans="1:9" ht="30" customHeight="1" x14ac:dyDescent="0.3">
      <c r="A239" s="9">
        <v>235</v>
      </c>
      <c r="B239" s="16" t="s">
        <v>2218</v>
      </c>
      <c r="C239" s="412" t="s">
        <v>69</v>
      </c>
      <c r="D239" s="412" t="s">
        <v>80</v>
      </c>
      <c r="E239" s="412" t="s">
        <v>69</v>
      </c>
      <c r="F239" s="412" t="s">
        <v>29</v>
      </c>
      <c r="G239" s="412" t="s">
        <v>30</v>
      </c>
      <c r="H239" s="412" t="s">
        <v>69</v>
      </c>
      <c r="I239" s="412"/>
    </row>
    <row r="240" spans="1:9" ht="30" customHeight="1" x14ac:dyDescent="0.3">
      <c r="A240" s="9">
        <v>236</v>
      </c>
      <c r="B240" s="24" t="s">
        <v>2219</v>
      </c>
      <c r="C240" s="412" t="s">
        <v>69</v>
      </c>
      <c r="D240" s="412" t="s">
        <v>80</v>
      </c>
      <c r="E240" s="412" t="s">
        <v>69</v>
      </c>
      <c r="F240" s="412" t="s">
        <v>29</v>
      </c>
      <c r="G240" s="412" t="s">
        <v>30</v>
      </c>
      <c r="H240" s="412" t="s">
        <v>69</v>
      </c>
      <c r="I240" s="412"/>
    </row>
    <row r="241" spans="1:9" ht="30" customHeight="1" x14ac:dyDescent="0.3">
      <c r="A241" s="9">
        <v>237</v>
      </c>
      <c r="B241" s="24" t="s">
        <v>2220</v>
      </c>
      <c r="C241" s="412" t="s">
        <v>69</v>
      </c>
      <c r="D241" s="412" t="s">
        <v>80</v>
      </c>
      <c r="E241" s="412" t="s">
        <v>2221</v>
      </c>
      <c r="F241" s="412" t="s">
        <v>29</v>
      </c>
      <c r="G241" s="412" t="s">
        <v>30</v>
      </c>
      <c r="H241" s="412" t="s">
        <v>31</v>
      </c>
      <c r="I241" s="412"/>
    </row>
    <row r="242" spans="1:9" ht="30" customHeight="1" x14ac:dyDescent="0.3">
      <c r="A242" s="9">
        <v>238</v>
      </c>
      <c r="B242" s="24" t="s">
        <v>2222</v>
      </c>
      <c r="C242" s="412" t="s">
        <v>69</v>
      </c>
      <c r="D242" s="412" t="s">
        <v>80</v>
      </c>
      <c r="E242" s="412" t="s">
        <v>2221</v>
      </c>
      <c r="F242" s="412" t="s">
        <v>29</v>
      </c>
      <c r="G242" s="412" t="s">
        <v>30</v>
      </c>
      <c r="H242" s="412" t="s">
        <v>31</v>
      </c>
      <c r="I242" s="412"/>
    </row>
    <row r="243" spans="1:9" ht="30" customHeight="1" x14ac:dyDescent="0.3">
      <c r="A243" s="9">
        <v>239</v>
      </c>
      <c r="B243" s="24" t="s">
        <v>441</v>
      </c>
      <c r="C243" s="412" t="s">
        <v>13</v>
      </c>
      <c r="D243" s="412" t="s">
        <v>29</v>
      </c>
      <c r="E243" s="412" t="s">
        <v>90</v>
      </c>
      <c r="F243" s="412" t="s">
        <v>29</v>
      </c>
      <c r="G243" s="412" t="s">
        <v>38</v>
      </c>
      <c r="H243" s="412" t="s">
        <v>38</v>
      </c>
      <c r="I243" s="412"/>
    </row>
    <row r="244" spans="1:9" ht="30" customHeight="1" x14ac:dyDescent="0.3">
      <c r="A244" s="9">
        <v>240</v>
      </c>
      <c r="B244" s="24" t="s">
        <v>2223</v>
      </c>
      <c r="C244" s="412" t="s">
        <v>69</v>
      </c>
      <c r="D244" s="412" t="s">
        <v>67</v>
      </c>
      <c r="E244" s="412" t="s">
        <v>445</v>
      </c>
      <c r="F244" s="412" t="s">
        <v>29</v>
      </c>
      <c r="G244" s="412" t="s">
        <v>30</v>
      </c>
      <c r="H244" s="412" t="s">
        <v>69</v>
      </c>
      <c r="I244" s="412"/>
    </row>
    <row r="245" spans="1:9" ht="30" customHeight="1" x14ac:dyDescent="0.3">
      <c r="A245" s="9">
        <v>241</v>
      </c>
      <c r="B245" s="24" t="s">
        <v>2224</v>
      </c>
      <c r="C245" s="412" t="s">
        <v>69</v>
      </c>
      <c r="D245" s="412" t="s">
        <v>67</v>
      </c>
      <c r="E245" s="412" t="s">
        <v>445</v>
      </c>
      <c r="F245" s="412" t="s">
        <v>29</v>
      </c>
      <c r="G245" s="412" t="s">
        <v>30</v>
      </c>
      <c r="H245" s="412" t="s">
        <v>69</v>
      </c>
      <c r="I245" s="412"/>
    </row>
    <row r="246" spans="1:9" ht="30" customHeight="1" x14ac:dyDescent="0.3">
      <c r="A246" s="9">
        <v>242</v>
      </c>
      <c r="B246" s="24" t="s">
        <v>2225</v>
      </c>
      <c r="C246" s="412" t="s">
        <v>13</v>
      </c>
      <c r="D246" s="412" t="s">
        <v>29</v>
      </c>
      <c r="E246" s="412" t="s">
        <v>448</v>
      </c>
      <c r="F246" s="412" t="s">
        <v>29</v>
      </c>
      <c r="G246" s="412" t="s">
        <v>29</v>
      </c>
      <c r="H246" s="412" t="s">
        <v>29</v>
      </c>
      <c r="I246" s="412"/>
    </row>
    <row r="247" spans="1:9" ht="30" customHeight="1" x14ac:dyDescent="0.3">
      <c r="A247" s="9">
        <v>243</v>
      </c>
      <c r="B247" s="24" t="s">
        <v>2226</v>
      </c>
      <c r="C247" s="412" t="s">
        <v>13</v>
      </c>
      <c r="D247" s="412" t="s">
        <v>29</v>
      </c>
      <c r="E247" s="412" t="s">
        <v>448</v>
      </c>
      <c r="F247" s="412" t="s">
        <v>29</v>
      </c>
      <c r="G247" s="412" t="s">
        <v>29</v>
      </c>
      <c r="H247" s="412" t="s">
        <v>29</v>
      </c>
      <c r="I247" s="412"/>
    </row>
    <row r="248" spans="1:9" ht="30" customHeight="1" x14ac:dyDescent="0.3">
      <c r="A248" s="9">
        <v>244</v>
      </c>
      <c r="B248" s="24" t="s">
        <v>449</v>
      </c>
      <c r="C248" s="412" t="s">
        <v>13</v>
      </c>
      <c r="D248" s="412" t="s">
        <v>29</v>
      </c>
      <c r="E248" s="412" t="s">
        <v>160</v>
      </c>
      <c r="F248" s="412" t="s">
        <v>29</v>
      </c>
      <c r="G248" s="412" t="s">
        <v>38</v>
      </c>
      <c r="H248" s="412" t="s">
        <v>38</v>
      </c>
      <c r="I248" s="412"/>
    </row>
    <row r="249" spans="1:9" ht="30" customHeight="1" x14ac:dyDescent="0.3">
      <c r="A249" s="9">
        <v>245</v>
      </c>
      <c r="B249" s="24" t="s">
        <v>2227</v>
      </c>
      <c r="C249" s="412" t="s">
        <v>13</v>
      </c>
      <c r="D249" s="412" t="s">
        <v>14</v>
      </c>
      <c r="E249" s="412" t="s">
        <v>454</v>
      </c>
      <c r="F249" s="412" t="s">
        <v>412</v>
      </c>
      <c r="G249" s="412" t="s">
        <v>14</v>
      </c>
      <c r="H249" s="412" t="s">
        <v>203</v>
      </c>
      <c r="I249" s="412"/>
    </row>
    <row r="250" spans="1:9" ht="30" customHeight="1" x14ac:dyDescent="0.3">
      <c r="A250" s="9">
        <v>246</v>
      </c>
      <c r="B250" s="24" t="s">
        <v>2228</v>
      </c>
      <c r="C250" s="412" t="s">
        <v>13</v>
      </c>
      <c r="D250" s="412" t="s">
        <v>14</v>
      </c>
      <c r="E250" s="412" t="s">
        <v>454</v>
      </c>
      <c r="F250" s="412" t="s">
        <v>412</v>
      </c>
      <c r="G250" s="412" t="s">
        <v>14</v>
      </c>
      <c r="H250" s="412" t="s">
        <v>203</v>
      </c>
      <c r="I250" s="412"/>
    </row>
    <row r="251" spans="1:9" ht="30" customHeight="1" x14ac:dyDescent="0.3">
      <c r="A251" s="9">
        <v>247</v>
      </c>
      <c r="B251" s="24" t="s">
        <v>455</v>
      </c>
      <c r="C251" s="412" t="s">
        <v>69</v>
      </c>
      <c r="D251" s="412" t="s">
        <v>96</v>
      </c>
      <c r="E251" s="412" t="s">
        <v>99</v>
      </c>
      <c r="F251" s="412" t="s">
        <v>29</v>
      </c>
      <c r="G251" s="412" t="s">
        <v>98</v>
      </c>
      <c r="H251" s="412" t="s">
        <v>99</v>
      </c>
      <c r="I251" s="412"/>
    </row>
    <row r="252" spans="1:9" ht="30" customHeight="1" x14ac:dyDescent="0.3">
      <c r="A252" s="9">
        <v>248</v>
      </c>
      <c r="B252" s="24" t="s">
        <v>457</v>
      </c>
      <c r="C252" s="412"/>
      <c r="D252" s="412"/>
      <c r="E252" s="412"/>
      <c r="F252" s="412"/>
      <c r="G252" s="412" t="s">
        <v>38</v>
      </c>
      <c r="H252" s="412" t="s">
        <v>38</v>
      </c>
      <c r="I252" s="412"/>
    </row>
    <row r="253" spans="1:9" ht="30" customHeight="1" x14ac:dyDescent="0.3">
      <c r="A253" s="9">
        <v>249</v>
      </c>
      <c r="B253" s="24" t="s">
        <v>2229</v>
      </c>
      <c r="C253" s="412" t="s">
        <v>69</v>
      </c>
      <c r="D253" s="412" t="s">
        <v>125</v>
      </c>
      <c r="E253" s="412" t="s">
        <v>125</v>
      </c>
      <c r="F253" s="412" t="s">
        <v>29</v>
      </c>
      <c r="G253" s="412" t="s">
        <v>98</v>
      </c>
      <c r="H253" s="412" t="s">
        <v>125</v>
      </c>
      <c r="I253" s="412"/>
    </row>
    <row r="254" spans="1:9" ht="30" customHeight="1" x14ac:dyDescent="0.3">
      <c r="A254" s="9">
        <v>250</v>
      </c>
      <c r="B254" s="24" t="s">
        <v>460</v>
      </c>
      <c r="C254" s="412" t="s">
        <v>69</v>
      </c>
      <c r="D254" s="412" t="s">
        <v>125</v>
      </c>
      <c r="E254" s="412" t="s">
        <v>125</v>
      </c>
      <c r="F254" s="412" t="s">
        <v>29</v>
      </c>
      <c r="G254" s="412" t="s">
        <v>98</v>
      </c>
      <c r="H254" s="412" t="s">
        <v>125</v>
      </c>
      <c r="I254" s="412"/>
    </row>
    <row r="255" spans="1:9" ht="30" customHeight="1" x14ac:dyDescent="0.3">
      <c r="A255" s="9">
        <v>251</v>
      </c>
      <c r="B255" s="24" t="s">
        <v>462</v>
      </c>
      <c r="C255" s="412" t="s">
        <v>69</v>
      </c>
      <c r="D255" s="412" t="s">
        <v>125</v>
      </c>
      <c r="E255" s="412" t="s">
        <v>125</v>
      </c>
      <c r="F255" s="412" t="s">
        <v>29</v>
      </c>
      <c r="G255" s="412" t="s">
        <v>98</v>
      </c>
      <c r="H255" s="412" t="s">
        <v>125</v>
      </c>
      <c r="I255" s="412"/>
    </row>
    <row r="256" spans="1:9" ht="30" customHeight="1" x14ac:dyDescent="0.3">
      <c r="A256" s="9">
        <v>252</v>
      </c>
      <c r="B256" s="24" t="s">
        <v>464</v>
      </c>
      <c r="C256" s="412" t="s">
        <v>69</v>
      </c>
      <c r="D256" s="412" t="s">
        <v>125</v>
      </c>
      <c r="E256" s="412" t="s">
        <v>125</v>
      </c>
      <c r="F256" s="412" t="s">
        <v>29</v>
      </c>
      <c r="G256" s="412" t="s">
        <v>98</v>
      </c>
      <c r="H256" s="412" t="s">
        <v>125</v>
      </c>
      <c r="I256" s="412"/>
    </row>
    <row r="257" spans="1:9" ht="30" customHeight="1" x14ac:dyDescent="0.3">
      <c r="A257" s="9">
        <v>253</v>
      </c>
      <c r="B257" s="24" t="s">
        <v>466</v>
      </c>
      <c r="C257" s="412" t="s">
        <v>26</v>
      </c>
      <c r="D257" s="412" t="s">
        <v>31</v>
      </c>
      <c r="E257" s="412" t="s">
        <v>146</v>
      </c>
      <c r="F257" s="412" t="s">
        <v>29</v>
      </c>
      <c r="G257" s="412" t="s">
        <v>30</v>
      </c>
      <c r="H257" s="412" t="s">
        <v>31</v>
      </c>
      <c r="I257" s="412"/>
    </row>
    <row r="258" spans="1:9" ht="30" customHeight="1" x14ac:dyDescent="0.3">
      <c r="A258" s="9">
        <v>254</v>
      </c>
      <c r="B258" s="24" t="s">
        <v>468</v>
      </c>
      <c r="C258" s="412"/>
      <c r="D258" s="412"/>
      <c r="E258" s="412"/>
      <c r="F258" s="412"/>
      <c r="G258" s="412"/>
      <c r="H258" s="412"/>
      <c r="I258" s="412"/>
    </row>
    <row r="259" spans="1:9" ht="30" customHeight="1" x14ac:dyDescent="0.3">
      <c r="A259" s="9">
        <v>255</v>
      </c>
      <c r="B259" s="15" t="s">
        <v>470</v>
      </c>
      <c r="C259" s="412" t="s">
        <v>13</v>
      </c>
      <c r="D259" s="417" t="s">
        <v>19</v>
      </c>
      <c r="E259" s="417" t="s">
        <v>357</v>
      </c>
      <c r="F259" s="417" t="s">
        <v>110</v>
      </c>
      <c r="G259" s="417" t="s">
        <v>22</v>
      </c>
      <c r="H259" s="417" t="s">
        <v>23</v>
      </c>
      <c r="I259" s="417"/>
    </row>
    <row r="260" spans="1:9" ht="30" customHeight="1" x14ac:dyDescent="0.3">
      <c r="A260" s="9">
        <v>256</v>
      </c>
      <c r="B260" s="15" t="s">
        <v>472</v>
      </c>
      <c r="C260" s="418" t="s">
        <v>13</v>
      </c>
      <c r="D260" s="419" t="s">
        <v>19</v>
      </c>
      <c r="E260" s="412" t="s">
        <v>473</v>
      </c>
      <c r="F260" s="412" t="s">
        <v>110</v>
      </c>
      <c r="G260" s="412" t="s">
        <v>250</v>
      </c>
      <c r="H260" s="420" t="s">
        <v>474</v>
      </c>
      <c r="I260" s="421"/>
    </row>
    <row r="261" spans="1:9" ht="30" customHeight="1" x14ac:dyDescent="0.3">
      <c r="A261" s="9">
        <v>257</v>
      </c>
      <c r="B261" s="422" t="s">
        <v>2230</v>
      </c>
      <c r="C261" s="423" t="s">
        <v>69</v>
      </c>
      <c r="D261" s="420" t="s">
        <v>125</v>
      </c>
      <c r="E261" s="412" t="s">
        <v>126</v>
      </c>
      <c r="F261" s="412" t="s">
        <v>29</v>
      </c>
      <c r="G261" s="412" t="s">
        <v>98</v>
      </c>
      <c r="H261" s="412" t="s">
        <v>125</v>
      </c>
      <c r="I261" s="420"/>
    </row>
    <row r="262" spans="1:9" ht="30" customHeight="1" x14ac:dyDescent="0.3">
      <c r="A262" s="9">
        <v>258</v>
      </c>
      <c r="B262" s="10" t="s">
        <v>2231</v>
      </c>
      <c r="C262" s="423" t="s">
        <v>69</v>
      </c>
      <c r="D262" s="421" t="s">
        <v>125</v>
      </c>
      <c r="E262" s="417" t="s">
        <v>126</v>
      </c>
      <c r="F262" s="412" t="s">
        <v>29</v>
      </c>
      <c r="G262" s="412" t="s">
        <v>98</v>
      </c>
      <c r="H262" s="412" t="s">
        <v>125</v>
      </c>
      <c r="I262" s="424"/>
    </row>
    <row r="263" spans="1:9" ht="30" customHeight="1" x14ac:dyDescent="0.3">
      <c r="A263" s="9">
        <v>259</v>
      </c>
      <c r="B263" s="25" t="s">
        <v>2232</v>
      </c>
      <c r="C263" s="423" t="s">
        <v>69</v>
      </c>
      <c r="D263" s="423" t="s">
        <v>67</v>
      </c>
      <c r="E263" s="423" t="s">
        <v>479</v>
      </c>
      <c r="F263" s="420" t="s">
        <v>29</v>
      </c>
      <c r="G263" s="425" t="s">
        <v>30</v>
      </c>
      <c r="H263" s="425" t="s">
        <v>69</v>
      </c>
      <c r="I263" s="426"/>
    </row>
    <row r="264" spans="1:9" ht="30" customHeight="1" x14ac:dyDescent="0.3">
      <c r="A264" s="9">
        <v>260</v>
      </c>
      <c r="B264" s="15" t="s">
        <v>2233</v>
      </c>
      <c r="C264" s="423" t="s">
        <v>69</v>
      </c>
      <c r="D264" s="423" t="s">
        <v>67</v>
      </c>
      <c r="E264" s="423" t="s">
        <v>479</v>
      </c>
      <c r="F264" s="420" t="s">
        <v>29</v>
      </c>
      <c r="G264" s="412" t="s">
        <v>26</v>
      </c>
      <c r="H264" s="412" t="s">
        <v>69</v>
      </c>
      <c r="I264" s="420"/>
    </row>
    <row r="265" spans="1:9" ht="30" customHeight="1" x14ac:dyDescent="0.3">
      <c r="A265" s="9">
        <v>261</v>
      </c>
      <c r="B265" s="15" t="s">
        <v>2234</v>
      </c>
      <c r="C265" s="423" t="s">
        <v>21</v>
      </c>
      <c r="D265" s="423" t="s">
        <v>42</v>
      </c>
      <c r="E265" s="423" t="s">
        <v>2235</v>
      </c>
      <c r="F265" s="426" t="s">
        <v>110</v>
      </c>
      <c r="G265" s="425" t="s">
        <v>44</v>
      </c>
      <c r="H265" s="425" t="s">
        <v>42</v>
      </c>
      <c r="I265" s="426"/>
    </row>
    <row r="266" spans="1:9" ht="30" customHeight="1" x14ac:dyDescent="0.3">
      <c r="A266" s="9">
        <v>262</v>
      </c>
      <c r="B266" s="15" t="s">
        <v>481</v>
      </c>
      <c r="C266" s="427" t="s">
        <v>69</v>
      </c>
      <c r="D266" s="427"/>
      <c r="E266" s="427"/>
      <c r="F266" s="412" t="s">
        <v>29</v>
      </c>
      <c r="G266" s="412" t="s">
        <v>30</v>
      </c>
      <c r="H266" s="412" t="s">
        <v>69</v>
      </c>
      <c r="I266" s="420"/>
    </row>
    <row r="267" spans="1:9" ht="30" customHeight="1" x14ac:dyDescent="0.3">
      <c r="A267" s="9">
        <v>263</v>
      </c>
      <c r="B267" s="15" t="s">
        <v>2236</v>
      </c>
      <c r="C267" s="427" t="s">
        <v>13</v>
      </c>
      <c r="D267" s="427" t="s">
        <v>29</v>
      </c>
      <c r="E267" s="427" t="s">
        <v>154</v>
      </c>
      <c r="F267" s="427" t="s">
        <v>29</v>
      </c>
      <c r="G267" s="412" t="s">
        <v>38</v>
      </c>
      <c r="H267" s="427" t="s">
        <v>38</v>
      </c>
      <c r="I267" s="424"/>
    </row>
    <row r="268" spans="1:9" ht="30" customHeight="1" x14ac:dyDescent="0.3">
      <c r="A268" s="9">
        <v>264</v>
      </c>
      <c r="B268" s="410" t="s">
        <v>2237</v>
      </c>
      <c r="C268" s="412" t="s">
        <v>13</v>
      </c>
      <c r="D268" s="412" t="s">
        <v>29</v>
      </c>
      <c r="E268" s="412" t="s">
        <v>154</v>
      </c>
      <c r="F268" s="412" t="s">
        <v>29</v>
      </c>
      <c r="G268" s="412" t="s">
        <v>38</v>
      </c>
      <c r="H268" s="427" t="s">
        <v>38</v>
      </c>
      <c r="I268" s="412"/>
    </row>
    <row r="269" spans="1:9" ht="30" customHeight="1" x14ac:dyDescent="0.3">
      <c r="A269" s="9">
        <v>265</v>
      </c>
      <c r="B269" s="428" t="s">
        <v>2238</v>
      </c>
      <c r="C269" s="417" t="s">
        <v>13</v>
      </c>
      <c r="D269" s="417" t="s">
        <v>19</v>
      </c>
      <c r="E269" s="417" t="s">
        <v>362</v>
      </c>
      <c r="F269" s="417" t="s">
        <v>110</v>
      </c>
      <c r="G269" s="417" t="s">
        <v>29</v>
      </c>
      <c r="H269" s="417" t="s">
        <v>341</v>
      </c>
      <c r="I269" s="417"/>
    </row>
    <row r="270" spans="1:9" ht="30" customHeight="1" x14ac:dyDescent="0.3">
      <c r="A270" s="3"/>
      <c r="B270" s="423"/>
      <c r="C270" s="423"/>
      <c r="D270" s="423"/>
      <c r="E270" s="423"/>
      <c r="F270" s="423"/>
      <c r="G270" s="423"/>
      <c r="H270" s="423"/>
      <c r="I270" s="423"/>
    </row>
    <row r="271" spans="1:9" ht="30" customHeight="1" x14ac:dyDescent="0.3">
      <c r="A271" s="3"/>
      <c r="B271" s="423"/>
      <c r="C271" s="423"/>
      <c r="D271" s="423"/>
      <c r="E271" s="423"/>
      <c r="F271" s="423"/>
      <c r="G271" s="423"/>
      <c r="H271" s="423"/>
      <c r="I271" s="423"/>
    </row>
    <row r="272" spans="1:9" ht="30" customHeight="1" x14ac:dyDescent="0.3">
      <c r="A272" s="3"/>
      <c r="B272" s="423"/>
      <c r="C272" s="423"/>
      <c r="D272" s="423"/>
      <c r="E272" s="423"/>
      <c r="F272" s="423"/>
      <c r="G272" s="423"/>
      <c r="H272" s="423"/>
      <c r="I272" s="423"/>
    </row>
    <row r="273" spans="1:243" ht="30" customHeight="1" x14ac:dyDescent="0.3">
      <c r="A273" s="3"/>
      <c r="B273" s="423"/>
      <c r="C273" s="423"/>
      <c r="D273" s="423"/>
      <c r="E273" s="423"/>
      <c r="F273" s="423"/>
      <c r="G273" s="423"/>
      <c r="H273" s="423"/>
      <c r="I273" s="423"/>
    </row>
    <row r="274" spans="1:243" ht="30" customHeight="1" x14ac:dyDescent="0.3">
      <c r="A274" s="3"/>
      <c r="B274" s="423"/>
      <c r="C274" s="423"/>
      <c r="D274" s="423"/>
      <c r="E274" s="423"/>
      <c r="F274" s="423"/>
      <c r="G274" s="423"/>
      <c r="H274" s="423"/>
      <c r="I274" s="423"/>
    </row>
    <row r="275" spans="1:243" ht="30" customHeight="1" x14ac:dyDescent="0.3">
      <c r="A275" s="3"/>
      <c r="B275" s="423"/>
      <c r="C275" s="423"/>
      <c r="D275" s="423"/>
      <c r="E275" s="423"/>
      <c r="F275" s="423"/>
      <c r="G275" s="423"/>
      <c r="H275" s="423"/>
      <c r="I275" s="423"/>
    </row>
    <row r="276" spans="1:243" ht="30" customHeight="1" x14ac:dyDescent="0.3">
      <c r="A276" s="3"/>
      <c r="B276" s="423"/>
      <c r="C276" s="423"/>
      <c r="D276" s="423"/>
      <c r="E276" s="423"/>
      <c r="F276" s="423"/>
      <c r="G276" s="423"/>
      <c r="H276" s="423"/>
      <c r="I276" s="423"/>
    </row>
    <row r="277" spans="1:243" ht="30" customHeight="1" x14ac:dyDescent="0.3">
      <c r="A277" s="3"/>
      <c r="B277" s="423"/>
      <c r="C277" s="423"/>
      <c r="D277" s="423"/>
      <c r="E277" s="423"/>
      <c r="F277" s="423"/>
      <c r="G277" s="423"/>
      <c r="H277" s="423"/>
      <c r="I277" s="423"/>
    </row>
    <row r="278" spans="1:243" ht="30" customHeight="1" x14ac:dyDescent="0.3">
      <c r="A278" s="3"/>
      <c r="B278" s="423"/>
      <c r="C278" s="423"/>
      <c r="D278" s="423"/>
      <c r="E278" s="423"/>
      <c r="F278" s="423"/>
      <c r="G278" s="423"/>
      <c r="H278" s="423"/>
      <c r="I278" s="423"/>
    </row>
    <row r="279" spans="1:243" ht="30" customHeight="1" x14ac:dyDescent="0.3">
      <c r="A279" s="3"/>
      <c r="B279" s="423"/>
      <c r="C279" s="423"/>
      <c r="D279" s="423"/>
      <c r="E279" s="423"/>
      <c r="F279" s="423"/>
      <c r="G279" s="423"/>
      <c r="H279" s="423"/>
      <c r="I279" s="423"/>
    </row>
    <row r="280" spans="1:243" ht="30" customHeight="1" x14ac:dyDescent="0.3">
      <c r="A280" s="3"/>
      <c r="B280" s="423"/>
      <c r="C280" s="423"/>
      <c r="D280" s="423"/>
      <c r="E280" s="423"/>
      <c r="F280" s="423"/>
      <c r="G280" s="423"/>
      <c r="H280" s="423"/>
      <c r="I280" s="423"/>
    </row>
    <row r="281" spans="1:243" ht="30" customHeight="1" x14ac:dyDescent="0.3">
      <c r="A281" s="3"/>
      <c r="B281" s="423"/>
      <c r="C281" s="423"/>
      <c r="D281" s="423"/>
      <c r="E281" s="423"/>
      <c r="F281" s="423"/>
      <c r="G281" s="423"/>
      <c r="H281" s="423"/>
      <c r="I281" s="423"/>
    </row>
    <row r="282" spans="1:243" ht="30" customHeight="1" x14ac:dyDescent="0.3">
      <c r="A282" s="3"/>
      <c r="B282" s="423"/>
      <c r="C282" s="423"/>
      <c r="D282" s="423"/>
      <c r="E282" s="423"/>
      <c r="F282" s="423"/>
      <c r="G282" s="423"/>
      <c r="H282" s="423"/>
      <c r="I282" s="423"/>
    </row>
    <row r="283" spans="1:243" ht="30" customHeight="1" x14ac:dyDescent="0.3">
      <c r="A283" s="3"/>
      <c r="B283" s="423"/>
      <c r="C283" s="423"/>
      <c r="D283" s="423"/>
      <c r="E283" s="423"/>
      <c r="F283" s="423"/>
      <c r="G283" s="423"/>
      <c r="H283" s="423"/>
      <c r="I283" s="423"/>
    </row>
    <row r="284" spans="1:243" ht="30" customHeight="1" x14ac:dyDescent="0.3">
      <c r="A284" s="3"/>
      <c r="B284" s="423"/>
      <c r="C284" s="423"/>
      <c r="D284" s="423"/>
      <c r="E284" s="423"/>
      <c r="F284" s="423"/>
      <c r="G284" s="423"/>
      <c r="H284" s="423"/>
      <c r="I284" s="423"/>
    </row>
    <row r="285" spans="1:243" ht="30" customHeight="1" x14ac:dyDescent="0.3">
      <c r="A285" s="3"/>
      <c r="B285" s="423"/>
      <c r="C285" s="423"/>
      <c r="D285" s="423"/>
      <c r="E285" s="423"/>
      <c r="F285" s="423"/>
      <c r="G285" s="423"/>
      <c r="H285" s="423"/>
      <c r="I285" s="423"/>
    </row>
    <row r="286" spans="1:243" ht="30" customHeight="1" x14ac:dyDescent="0.3">
      <c r="A286" s="3"/>
      <c r="B286" s="423"/>
      <c r="C286" s="423"/>
      <c r="D286" s="423"/>
      <c r="E286" s="423"/>
      <c r="F286" s="423"/>
      <c r="G286" s="423"/>
      <c r="H286" s="423"/>
      <c r="I286" s="423"/>
    </row>
    <row r="287" spans="1:243" ht="30" customHeight="1" x14ac:dyDescent="0.3">
      <c r="A287" s="380"/>
      <c r="B287" s="429"/>
      <c r="C287" s="429"/>
      <c r="D287" s="429"/>
      <c r="E287" s="429"/>
      <c r="F287" s="429"/>
      <c r="G287" s="429"/>
      <c r="H287" s="429"/>
      <c r="I287" s="429"/>
    </row>
    <row r="288" spans="1:243" ht="30" customHeight="1" x14ac:dyDescent="0.3">
      <c r="A288" s="3"/>
      <c r="B288" s="423"/>
      <c r="C288" s="423"/>
      <c r="D288" s="423"/>
      <c r="E288" s="423"/>
      <c r="F288" s="423"/>
      <c r="G288" s="423"/>
      <c r="H288" s="423"/>
      <c r="I288" s="423"/>
      <c r="J288" s="423"/>
      <c r="K288" s="423"/>
      <c r="L288" s="423"/>
      <c r="M288" s="423"/>
      <c r="N288" s="423"/>
      <c r="O288" s="423"/>
      <c r="P288" s="423"/>
      <c r="Q288" s="423"/>
      <c r="R288" s="423"/>
      <c r="S288" s="423"/>
      <c r="T288" s="423"/>
      <c r="U288" s="423"/>
      <c r="V288" s="423"/>
      <c r="W288" s="423"/>
      <c r="X288" s="423"/>
      <c r="Y288" s="423"/>
      <c r="Z288" s="423"/>
      <c r="AA288" s="423"/>
      <c r="AB288" s="423"/>
      <c r="AC288" s="423"/>
      <c r="AD288" s="423"/>
      <c r="AE288" s="423"/>
      <c r="AF288" s="423"/>
      <c r="AG288" s="423"/>
      <c r="AH288" s="423"/>
      <c r="AI288" s="423"/>
      <c r="AJ288" s="423"/>
      <c r="AK288" s="423"/>
      <c r="AL288" s="423"/>
      <c r="AM288" s="423"/>
      <c r="AN288" s="423"/>
      <c r="AO288" s="423"/>
      <c r="AP288" s="423"/>
      <c r="AQ288" s="423"/>
      <c r="AR288" s="423"/>
      <c r="AS288" s="423"/>
      <c r="AT288" s="423"/>
      <c r="AU288" s="423"/>
      <c r="AV288" s="423"/>
      <c r="AW288" s="423"/>
      <c r="AX288" s="423"/>
      <c r="AY288" s="423"/>
      <c r="AZ288" s="423"/>
      <c r="BA288" s="423"/>
      <c r="BB288" s="423"/>
      <c r="BC288" s="423"/>
      <c r="BD288" s="423"/>
      <c r="BE288" s="423"/>
      <c r="BF288" s="423"/>
      <c r="BG288" s="423"/>
      <c r="BH288" s="423"/>
      <c r="BI288" s="423"/>
      <c r="BJ288" s="423"/>
      <c r="BK288" s="423"/>
      <c r="BL288" s="423"/>
      <c r="BM288" s="423"/>
      <c r="BN288" s="423"/>
      <c r="BO288" s="423"/>
      <c r="BP288" s="423"/>
      <c r="BQ288" s="423"/>
      <c r="BR288" s="423"/>
      <c r="BS288" s="423"/>
      <c r="BT288" s="423"/>
      <c r="BU288" s="423"/>
      <c r="BV288" s="423"/>
      <c r="BW288" s="423"/>
      <c r="BX288" s="423"/>
      <c r="BY288" s="423"/>
      <c r="BZ288" s="423"/>
      <c r="CA288" s="423"/>
      <c r="CB288" s="423"/>
      <c r="CC288" s="423"/>
      <c r="CD288" s="423"/>
      <c r="CE288" s="423"/>
      <c r="CF288" s="423"/>
      <c r="CG288" s="423"/>
      <c r="CH288" s="423"/>
      <c r="CI288" s="423"/>
      <c r="CJ288" s="423"/>
      <c r="CK288" s="423"/>
      <c r="CL288" s="423"/>
      <c r="CM288" s="423"/>
      <c r="CN288" s="423"/>
      <c r="CO288" s="423"/>
      <c r="CP288" s="423"/>
      <c r="CQ288" s="423"/>
      <c r="CR288" s="423"/>
      <c r="CS288" s="423"/>
      <c r="CT288" s="423"/>
      <c r="CU288" s="423"/>
      <c r="CV288" s="423"/>
      <c r="CW288" s="423"/>
      <c r="CX288" s="423"/>
      <c r="CY288" s="423"/>
      <c r="CZ288" s="423"/>
      <c r="DA288" s="423"/>
      <c r="DB288" s="423"/>
      <c r="DC288" s="423"/>
      <c r="DD288" s="423"/>
      <c r="DE288" s="423"/>
      <c r="DF288" s="423"/>
      <c r="DG288" s="423"/>
      <c r="DH288" s="423"/>
      <c r="DI288" s="423"/>
      <c r="DJ288" s="423"/>
      <c r="DK288" s="423"/>
      <c r="DL288" s="423"/>
      <c r="DM288" s="423"/>
      <c r="DN288" s="423"/>
      <c r="DO288" s="423"/>
      <c r="DP288" s="423"/>
      <c r="DQ288" s="423"/>
      <c r="DR288" s="423"/>
      <c r="DS288" s="423"/>
      <c r="DT288" s="423"/>
      <c r="DU288" s="423"/>
      <c r="DV288" s="423"/>
      <c r="DW288" s="423"/>
      <c r="DX288" s="423"/>
      <c r="DY288" s="423"/>
      <c r="DZ288" s="423"/>
      <c r="EA288" s="423"/>
      <c r="EB288" s="423"/>
      <c r="EC288" s="423"/>
      <c r="ED288" s="423"/>
      <c r="EE288" s="423"/>
      <c r="EF288" s="423"/>
      <c r="EG288" s="423"/>
      <c r="EH288" s="423"/>
      <c r="EI288" s="423"/>
      <c r="EJ288" s="423"/>
      <c r="EK288" s="423"/>
      <c r="EL288" s="423"/>
      <c r="EM288" s="423"/>
      <c r="EN288" s="423"/>
      <c r="EO288" s="423"/>
      <c r="EP288" s="423"/>
      <c r="EQ288" s="423"/>
      <c r="ER288" s="423"/>
      <c r="ES288" s="423"/>
      <c r="ET288" s="423"/>
      <c r="EU288" s="423"/>
      <c r="EV288" s="423"/>
      <c r="EW288" s="423"/>
      <c r="EX288" s="423"/>
      <c r="EY288" s="423"/>
      <c r="EZ288" s="423"/>
      <c r="FA288" s="423"/>
      <c r="FB288" s="423"/>
      <c r="FC288" s="423"/>
      <c r="FD288" s="423"/>
      <c r="FE288" s="423"/>
      <c r="FF288" s="423"/>
      <c r="FG288" s="423"/>
      <c r="FH288" s="423"/>
      <c r="FI288" s="423"/>
      <c r="FJ288" s="423"/>
      <c r="FK288" s="423"/>
      <c r="FL288" s="423"/>
      <c r="FM288" s="423"/>
      <c r="FN288" s="423"/>
      <c r="FO288" s="423"/>
      <c r="FP288" s="423"/>
      <c r="FQ288" s="423"/>
      <c r="FR288" s="423"/>
      <c r="FS288" s="423"/>
      <c r="FT288" s="423"/>
      <c r="FU288" s="423"/>
      <c r="FV288" s="423"/>
      <c r="FW288" s="423"/>
      <c r="FX288" s="423"/>
      <c r="FY288" s="423"/>
      <c r="FZ288" s="423"/>
      <c r="GA288" s="423"/>
      <c r="GB288" s="423"/>
      <c r="GC288" s="423"/>
      <c r="GD288" s="423"/>
      <c r="GE288" s="423"/>
      <c r="GF288" s="423"/>
      <c r="GG288" s="423"/>
      <c r="GH288" s="423"/>
      <c r="GI288" s="423"/>
      <c r="GJ288" s="423"/>
      <c r="GK288" s="423"/>
      <c r="GL288" s="423"/>
      <c r="GM288" s="423"/>
      <c r="GN288" s="423"/>
      <c r="GO288" s="423"/>
      <c r="GP288" s="423"/>
      <c r="GQ288" s="423"/>
      <c r="GR288" s="423"/>
      <c r="GS288" s="423"/>
      <c r="GT288" s="423"/>
      <c r="GU288" s="423"/>
      <c r="GV288" s="423"/>
      <c r="GW288" s="423"/>
      <c r="GX288" s="423"/>
      <c r="GY288" s="423"/>
      <c r="GZ288" s="423"/>
      <c r="HA288" s="423"/>
      <c r="HB288" s="423"/>
      <c r="HC288" s="423"/>
      <c r="HD288" s="423"/>
      <c r="HE288" s="423"/>
      <c r="HF288" s="423"/>
      <c r="HG288" s="423"/>
      <c r="HH288" s="423"/>
      <c r="HI288" s="423"/>
      <c r="HJ288" s="423"/>
      <c r="HK288" s="423"/>
      <c r="HL288" s="423"/>
      <c r="HM288" s="423"/>
      <c r="HN288" s="423"/>
      <c r="HO288" s="423"/>
      <c r="HP288" s="423"/>
      <c r="HQ288" s="423"/>
      <c r="HR288" s="423"/>
      <c r="HS288" s="423"/>
      <c r="HT288" s="423"/>
      <c r="HU288" s="423"/>
      <c r="HV288" s="423"/>
      <c r="HW288" s="423"/>
      <c r="HX288" s="423"/>
      <c r="HY288" s="423"/>
      <c r="HZ288" s="423"/>
      <c r="IA288" s="423"/>
      <c r="IB288" s="423"/>
      <c r="IC288" s="423"/>
      <c r="ID288" s="423"/>
      <c r="IE288" s="423"/>
      <c r="IF288" s="423"/>
      <c r="IG288" s="423"/>
      <c r="IH288" s="423"/>
      <c r="II288" s="423"/>
    </row>
    <row r="289" spans="1:243" ht="30" customHeight="1" x14ac:dyDescent="0.3">
      <c r="A289" s="3"/>
      <c r="B289" s="423"/>
      <c r="C289" s="423"/>
      <c r="D289" s="423"/>
      <c r="E289" s="423"/>
      <c r="F289" s="423"/>
      <c r="G289" s="423"/>
      <c r="H289" s="423"/>
      <c r="I289" s="423"/>
      <c r="J289" s="423"/>
      <c r="K289" s="423"/>
      <c r="L289" s="423"/>
      <c r="M289" s="423"/>
      <c r="N289" s="423"/>
      <c r="O289" s="423"/>
      <c r="P289" s="423"/>
      <c r="Q289" s="423"/>
      <c r="R289" s="423"/>
      <c r="S289" s="423"/>
      <c r="T289" s="423"/>
      <c r="U289" s="423"/>
      <c r="V289" s="423"/>
      <c r="W289" s="423"/>
      <c r="X289" s="423"/>
      <c r="Y289" s="423"/>
      <c r="Z289" s="423"/>
      <c r="AA289" s="423"/>
      <c r="AB289" s="423"/>
      <c r="AC289" s="423"/>
      <c r="AD289" s="423"/>
      <c r="AE289" s="423"/>
      <c r="AF289" s="423"/>
      <c r="AG289" s="423"/>
      <c r="AH289" s="423"/>
      <c r="AI289" s="423"/>
      <c r="AJ289" s="423"/>
      <c r="AK289" s="423"/>
      <c r="AL289" s="423"/>
      <c r="AM289" s="423"/>
      <c r="AN289" s="423"/>
      <c r="AO289" s="423"/>
      <c r="AP289" s="423"/>
      <c r="AQ289" s="423"/>
      <c r="AR289" s="423"/>
      <c r="AS289" s="423"/>
      <c r="AT289" s="423"/>
      <c r="AU289" s="423"/>
      <c r="AV289" s="423"/>
      <c r="AW289" s="423"/>
      <c r="AX289" s="423"/>
      <c r="AY289" s="423"/>
      <c r="AZ289" s="423"/>
      <c r="BA289" s="423"/>
      <c r="BB289" s="423"/>
      <c r="BC289" s="423"/>
      <c r="BD289" s="423"/>
      <c r="BE289" s="423"/>
      <c r="BF289" s="423"/>
      <c r="BG289" s="423"/>
      <c r="BH289" s="423"/>
      <c r="BI289" s="423"/>
      <c r="BJ289" s="423"/>
      <c r="BK289" s="423"/>
      <c r="BL289" s="423"/>
      <c r="BM289" s="423"/>
      <c r="BN289" s="423"/>
      <c r="BO289" s="423"/>
      <c r="BP289" s="423"/>
      <c r="BQ289" s="423"/>
      <c r="BR289" s="423"/>
      <c r="BS289" s="423"/>
      <c r="BT289" s="423"/>
      <c r="BU289" s="423"/>
      <c r="BV289" s="423"/>
      <c r="BW289" s="423"/>
      <c r="BX289" s="423"/>
      <c r="BY289" s="423"/>
      <c r="BZ289" s="423"/>
      <c r="CA289" s="423"/>
      <c r="CB289" s="423"/>
      <c r="CC289" s="423"/>
      <c r="CD289" s="423"/>
      <c r="CE289" s="423"/>
      <c r="CF289" s="423"/>
      <c r="CG289" s="423"/>
      <c r="CH289" s="423"/>
      <c r="CI289" s="423"/>
      <c r="CJ289" s="423"/>
      <c r="CK289" s="423"/>
      <c r="CL289" s="423"/>
      <c r="CM289" s="423"/>
      <c r="CN289" s="423"/>
      <c r="CO289" s="423"/>
      <c r="CP289" s="423"/>
      <c r="CQ289" s="423"/>
      <c r="CR289" s="423"/>
      <c r="CS289" s="423"/>
      <c r="CT289" s="423"/>
      <c r="CU289" s="423"/>
      <c r="CV289" s="423"/>
      <c r="CW289" s="423"/>
      <c r="CX289" s="423"/>
      <c r="CY289" s="423"/>
      <c r="CZ289" s="423"/>
      <c r="DA289" s="423"/>
      <c r="DB289" s="423"/>
      <c r="DC289" s="423"/>
      <c r="DD289" s="423"/>
      <c r="DE289" s="423"/>
      <c r="DF289" s="423"/>
      <c r="DG289" s="423"/>
      <c r="DH289" s="423"/>
      <c r="DI289" s="423"/>
      <c r="DJ289" s="423"/>
      <c r="DK289" s="423"/>
      <c r="DL289" s="423"/>
      <c r="DM289" s="423"/>
      <c r="DN289" s="423"/>
      <c r="DO289" s="423"/>
      <c r="DP289" s="423"/>
      <c r="DQ289" s="423"/>
      <c r="DR289" s="423"/>
      <c r="DS289" s="423"/>
      <c r="DT289" s="423"/>
      <c r="DU289" s="423"/>
      <c r="DV289" s="423"/>
      <c r="DW289" s="423"/>
      <c r="DX289" s="423"/>
      <c r="DY289" s="423"/>
      <c r="DZ289" s="423"/>
      <c r="EA289" s="423"/>
      <c r="EB289" s="423"/>
      <c r="EC289" s="423"/>
      <c r="ED289" s="423"/>
      <c r="EE289" s="423"/>
      <c r="EF289" s="423"/>
      <c r="EG289" s="423"/>
      <c r="EH289" s="423"/>
      <c r="EI289" s="423"/>
      <c r="EJ289" s="423"/>
      <c r="EK289" s="423"/>
      <c r="EL289" s="423"/>
      <c r="EM289" s="423"/>
      <c r="EN289" s="423"/>
      <c r="EO289" s="423"/>
      <c r="EP289" s="423"/>
      <c r="EQ289" s="423"/>
      <c r="ER289" s="423"/>
      <c r="ES289" s="423"/>
      <c r="ET289" s="423"/>
      <c r="EU289" s="423"/>
      <c r="EV289" s="423"/>
      <c r="EW289" s="423"/>
      <c r="EX289" s="423"/>
      <c r="EY289" s="423"/>
      <c r="EZ289" s="423"/>
      <c r="FA289" s="423"/>
      <c r="FB289" s="423"/>
      <c r="FC289" s="423"/>
      <c r="FD289" s="423"/>
      <c r="FE289" s="423"/>
      <c r="FF289" s="423"/>
      <c r="FG289" s="423"/>
      <c r="FH289" s="423"/>
      <c r="FI289" s="423"/>
      <c r="FJ289" s="423"/>
      <c r="FK289" s="423"/>
      <c r="FL289" s="423"/>
      <c r="FM289" s="423"/>
      <c r="FN289" s="423"/>
      <c r="FO289" s="423"/>
      <c r="FP289" s="423"/>
      <c r="FQ289" s="423"/>
      <c r="FR289" s="423"/>
      <c r="FS289" s="423"/>
      <c r="FT289" s="423"/>
      <c r="FU289" s="423"/>
      <c r="FV289" s="423"/>
      <c r="FW289" s="423"/>
      <c r="FX289" s="423"/>
      <c r="FY289" s="423"/>
      <c r="FZ289" s="423"/>
      <c r="GA289" s="423"/>
      <c r="GB289" s="423"/>
      <c r="GC289" s="423"/>
      <c r="GD289" s="423"/>
      <c r="GE289" s="423"/>
      <c r="GF289" s="423"/>
      <c r="GG289" s="423"/>
      <c r="GH289" s="423"/>
      <c r="GI289" s="423"/>
      <c r="GJ289" s="423"/>
      <c r="GK289" s="423"/>
      <c r="GL289" s="423"/>
      <c r="GM289" s="423"/>
      <c r="GN289" s="423"/>
      <c r="GO289" s="423"/>
      <c r="GP289" s="423"/>
      <c r="GQ289" s="423"/>
      <c r="GR289" s="423"/>
      <c r="GS289" s="423"/>
      <c r="GT289" s="423"/>
      <c r="GU289" s="423"/>
      <c r="GV289" s="423"/>
      <c r="GW289" s="423"/>
      <c r="GX289" s="423"/>
      <c r="GY289" s="423"/>
      <c r="GZ289" s="423"/>
      <c r="HA289" s="423"/>
      <c r="HB289" s="423"/>
      <c r="HC289" s="423"/>
      <c r="HD289" s="423"/>
      <c r="HE289" s="423"/>
      <c r="HF289" s="423"/>
      <c r="HG289" s="423"/>
      <c r="HH289" s="423"/>
      <c r="HI289" s="423"/>
      <c r="HJ289" s="423"/>
      <c r="HK289" s="423"/>
      <c r="HL289" s="423"/>
      <c r="HM289" s="423"/>
      <c r="HN289" s="423"/>
      <c r="HO289" s="423"/>
      <c r="HP289" s="423"/>
      <c r="HQ289" s="423"/>
      <c r="HR289" s="423"/>
      <c r="HS289" s="423"/>
      <c r="HT289" s="423"/>
      <c r="HU289" s="423"/>
      <c r="HV289" s="423"/>
      <c r="HW289" s="423"/>
      <c r="HX289" s="423"/>
      <c r="HY289" s="423"/>
      <c r="HZ289" s="423"/>
      <c r="IA289" s="423"/>
      <c r="IB289" s="423"/>
      <c r="IC289" s="423"/>
      <c r="ID289" s="423"/>
      <c r="IE289" s="423"/>
      <c r="IF289" s="423"/>
      <c r="IG289" s="423"/>
      <c r="IH289" s="423"/>
      <c r="II289" s="423"/>
    </row>
    <row r="290" spans="1:243" ht="30" customHeight="1" x14ac:dyDescent="0.3">
      <c r="A290" s="3"/>
      <c r="B290" s="423"/>
      <c r="C290" s="423"/>
      <c r="D290" s="423"/>
      <c r="E290" s="423"/>
      <c r="F290" s="423"/>
      <c r="G290" s="423"/>
      <c r="H290" s="423"/>
      <c r="I290" s="423"/>
      <c r="J290" s="423"/>
      <c r="K290" s="423"/>
      <c r="L290" s="423"/>
      <c r="M290" s="423"/>
      <c r="N290" s="423"/>
      <c r="O290" s="423"/>
      <c r="P290" s="423"/>
      <c r="Q290" s="423"/>
      <c r="R290" s="423"/>
      <c r="S290" s="423"/>
      <c r="T290" s="423"/>
      <c r="U290" s="423"/>
      <c r="V290" s="423"/>
      <c r="W290" s="423"/>
      <c r="X290" s="423"/>
      <c r="Y290" s="423"/>
      <c r="Z290" s="423"/>
      <c r="AA290" s="423"/>
      <c r="AB290" s="423"/>
      <c r="AC290" s="423"/>
      <c r="AD290" s="423"/>
      <c r="AE290" s="423"/>
      <c r="AF290" s="423"/>
      <c r="AG290" s="423"/>
      <c r="AH290" s="423"/>
      <c r="AI290" s="423"/>
      <c r="AJ290" s="423"/>
      <c r="AK290" s="423"/>
      <c r="AL290" s="423"/>
      <c r="AM290" s="423"/>
      <c r="AN290" s="423"/>
      <c r="AO290" s="423"/>
      <c r="AP290" s="423"/>
      <c r="AQ290" s="423"/>
      <c r="AR290" s="423"/>
      <c r="AS290" s="423"/>
      <c r="AT290" s="423"/>
      <c r="AU290" s="423"/>
      <c r="AV290" s="423"/>
      <c r="AW290" s="423"/>
      <c r="AX290" s="423"/>
      <c r="AY290" s="423"/>
      <c r="AZ290" s="423"/>
      <c r="BA290" s="423"/>
      <c r="BB290" s="423"/>
      <c r="BC290" s="423"/>
      <c r="BD290" s="423"/>
      <c r="BE290" s="423"/>
      <c r="BF290" s="423"/>
      <c r="BG290" s="423"/>
      <c r="BH290" s="423"/>
      <c r="BI290" s="423"/>
      <c r="BJ290" s="423"/>
      <c r="BK290" s="423"/>
      <c r="BL290" s="423"/>
      <c r="BM290" s="423"/>
      <c r="BN290" s="423"/>
      <c r="BO290" s="423"/>
      <c r="BP290" s="423"/>
      <c r="BQ290" s="423"/>
      <c r="BR290" s="423"/>
      <c r="BS290" s="423"/>
      <c r="BT290" s="423"/>
      <c r="BU290" s="423"/>
      <c r="BV290" s="423"/>
      <c r="BW290" s="423"/>
      <c r="BX290" s="423"/>
      <c r="BY290" s="423"/>
      <c r="BZ290" s="423"/>
      <c r="CA290" s="423"/>
      <c r="CB290" s="423"/>
      <c r="CC290" s="423"/>
      <c r="CD290" s="423"/>
      <c r="CE290" s="423"/>
      <c r="CF290" s="423"/>
      <c r="CG290" s="423"/>
      <c r="CH290" s="423"/>
      <c r="CI290" s="423"/>
      <c r="CJ290" s="423"/>
      <c r="CK290" s="423"/>
      <c r="CL290" s="423"/>
      <c r="CM290" s="423"/>
      <c r="CN290" s="423"/>
      <c r="CO290" s="423"/>
      <c r="CP290" s="423"/>
      <c r="CQ290" s="423"/>
      <c r="CR290" s="423"/>
      <c r="CS290" s="423"/>
      <c r="CT290" s="423"/>
      <c r="CU290" s="423"/>
      <c r="CV290" s="423"/>
      <c r="CW290" s="423"/>
      <c r="CX290" s="423"/>
      <c r="CY290" s="423"/>
      <c r="CZ290" s="423"/>
      <c r="DA290" s="423"/>
      <c r="DB290" s="423"/>
      <c r="DC290" s="423"/>
      <c r="DD290" s="423"/>
      <c r="DE290" s="423"/>
      <c r="DF290" s="423"/>
      <c r="DG290" s="423"/>
      <c r="DH290" s="423"/>
      <c r="DI290" s="423"/>
      <c r="DJ290" s="423"/>
      <c r="DK290" s="423"/>
      <c r="DL290" s="423"/>
      <c r="DM290" s="423"/>
      <c r="DN290" s="423"/>
      <c r="DO290" s="423"/>
      <c r="DP290" s="423"/>
      <c r="DQ290" s="423"/>
      <c r="DR290" s="423"/>
      <c r="DS290" s="423"/>
      <c r="DT290" s="423"/>
      <c r="DU290" s="423"/>
      <c r="DV290" s="423"/>
      <c r="DW290" s="423"/>
      <c r="DX290" s="423"/>
      <c r="DY290" s="423"/>
      <c r="DZ290" s="423"/>
      <c r="EA290" s="423"/>
      <c r="EB290" s="423"/>
      <c r="EC290" s="423"/>
      <c r="ED290" s="423"/>
      <c r="EE290" s="423"/>
      <c r="EF290" s="423"/>
      <c r="EG290" s="423"/>
      <c r="EH290" s="423"/>
      <c r="EI290" s="423"/>
      <c r="EJ290" s="423"/>
      <c r="EK290" s="423"/>
      <c r="EL290" s="423"/>
      <c r="EM290" s="423"/>
      <c r="EN290" s="423"/>
      <c r="EO290" s="423"/>
      <c r="EP290" s="423"/>
      <c r="EQ290" s="423"/>
      <c r="ER290" s="423"/>
      <c r="ES290" s="423"/>
      <c r="ET290" s="423"/>
      <c r="EU290" s="423"/>
      <c r="EV290" s="423"/>
      <c r="EW290" s="423"/>
      <c r="EX290" s="423"/>
      <c r="EY290" s="423"/>
      <c r="EZ290" s="423"/>
      <c r="FA290" s="423"/>
      <c r="FB290" s="423"/>
      <c r="FC290" s="423"/>
      <c r="FD290" s="423"/>
      <c r="FE290" s="423"/>
      <c r="FF290" s="423"/>
      <c r="FG290" s="423"/>
      <c r="FH290" s="423"/>
      <c r="FI290" s="423"/>
      <c r="FJ290" s="423"/>
      <c r="FK290" s="423"/>
      <c r="FL290" s="423"/>
      <c r="FM290" s="423"/>
      <c r="FN290" s="423"/>
      <c r="FO290" s="423"/>
      <c r="FP290" s="423"/>
      <c r="FQ290" s="423"/>
      <c r="FR290" s="423"/>
      <c r="FS290" s="423"/>
      <c r="FT290" s="423"/>
      <c r="FU290" s="423"/>
      <c r="FV290" s="423"/>
      <c r="FW290" s="423"/>
      <c r="FX290" s="423"/>
      <c r="FY290" s="423"/>
      <c r="FZ290" s="423"/>
      <c r="GA290" s="423"/>
      <c r="GB290" s="423"/>
      <c r="GC290" s="423"/>
      <c r="GD290" s="423"/>
      <c r="GE290" s="423"/>
      <c r="GF290" s="423"/>
      <c r="GG290" s="423"/>
      <c r="GH290" s="423"/>
      <c r="GI290" s="423"/>
      <c r="GJ290" s="423"/>
      <c r="GK290" s="423"/>
      <c r="GL290" s="423"/>
      <c r="GM290" s="423"/>
      <c r="GN290" s="423"/>
      <c r="GO290" s="423"/>
      <c r="GP290" s="423"/>
      <c r="GQ290" s="423"/>
      <c r="GR290" s="423"/>
      <c r="GS290" s="423"/>
      <c r="GT290" s="423"/>
      <c r="GU290" s="423"/>
      <c r="GV290" s="423"/>
      <c r="GW290" s="423"/>
      <c r="GX290" s="423"/>
      <c r="GY290" s="423"/>
      <c r="GZ290" s="423"/>
      <c r="HA290" s="423"/>
      <c r="HB290" s="423"/>
      <c r="HC290" s="423"/>
      <c r="HD290" s="423"/>
      <c r="HE290" s="423"/>
      <c r="HF290" s="423"/>
      <c r="HG290" s="423"/>
      <c r="HH290" s="423"/>
      <c r="HI290" s="423"/>
      <c r="HJ290" s="423"/>
      <c r="HK290" s="423"/>
      <c r="HL290" s="423"/>
      <c r="HM290" s="423"/>
      <c r="HN290" s="423"/>
      <c r="HO290" s="423"/>
      <c r="HP290" s="423"/>
      <c r="HQ290" s="423"/>
      <c r="HR290" s="423"/>
      <c r="HS290" s="423"/>
      <c r="HT290" s="423"/>
      <c r="HU290" s="423"/>
      <c r="HV290" s="423"/>
      <c r="HW290" s="423"/>
      <c r="HX290" s="423"/>
      <c r="HY290" s="423"/>
      <c r="HZ290" s="423"/>
      <c r="IA290" s="423"/>
      <c r="IB290" s="423"/>
      <c r="IC290" s="423"/>
      <c r="ID290" s="423"/>
      <c r="IE290" s="423"/>
      <c r="IF290" s="423"/>
      <c r="IG290" s="423"/>
      <c r="IH290" s="423"/>
      <c r="II290" s="423"/>
    </row>
    <row r="291" spans="1:243" ht="30" customHeight="1" x14ac:dyDescent="0.3">
      <c r="A291" s="3"/>
      <c r="B291" s="423"/>
      <c r="C291" s="423"/>
      <c r="D291" s="423"/>
      <c r="E291" s="423"/>
      <c r="F291" s="423"/>
      <c r="G291" s="423"/>
      <c r="H291" s="423"/>
      <c r="I291" s="423"/>
      <c r="J291" s="423"/>
      <c r="K291" s="423"/>
      <c r="L291" s="423"/>
      <c r="M291" s="423"/>
      <c r="N291" s="423"/>
      <c r="O291" s="423"/>
      <c r="P291" s="423"/>
      <c r="Q291" s="423"/>
      <c r="R291" s="423"/>
      <c r="S291" s="423"/>
      <c r="T291" s="423"/>
      <c r="U291" s="423"/>
      <c r="V291" s="423"/>
      <c r="W291" s="423"/>
      <c r="X291" s="423"/>
      <c r="Y291" s="423"/>
      <c r="Z291" s="423"/>
      <c r="AA291" s="423"/>
      <c r="AB291" s="423"/>
      <c r="AC291" s="423"/>
      <c r="AD291" s="423"/>
      <c r="AE291" s="423"/>
      <c r="AF291" s="423"/>
      <c r="AG291" s="423"/>
      <c r="AH291" s="423"/>
      <c r="AI291" s="423"/>
      <c r="AJ291" s="423"/>
      <c r="AK291" s="423"/>
      <c r="AL291" s="423"/>
      <c r="AM291" s="423"/>
      <c r="AN291" s="423"/>
      <c r="AO291" s="423"/>
      <c r="AP291" s="423"/>
      <c r="AQ291" s="423"/>
      <c r="AR291" s="423"/>
      <c r="AS291" s="423"/>
      <c r="AT291" s="423"/>
      <c r="AU291" s="423"/>
      <c r="AV291" s="423"/>
      <c r="AW291" s="423"/>
      <c r="AX291" s="423"/>
      <c r="AY291" s="423"/>
      <c r="AZ291" s="423"/>
      <c r="BA291" s="423"/>
      <c r="BB291" s="423"/>
      <c r="BC291" s="423"/>
      <c r="BD291" s="423"/>
      <c r="BE291" s="423"/>
      <c r="BF291" s="423"/>
      <c r="BG291" s="423"/>
      <c r="BH291" s="423"/>
      <c r="BI291" s="423"/>
      <c r="BJ291" s="423"/>
      <c r="BK291" s="423"/>
      <c r="BL291" s="423"/>
      <c r="BM291" s="423"/>
      <c r="BN291" s="423"/>
      <c r="BO291" s="423"/>
      <c r="BP291" s="423"/>
      <c r="BQ291" s="423"/>
      <c r="BR291" s="423"/>
      <c r="BS291" s="423"/>
      <c r="BT291" s="423"/>
      <c r="BU291" s="423"/>
      <c r="BV291" s="423"/>
      <c r="BW291" s="423"/>
      <c r="BX291" s="423"/>
      <c r="BY291" s="423"/>
      <c r="BZ291" s="423"/>
      <c r="CA291" s="423"/>
      <c r="CB291" s="423"/>
      <c r="CC291" s="423"/>
      <c r="CD291" s="423"/>
      <c r="CE291" s="423"/>
      <c r="CF291" s="423"/>
      <c r="CG291" s="423"/>
      <c r="CH291" s="423"/>
      <c r="CI291" s="423"/>
      <c r="CJ291" s="423"/>
      <c r="CK291" s="423"/>
      <c r="CL291" s="423"/>
      <c r="CM291" s="423"/>
      <c r="CN291" s="423"/>
      <c r="CO291" s="423"/>
      <c r="CP291" s="423"/>
      <c r="CQ291" s="423"/>
      <c r="CR291" s="423"/>
      <c r="CS291" s="423"/>
      <c r="CT291" s="423"/>
      <c r="CU291" s="423"/>
      <c r="CV291" s="423"/>
      <c r="CW291" s="423"/>
      <c r="CX291" s="423"/>
      <c r="CY291" s="423"/>
      <c r="CZ291" s="423"/>
      <c r="DA291" s="423"/>
      <c r="DB291" s="423"/>
      <c r="DC291" s="423"/>
      <c r="DD291" s="423"/>
      <c r="DE291" s="423"/>
      <c r="DF291" s="423"/>
      <c r="DG291" s="423"/>
      <c r="DH291" s="423"/>
      <c r="DI291" s="423"/>
      <c r="DJ291" s="423"/>
      <c r="DK291" s="423"/>
      <c r="DL291" s="423"/>
      <c r="DM291" s="423"/>
      <c r="DN291" s="423"/>
      <c r="DO291" s="423"/>
      <c r="DP291" s="423"/>
      <c r="DQ291" s="423"/>
      <c r="DR291" s="423"/>
      <c r="DS291" s="423"/>
      <c r="DT291" s="423"/>
      <c r="DU291" s="423"/>
      <c r="DV291" s="423"/>
      <c r="DW291" s="423"/>
      <c r="DX291" s="423"/>
      <c r="DY291" s="423"/>
      <c r="DZ291" s="423"/>
      <c r="EA291" s="423"/>
      <c r="EB291" s="423"/>
      <c r="EC291" s="423"/>
      <c r="ED291" s="423"/>
      <c r="EE291" s="423"/>
      <c r="EF291" s="423"/>
      <c r="EG291" s="423"/>
      <c r="EH291" s="423"/>
      <c r="EI291" s="423"/>
      <c r="EJ291" s="423"/>
      <c r="EK291" s="423"/>
      <c r="EL291" s="423"/>
      <c r="EM291" s="423"/>
      <c r="EN291" s="423"/>
      <c r="EO291" s="423"/>
      <c r="EP291" s="423"/>
      <c r="EQ291" s="423"/>
      <c r="ER291" s="423"/>
      <c r="ES291" s="423"/>
      <c r="ET291" s="423"/>
      <c r="EU291" s="423"/>
      <c r="EV291" s="423"/>
      <c r="EW291" s="423"/>
      <c r="EX291" s="423"/>
      <c r="EY291" s="423"/>
      <c r="EZ291" s="423"/>
      <c r="FA291" s="423"/>
      <c r="FB291" s="423"/>
      <c r="FC291" s="423"/>
      <c r="FD291" s="423"/>
      <c r="FE291" s="423"/>
      <c r="FF291" s="423"/>
      <c r="FG291" s="423"/>
      <c r="FH291" s="423"/>
      <c r="FI291" s="423"/>
      <c r="FJ291" s="423"/>
      <c r="FK291" s="423"/>
      <c r="FL291" s="423"/>
      <c r="FM291" s="423"/>
      <c r="FN291" s="423"/>
      <c r="FO291" s="423"/>
      <c r="FP291" s="423"/>
      <c r="FQ291" s="423"/>
      <c r="FR291" s="423"/>
      <c r="FS291" s="423"/>
      <c r="FT291" s="423"/>
      <c r="FU291" s="423"/>
      <c r="FV291" s="423"/>
      <c r="FW291" s="423"/>
      <c r="FX291" s="423"/>
      <c r="FY291" s="423"/>
      <c r="FZ291" s="423"/>
      <c r="GA291" s="423"/>
      <c r="GB291" s="423"/>
      <c r="GC291" s="423"/>
      <c r="GD291" s="423"/>
      <c r="GE291" s="423"/>
      <c r="GF291" s="423"/>
      <c r="GG291" s="423"/>
      <c r="GH291" s="423"/>
      <c r="GI291" s="423"/>
      <c r="GJ291" s="423"/>
      <c r="GK291" s="423"/>
      <c r="GL291" s="423"/>
      <c r="GM291" s="423"/>
      <c r="GN291" s="423"/>
      <c r="GO291" s="423"/>
      <c r="GP291" s="423"/>
      <c r="GQ291" s="423"/>
      <c r="GR291" s="423"/>
      <c r="GS291" s="423"/>
      <c r="GT291" s="423"/>
      <c r="GU291" s="423"/>
      <c r="GV291" s="423"/>
      <c r="GW291" s="423"/>
      <c r="GX291" s="423"/>
      <c r="GY291" s="423"/>
      <c r="GZ291" s="423"/>
      <c r="HA291" s="423"/>
      <c r="HB291" s="423"/>
      <c r="HC291" s="423"/>
      <c r="HD291" s="423"/>
      <c r="HE291" s="423"/>
      <c r="HF291" s="423"/>
      <c r="HG291" s="423"/>
      <c r="HH291" s="423"/>
      <c r="HI291" s="423"/>
      <c r="HJ291" s="423"/>
      <c r="HK291" s="423"/>
      <c r="HL291" s="423"/>
      <c r="HM291" s="423"/>
      <c r="HN291" s="423"/>
      <c r="HO291" s="423"/>
      <c r="HP291" s="423"/>
      <c r="HQ291" s="423"/>
      <c r="HR291" s="423"/>
      <c r="HS291" s="423"/>
      <c r="HT291" s="423"/>
      <c r="HU291" s="423"/>
      <c r="HV291" s="423"/>
      <c r="HW291" s="423"/>
      <c r="HX291" s="423"/>
      <c r="HY291" s="423"/>
      <c r="HZ291" s="423"/>
      <c r="IA291" s="423"/>
      <c r="IB291" s="423"/>
      <c r="IC291" s="423"/>
      <c r="ID291" s="423"/>
      <c r="IE291" s="423"/>
      <c r="IF291" s="423"/>
      <c r="IG291" s="423"/>
      <c r="IH291" s="423"/>
      <c r="II291" s="423"/>
    </row>
    <row r="292" spans="1:243" ht="30" customHeight="1" x14ac:dyDescent="0.3">
      <c r="A292" s="3"/>
      <c r="B292" s="423"/>
      <c r="C292" s="423"/>
      <c r="D292" s="423"/>
      <c r="E292" s="423"/>
      <c r="F292" s="423"/>
      <c r="G292" s="423"/>
      <c r="H292" s="423"/>
      <c r="I292" s="423"/>
      <c r="J292" s="423"/>
      <c r="K292" s="423"/>
      <c r="L292" s="423"/>
      <c r="M292" s="423"/>
      <c r="N292" s="423"/>
      <c r="O292" s="423"/>
      <c r="P292" s="423"/>
      <c r="Q292" s="423"/>
      <c r="R292" s="423"/>
      <c r="S292" s="423"/>
      <c r="T292" s="423"/>
      <c r="U292" s="423"/>
      <c r="V292" s="423"/>
      <c r="W292" s="423"/>
      <c r="X292" s="423"/>
      <c r="Y292" s="423"/>
      <c r="Z292" s="423"/>
      <c r="AA292" s="423"/>
      <c r="AB292" s="423"/>
      <c r="AC292" s="423"/>
      <c r="AD292" s="423"/>
      <c r="AE292" s="423"/>
      <c r="AF292" s="423"/>
      <c r="AG292" s="423"/>
      <c r="AH292" s="423"/>
      <c r="AI292" s="423"/>
      <c r="AJ292" s="423"/>
      <c r="AK292" s="423"/>
      <c r="AL292" s="423"/>
      <c r="AM292" s="423"/>
      <c r="AN292" s="423"/>
      <c r="AO292" s="423"/>
      <c r="AP292" s="423"/>
      <c r="AQ292" s="423"/>
      <c r="AR292" s="423"/>
      <c r="AS292" s="423"/>
      <c r="AT292" s="423"/>
      <c r="AU292" s="423"/>
      <c r="AV292" s="423"/>
      <c r="AW292" s="423"/>
      <c r="AX292" s="423"/>
      <c r="AY292" s="423"/>
      <c r="AZ292" s="423"/>
      <c r="BA292" s="423"/>
      <c r="BB292" s="423"/>
      <c r="BC292" s="423"/>
      <c r="BD292" s="423"/>
      <c r="BE292" s="423"/>
      <c r="BF292" s="423"/>
      <c r="BG292" s="423"/>
      <c r="BH292" s="423"/>
      <c r="BI292" s="423"/>
      <c r="BJ292" s="423"/>
      <c r="BK292" s="423"/>
      <c r="BL292" s="423"/>
      <c r="BM292" s="423"/>
      <c r="BN292" s="423"/>
      <c r="BO292" s="423"/>
      <c r="BP292" s="423"/>
      <c r="BQ292" s="423"/>
      <c r="BR292" s="423"/>
      <c r="BS292" s="423"/>
      <c r="BT292" s="423"/>
      <c r="BU292" s="423"/>
      <c r="BV292" s="423"/>
      <c r="BW292" s="423"/>
      <c r="BX292" s="423"/>
      <c r="BY292" s="423"/>
      <c r="BZ292" s="423"/>
      <c r="CA292" s="423"/>
      <c r="CB292" s="423"/>
      <c r="CC292" s="423"/>
      <c r="CD292" s="423"/>
      <c r="CE292" s="423"/>
      <c r="CF292" s="423"/>
      <c r="CG292" s="423"/>
      <c r="CH292" s="423"/>
      <c r="CI292" s="423"/>
      <c r="CJ292" s="423"/>
      <c r="CK292" s="423"/>
      <c r="CL292" s="423"/>
      <c r="CM292" s="423"/>
      <c r="CN292" s="423"/>
      <c r="CO292" s="423"/>
      <c r="CP292" s="423"/>
      <c r="CQ292" s="423"/>
      <c r="CR292" s="423"/>
      <c r="CS292" s="423"/>
      <c r="CT292" s="423"/>
      <c r="CU292" s="423"/>
      <c r="CV292" s="423"/>
      <c r="CW292" s="423"/>
      <c r="CX292" s="423"/>
      <c r="CY292" s="423"/>
      <c r="CZ292" s="423"/>
      <c r="DA292" s="423"/>
      <c r="DB292" s="423"/>
      <c r="DC292" s="423"/>
      <c r="DD292" s="423"/>
      <c r="DE292" s="423"/>
      <c r="DF292" s="423"/>
      <c r="DG292" s="423"/>
      <c r="DH292" s="423"/>
      <c r="DI292" s="423"/>
      <c r="DJ292" s="423"/>
      <c r="DK292" s="423"/>
      <c r="DL292" s="423"/>
      <c r="DM292" s="423"/>
      <c r="DN292" s="423"/>
      <c r="DO292" s="423"/>
      <c r="DP292" s="423"/>
      <c r="DQ292" s="423"/>
      <c r="DR292" s="423"/>
      <c r="DS292" s="423"/>
      <c r="DT292" s="423"/>
      <c r="DU292" s="423"/>
      <c r="DV292" s="423"/>
      <c r="DW292" s="423"/>
      <c r="DX292" s="423"/>
      <c r="DY292" s="423"/>
      <c r="DZ292" s="423"/>
      <c r="EA292" s="423"/>
      <c r="EB292" s="423"/>
      <c r="EC292" s="423"/>
      <c r="ED292" s="423"/>
      <c r="EE292" s="423"/>
      <c r="EF292" s="423"/>
      <c r="EG292" s="423"/>
      <c r="EH292" s="423"/>
      <c r="EI292" s="423"/>
      <c r="EJ292" s="423"/>
      <c r="EK292" s="423"/>
      <c r="EL292" s="423"/>
      <c r="EM292" s="423"/>
      <c r="EN292" s="423"/>
      <c r="EO292" s="423"/>
      <c r="EP292" s="423"/>
      <c r="EQ292" s="423"/>
      <c r="ER292" s="423"/>
      <c r="ES292" s="423"/>
      <c r="ET292" s="423"/>
      <c r="EU292" s="423"/>
      <c r="EV292" s="423"/>
      <c r="EW292" s="423"/>
      <c r="EX292" s="423"/>
      <c r="EY292" s="423"/>
      <c r="EZ292" s="423"/>
      <c r="FA292" s="423"/>
      <c r="FB292" s="423"/>
      <c r="FC292" s="423"/>
      <c r="FD292" s="423"/>
      <c r="FE292" s="423"/>
      <c r="FF292" s="423"/>
      <c r="FG292" s="423"/>
      <c r="FH292" s="423"/>
      <c r="FI292" s="423"/>
      <c r="FJ292" s="423"/>
      <c r="FK292" s="423"/>
      <c r="FL292" s="423"/>
      <c r="FM292" s="423"/>
      <c r="FN292" s="423"/>
      <c r="FO292" s="423"/>
      <c r="FP292" s="423"/>
      <c r="FQ292" s="423"/>
      <c r="FR292" s="423"/>
      <c r="FS292" s="423"/>
      <c r="FT292" s="423"/>
      <c r="FU292" s="423"/>
      <c r="FV292" s="423"/>
      <c r="FW292" s="423"/>
      <c r="FX292" s="423"/>
      <c r="FY292" s="423"/>
      <c r="FZ292" s="423"/>
      <c r="GA292" s="423"/>
      <c r="GB292" s="423"/>
      <c r="GC292" s="423"/>
      <c r="GD292" s="423"/>
      <c r="GE292" s="423"/>
      <c r="GF292" s="423"/>
      <c r="GG292" s="423"/>
      <c r="GH292" s="423"/>
      <c r="GI292" s="423"/>
      <c r="GJ292" s="423"/>
      <c r="GK292" s="423"/>
      <c r="GL292" s="423"/>
      <c r="GM292" s="423"/>
      <c r="GN292" s="423"/>
      <c r="GO292" s="423"/>
      <c r="GP292" s="423"/>
      <c r="GQ292" s="423"/>
      <c r="GR292" s="423"/>
      <c r="GS292" s="423"/>
      <c r="GT292" s="423"/>
      <c r="GU292" s="423"/>
      <c r="GV292" s="423"/>
      <c r="GW292" s="423"/>
      <c r="GX292" s="423"/>
      <c r="GY292" s="423"/>
      <c r="GZ292" s="423"/>
      <c r="HA292" s="423"/>
      <c r="HB292" s="423"/>
      <c r="HC292" s="423"/>
      <c r="HD292" s="423"/>
      <c r="HE292" s="423"/>
      <c r="HF292" s="423"/>
      <c r="HG292" s="423"/>
      <c r="HH292" s="423"/>
      <c r="HI292" s="423"/>
      <c r="HJ292" s="423"/>
      <c r="HK292" s="423"/>
      <c r="HL292" s="423"/>
      <c r="HM292" s="423"/>
      <c r="HN292" s="423"/>
      <c r="HO292" s="423"/>
      <c r="HP292" s="423"/>
      <c r="HQ292" s="423"/>
      <c r="HR292" s="423"/>
      <c r="HS292" s="423"/>
      <c r="HT292" s="423"/>
      <c r="HU292" s="423"/>
      <c r="HV292" s="423"/>
      <c r="HW292" s="423"/>
      <c r="HX292" s="423"/>
      <c r="HY292" s="423"/>
      <c r="HZ292" s="423"/>
      <c r="IA292" s="423"/>
      <c r="IB292" s="423"/>
      <c r="IC292" s="423"/>
      <c r="ID292" s="423"/>
      <c r="IE292" s="423"/>
      <c r="IF292" s="423"/>
      <c r="IG292" s="423"/>
      <c r="IH292" s="423"/>
      <c r="II292" s="423"/>
    </row>
    <row r="293" spans="1:243" ht="30" customHeight="1" x14ac:dyDescent="0.3">
      <c r="A293" s="3"/>
      <c r="B293" s="423"/>
      <c r="C293" s="423"/>
      <c r="D293" s="423"/>
      <c r="E293" s="423"/>
      <c r="F293" s="423"/>
      <c r="G293" s="423"/>
      <c r="H293" s="423"/>
      <c r="I293" s="423"/>
      <c r="J293" s="423"/>
      <c r="K293" s="423"/>
      <c r="L293" s="423"/>
      <c r="M293" s="423"/>
      <c r="N293" s="423"/>
      <c r="O293" s="423"/>
      <c r="P293" s="423"/>
      <c r="Q293" s="423"/>
      <c r="R293" s="423"/>
      <c r="S293" s="423"/>
      <c r="T293" s="423"/>
      <c r="U293" s="423"/>
      <c r="V293" s="423"/>
      <c r="W293" s="423"/>
      <c r="X293" s="423"/>
      <c r="Y293" s="423"/>
      <c r="Z293" s="423"/>
      <c r="AA293" s="423"/>
      <c r="AB293" s="423"/>
      <c r="AC293" s="423"/>
      <c r="AD293" s="423"/>
      <c r="AE293" s="423"/>
      <c r="AF293" s="423"/>
      <c r="AG293" s="423"/>
      <c r="AH293" s="423"/>
      <c r="AI293" s="423"/>
      <c r="AJ293" s="423"/>
      <c r="AK293" s="423"/>
      <c r="AL293" s="423"/>
      <c r="AM293" s="423"/>
      <c r="AN293" s="423"/>
      <c r="AO293" s="423"/>
      <c r="AP293" s="423"/>
      <c r="AQ293" s="423"/>
      <c r="AR293" s="423"/>
      <c r="AS293" s="423"/>
      <c r="AT293" s="423"/>
      <c r="AU293" s="423"/>
      <c r="AV293" s="423"/>
      <c r="AW293" s="423"/>
      <c r="AX293" s="423"/>
      <c r="AY293" s="423"/>
      <c r="AZ293" s="423"/>
      <c r="BA293" s="423"/>
      <c r="BB293" s="423"/>
      <c r="BC293" s="423"/>
      <c r="BD293" s="423"/>
      <c r="BE293" s="423"/>
      <c r="BF293" s="423"/>
      <c r="BG293" s="423"/>
      <c r="BH293" s="423"/>
      <c r="BI293" s="423"/>
      <c r="BJ293" s="423"/>
      <c r="BK293" s="423"/>
      <c r="BL293" s="423"/>
      <c r="BM293" s="423"/>
      <c r="BN293" s="423"/>
      <c r="BO293" s="423"/>
      <c r="BP293" s="423"/>
      <c r="BQ293" s="423"/>
      <c r="BR293" s="423"/>
      <c r="BS293" s="423"/>
      <c r="BT293" s="423"/>
      <c r="BU293" s="423"/>
      <c r="BV293" s="423"/>
      <c r="BW293" s="423"/>
      <c r="BX293" s="423"/>
      <c r="BY293" s="423"/>
      <c r="BZ293" s="423"/>
      <c r="CA293" s="423"/>
      <c r="CB293" s="423"/>
      <c r="CC293" s="423"/>
      <c r="CD293" s="423"/>
      <c r="CE293" s="423"/>
      <c r="CF293" s="423"/>
      <c r="CG293" s="423"/>
      <c r="CH293" s="423"/>
      <c r="CI293" s="423"/>
      <c r="CJ293" s="423"/>
      <c r="CK293" s="423"/>
      <c r="CL293" s="423"/>
      <c r="CM293" s="423"/>
      <c r="CN293" s="423"/>
      <c r="CO293" s="423"/>
      <c r="CP293" s="423"/>
      <c r="CQ293" s="423"/>
      <c r="CR293" s="423"/>
      <c r="CS293" s="423"/>
      <c r="CT293" s="423"/>
      <c r="CU293" s="423"/>
      <c r="CV293" s="423"/>
      <c r="CW293" s="423"/>
      <c r="CX293" s="423"/>
      <c r="CY293" s="423"/>
      <c r="CZ293" s="423"/>
      <c r="DA293" s="423"/>
      <c r="DB293" s="423"/>
      <c r="DC293" s="423"/>
      <c r="DD293" s="423"/>
      <c r="DE293" s="423"/>
      <c r="DF293" s="423"/>
      <c r="DG293" s="423"/>
      <c r="DH293" s="423"/>
      <c r="DI293" s="423"/>
      <c r="DJ293" s="423"/>
      <c r="DK293" s="423"/>
      <c r="DL293" s="423"/>
      <c r="DM293" s="423"/>
      <c r="DN293" s="423"/>
      <c r="DO293" s="423"/>
      <c r="DP293" s="423"/>
      <c r="DQ293" s="423"/>
      <c r="DR293" s="423"/>
      <c r="DS293" s="423"/>
      <c r="DT293" s="423"/>
      <c r="DU293" s="423"/>
      <c r="DV293" s="423"/>
      <c r="DW293" s="423"/>
      <c r="DX293" s="423"/>
      <c r="DY293" s="423"/>
      <c r="DZ293" s="423"/>
      <c r="EA293" s="423"/>
      <c r="EB293" s="423"/>
      <c r="EC293" s="423"/>
      <c r="ED293" s="423"/>
      <c r="EE293" s="423"/>
      <c r="EF293" s="423"/>
      <c r="EG293" s="423"/>
      <c r="EH293" s="423"/>
      <c r="EI293" s="423"/>
      <c r="EJ293" s="423"/>
      <c r="EK293" s="423"/>
      <c r="EL293" s="423"/>
      <c r="EM293" s="423"/>
      <c r="EN293" s="423"/>
      <c r="EO293" s="423"/>
      <c r="EP293" s="423"/>
      <c r="EQ293" s="423"/>
      <c r="ER293" s="423"/>
      <c r="ES293" s="423"/>
      <c r="ET293" s="423"/>
      <c r="EU293" s="423"/>
      <c r="EV293" s="423"/>
      <c r="EW293" s="423"/>
      <c r="EX293" s="423"/>
      <c r="EY293" s="423"/>
      <c r="EZ293" s="423"/>
      <c r="FA293" s="423"/>
      <c r="FB293" s="423"/>
      <c r="FC293" s="423"/>
      <c r="FD293" s="423"/>
      <c r="FE293" s="423"/>
      <c r="FF293" s="423"/>
      <c r="FG293" s="423"/>
      <c r="FH293" s="423"/>
      <c r="FI293" s="423"/>
      <c r="FJ293" s="423"/>
      <c r="FK293" s="423"/>
      <c r="FL293" s="423"/>
      <c r="FM293" s="423"/>
      <c r="FN293" s="423"/>
      <c r="FO293" s="423"/>
      <c r="FP293" s="423"/>
      <c r="FQ293" s="423"/>
      <c r="FR293" s="423"/>
      <c r="FS293" s="423"/>
      <c r="FT293" s="423"/>
      <c r="FU293" s="423"/>
      <c r="FV293" s="423"/>
      <c r="FW293" s="423"/>
      <c r="FX293" s="423"/>
      <c r="FY293" s="423"/>
      <c r="FZ293" s="423"/>
      <c r="GA293" s="423"/>
      <c r="GB293" s="423"/>
      <c r="GC293" s="423"/>
      <c r="GD293" s="423"/>
      <c r="GE293" s="423"/>
      <c r="GF293" s="423"/>
      <c r="GG293" s="423"/>
      <c r="GH293" s="423"/>
      <c r="GI293" s="423"/>
      <c r="GJ293" s="423"/>
      <c r="GK293" s="423"/>
      <c r="GL293" s="423"/>
      <c r="GM293" s="423"/>
      <c r="GN293" s="423"/>
      <c r="GO293" s="423"/>
      <c r="GP293" s="423"/>
      <c r="GQ293" s="423"/>
      <c r="GR293" s="423"/>
      <c r="GS293" s="423"/>
      <c r="GT293" s="423"/>
      <c r="GU293" s="423"/>
      <c r="GV293" s="423"/>
      <c r="GW293" s="423"/>
      <c r="GX293" s="423"/>
      <c r="GY293" s="423"/>
      <c r="GZ293" s="423"/>
      <c r="HA293" s="423"/>
      <c r="HB293" s="423"/>
      <c r="HC293" s="423"/>
      <c r="HD293" s="423"/>
      <c r="HE293" s="423"/>
      <c r="HF293" s="423"/>
      <c r="HG293" s="423"/>
      <c r="HH293" s="423"/>
      <c r="HI293" s="423"/>
      <c r="HJ293" s="423"/>
      <c r="HK293" s="423"/>
      <c r="HL293" s="423"/>
      <c r="HM293" s="423"/>
      <c r="HN293" s="423"/>
      <c r="HO293" s="423"/>
      <c r="HP293" s="423"/>
      <c r="HQ293" s="423"/>
      <c r="HR293" s="423"/>
      <c r="HS293" s="423"/>
      <c r="HT293" s="423"/>
      <c r="HU293" s="423"/>
      <c r="HV293" s="423"/>
      <c r="HW293" s="423"/>
      <c r="HX293" s="423"/>
      <c r="HY293" s="423"/>
      <c r="HZ293" s="423"/>
      <c r="IA293" s="423"/>
      <c r="IB293" s="423"/>
      <c r="IC293" s="423"/>
      <c r="ID293" s="423"/>
      <c r="IE293" s="423"/>
      <c r="IF293" s="423"/>
      <c r="IG293" s="423"/>
      <c r="IH293" s="423"/>
      <c r="II293" s="423"/>
    </row>
  </sheetData>
  <mergeCells count="1">
    <mergeCell ref="A2:I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0"/>
  <sheetViews>
    <sheetView workbookViewId="0">
      <selection activeCell="C13" sqref="C13"/>
    </sheetView>
  </sheetViews>
  <sheetFormatPr defaultRowHeight="14.4" x14ac:dyDescent="0.3"/>
  <cols>
    <col min="1" max="1" width="19.33203125" customWidth="1"/>
    <col min="2" max="2" width="7.33203125" customWidth="1"/>
    <col min="3" max="3" width="23.33203125" customWidth="1"/>
    <col min="4" max="4" width="16.6640625" customWidth="1"/>
    <col min="7" max="7" width="21.5546875" customWidth="1"/>
    <col min="8" max="8" width="18.5546875" customWidth="1"/>
  </cols>
  <sheetData>
    <row r="2" spans="1:8" ht="18" thickBot="1" x14ac:dyDescent="0.35">
      <c r="B2" s="795" t="s">
        <v>2677</v>
      </c>
      <c r="C2" s="795"/>
      <c r="D2" s="795"/>
      <c r="E2" s="795"/>
      <c r="F2" s="795"/>
      <c r="G2" s="795"/>
      <c r="H2" s="795"/>
    </row>
    <row r="3" spans="1:8" x14ac:dyDescent="0.3">
      <c r="A3" s="562" t="s">
        <v>2678</v>
      </c>
      <c r="B3" s="563" t="s">
        <v>2679</v>
      </c>
      <c r="C3" s="563" t="s">
        <v>2680</v>
      </c>
      <c r="D3" s="563" t="s">
        <v>2681</v>
      </c>
      <c r="E3" s="563" t="s">
        <v>2682</v>
      </c>
      <c r="F3" s="563" t="s">
        <v>2683</v>
      </c>
      <c r="G3" s="563" t="s">
        <v>2684</v>
      </c>
      <c r="H3" s="564" t="s">
        <v>2685</v>
      </c>
    </row>
    <row r="4" spans="1:8" x14ac:dyDescent="0.3">
      <c r="A4" s="565" t="s">
        <v>2686</v>
      </c>
      <c r="B4" s="566">
        <v>1</v>
      </c>
      <c r="C4" s="567" t="s">
        <v>2687</v>
      </c>
      <c r="D4" s="94" t="s">
        <v>2688</v>
      </c>
      <c r="E4" s="94" t="s">
        <v>2689</v>
      </c>
      <c r="F4" s="94" t="s">
        <v>500</v>
      </c>
      <c r="G4" s="94" t="s">
        <v>2690</v>
      </c>
      <c r="H4" s="568" t="s">
        <v>2691</v>
      </c>
    </row>
    <row r="5" spans="1:8" x14ac:dyDescent="0.3">
      <c r="A5" s="565" t="s">
        <v>2692</v>
      </c>
      <c r="B5" s="566">
        <v>2</v>
      </c>
      <c r="C5" s="567" t="s">
        <v>2693</v>
      </c>
      <c r="D5" s="94" t="s">
        <v>2688</v>
      </c>
      <c r="E5" s="94" t="s">
        <v>2694</v>
      </c>
      <c r="F5" s="94" t="s">
        <v>2695</v>
      </c>
      <c r="G5" s="94" t="s">
        <v>2690</v>
      </c>
      <c r="H5" s="568" t="s">
        <v>2696</v>
      </c>
    </row>
    <row r="6" spans="1:8" x14ac:dyDescent="0.3">
      <c r="A6" s="569" t="s">
        <v>2697</v>
      </c>
      <c r="B6" s="94">
        <v>3</v>
      </c>
      <c r="C6" s="333" t="s">
        <v>2693</v>
      </c>
      <c r="D6" s="94" t="s">
        <v>2688</v>
      </c>
      <c r="E6" s="94" t="s">
        <v>2694</v>
      </c>
      <c r="F6" s="94" t="s">
        <v>500</v>
      </c>
      <c r="G6" s="333" t="s">
        <v>2690</v>
      </c>
      <c r="H6" s="568" t="s">
        <v>2696</v>
      </c>
    </row>
    <row r="7" spans="1:8" x14ac:dyDescent="0.3">
      <c r="A7" s="570"/>
      <c r="B7" s="566">
        <v>4</v>
      </c>
      <c r="C7" s="567" t="s">
        <v>2698</v>
      </c>
      <c r="D7" s="94" t="s">
        <v>2688</v>
      </c>
      <c r="E7" s="94" t="s">
        <v>2699</v>
      </c>
      <c r="F7" s="94" t="s">
        <v>2700</v>
      </c>
      <c r="G7" s="567" t="s">
        <v>2690</v>
      </c>
      <c r="H7" s="568" t="s">
        <v>2701</v>
      </c>
    </row>
    <row r="8" spans="1:8" x14ac:dyDescent="0.3">
      <c r="A8" s="565" t="s">
        <v>2702</v>
      </c>
      <c r="B8" s="566"/>
      <c r="C8" s="567"/>
      <c r="D8" s="567"/>
      <c r="E8" s="567"/>
      <c r="F8" s="567"/>
      <c r="G8" s="567"/>
      <c r="H8" s="571"/>
    </row>
    <row r="9" spans="1:8" x14ac:dyDescent="0.3">
      <c r="A9" s="565" t="s">
        <v>2703</v>
      </c>
      <c r="B9" s="566"/>
      <c r="C9" s="567"/>
      <c r="D9" s="567"/>
      <c r="E9" s="567"/>
      <c r="F9" s="567"/>
      <c r="G9" s="567"/>
      <c r="H9" s="571"/>
    </row>
    <row r="10" spans="1:8" ht="15" thickBot="1" x14ac:dyDescent="0.35">
      <c r="A10" s="572" t="s">
        <v>2704</v>
      </c>
      <c r="B10" s="573"/>
      <c r="C10" s="574"/>
      <c r="D10" s="574"/>
      <c r="E10" s="574"/>
      <c r="F10" s="574"/>
      <c r="G10" s="574"/>
      <c r="H10" s="575"/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60"/>
  <sheetViews>
    <sheetView topLeftCell="A10" workbookViewId="0">
      <selection activeCell="F7" sqref="F7"/>
    </sheetView>
  </sheetViews>
  <sheetFormatPr defaultColWidth="8.88671875" defaultRowHeight="13.8" x14ac:dyDescent="0.3"/>
  <cols>
    <col min="1" max="1" width="8.88671875" style="407"/>
    <col min="2" max="2" width="40.88671875" style="389" customWidth="1"/>
    <col min="3" max="8" width="20.5546875" style="407" customWidth="1"/>
    <col min="9" max="9" width="38.109375" style="389" customWidth="1"/>
    <col min="10" max="16384" width="8.88671875" style="389"/>
  </cols>
  <sheetData>
    <row r="2" spans="1:9" ht="13.5" customHeight="1" x14ac:dyDescent="0.3">
      <c r="A2" s="796" t="s">
        <v>2239</v>
      </c>
      <c r="B2" s="797"/>
      <c r="C2" s="797"/>
      <c r="D2" s="797"/>
      <c r="E2" s="797"/>
      <c r="F2" s="797"/>
      <c r="G2" s="797"/>
      <c r="H2" s="797"/>
      <c r="I2" s="798"/>
    </row>
    <row r="3" spans="1:9" ht="15.75" customHeight="1" x14ac:dyDescent="0.3">
      <c r="A3" s="799"/>
      <c r="B3" s="800"/>
      <c r="C3" s="800"/>
      <c r="D3" s="800"/>
      <c r="E3" s="800"/>
      <c r="F3" s="800"/>
      <c r="G3" s="800"/>
      <c r="H3" s="800"/>
      <c r="I3" s="801"/>
    </row>
    <row r="4" spans="1:9" s="391" customFormat="1" ht="30" customHeight="1" x14ac:dyDescent="0.3">
      <c r="A4" s="390" t="s">
        <v>0</v>
      </c>
      <c r="B4" s="390" t="s">
        <v>545</v>
      </c>
      <c r="C4" s="390" t="s">
        <v>4</v>
      </c>
      <c r="D4" s="390" t="s">
        <v>5</v>
      </c>
      <c r="E4" s="390" t="s">
        <v>6</v>
      </c>
      <c r="F4" s="390" t="s">
        <v>7</v>
      </c>
      <c r="G4" s="390" t="s">
        <v>8</v>
      </c>
      <c r="H4" s="390" t="s">
        <v>9</v>
      </c>
      <c r="I4" s="390" t="s">
        <v>2086</v>
      </c>
    </row>
    <row r="5" spans="1:9" s="395" customFormat="1" ht="30" customHeight="1" x14ac:dyDescent="0.3">
      <c r="A5" s="392">
        <v>4</v>
      </c>
      <c r="B5" s="393" t="s">
        <v>324</v>
      </c>
      <c r="C5" s="392"/>
      <c r="D5" s="392"/>
      <c r="E5" s="392"/>
      <c r="F5" s="392"/>
      <c r="G5" s="392"/>
      <c r="H5" s="392"/>
      <c r="I5" s="394"/>
    </row>
    <row r="6" spans="1:9" s="395" customFormat="1" ht="30" customHeight="1" x14ac:dyDescent="0.3">
      <c r="A6" s="392">
        <v>6</v>
      </c>
      <c r="B6" s="396" t="s">
        <v>1530</v>
      </c>
      <c r="C6" s="392"/>
      <c r="D6" s="392"/>
      <c r="E6" s="392"/>
      <c r="F6" s="392"/>
      <c r="G6" s="392"/>
      <c r="H6" s="392"/>
      <c r="I6" s="394"/>
    </row>
    <row r="7" spans="1:9" s="395" customFormat="1" ht="30" customHeight="1" x14ac:dyDescent="0.3">
      <c r="A7" s="392">
        <v>9</v>
      </c>
      <c r="B7" s="397" t="s">
        <v>2087</v>
      </c>
      <c r="C7" s="392"/>
      <c r="D7" s="392"/>
      <c r="E7" s="392"/>
      <c r="F7" s="392"/>
      <c r="G7" s="392"/>
      <c r="H7" s="392"/>
      <c r="I7" s="394"/>
    </row>
    <row r="8" spans="1:9" s="395" customFormat="1" ht="30" customHeight="1" x14ac:dyDescent="0.3">
      <c r="A8" s="392">
        <v>10</v>
      </c>
      <c r="B8" s="398" t="s">
        <v>291</v>
      </c>
      <c r="C8" s="392"/>
      <c r="D8" s="392"/>
      <c r="E8" s="392"/>
      <c r="F8" s="392"/>
      <c r="G8" s="392"/>
      <c r="H8" s="392"/>
      <c r="I8" s="394"/>
    </row>
    <row r="9" spans="1:9" s="395" customFormat="1" ht="30" customHeight="1" x14ac:dyDescent="0.3">
      <c r="A9" s="392">
        <v>15</v>
      </c>
      <c r="B9" s="399" t="s">
        <v>311</v>
      </c>
      <c r="C9" s="392"/>
      <c r="D9" s="392"/>
      <c r="E9" s="392"/>
      <c r="F9" s="392"/>
      <c r="G9" s="392"/>
      <c r="H9" s="392"/>
      <c r="I9" s="394"/>
    </row>
    <row r="10" spans="1:9" s="395" customFormat="1" ht="30" customHeight="1" x14ac:dyDescent="0.3">
      <c r="A10" s="392">
        <v>16</v>
      </c>
      <c r="B10" s="399" t="s">
        <v>316</v>
      </c>
      <c r="C10" s="392"/>
      <c r="D10" s="392"/>
      <c r="E10" s="392"/>
      <c r="F10" s="392"/>
      <c r="G10" s="392"/>
      <c r="H10" s="392"/>
      <c r="I10" s="394"/>
    </row>
    <row r="11" spans="1:9" s="395" customFormat="1" ht="30" customHeight="1" x14ac:dyDescent="0.3">
      <c r="A11" s="392">
        <v>17</v>
      </c>
      <c r="B11" s="399" t="s">
        <v>2088</v>
      </c>
      <c r="C11" s="392"/>
      <c r="D11" s="392"/>
      <c r="E11" s="392"/>
      <c r="F11" s="392"/>
      <c r="G11" s="392"/>
      <c r="H11" s="392"/>
      <c r="I11" s="394"/>
    </row>
    <row r="12" spans="1:9" s="395" customFormat="1" ht="30" customHeight="1" x14ac:dyDescent="0.3">
      <c r="A12" s="392">
        <v>18</v>
      </c>
      <c r="B12" s="400" t="s">
        <v>40</v>
      </c>
      <c r="C12" s="392"/>
      <c r="D12" s="392"/>
      <c r="E12" s="392"/>
      <c r="F12" s="392"/>
      <c r="G12" s="392"/>
      <c r="H12" s="392"/>
      <c r="I12" s="394"/>
    </row>
    <row r="13" spans="1:9" s="395" customFormat="1" ht="30" customHeight="1" x14ac:dyDescent="0.3">
      <c r="A13" s="392">
        <v>19</v>
      </c>
      <c r="B13" s="398" t="s">
        <v>59</v>
      </c>
      <c r="C13" s="392"/>
      <c r="D13" s="392"/>
      <c r="E13" s="392"/>
      <c r="F13" s="392"/>
      <c r="G13" s="392"/>
      <c r="H13" s="392"/>
      <c r="I13" s="394"/>
    </row>
    <row r="14" spans="1:9" s="395" customFormat="1" ht="30" customHeight="1" x14ac:dyDescent="0.3">
      <c r="A14" s="392">
        <v>20</v>
      </c>
      <c r="B14" s="401" t="s">
        <v>2089</v>
      </c>
      <c r="C14" s="392"/>
      <c r="D14" s="392"/>
      <c r="E14" s="392"/>
      <c r="F14" s="392"/>
      <c r="G14" s="392"/>
      <c r="H14" s="392"/>
      <c r="I14" s="394"/>
    </row>
    <row r="15" spans="1:9" s="395" customFormat="1" ht="30" customHeight="1" x14ac:dyDescent="0.3">
      <c r="A15" s="392">
        <v>21</v>
      </c>
      <c r="B15" s="398" t="s">
        <v>291</v>
      </c>
      <c r="C15" s="392"/>
      <c r="D15" s="392"/>
      <c r="E15" s="392"/>
      <c r="F15" s="392"/>
      <c r="G15" s="392"/>
      <c r="H15" s="392"/>
      <c r="I15" s="394"/>
    </row>
    <row r="16" spans="1:9" s="395" customFormat="1" ht="30" customHeight="1" x14ac:dyDescent="0.3">
      <c r="A16" s="392">
        <v>23</v>
      </c>
      <c r="B16" s="399" t="s">
        <v>468</v>
      </c>
      <c r="C16" s="392"/>
      <c r="D16" s="392"/>
      <c r="E16" s="392"/>
      <c r="F16" s="392"/>
      <c r="G16" s="392"/>
      <c r="H16" s="392"/>
      <c r="I16" s="394"/>
    </row>
    <row r="17" spans="1:9" ht="30" customHeight="1" x14ac:dyDescent="0.3">
      <c r="A17" s="194"/>
      <c r="B17" s="402"/>
      <c r="C17" s="194"/>
      <c r="D17" s="194"/>
      <c r="E17" s="194"/>
      <c r="F17" s="194"/>
      <c r="G17" s="194"/>
      <c r="H17" s="194"/>
      <c r="I17" s="403"/>
    </row>
    <row r="18" spans="1:9" ht="30" customHeight="1" x14ac:dyDescent="0.3">
      <c r="A18" s="194"/>
      <c r="B18" s="404"/>
      <c r="C18" s="194"/>
      <c r="D18" s="194"/>
      <c r="E18" s="194"/>
      <c r="F18" s="194"/>
      <c r="G18" s="194"/>
      <c r="H18" s="194"/>
      <c r="I18" s="403"/>
    </row>
    <row r="19" spans="1:9" ht="30" customHeight="1" x14ac:dyDescent="0.3">
      <c r="A19" s="194"/>
      <c r="B19" s="265"/>
      <c r="C19" s="194"/>
      <c r="D19" s="194"/>
      <c r="E19" s="194"/>
      <c r="F19" s="194"/>
      <c r="G19" s="194"/>
      <c r="H19" s="194"/>
      <c r="I19" s="403"/>
    </row>
    <row r="20" spans="1:9" ht="30" customHeight="1" x14ac:dyDescent="0.3">
      <c r="A20" s="194"/>
      <c r="B20" s="265"/>
      <c r="C20" s="194"/>
      <c r="D20" s="194"/>
      <c r="E20" s="194"/>
      <c r="F20" s="194"/>
      <c r="G20" s="194"/>
      <c r="H20" s="194"/>
      <c r="I20" s="403"/>
    </row>
    <row r="21" spans="1:9" s="8" customFormat="1" ht="30" customHeight="1" x14ac:dyDescent="0.3">
      <c r="A21" s="9"/>
      <c r="B21" s="2"/>
      <c r="C21" s="9"/>
      <c r="D21" s="9"/>
      <c r="E21" s="9"/>
      <c r="F21" s="9"/>
      <c r="G21" s="9"/>
      <c r="H21" s="9"/>
      <c r="I21" s="405"/>
    </row>
    <row r="22" spans="1:9" ht="30" customHeight="1" x14ac:dyDescent="0.3">
      <c r="A22" s="194"/>
      <c r="B22" s="402"/>
      <c r="C22" s="194"/>
      <c r="D22" s="194"/>
      <c r="E22" s="194"/>
      <c r="F22" s="194"/>
      <c r="G22" s="194"/>
      <c r="H22" s="194"/>
      <c r="I22" s="403"/>
    </row>
    <row r="23" spans="1:9" ht="30" customHeight="1" x14ac:dyDescent="0.3">
      <c r="A23" s="194"/>
      <c r="B23" s="2"/>
      <c r="C23" s="194"/>
      <c r="D23" s="194"/>
      <c r="E23" s="194"/>
      <c r="F23" s="194"/>
      <c r="G23" s="194"/>
      <c r="H23" s="194"/>
      <c r="I23" s="403"/>
    </row>
    <row r="24" spans="1:9" ht="30" customHeight="1" x14ac:dyDescent="0.3">
      <c r="A24" s="194"/>
      <c r="B24" s="2"/>
      <c r="C24" s="194"/>
      <c r="D24" s="194"/>
      <c r="E24" s="194"/>
      <c r="F24" s="194"/>
      <c r="G24" s="194"/>
      <c r="H24" s="194"/>
      <c r="I24" s="403"/>
    </row>
    <row r="25" spans="1:9" ht="30" customHeight="1" x14ac:dyDescent="0.3">
      <c r="A25" s="194"/>
      <c r="B25" s="404"/>
      <c r="C25" s="194"/>
      <c r="D25" s="194"/>
      <c r="E25" s="194"/>
      <c r="F25" s="194"/>
      <c r="G25" s="194"/>
      <c r="H25" s="194"/>
      <c r="I25" s="403"/>
    </row>
    <row r="26" spans="1:9" ht="30" customHeight="1" x14ac:dyDescent="0.3">
      <c r="A26" s="194"/>
      <c r="B26" s="404"/>
      <c r="C26" s="194"/>
      <c r="D26" s="194"/>
      <c r="E26" s="194"/>
      <c r="F26" s="194"/>
      <c r="G26" s="194"/>
      <c r="H26" s="194"/>
      <c r="I26" s="403"/>
    </row>
    <row r="27" spans="1:9" ht="30" customHeight="1" x14ac:dyDescent="0.3">
      <c r="A27" s="194"/>
      <c r="B27" s="404"/>
      <c r="C27" s="194"/>
      <c r="D27" s="194"/>
      <c r="E27" s="194"/>
      <c r="F27" s="194"/>
      <c r="G27" s="194"/>
      <c r="H27" s="194"/>
      <c r="I27" s="403"/>
    </row>
    <row r="28" spans="1:9" ht="30" customHeight="1" x14ac:dyDescent="0.3">
      <c r="A28" s="194"/>
      <c r="B28" s="404"/>
      <c r="C28" s="194"/>
      <c r="D28" s="194"/>
      <c r="E28" s="194"/>
      <c r="F28" s="194"/>
      <c r="G28" s="194"/>
      <c r="H28" s="194"/>
      <c r="I28" s="403"/>
    </row>
    <row r="29" spans="1:9" ht="30" customHeight="1" x14ac:dyDescent="0.3">
      <c r="A29" s="194"/>
      <c r="B29" s="402"/>
      <c r="C29" s="194"/>
      <c r="D29" s="194"/>
      <c r="E29" s="194"/>
      <c r="F29" s="194"/>
      <c r="G29" s="194"/>
      <c r="H29" s="194"/>
      <c r="I29" s="403"/>
    </row>
    <row r="30" spans="1:9" ht="30" customHeight="1" x14ac:dyDescent="0.3">
      <c r="A30" s="194"/>
      <c r="B30" s="265"/>
      <c r="C30" s="194"/>
      <c r="D30" s="194"/>
      <c r="E30" s="194"/>
      <c r="F30" s="194"/>
      <c r="G30" s="194"/>
      <c r="H30" s="194"/>
      <c r="I30" s="403"/>
    </row>
    <row r="31" spans="1:9" ht="30" customHeight="1" x14ac:dyDescent="0.3">
      <c r="A31" s="194"/>
      <c r="B31" s="265"/>
      <c r="C31" s="194"/>
      <c r="D31" s="194"/>
      <c r="E31" s="194"/>
      <c r="F31" s="194"/>
      <c r="G31" s="194"/>
      <c r="H31" s="194"/>
      <c r="I31" s="403"/>
    </row>
    <row r="32" spans="1:9" ht="30" customHeight="1" x14ac:dyDescent="0.3">
      <c r="A32" s="194"/>
      <c r="B32" s="404"/>
      <c r="C32" s="194"/>
      <c r="D32" s="194"/>
      <c r="E32" s="194"/>
      <c r="F32" s="194"/>
      <c r="G32" s="194"/>
      <c r="H32" s="194"/>
      <c r="I32" s="403"/>
    </row>
    <row r="33" spans="1:9" ht="30" customHeight="1" x14ac:dyDescent="0.3">
      <c r="A33" s="194"/>
      <c r="B33" s="402"/>
      <c r="C33" s="194"/>
      <c r="D33" s="194"/>
      <c r="E33" s="194"/>
      <c r="F33" s="194"/>
      <c r="G33" s="194"/>
      <c r="H33" s="194"/>
      <c r="I33" s="403"/>
    </row>
    <row r="34" spans="1:9" ht="30" customHeight="1" x14ac:dyDescent="0.3">
      <c r="A34" s="194"/>
      <c r="B34" s="404"/>
      <c r="C34" s="194"/>
      <c r="D34" s="194"/>
      <c r="E34" s="194"/>
      <c r="F34" s="194"/>
      <c r="G34" s="194"/>
      <c r="H34" s="194"/>
      <c r="I34" s="403"/>
    </row>
    <row r="35" spans="1:9" ht="30" customHeight="1" x14ac:dyDescent="0.3">
      <c r="A35" s="194"/>
      <c r="B35" s="402"/>
      <c r="C35" s="194"/>
      <c r="D35" s="194"/>
      <c r="E35" s="194"/>
      <c r="F35" s="194"/>
      <c r="G35" s="194"/>
      <c r="H35" s="194"/>
      <c r="I35" s="403"/>
    </row>
    <row r="36" spans="1:9" ht="30" customHeight="1" x14ac:dyDescent="0.3">
      <c r="A36" s="194"/>
      <c r="B36" s="404"/>
      <c r="C36" s="194"/>
      <c r="D36" s="194"/>
      <c r="E36" s="194"/>
      <c r="F36" s="194"/>
      <c r="G36" s="194"/>
      <c r="H36" s="194"/>
      <c r="I36" s="403"/>
    </row>
    <row r="37" spans="1:9" ht="30" customHeight="1" x14ac:dyDescent="0.3">
      <c r="A37" s="194"/>
      <c r="B37" s="404"/>
      <c r="C37" s="194"/>
      <c r="D37" s="194"/>
      <c r="E37" s="194"/>
      <c r="F37" s="194"/>
      <c r="G37" s="194"/>
      <c r="H37" s="194"/>
      <c r="I37" s="403"/>
    </row>
    <row r="38" spans="1:9" ht="30" customHeight="1" x14ac:dyDescent="0.3">
      <c r="A38" s="194"/>
      <c r="B38" s="2"/>
      <c r="C38" s="194"/>
      <c r="D38" s="194"/>
      <c r="E38" s="194"/>
      <c r="F38" s="194"/>
      <c r="G38" s="194"/>
      <c r="H38" s="194"/>
      <c r="I38" s="403"/>
    </row>
    <row r="39" spans="1:9" ht="30" customHeight="1" x14ac:dyDescent="0.3">
      <c r="A39" s="194"/>
      <c r="B39" s="2"/>
      <c r="C39" s="194"/>
      <c r="D39" s="194"/>
      <c r="E39" s="194"/>
      <c r="F39" s="194"/>
      <c r="G39" s="194"/>
      <c r="H39" s="194"/>
      <c r="I39" s="403"/>
    </row>
    <row r="40" spans="1:9" s="8" customFormat="1" ht="30" customHeight="1" x14ac:dyDescent="0.3">
      <c r="A40" s="9"/>
      <c r="B40" s="265"/>
      <c r="C40" s="9"/>
      <c r="D40" s="9"/>
      <c r="E40" s="9"/>
      <c r="F40" s="9"/>
      <c r="G40" s="9"/>
      <c r="H40" s="9"/>
      <c r="I40" s="405"/>
    </row>
    <row r="41" spans="1:9" s="8" customFormat="1" ht="30" customHeight="1" x14ac:dyDescent="0.3">
      <c r="A41" s="9"/>
      <c r="B41" s="2"/>
      <c r="C41" s="9"/>
      <c r="D41" s="9"/>
      <c r="E41" s="9"/>
      <c r="F41" s="9"/>
      <c r="G41" s="9"/>
      <c r="H41" s="9"/>
      <c r="I41" s="405"/>
    </row>
    <row r="42" spans="1:9" s="8" customFormat="1" ht="30" customHeight="1" x14ac:dyDescent="0.3">
      <c r="A42" s="9"/>
      <c r="B42" s="2"/>
      <c r="C42" s="9"/>
      <c r="D42" s="9"/>
      <c r="E42" s="9"/>
      <c r="F42" s="9"/>
      <c r="G42" s="9"/>
      <c r="H42" s="9"/>
      <c r="I42" s="405"/>
    </row>
    <row r="43" spans="1:9" s="8" customFormat="1" ht="30" customHeight="1" x14ac:dyDescent="0.3">
      <c r="A43" s="9"/>
      <c r="B43" s="2"/>
      <c r="C43" s="9"/>
      <c r="D43" s="9"/>
      <c r="E43" s="9"/>
      <c r="F43" s="9"/>
      <c r="G43" s="9"/>
      <c r="H43" s="9"/>
      <c r="I43" s="405"/>
    </row>
    <row r="44" spans="1:9" s="8" customFormat="1" ht="30" customHeight="1" x14ac:dyDescent="0.3"/>
    <row r="45" spans="1:9" s="8" customFormat="1" ht="30" customHeight="1" x14ac:dyDescent="0.3"/>
    <row r="46" spans="1:9" s="8" customFormat="1" ht="30" customHeight="1" x14ac:dyDescent="0.3"/>
    <row r="47" spans="1:9" s="8" customFormat="1" ht="30" customHeight="1" x14ac:dyDescent="0.3"/>
    <row r="48" spans="1:9" s="8" customFormat="1" ht="30" customHeight="1" x14ac:dyDescent="0.3"/>
    <row r="49" s="389" customFormat="1" ht="30" customHeight="1" x14ac:dyDescent="0.3"/>
    <row r="50" s="389" customFormat="1" ht="30" customHeight="1" x14ac:dyDescent="0.3"/>
    <row r="51" s="389" customFormat="1" ht="30" customHeight="1" x14ac:dyDescent="0.3"/>
    <row r="52" s="389" customFormat="1" ht="30" customHeight="1" x14ac:dyDescent="0.3"/>
    <row r="53" s="389" customFormat="1" ht="30" customHeight="1" x14ac:dyDescent="0.3"/>
    <row r="54" s="389" customFormat="1" ht="30" customHeight="1" x14ac:dyDescent="0.3"/>
    <row r="55" s="389" customFormat="1" ht="30" customHeight="1" x14ac:dyDescent="0.3"/>
    <row r="56" s="389" customFormat="1" ht="30" customHeight="1" x14ac:dyDescent="0.3"/>
    <row r="57" s="389" customFormat="1" ht="30" customHeight="1" x14ac:dyDescent="0.3"/>
    <row r="58" s="389" customFormat="1" ht="30" customHeight="1" x14ac:dyDescent="0.3"/>
    <row r="59" s="389" customFormat="1" ht="30" customHeight="1" x14ac:dyDescent="0.3"/>
    <row r="60" s="389" customFormat="1" ht="30" customHeight="1" x14ac:dyDescent="0.3"/>
    <row r="61" s="389" customFormat="1" ht="30" customHeight="1" x14ac:dyDescent="0.3"/>
    <row r="62" s="389" customFormat="1" ht="30" customHeight="1" x14ac:dyDescent="0.3"/>
    <row r="63" s="406" customFormat="1" ht="30" customHeight="1" x14ac:dyDescent="0.3"/>
    <row r="64" s="389" customFormat="1" ht="30" customHeight="1" x14ac:dyDescent="0.3"/>
    <row r="65" s="389" customFormat="1" ht="30" customHeight="1" x14ac:dyDescent="0.3"/>
    <row r="66" s="389" customFormat="1" ht="30" customHeight="1" x14ac:dyDescent="0.3"/>
    <row r="67" s="389" customFormat="1" ht="30" customHeight="1" x14ac:dyDescent="0.3"/>
    <row r="68" s="389" customFormat="1" ht="30" customHeight="1" x14ac:dyDescent="0.3"/>
    <row r="69" s="389" customFormat="1" ht="30" customHeight="1" x14ac:dyDescent="0.3"/>
    <row r="70" s="389" customFormat="1" ht="30" customHeight="1" x14ac:dyDescent="0.3"/>
    <row r="71" s="389" customFormat="1" ht="30" customHeight="1" x14ac:dyDescent="0.3"/>
    <row r="72" s="389" customFormat="1" ht="30" customHeight="1" x14ac:dyDescent="0.3"/>
    <row r="73" s="389" customFormat="1" ht="30" customHeight="1" x14ac:dyDescent="0.3"/>
    <row r="74" s="389" customFormat="1" ht="30" customHeight="1" x14ac:dyDescent="0.3"/>
    <row r="75" s="389" customFormat="1" ht="30" customHeight="1" x14ac:dyDescent="0.3"/>
    <row r="76" s="389" customFormat="1" ht="30" customHeight="1" x14ac:dyDescent="0.3"/>
    <row r="77" s="389" customFormat="1" ht="30" customHeight="1" x14ac:dyDescent="0.3"/>
    <row r="78" s="389" customFormat="1" ht="30" customHeight="1" x14ac:dyDescent="0.3"/>
    <row r="79" s="389" customFormat="1" ht="30" customHeight="1" x14ac:dyDescent="0.3"/>
    <row r="80" s="389" customFormat="1" ht="30" customHeight="1" x14ac:dyDescent="0.3"/>
    <row r="81" s="389" customFormat="1" ht="30" customHeight="1" x14ac:dyDescent="0.3"/>
    <row r="82" s="389" customFormat="1" ht="30" customHeight="1" x14ac:dyDescent="0.3"/>
    <row r="83" s="389" customFormat="1" ht="30" customHeight="1" x14ac:dyDescent="0.3"/>
    <row r="84" s="389" customFormat="1" ht="30" customHeight="1" x14ac:dyDescent="0.3"/>
    <row r="85" s="389" customFormat="1" ht="30" customHeight="1" x14ac:dyDescent="0.3"/>
    <row r="86" s="389" customFormat="1" ht="30" customHeight="1" x14ac:dyDescent="0.3"/>
    <row r="87" s="389" customFormat="1" ht="30" customHeight="1" x14ac:dyDescent="0.3"/>
    <row r="88" s="389" customFormat="1" ht="30" customHeight="1" x14ac:dyDescent="0.3"/>
    <row r="89" s="389" customFormat="1" ht="30" customHeight="1" x14ac:dyDescent="0.3"/>
    <row r="90" s="389" customFormat="1" ht="30" customHeight="1" x14ac:dyDescent="0.3"/>
    <row r="91" s="389" customFormat="1" ht="30" customHeight="1" x14ac:dyDescent="0.3"/>
    <row r="92" s="389" customFormat="1" ht="30" customHeight="1" x14ac:dyDescent="0.3"/>
    <row r="93" s="389" customFormat="1" ht="30" customHeight="1" x14ac:dyDescent="0.3"/>
    <row r="94" s="389" customFormat="1" ht="30" customHeight="1" x14ac:dyDescent="0.3"/>
    <row r="95" s="389" customFormat="1" ht="30" customHeight="1" x14ac:dyDescent="0.3"/>
    <row r="96" s="389" customFormat="1" ht="30" customHeight="1" x14ac:dyDescent="0.3"/>
    <row r="97" s="389" customFormat="1" ht="30" customHeight="1" x14ac:dyDescent="0.3"/>
    <row r="98" s="389" customFormat="1" ht="30" customHeight="1" x14ac:dyDescent="0.3"/>
    <row r="99" s="389" customFormat="1" ht="30" customHeight="1" x14ac:dyDescent="0.3"/>
    <row r="100" s="389" customFormat="1" ht="30" customHeight="1" x14ac:dyDescent="0.3"/>
    <row r="101" s="389" customFormat="1" ht="30" customHeight="1" x14ac:dyDescent="0.3"/>
    <row r="102" s="389" customFormat="1" ht="30" customHeight="1" x14ac:dyDescent="0.3"/>
    <row r="103" s="389" customFormat="1" ht="30" customHeight="1" x14ac:dyDescent="0.3"/>
    <row r="104" s="389" customFormat="1" ht="30" customHeight="1" x14ac:dyDescent="0.3"/>
    <row r="105" s="389" customFormat="1" ht="30" customHeight="1" x14ac:dyDescent="0.3"/>
    <row r="106" s="389" customFormat="1" ht="30" customHeight="1" x14ac:dyDescent="0.3"/>
    <row r="107" s="389" customFormat="1" ht="30" customHeight="1" x14ac:dyDescent="0.3"/>
    <row r="108" s="389" customFormat="1" ht="30" customHeight="1" x14ac:dyDescent="0.3"/>
    <row r="109" s="389" customFormat="1" ht="30" customHeight="1" x14ac:dyDescent="0.3"/>
    <row r="110" s="389" customFormat="1" ht="30" customHeight="1" x14ac:dyDescent="0.3"/>
    <row r="111" s="389" customFormat="1" ht="30" customHeight="1" x14ac:dyDescent="0.3"/>
    <row r="112" s="389" customFormat="1" ht="30" customHeight="1" x14ac:dyDescent="0.3"/>
    <row r="113" s="389" customFormat="1" ht="30" customHeight="1" x14ac:dyDescent="0.3"/>
    <row r="114" s="389" customFormat="1" ht="30" customHeight="1" x14ac:dyDescent="0.3"/>
    <row r="115" s="389" customFormat="1" ht="30" customHeight="1" x14ac:dyDescent="0.3"/>
    <row r="116" s="389" customFormat="1" ht="30" customHeight="1" x14ac:dyDescent="0.3"/>
    <row r="117" s="389" customFormat="1" ht="30" customHeight="1" x14ac:dyDescent="0.3"/>
    <row r="118" s="389" customFormat="1" ht="30" customHeight="1" x14ac:dyDescent="0.3"/>
    <row r="119" s="389" customFormat="1" ht="30" customHeight="1" x14ac:dyDescent="0.3"/>
    <row r="120" s="389" customFormat="1" ht="30" customHeight="1" x14ac:dyDescent="0.3"/>
    <row r="121" s="389" customFormat="1" ht="30" customHeight="1" x14ac:dyDescent="0.3"/>
    <row r="122" s="389" customFormat="1" ht="30" customHeight="1" x14ac:dyDescent="0.3"/>
    <row r="123" s="389" customFormat="1" ht="30" customHeight="1" x14ac:dyDescent="0.3"/>
    <row r="124" s="389" customFormat="1" ht="30" customHeight="1" x14ac:dyDescent="0.3"/>
    <row r="125" s="389" customFormat="1" ht="30" customHeight="1" x14ac:dyDescent="0.3"/>
    <row r="126" s="389" customFormat="1" ht="30" customHeight="1" x14ac:dyDescent="0.3"/>
    <row r="127" s="389" customFormat="1" ht="30" customHeight="1" x14ac:dyDescent="0.3"/>
    <row r="128" s="389" customFormat="1" ht="30" customHeight="1" x14ac:dyDescent="0.3"/>
    <row r="129" s="389" customFormat="1" ht="30" customHeight="1" x14ac:dyDescent="0.3"/>
    <row r="130" s="389" customFormat="1" ht="30" customHeight="1" x14ac:dyDescent="0.3"/>
    <row r="131" s="389" customFormat="1" ht="30" customHeight="1" x14ac:dyDescent="0.3"/>
    <row r="132" s="389" customFormat="1" ht="30" customHeight="1" x14ac:dyDescent="0.3"/>
    <row r="133" s="389" customFormat="1" ht="30" customHeight="1" x14ac:dyDescent="0.3"/>
    <row r="134" s="389" customFormat="1" ht="30" customHeight="1" x14ac:dyDescent="0.3"/>
    <row r="135" s="389" customFormat="1" ht="30" customHeight="1" x14ac:dyDescent="0.3"/>
    <row r="136" s="389" customFormat="1" ht="30" customHeight="1" x14ac:dyDescent="0.3"/>
    <row r="137" s="389" customFormat="1" ht="30" customHeight="1" x14ac:dyDescent="0.3"/>
    <row r="138" s="389" customFormat="1" ht="30" customHeight="1" x14ac:dyDescent="0.3"/>
    <row r="139" s="389" customFormat="1" ht="30" customHeight="1" x14ac:dyDescent="0.3"/>
    <row r="140" s="389" customFormat="1" ht="30" customHeight="1" x14ac:dyDescent="0.3"/>
    <row r="141" s="389" customFormat="1" ht="30" customHeight="1" x14ac:dyDescent="0.3"/>
    <row r="142" s="389" customFormat="1" ht="30" customHeight="1" x14ac:dyDescent="0.3"/>
    <row r="143" s="389" customFormat="1" ht="30" customHeight="1" x14ac:dyDescent="0.3"/>
    <row r="144" s="389" customFormat="1" ht="30" customHeight="1" x14ac:dyDescent="0.3"/>
    <row r="145" s="389" customFormat="1" ht="30" customHeight="1" x14ac:dyDescent="0.3"/>
    <row r="146" s="389" customFormat="1" ht="30" customHeight="1" x14ac:dyDescent="0.3"/>
    <row r="147" s="389" customFormat="1" ht="30" customHeight="1" x14ac:dyDescent="0.3"/>
    <row r="148" s="389" customFormat="1" ht="30" customHeight="1" x14ac:dyDescent="0.3"/>
    <row r="149" s="389" customFormat="1" ht="30" customHeight="1" x14ac:dyDescent="0.3"/>
    <row r="150" s="389" customFormat="1" ht="30" customHeight="1" x14ac:dyDescent="0.3"/>
    <row r="151" s="389" customFormat="1" ht="30" customHeight="1" x14ac:dyDescent="0.3"/>
    <row r="152" s="389" customFormat="1" ht="30" customHeight="1" x14ac:dyDescent="0.3"/>
    <row r="153" s="389" customFormat="1" ht="30" customHeight="1" x14ac:dyDescent="0.3"/>
    <row r="154" s="389" customFormat="1" ht="30" customHeight="1" x14ac:dyDescent="0.3"/>
    <row r="155" s="389" customFormat="1" ht="30" customHeight="1" x14ac:dyDescent="0.3"/>
    <row r="156" s="389" customFormat="1" ht="30" customHeight="1" x14ac:dyDescent="0.3"/>
    <row r="157" s="389" customFormat="1" ht="30" customHeight="1" x14ac:dyDescent="0.3"/>
    <row r="158" s="389" customFormat="1" ht="30" customHeight="1" x14ac:dyDescent="0.3"/>
    <row r="159" s="389" customFormat="1" ht="30" customHeight="1" x14ac:dyDescent="0.3"/>
    <row r="160" s="389" customFormat="1" ht="30" customHeight="1" x14ac:dyDescent="0.3"/>
    <row r="161" s="389" customFormat="1" ht="30" customHeight="1" x14ac:dyDescent="0.3"/>
    <row r="162" s="389" customFormat="1" ht="30" customHeight="1" x14ac:dyDescent="0.3"/>
    <row r="163" s="389" customFormat="1" ht="30" customHeight="1" x14ac:dyDescent="0.3"/>
    <row r="164" s="389" customFormat="1" ht="30" customHeight="1" x14ac:dyDescent="0.3"/>
    <row r="165" s="389" customFormat="1" ht="30" customHeight="1" x14ac:dyDescent="0.3"/>
    <row r="166" s="389" customFormat="1" ht="30" customHeight="1" x14ac:dyDescent="0.3"/>
    <row r="167" s="389" customFormat="1" ht="30" customHeight="1" x14ac:dyDescent="0.3"/>
    <row r="168" s="389" customFormat="1" ht="30" customHeight="1" x14ac:dyDescent="0.3"/>
    <row r="169" s="389" customFormat="1" ht="30" customHeight="1" x14ac:dyDescent="0.3"/>
    <row r="170" s="389" customFormat="1" ht="30" customHeight="1" x14ac:dyDescent="0.3"/>
    <row r="171" s="389" customFormat="1" ht="30" customHeight="1" x14ac:dyDescent="0.3"/>
    <row r="172" s="389" customFormat="1" ht="30" customHeight="1" x14ac:dyDescent="0.3"/>
    <row r="173" s="389" customFormat="1" ht="30" customHeight="1" x14ac:dyDescent="0.3"/>
    <row r="174" s="389" customFormat="1" ht="30" customHeight="1" x14ac:dyDescent="0.3"/>
    <row r="175" s="389" customFormat="1" ht="30" customHeight="1" x14ac:dyDescent="0.3"/>
    <row r="176" s="389" customFormat="1" ht="30" customHeight="1" x14ac:dyDescent="0.3"/>
    <row r="177" s="389" customFormat="1" ht="30" customHeight="1" x14ac:dyDescent="0.3"/>
    <row r="178" s="389" customFormat="1" ht="30" customHeight="1" x14ac:dyDescent="0.3"/>
    <row r="179" s="389" customFormat="1" ht="30" customHeight="1" x14ac:dyDescent="0.3"/>
    <row r="180" s="389" customFormat="1" ht="30" customHeight="1" x14ac:dyDescent="0.3"/>
    <row r="181" s="389" customFormat="1" ht="30" customHeight="1" x14ac:dyDescent="0.3"/>
    <row r="182" s="389" customFormat="1" ht="30" customHeight="1" x14ac:dyDescent="0.3"/>
    <row r="183" s="389" customFormat="1" ht="30" customHeight="1" x14ac:dyDescent="0.3"/>
    <row r="184" s="389" customFormat="1" ht="30" customHeight="1" x14ac:dyDescent="0.3"/>
    <row r="185" s="389" customFormat="1" ht="30" customHeight="1" x14ac:dyDescent="0.3"/>
    <row r="186" s="389" customFormat="1" ht="30" customHeight="1" x14ac:dyDescent="0.3"/>
    <row r="187" s="389" customFormat="1" ht="30" customHeight="1" x14ac:dyDescent="0.3"/>
    <row r="188" s="389" customFormat="1" ht="30" customHeight="1" x14ac:dyDescent="0.3"/>
    <row r="189" s="389" customFormat="1" ht="30" customHeight="1" x14ac:dyDescent="0.3"/>
    <row r="190" s="389" customFormat="1" ht="30" customHeight="1" x14ac:dyDescent="0.3"/>
    <row r="191" s="389" customFormat="1" ht="30" customHeight="1" x14ac:dyDescent="0.3"/>
    <row r="192" s="389" customFormat="1" ht="30" customHeight="1" x14ac:dyDescent="0.3"/>
    <row r="193" s="389" customFormat="1" ht="30" customHeight="1" x14ac:dyDescent="0.3"/>
    <row r="194" s="389" customFormat="1" ht="30" customHeight="1" x14ac:dyDescent="0.3"/>
    <row r="195" s="389" customFormat="1" ht="30" customHeight="1" x14ac:dyDescent="0.3"/>
    <row r="196" s="389" customFormat="1" ht="30" customHeight="1" x14ac:dyDescent="0.3"/>
    <row r="197" s="389" customFormat="1" ht="30" customHeight="1" x14ac:dyDescent="0.3"/>
    <row r="198" s="389" customFormat="1" ht="30" customHeight="1" x14ac:dyDescent="0.3"/>
    <row r="199" s="389" customFormat="1" ht="30" customHeight="1" x14ac:dyDescent="0.3"/>
    <row r="200" s="389" customFormat="1" ht="30" customHeight="1" x14ac:dyDescent="0.3"/>
    <row r="201" s="389" customFormat="1" ht="30" customHeight="1" x14ac:dyDescent="0.3"/>
    <row r="202" s="389" customFormat="1" ht="30" customHeight="1" x14ac:dyDescent="0.3"/>
    <row r="203" s="389" customFormat="1" ht="30" customHeight="1" x14ac:dyDescent="0.3"/>
    <row r="204" s="389" customFormat="1" ht="30" customHeight="1" x14ac:dyDescent="0.3"/>
    <row r="205" s="389" customFormat="1" ht="30" customHeight="1" x14ac:dyDescent="0.3"/>
    <row r="206" s="389" customFormat="1" ht="30" customHeight="1" x14ac:dyDescent="0.3"/>
    <row r="207" s="389" customFormat="1" ht="30" customHeight="1" x14ac:dyDescent="0.3"/>
    <row r="208" s="389" customFormat="1" ht="30" customHeight="1" x14ac:dyDescent="0.3"/>
    <row r="209" s="389" customFormat="1" ht="30" customHeight="1" x14ac:dyDescent="0.3"/>
    <row r="210" s="389" customFormat="1" ht="30" customHeight="1" x14ac:dyDescent="0.3"/>
    <row r="211" s="389" customFormat="1" ht="30" customHeight="1" x14ac:dyDescent="0.3"/>
    <row r="212" s="389" customFormat="1" ht="30" customHeight="1" x14ac:dyDescent="0.3"/>
    <row r="213" s="389" customFormat="1" ht="30" customHeight="1" x14ac:dyDescent="0.3"/>
    <row r="214" s="389" customFormat="1" ht="30" customHeight="1" x14ac:dyDescent="0.3"/>
    <row r="215" s="389" customFormat="1" ht="30" customHeight="1" x14ac:dyDescent="0.3"/>
    <row r="216" s="389" customFormat="1" ht="30" customHeight="1" x14ac:dyDescent="0.3"/>
    <row r="217" s="389" customFormat="1" ht="30" customHeight="1" x14ac:dyDescent="0.3"/>
    <row r="218" s="389" customFormat="1" ht="30" customHeight="1" x14ac:dyDescent="0.3"/>
    <row r="219" s="389" customFormat="1" ht="30" customHeight="1" x14ac:dyDescent="0.3"/>
    <row r="220" s="389" customFormat="1" ht="30" customHeight="1" x14ac:dyDescent="0.3"/>
    <row r="221" s="389" customFormat="1" ht="30" customHeight="1" x14ac:dyDescent="0.3"/>
    <row r="222" s="389" customFormat="1" ht="30" customHeight="1" x14ac:dyDescent="0.3"/>
    <row r="223" s="389" customFormat="1" ht="30" customHeight="1" x14ac:dyDescent="0.3"/>
    <row r="224" s="389" customFormat="1" ht="30" customHeight="1" x14ac:dyDescent="0.3"/>
    <row r="225" s="389" customFormat="1" ht="30" customHeight="1" x14ac:dyDescent="0.3"/>
    <row r="226" s="389" customFormat="1" ht="30" customHeight="1" x14ac:dyDescent="0.3"/>
    <row r="227" s="389" customFormat="1" ht="30" customHeight="1" x14ac:dyDescent="0.3"/>
    <row r="228" s="389" customFormat="1" ht="30" customHeight="1" x14ac:dyDescent="0.3"/>
    <row r="229" s="389" customFormat="1" ht="30" customHeight="1" x14ac:dyDescent="0.3"/>
    <row r="230" s="389" customFormat="1" ht="30" customHeight="1" x14ac:dyDescent="0.3"/>
    <row r="231" s="389" customFormat="1" ht="30" customHeight="1" x14ac:dyDescent="0.3"/>
    <row r="232" s="389" customFormat="1" ht="30" customHeight="1" x14ac:dyDescent="0.3"/>
    <row r="233" s="389" customFormat="1" ht="30" customHeight="1" x14ac:dyDescent="0.3"/>
    <row r="234" s="389" customFormat="1" ht="30" customHeight="1" x14ac:dyDescent="0.3"/>
    <row r="235" s="389" customFormat="1" ht="30" customHeight="1" x14ac:dyDescent="0.3"/>
    <row r="236" s="389" customFormat="1" ht="30" customHeight="1" x14ac:dyDescent="0.3"/>
    <row r="237" s="389" customFormat="1" ht="30" customHeight="1" x14ac:dyDescent="0.3"/>
    <row r="238" s="389" customFormat="1" ht="30" customHeight="1" x14ac:dyDescent="0.3"/>
    <row r="239" s="389" customFormat="1" ht="30" customHeight="1" x14ac:dyDescent="0.3"/>
    <row r="240" s="389" customFormat="1" ht="30" customHeight="1" x14ac:dyDescent="0.3"/>
    <row r="241" s="389" customFormat="1" ht="30" customHeight="1" x14ac:dyDescent="0.3"/>
    <row r="242" s="389" customFormat="1" ht="30" customHeight="1" x14ac:dyDescent="0.3"/>
    <row r="243" s="389" customFormat="1" ht="30" customHeight="1" x14ac:dyDescent="0.3"/>
    <row r="244" s="389" customFormat="1" ht="30" customHeight="1" x14ac:dyDescent="0.3"/>
    <row r="245" s="389" customFormat="1" ht="30" customHeight="1" x14ac:dyDescent="0.3"/>
    <row r="246" s="389" customFormat="1" ht="30" customHeight="1" x14ac:dyDescent="0.3"/>
    <row r="247" s="389" customFormat="1" ht="30" customHeight="1" x14ac:dyDescent="0.3"/>
    <row r="248" s="389" customFormat="1" ht="30" customHeight="1" x14ac:dyDescent="0.3"/>
    <row r="249" s="389" customFormat="1" ht="30" customHeight="1" x14ac:dyDescent="0.3"/>
    <row r="250" s="389" customFormat="1" ht="30" customHeight="1" x14ac:dyDescent="0.3"/>
    <row r="251" s="389" customFormat="1" ht="30" customHeight="1" x14ac:dyDescent="0.3"/>
    <row r="252" s="389" customFormat="1" ht="30" customHeight="1" x14ac:dyDescent="0.3"/>
    <row r="253" s="389" customFormat="1" ht="30" customHeight="1" x14ac:dyDescent="0.3"/>
    <row r="254" s="389" customFormat="1" ht="30" customHeight="1" x14ac:dyDescent="0.3"/>
    <row r="255" s="389" customFormat="1" ht="30" customHeight="1" x14ac:dyDescent="0.3"/>
    <row r="256" s="389" customFormat="1" ht="30" customHeight="1" x14ac:dyDescent="0.3"/>
    <row r="257" spans="1:8" ht="30" customHeight="1" x14ac:dyDescent="0.3">
      <c r="A257" s="389"/>
      <c r="C257" s="389"/>
      <c r="D257" s="389"/>
      <c r="E257" s="389"/>
      <c r="F257" s="389"/>
      <c r="G257" s="389"/>
      <c r="H257" s="389"/>
    </row>
    <row r="258" spans="1:8" ht="30" customHeight="1" x14ac:dyDescent="0.3">
      <c r="A258" s="389"/>
      <c r="C258" s="389"/>
      <c r="D258" s="389"/>
      <c r="E258" s="389"/>
      <c r="F258" s="389"/>
      <c r="G258" s="389"/>
      <c r="H258" s="389"/>
    </row>
    <row r="259" spans="1:8" ht="30" customHeight="1" x14ac:dyDescent="0.3">
      <c r="A259" s="389"/>
      <c r="C259" s="389"/>
      <c r="D259" s="389"/>
      <c r="E259" s="389"/>
      <c r="F259" s="389"/>
      <c r="G259" s="389"/>
      <c r="H259" s="389"/>
    </row>
    <row r="260" spans="1:8" ht="30" customHeight="1" x14ac:dyDescent="0.3">
      <c r="C260" s="408"/>
    </row>
  </sheetData>
  <mergeCells count="1">
    <mergeCell ref="A2:I3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67"/>
  <sheetViews>
    <sheetView topLeftCell="A2" workbookViewId="0">
      <pane ySplit="3" topLeftCell="A177" activePane="bottomLeft" state="frozen"/>
      <selection activeCell="A4" sqref="A4"/>
      <selection pane="bottomLeft" activeCell="A185" sqref="A185:XFD185"/>
    </sheetView>
  </sheetViews>
  <sheetFormatPr defaultRowHeight="14.4" x14ac:dyDescent="0.3"/>
  <cols>
    <col min="1" max="1" width="6.5546875" customWidth="1"/>
    <col min="2" max="2" width="40.6640625" customWidth="1"/>
    <col min="3" max="3" width="5.6640625" customWidth="1"/>
    <col min="4" max="4" width="41.5546875" customWidth="1"/>
    <col min="5" max="5" width="0" hidden="1" customWidth="1"/>
    <col min="6" max="9" width="15.88671875" customWidth="1"/>
    <col min="10" max="15" width="20.5546875" customWidth="1"/>
    <col min="16" max="16" width="11.44140625" customWidth="1"/>
    <col min="17" max="17" width="11.6640625" customWidth="1"/>
    <col min="18" max="18" width="11.88671875" customWidth="1"/>
    <col min="19" max="19" width="15.88671875" customWidth="1"/>
    <col min="20" max="21" width="14.109375" customWidth="1"/>
    <col min="22" max="22" width="13.5546875" customWidth="1"/>
    <col min="23" max="23" width="17.109375" customWidth="1"/>
    <col min="24" max="24" width="12.33203125" customWidth="1"/>
    <col min="25" max="25" width="13.5546875" customWidth="1"/>
    <col min="26" max="26" width="17.109375" customWidth="1"/>
    <col min="27" max="27" width="12.33203125" customWidth="1"/>
  </cols>
  <sheetData>
    <row r="1" spans="1:27" hidden="1" x14ac:dyDescent="0.3">
      <c r="A1" s="854" t="s">
        <v>2446</v>
      </c>
      <c r="B1" s="855"/>
      <c r="C1" s="855"/>
      <c r="D1" s="855"/>
      <c r="E1" s="855"/>
      <c r="F1" s="855"/>
      <c r="G1" s="855"/>
      <c r="H1" s="855"/>
      <c r="I1" s="855"/>
      <c r="J1" s="855"/>
      <c r="K1" s="855"/>
      <c r="L1" s="855"/>
      <c r="M1" s="855"/>
      <c r="N1" s="855"/>
      <c r="O1" s="855"/>
    </row>
    <row r="2" spans="1:27" ht="33" customHeight="1" thickBot="1" x14ac:dyDescent="0.35">
      <c r="A2" s="856"/>
      <c r="B2" s="857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7"/>
      <c r="N2" s="857"/>
      <c r="O2" s="857"/>
    </row>
    <row r="3" spans="1:27" ht="25.5" customHeight="1" thickBot="1" x14ac:dyDescent="0.35">
      <c r="A3" s="622"/>
      <c r="B3" s="622"/>
      <c r="C3" s="622"/>
      <c r="D3" s="622"/>
      <c r="E3" s="622" t="s">
        <v>2242</v>
      </c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16"/>
      <c r="Q3" s="272"/>
      <c r="R3" s="849" t="s">
        <v>1553</v>
      </c>
      <c r="S3" s="850"/>
      <c r="T3" s="617"/>
      <c r="U3" s="359"/>
      <c r="V3" s="851" t="s">
        <v>1988</v>
      </c>
      <c r="W3" s="851"/>
      <c r="X3" s="852"/>
      <c r="Y3" s="849" t="s">
        <v>1985</v>
      </c>
      <c r="Z3" s="853"/>
      <c r="AA3" s="850"/>
    </row>
    <row r="4" spans="1:27" ht="35.25" customHeight="1" x14ac:dyDescent="0.3">
      <c r="A4" s="441" t="s">
        <v>0</v>
      </c>
      <c r="B4" s="441" t="s">
        <v>1</v>
      </c>
      <c r="C4" s="441" t="s">
        <v>1899</v>
      </c>
      <c r="D4" s="441" t="s">
        <v>2241</v>
      </c>
      <c r="E4" s="441"/>
      <c r="F4" s="441" t="s">
        <v>2243</v>
      </c>
      <c r="G4" s="441" t="s">
        <v>2244</v>
      </c>
      <c r="H4" s="441" t="s">
        <v>2245</v>
      </c>
      <c r="I4" s="441" t="s">
        <v>2246</v>
      </c>
      <c r="J4" s="441" t="s">
        <v>4</v>
      </c>
      <c r="K4" s="441" t="s">
        <v>5</v>
      </c>
      <c r="L4" s="441" t="s">
        <v>6</v>
      </c>
      <c r="M4" s="441" t="s">
        <v>7</v>
      </c>
      <c r="N4" s="441" t="s">
        <v>8</v>
      </c>
      <c r="O4" s="441" t="s">
        <v>9</v>
      </c>
      <c r="P4" s="619" t="s">
        <v>1551</v>
      </c>
      <c r="Q4" s="620" t="s">
        <v>1552</v>
      </c>
      <c r="R4" s="619" t="s">
        <v>1554</v>
      </c>
      <c r="S4" s="619" t="s">
        <v>1555</v>
      </c>
      <c r="T4" s="621" t="s">
        <v>1556</v>
      </c>
      <c r="U4" s="618" t="s">
        <v>2024</v>
      </c>
      <c r="V4" s="619" t="s">
        <v>1557</v>
      </c>
      <c r="W4" s="619" t="s">
        <v>1558</v>
      </c>
      <c r="X4" s="619" t="s">
        <v>1559</v>
      </c>
      <c r="Y4" s="619" t="s">
        <v>1557</v>
      </c>
      <c r="Z4" s="619" t="s">
        <v>1558</v>
      </c>
      <c r="AA4" s="619" t="s">
        <v>1559</v>
      </c>
    </row>
    <row r="5" spans="1:27" ht="39" customHeight="1" x14ac:dyDescent="0.3">
      <c r="A5" s="4">
        <v>1</v>
      </c>
      <c r="B5" s="480" t="s">
        <v>10</v>
      </c>
      <c r="C5" s="487">
        <v>1</v>
      </c>
      <c r="D5" s="480" t="s">
        <v>2247</v>
      </c>
      <c r="E5" s="487" t="s">
        <v>2247</v>
      </c>
      <c r="F5" s="593" t="s">
        <v>2248</v>
      </c>
      <c r="G5" s="593"/>
      <c r="H5" s="593"/>
      <c r="I5" s="593"/>
      <c r="J5" s="592" t="s">
        <v>13</v>
      </c>
      <c r="K5" s="592" t="s">
        <v>14</v>
      </c>
      <c r="L5" s="592" t="s">
        <v>15</v>
      </c>
      <c r="M5" s="592" t="s">
        <v>14</v>
      </c>
      <c r="N5" s="592" t="s">
        <v>14</v>
      </c>
      <c r="O5" s="592" t="s">
        <v>16</v>
      </c>
      <c r="P5" s="602" t="s">
        <v>1577</v>
      </c>
      <c r="Q5" s="592">
        <v>492</v>
      </c>
      <c r="R5" s="355">
        <v>12826</v>
      </c>
      <c r="S5" s="602" t="s">
        <v>1986</v>
      </c>
      <c r="T5" s="602" t="s">
        <v>500</v>
      </c>
      <c r="U5" s="60">
        <v>1960</v>
      </c>
      <c r="V5" s="602">
        <v>99</v>
      </c>
      <c r="W5" s="602">
        <v>41</v>
      </c>
      <c r="X5" s="602">
        <v>41.41</v>
      </c>
      <c r="Y5" s="602">
        <v>101</v>
      </c>
      <c r="Z5" s="602">
        <v>35</v>
      </c>
      <c r="AA5" s="602">
        <v>34.65</v>
      </c>
    </row>
    <row r="6" spans="1:27" ht="39" customHeight="1" x14ac:dyDescent="0.3">
      <c r="A6" s="9">
        <v>2</v>
      </c>
      <c r="B6" s="12" t="s">
        <v>17</v>
      </c>
      <c r="C6" s="488">
        <v>2</v>
      </c>
      <c r="D6" s="12" t="s">
        <v>2249</v>
      </c>
      <c r="E6" s="488" t="s">
        <v>2249</v>
      </c>
      <c r="F6" s="432" t="s">
        <v>2248</v>
      </c>
      <c r="G6" s="432"/>
      <c r="H6" s="432"/>
      <c r="I6" s="432"/>
      <c r="J6" s="3" t="s">
        <v>13</v>
      </c>
      <c r="K6" s="3" t="s">
        <v>19</v>
      </c>
      <c r="L6" s="3" t="s">
        <v>20</v>
      </c>
      <c r="M6" s="3" t="s">
        <v>21</v>
      </c>
      <c r="N6" s="3" t="s">
        <v>22</v>
      </c>
      <c r="O6" s="3" t="s">
        <v>23</v>
      </c>
      <c r="P6" s="60" t="s">
        <v>1578</v>
      </c>
      <c r="Q6" s="275">
        <v>1760</v>
      </c>
      <c r="R6" s="356">
        <v>13262</v>
      </c>
      <c r="S6" s="60" t="s">
        <v>1987</v>
      </c>
      <c r="T6" s="60" t="s">
        <v>500</v>
      </c>
      <c r="U6" s="60">
        <v>1960</v>
      </c>
      <c r="V6" s="60">
        <v>309</v>
      </c>
      <c r="W6" s="60">
        <v>32</v>
      </c>
      <c r="X6" s="60">
        <v>10.35</v>
      </c>
      <c r="Y6" s="60">
        <v>309</v>
      </c>
      <c r="Z6" s="60">
        <v>35</v>
      </c>
      <c r="AA6" s="60">
        <v>11.32</v>
      </c>
    </row>
    <row r="7" spans="1:27" ht="39" customHeight="1" x14ac:dyDescent="0.3">
      <c r="A7" s="9">
        <v>3</v>
      </c>
      <c r="B7" s="10" t="s">
        <v>24</v>
      </c>
      <c r="C7" s="488">
        <v>3</v>
      </c>
      <c r="D7" s="10" t="s">
        <v>2250</v>
      </c>
      <c r="E7" s="488" t="s">
        <v>2250</v>
      </c>
      <c r="F7" s="432" t="s">
        <v>2248</v>
      </c>
      <c r="G7" s="432"/>
      <c r="H7" s="432"/>
      <c r="I7" s="432"/>
      <c r="J7" s="3" t="s">
        <v>26</v>
      </c>
      <c r="K7" s="3" t="s">
        <v>27</v>
      </c>
      <c r="L7" s="3" t="s">
        <v>28</v>
      </c>
      <c r="M7" s="3" t="s">
        <v>29</v>
      </c>
      <c r="N7" s="3" t="s">
        <v>30</v>
      </c>
      <c r="O7" s="3" t="s">
        <v>1532</v>
      </c>
      <c r="P7" s="50" t="s">
        <v>1579</v>
      </c>
      <c r="Q7" s="229">
        <v>1251</v>
      </c>
      <c r="R7" s="362">
        <v>13109</v>
      </c>
      <c r="S7" s="50" t="s">
        <v>1989</v>
      </c>
      <c r="T7" s="50" t="s">
        <v>500</v>
      </c>
      <c r="U7" s="50">
        <v>1960</v>
      </c>
      <c r="V7" s="50">
        <v>164</v>
      </c>
      <c r="W7" s="50">
        <v>156</v>
      </c>
      <c r="X7" s="50">
        <v>95.12</v>
      </c>
      <c r="Y7" s="50">
        <v>187</v>
      </c>
      <c r="Z7" s="50">
        <v>175</v>
      </c>
      <c r="AA7" s="50">
        <v>93.58</v>
      </c>
    </row>
    <row r="8" spans="1:27" ht="39" customHeight="1" x14ac:dyDescent="0.3">
      <c r="A8" s="20">
        <v>4</v>
      </c>
      <c r="B8" s="534" t="s">
        <v>2090</v>
      </c>
      <c r="C8" s="598">
        <v>4</v>
      </c>
      <c r="D8" s="600" t="s">
        <v>2251</v>
      </c>
      <c r="E8" s="598" t="s">
        <v>2614</v>
      </c>
      <c r="F8" s="547" t="s">
        <v>2248</v>
      </c>
      <c r="G8" s="591" t="s">
        <v>2248</v>
      </c>
      <c r="H8" s="591"/>
      <c r="I8" s="591"/>
      <c r="J8" s="22" t="s">
        <v>26</v>
      </c>
      <c r="K8" s="22" t="s">
        <v>27</v>
      </c>
      <c r="L8" s="22" t="s">
        <v>891</v>
      </c>
      <c r="M8" s="22" t="s">
        <v>29</v>
      </c>
      <c r="N8" s="22" t="s">
        <v>30</v>
      </c>
      <c r="O8" s="22" t="s">
        <v>1532</v>
      </c>
      <c r="P8" s="22" t="s">
        <v>2813</v>
      </c>
      <c r="Q8" s="94">
        <v>673</v>
      </c>
      <c r="R8" s="603">
        <v>12879</v>
      </c>
      <c r="S8" s="61" t="s">
        <v>2814</v>
      </c>
      <c r="T8" s="61" t="s">
        <v>500</v>
      </c>
      <c r="U8" s="94">
        <v>1960</v>
      </c>
      <c r="V8" s="94">
        <v>88</v>
      </c>
      <c r="W8" s="94">
        <v>73</v>
      </c>
      <c r="X8" s="94">
        <v>82.95</v>
      </c>
      <c r="Y8" s="94">
        <v>106</v>
      </c>
      <c r="Z8" s="94">
        <v>85</v>
      </c>
      <c r="AA8" s="94">
        <v>80.180000000000007</v>
      </c>
    </row>
    <row r="9" spans="1:27" ht="39" customHeight="1" x14ac:dyDescent="0.3">
      <c r="A9" s="189">
        <v>5</v>
      </c>
      <c r="B9" s="544" t="s">
        <v>2091</v>
      </c>
      <c r="C9" s="545"/>
      <c r="D9" s="546"/>
      <c r="E9" s="199" t="s">
        <v>2613</v>
      </c>
      <c r="F9" s="547"/>
      <c r="G9" s="547"/>
      <c r="H9" s="547" t="s">
        <v>2248</v>
      </c>
      <c r="I9" s="547"/>
      <c r="J9" s="22" t="s">
        <v>26</v>
      </c>
      <c r="K9" s="22" t="s">
        <v>27</v>
      </c>
      <c r="L9" s="22" t="s">
        <v>891</v>
      </c>
      <c r="M9" s="22" t="s">
        <v>29</v>
      </c>
      <c r="N9" s="22" t="s">
        <v>30</v>
      </c>
      <c r="O9" s="22" t="s">
        <v>1532</v>
      </c>
      <c r="P9" s="60" t="s">
        <v>2815</v>
      </c>
      <c r="Q9" s="60">
        <v>2493</v>
      </c>
      <c r="R9" s="356">
        <v>13594</v>
      </c>
      <c r="S9" s="60" t="s">
        <v>2816</v>
      </c>
      <c r="T9" s="50" t="s">
        <v>500</v>
      </c>
      <c r="U9" s="50">
        <v>1960</v>
      </c>
      <c r="V9" s="60">
        <v>139</v>
      </c>
      <c r="W9" s="60">
        <v>77</v>
      </c>
      <c r="X9" s="60">
        <v>55.39</v>
      </c>
      <c r="Y9" s="60">
        <v>148</v>
      </c>
      <c r="Z9" s="60">
        <v>72</v>
      </c>
      <c r="AA9" s="60">
        <v>48.64</v>
      </c>
    </row>
    <row r="10" spans="1:27" ht="39" customHeight="1" x14ac:dyDescent="0.3">
      <c r="A10" s="597">
        <v>6</v>
      </c>
      <c r="B10" s="471" t="s">
        <v>2252</v>
      </c>
      <c r="C10" s="858">
        <v>5</v>
      </c>
      <c r="D10" s="860" t="s">
        <v>2253</v>
      </c>
      <c r="E10" s="862" t="s">
        <v>2524</v>
      </c>
      <c r="F10" s="812" t="s">
        <v>2248</v>
      </c>
      <c r="G10" s="814" t="s">
        <v>2248</v>
      </c>
      <c r="H10" s="814"/>
      <c r="I10" s="814"/>
      <c r="J10" s="22" t="s">
        <v>26</v>
      </c>
      <c r="K10" s="22" t="s">
        <v>31</v>
      </c>
      <c r="L10" s="22" t="s">
        <v>37</v>
      </c>
      <c r="M10" s="22" t="s">
        <v>29</v>
      </c>
      <c r="N10" s="22" t="s">
        <v>38</v>
      </c>
      <c r="O10" s="22" t="s">
        <v>39</v>
      </c>
      <c r="P10" s="96" t="s">
        <v>2817</v>
      </c>
      <c r="Q10" s="96">
        <v>1115</v>
      </c>
      <c r="R10" s="75"/>
      <c r="S10" s="75"/>
      <c r="T10" s="75"/>
      <c r="U10" s="75"/>
      <c r="V10" s="96">
        <v>335</v>
      </c>
      <c r="W10" s="96">
        <v>308</v>
      </c>
      <c r="X10" s="96">
        <v>91.94</v>
      </c>
      <c r="Y10" s="96">
        <v>342</v>
      </c>
      <c r="Z10" s="96">
        <v>309</v>
      </c>
      <c r="AA10" s="96">
        <v>90.35</v>
      </c>
    </row>
    <row r="11" spans="1:27" ht="39" customHeight="1" x14ac:dyDescent="0.3">
      <c r="A11" s="22">
        <v>7</v>
      </c>
      <c r="B11" s="435" t="s">
        <v>2254</v>
      </c>
      <c r="C11" s="859"/>
      <c r="D11" s="861"/>
      <c r="E11" s="815"/>
      <c r="F11" s="813"/>
      <c r="G11" s="815"/>
      <c r="H11" s="815"/>
      <c r="I11" s="815"/>
      <c r="J11" s="22" t="s">
        <v>26</v>
      </c>
      <c r="K11" s="22" t="s">
        <v>31</v>
      </c>
      <c r="L11" s="22" t="s">
        <v>37</v>
      </c>
      <c r="M11" s="22" t="s">
        <v>29</v>
      </c>
      <c r="N11" s="22" t="s">
        <v>38</v>
      </c>
      <c r="O11" s="22" t="s">
        <v>39</v>
      </c>
      <c r="P11" s="61" t="s">
        <v>2818</v>
      </c>
      <c r="Q11" s="94">
        <v>2136</v>
      </c>
      <c r="R11" s="94"/>
      <c r="S11" s="94"/>
      <c r="T11" s="94"/>
      <c r="U11" s="94"/>
      <c r="V11" s="94">
        <v>301</v>
      </c>
      <c r="W11" s="94">
        <v>281</v>
      </c>
      <c r="X11" s="94">
        <v>93.35</v>
      </c>
      <c r="Y11" s="94">
        <v>370</v>
      </c>
      <c r="Z11" s="94">
        <v>348</v>
      </c>
      <c r="AA11" s="94">
        <v>94.05</v>
      </c>
    </row>
    <row r="12" spans="1:27" ht="39" customHeight="1" x14ac:dyDescent="0.3">
      <c r="A12" s="533">
        <v>8</v>
      </c>
      <c r="B12" s="534" t="s">
        <v>40</v>
      </c>
      <c r="C12" s="535"/>
      <c r="D12" s="534"/>
      <c r="E12" s="538" t="s">
        <v>2583</v>
      </c>
      <c r="F12" s="536"/>
      <c r="G12" s="532"/>
      <c r="H12" s="532" t="s">
        <v>2248</v>
      </c>
      <c r="I12" s="532"/>
      <c r="J12" s="22" t="s">
        <v>21</v>
      </c>
      <c r="K12" s="22" t="s">
        <v>42</v>
      </c>
      <c r="L12" s="22" t="s">
        <v>43</v>
      </c>
      <c r="M12" s="22" t="s">
        <v>21</v>
      </c>
      <c r="N12" s="22" t="s">
        <v>44</v>
      </c>
      <c r="O12" s="22" t="s">
        <v>42</v>
      </c>
      <c r="P12" s="60" t="s">
        <v>2819</v>
      </c>
      <c r="Q12" s="604">
        <v>1646</v>
      </c>
      <c r="R12" s="631">
        <v>13258</v>
      </c>
      <c r="S12" s="604" t="s">
        <v>2908</v>
      </c>
      <c r="T12" s="536"/>
      <c r="U12" s="536"/>
      <c r="V12" s="536"/>
      <c r="W12" s="536"/>
      <c r="X12" s="536"/>
      <c r="Y12" s="536"/>
      <c r="Z12" s="536"/>
      <c r="AA12" s="536"/>
    </row>
    <row r="13" spans="1:27" ht="39" customHeight="1" x14ac:dyDescent="0.3">
      <c r="A13" s="9">
        <v>9</v>
      </c>
      <c r="B13" s="14" t="s">
        <v>2094</v>
      </c>
      <c r="C13" s="483"/>
      <c r="D13" s="77"/>
      <c r="E13" s="430" t="s">
        <v>2564</v>
      </c>
      <c r="F13" s="431"/>
      <c r="G13" s="431"/>
      <c r="H13" s="431" t="s">
        <v>2248</v>
      </c>
      <c r="I13" s="431" t="s">
        <v>2248</v>
      </c>
      <c r="J13" s="3" t="s">
        <v>13</v>
      </c>
      <c r="K13" s="3" t="s">
        <v>42</v>
      </c>
      <c r="L13" s="3" t="s">
        <v>203</v>
      </c>
      <c r="M13" s="3" t="s">
        <v>14</v>
      </c>
      <c r="N13" s="3" t="s">
        <v>14</v>
      </c>
      <c r="O13" s="3" t="s">
        <v>203</v>
      </c>
      <c r="P13" s="604" t="s">
        <v>2820</v>
      </c>
      <c r="Q13" s="604">
        <v>1407</v>
      </c>
      <c r="R13" s="631">
        <v>13167</v>
      </c>
      <c r="S13" s="604" t="s">
        <v>2915</v>
      </c>
      <c r="T13" s="536"/>
      <c r="U13" s="536"/>
      <c r="V13" s="536"/>
      <c r="W13" s="536"/>
      <c r="X13" s="536"/>
      <c r="Y13" s="536"/>
      <c r="Z13" s="536"/>
      <c r="AA13" s="536"/>
    </row>
    <row r="14" spans="1:27" ht="39" customHeight="1" x14ac:dyDescent="0.3">
      <c r="A14" s="9">
        <v>10</v>
      </c>
      <c r="B14" s="493" t="s">
        <v>2909</v>
      </c>
      <c r="C14" s="488">
        <v>6</v>
      </c>
      <c r="D14" s="12" t="s">
        <v>2255</v>
      </c>
      <c r="E14" s="488" t="s">
        <v>2255</v>
      </c>
      <c r="F14" s="432" t="s">
        <v>2248</v>
      </c>
      <c r="G14" s="432"/>
      <c r="H14" s="432"/>
      <c r="I14" s="432"/>
      <c r="J14" s="3" t="s">
        <v>13</v>
      </c>
      <c r="K14" s="3" t="s">
        <v>19</v>
      </c>
      <c r="L14" s="3" t="s">
        <v>20</v>
      </c>
      <c r="M14" s="3" t="s">
        <v>21</v>
      </c>
      <c r="N14" s="3" t="s">
        <v>22</v>
      </c>
      <c r="O14" s="3" t="s">
        <v>23</v>
      </c>
      <c r="P14" s="60" t="s">
        <v>1584</v>
      </c>
      <c r="Q14" s="275">
        <v>777</v>
      </c>
      <c r="R14" s="356">
        <v>12943</v>
      </c>
      <c r="S14" s="60" t="s">
        <v>2049</v>
      </c>
      <c r="T14" s="60"/>
      <c r="U14" s="60"/>
      <c r="V14" s="60">
        <v>537</v>
      </c>
      <c r="W14" s="60">
        <v>91</v>
      </c>
      <c r="X14" s="60">
        <v>16.940000000000001</v>
      </c>
      <c r="Y14" s="60">
        <v>722</v>
      </c>
      <c r="Z14" s="60">
        <v>107</v>
      </c>
      <c r="AA14" s="60">
        <v>14.81</v>
      </c>
    </row>
    <row r="15" spans="1:27" ht="39" customHeight="1" x14ac:dyDescent="0.3">
      <c r="A15" s="9">
        <v>11</v>
      </c>
      <c r="B15" s="14" t="s">
        <v>2914</v>
      </c>
      <c r="C15" s="489">
        <v>7</v>
      </c>
      <c r="D15" s="14" t="s">
        <v>2256</v>
      </c>
      <c r="E15" s="488" t="s">
        <v>2256</v>
      </c>
      <c r="F15" s="432" t="s">
        <v>2248</v>
      </c>
      <c r="G15" s="431"/>
      <c r="H15" s="431"/>
      <c r="I15" s="431"/>
      <c r="J15" s="3" t="s">
        <v>21</v>
      </c>
      <c r="K15" s="3" t="s">
        <v>49</v>
      </c>
      <c r="L15" s="3" t="s">
        <v>50</v>
      </c>
      <c r="M15" s="3" t="s">
        <v>21</v>
      </c>
      <c r="N15" s="3" t="s">
        <v>21</v>
      </c>
      <c r="O15" s="3" t="s">
        <v>51</v>
      </c>
      <c r="P15" s="29" t="s">
        <v>1585</v>
      </c>
      <c r="Q15" s="3">
        <v>1221</v>
      </c>
      <c r="R15" s="632">
        <v>13021</v>
      </c>
      <c r="S15" s="29" t="s">
        <v>2045</v>
      </c>
      <c r="T15" s="67" t="s">
        <v>2046</v>
      </c>
      <c r="U15" s="29"/>
      <c r="V15" s="29"/>
      <c r="W15" s="29"/>
      <c r="X15" s="29"/>
      <c r="Y15" s="29"/>
      <c r="Z15" s="29"/>
      <c r="AA15" s="29"/>
    </row>
    <row r="16" spans="1:27" ht="39" customHeight="1" x14ac:dyDescent="0.3">
      <c r="A16" s="9">
        <v>13</v>
      </c>
      <c r="B16" s="12" t="s">
        <v>2097</v>
      </c>
      <c r="C16" s="802">
        <v>9</v>
      </c>
      <c r="D16" s="804" t="s">
        <v>2257</v>
      </c>
      <c r="E16" s="806" t="s">
        <v>2257</v>
      </c>
      <c r="F16" s="808" t="s">
        <v>2248</v>
      </c>
      <c r="G16" s="808" t="s">
        <v>2248</v>
      </c>
      <c r="H16" s="431"/>
      <c r="I16" s="431"/>
      <c r="J16" s="3" t="s">
        <v>26</v>
      </c>
      <c r="K16" s="3" t="s">
        <v>31</v>
      </c>
      <c r="L16" s="3" t="s">
        <v>2096</v>
      </c>
      <c r="M16" s="3" t="s">
        <v>29</v>
      </c>
      <c r="N16" s="3" t="s">
        <v>30</v>
      </c>
      <c r="O16" s="3" t="s">
        <v>1532</v>
      </c>
      <c r="P16" s="60" t="s">
        <v>2821</v>
      </c>
      <c r="Q16" s="275">
        <v>1409</v>
      </c>
      <c r="R16" s="77"/>
      <c r="S16" s="77"/>
      <c r="T16" s="77"/>
      <c r="U16" s="77"/>
      <c r="V16" s="77"/>
      <c r="W16" s="77"/>
      <c r="X16" s="77"/>
      <c r="Y16" s="77"/>
      <c r="Z16" s="77"/>
      <c r="AA16" s="77"/>
    </row>
    <row r="17" spans="1:27" ht="39" customHeight="1" x14ac:dyDescent="0.3">
      <c r="A17" s="9">
        <v>14</v>
      </c>
      <c r="B17" s="14" t="s">
        <v>2095</v>
      </c>
      <c r="C17" s="803"/>
      <c r="D17" s="805"/>
      <c r="E17" s="807"/>
      <c r="F17" s="809"/>
      <c r="G17" s="809"/>
      <c r="H17" s="431"/>
      <c r="I17" s="431"/>
      <c r="J17" s="3" t="s">
        <v>26</v>
      </c>
      <c r="K17" s="3" t="s">
        <v>31</v>
      </c>
      <c r="L17" s="3" t="s">
        <v>2096</v>
      </c>
      <c r="M17" s="3" t="s">
        <v>29</v>
      </c>
      <c r="N17" s="3" t="s">
        <v>30</v>
      </c>
      <c r="O17" s="3" t="s">
        <v>1532</v>
      </c>
      <c r="P17" s="60" t="s">
        <v>2822</v>
      </c>
      <c r="Q17" s="94">
        <v>1583</v>
      </c>
      <c r="R17" s="77"/>
      <c r="S17" s="77"/>
      <c r="T17" s="77"/>
      <c r="U17" s="77"/>
      <c r="V17" s="77"/>
      <c r="W17" s="77"/>
      <c r="X17" s="77"/>
      <c r="Y17" s="77"/>
      <c r="Z17" s="77"/>
      <c r="AA17" s="77"/>
    </row>
    <row r="18" spans="1:27" ht="39" customHeight="1" x14ac:dyDescent="0.3">
      <c r="A18" s="9">
        <v>15</v>
      </c>
      <c r="B18" s="10" t="s">
        <v>56</v>
      </c>
      <c r="C18" s="488">
        <v>10</v>
      </c>
      <c r="D18" s="10" t="s">
        <v>2258</v>
      </c>
      <c r="E18" s="488" t="s">
        <v>2258</v>
      </c>
      <c r="F18" s="432" t="s">
        <v>2248</v>
      </c>
      <c r="G18" s="432"/>
      <c r="H18" s="432"/>
      <c r="I18" s="432"/>
      <c r="J18" s="3" t="s">
        <v>26</v>
      </c>
      <c r="K18" s="3" t="s">
        <v>27</v>
      </c>
      <c r="L18" s="3" t="s">
        <v>2098</v>
      </c>
      <c r="M18" s="3" t="s">
        <v>29</v>
      </c>
      <c r="N18" s="3" t="s">
        <v>30</v>
      </c>
      <c r="O18" s="3" t="s">
        <v>1532</v>
      </c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</row>
    <row r="19" spans="1:27" ht="39" customHeight="1" x14ac:dyDescent="0.3">
      <c r="A19" s="9">
        <v>16</v>
      </c>
      <c r="B19" s="14" t="s">
        <v>58</v>
      </c>
      <c r="C19" s="489"/>
      <c r="D19" s="14" t="s">
        <v>2259</v>
      </c>
      <c r="E19" s="430" t="s">
        <v>2579</v>
      </c>
      <c r="F19" s="431"/>
      <c r="G19" s="431"/>
      <c r="H19" s="431" t="s">
        <v>2248</v>
      </c>
      <c r="I19" s="431" t="s">
        <v>2248</v>
      </c>
      <c r="J19" s="3" t="s">
        <v>13</v>
      </c>
      <c r="K19" s="3" t="s">
        <v>14</v>
      </c>
      <c r="L19" s="3" t="s">
        <v>15</v>
      </c>
      <c r="M19" s="3" t="s">
        <v>14</v>
      </c>
      <c r="N19" s="3" t="s">
        <v>14</v>
      </c>
      <c r="O19" s="3" t="s">
        <v>15</v>
      </c>
      <c r="P19" s="94" t="s">
        <v>2916</v>
      </c>
      <c r="Q19" s="94">
        <v>567</v>
      </c>
      <c r="R19" s="603">
        <v>12847</v>
      </c>
      <c r="S19" s="94" t="s">
        <v>2917</v>
      </c>
      <c r="T19" s="77"/>
      <c r="U19" s="77"/>
      <c r="V19" s="77"/>
      <c r="W19" s="77"/>
      <c r="X19" s="77"/>
      <c r="Y19" s="77"/>
      <c r="Z19" s="77"/>
      <c r="AA19" s="77"/>
    </row>
    <row r="20" spans="1:27" ht="39" customHeight="1" x14ac:dyDescent="0.3">
      <c r="A20" s="20">
        <v>17</v>
      </c>
      <c r="B20" s="18" t="s">
        <v>59</v>
      </c>
      <c r="C20" s="491">
        <v>11</v>
      </c>
      <c r="D20" s="18" t="s">
        <v>2525</v>
      </c>
      <c r="E20" s="491" t="s">
        <v>2525</v>
      </c>
      <c r="F20" s="532" t="s">
        <v>2248</v>
      </c>
      <c r="G20" s="532"/>
      <c r="H20" s="532"/>
      <c r="I20" s="532"/>
      <c r="J20" s="22" t="s">
        <v>13</v>
      </c>
      <c r="K20" s="22" t="s">
        <v>29</v>
      </c>
      <c r="L20" s="22" t="s">
        <v>29</v>
      </c>
      <c r="M20" s="22" t="s">
        <v>29</v>
      </c>
      <c r="N20" s="22" t="s">
        <v>29</v>
      </c>
      <c r="O20" s="22" t="s">
        <v>29</v>
      </c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</row>
    <row r="21" spans="1:27" ht="39" customHeight="1" x14ac:dyDescent="0.3">
      <c r="A21" s="9">
        <v>18</v>
      </c>
      <c r="B21" s="10" t="s">
        <v>61</v>
      </c>
      <c r="C21" s="488">
        <v>12</v>
      </c>
      <c r="D21" s="10" t="s">
        <v>2260</v>
      </c>
      <c r="E21" s="488" t="s">
        <v>2260</v>
      </c>
      <c r="F21" s="432" t="s">
        <v>2248</v>
      </c>
      <c r="G21" s="432"/>
      <c r="H21" s="432"/>
      <c r="I21" s="432"/>
      <c r="J21" s="3" t="s">
        <v>26</v>
      </c>
      <c r="K21" s="3" t="s">
        <v>30</v>
      </c>
      <c r="L21" s="3" t="s">
        <v>430</v>
      </c>
      <c r="M21" s="3" t="s">
        <v>29</v>
      </c>
      <c r="N21" s="3" t="s">
        <v>30</v>
      </c>
      <c r="O21" s="3" t="s">
        <v>30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</row>
    <row r="22" spans="1:27" ht="39" customHeight="1" x14ac:dyDescent="0.3">
      <c r="A22" s="9">
        <v>19</v>
      </c>
      <c r="B22" s="15" t="s">
        <v>64</v>
      </c>
      <c r="C22" s="489">
        <v>13</v>
      </c>
      <c r="D22" s="15" t="s">
        <v>2261</v>
      </c>
      <c r="E22" s="489" t="s">
        <v>2261</v>
      </c>
      <c r="F22" s="432" t="s">
        <v>2248</v>
      </c>
      <c r="G22" s="431"/>
      <c r="H22" s="431"/>
      <c r="I22" s="431"/>
      <c r="J22" s="3" t="s">
        <v>66</v>
      </c>
      <c r="K22" s="3" t="s">
        <v>67</v>
      </c>
      <c r="L22" s="3" t="s">
        <v>68</v>
      </c>
      <c r="M22" s="3" t="s">
        <v>29</v>
      </c>
      <c r="N22" s="3" t="s">
        <v>30</v>
      </c>
      <c r="O22" s="3" t="s">
        <v>69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</row>
    <row r="23" spans="1:27" ht="39" customHeight="1" x14ac:dyDescent="0.3">
      <c r="A23" s="9">
        <v>20</v>
      </c>
      <c r="B23" s="15" t="s">
        <v>70</v>
      </c>
      <c r="C23" s="489">
        <v>14</v>
      </c>
      <c r="D23" s="15" t="s">
        <v>2262</v>
      </c>
      <c r="E23" s="489" t="s">
        <v>2262</v>
      </c>
      <c r="F23" s="432" t="s">
        <v>2248</v>
      </c>
      <c r="G23" s="431"/>
      <c r="H23" s="431"/>
      <c r="I23" s="431"/>
      <c r="J23" s="3" t="s">
        <v>66</v>
      </c>
      <c r="K23" s="3" t="s">
        <v>67</v>
      </c>
      <c r="L23" s="3" t="s">
        <v>68</v>
      </c>
      <c r="M23" s="3" t="s">
        <v>29</v>
      </c>
      <c r="N23" s="3" t="s">
        <v>30</v>
      </c>
      <c r="O23" s="3" t="s">
        <v>69</v>
      </c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</row>
    <row r="24" spans="1:27" ht="39" customHeight="1" x14ac:dyDescent="0.3">
      <c r="A24" s="9">
        <v>21</v>
      </c>
      <c r="B24" s="12" t="s">
        <v>2099</v>
      </c>
      <c r="C24" s="802">
        <v>15</v>
      </c>
      <c r="D24" s="838" t="s">
        <v>2263</v>
      </c>
      <c r="E24" s="802" t="s">
        <v>2526</v>
      </c>
      <c r="F24" s="812" t="s">
        <v>2248</v>
      </c>
      <c r="G24" s="812" t="s">
        <v>2248</v>
      </c>
      <c r="H24" s="432"/>
      <c r="I24" s="432"/>
      <c r="J24" s="3" t="s">
        <v>26</v>
      </c>
      <c r="K24" s="3" t="s">
        <v>31</v>
      </c>
      <c r="L24" s="3" t="s">
        <v>74</v>
      </c>
      <c r="M24" s="3" t="s">
        <v>29</v>
      </c>
      <c r="N24" s="3" t="s">
        <v>38</v>
      </c>
      <c r="O24" s="3" t="s">
        <v>39</v>
      </c>
      <c r="P24" s="536"/>
      <c r="Q24" s="536"/>
      <c r="R24" s="536"/>
      <c r="S24" s="536"/>
      <c r="T24" s="536"/>
      <c r="U24" s="536"/>
      <c r="V24" s="536"/>
      <c r="W24" s="536"/>
      <c r="X24" s="536"/>
      <c r="Y24" s="536"/>
      <c r="Z24" s="536"/>
      <c r="AA24" s="536"/>
    </row>
    <row r="25" spans="1:27" ht="39" customHeight="1" x14ac:dyDescent="0.3">
      <c r="A25" s="9">
        <v>22</v>
      </c>
      <c r="B25" s="12" t="s">
        <v>2100</v>
      </c>
      <c r="C25" s="803"/>
      <c r="D25" s="839"/>
      <c r="E25" s="803"/>
      <c r="F25" s="813"/>
      <c r="G25" s="813"/>
      <c r="H25" s="432"/>
      <c r="I25" s="432"/>
      <c r="J25" s="3" t="s">
        <v>26</v>
      </c>
      <c r="K25" s="3" t="s">
        <v>31</v>
      </c>
      <c r="L25" s="3" t="s">
        <v>74</v>
      </c>
      <c r="M25" s="3" t="s">
        <v>29</v>
      </c>
      <c r="N25" s="3" t="s">
        <v>38</v>
      </c>
      <c r="O25" s="3" t="s">
        <v>39</v>
      </c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</row>
    <row r="26" spans="1:27" ht="39" customHeight="1" x14ac:dyDescent="0.3">
      <c r="A26" s="20">
        <v>23</v>
      </c>
      <c r="B26" s="534" t="s">
        <v>2101</v>
      </c>
      <c r="C26" s="598">
        <v>16</v>
      </c>
      <c r="D26" s="595" t="s">
        <v>2578</v>
      </c>
      <c r="E26" s="598" t="s">
        <v>2612</v>
      </c>
      <c r="F26" s="433" t="s">
        <v>2248</v>
      </c>
      <c r="G26" s="433" t="s">
        <v>2248</v>
      </c>
      <c r="H26" s="595"/>
      <c r="I26" s="595"/>
      <c r="J26" s="22" t="s">
        <v>13</v>
      </c>
      <c r="K26" s="22" t="s">
        <v>14</v>
      </c>
      <c r="L26" s="22" t="s">
        <v>15</v>
      </c>
      <c r="M26" s="22" t="s">
        <v>14</v>
      </c>
      <c r="N26" s="22" t="s">
        <v>14</v>
      </c>
      <c r="O26" s="22" t="s">
        <v>16</v>
      </c>
      <c r="P26" s="94" t="s">
        <v>2918</v>
      </c>
      <c r="Q26" s="94">
        <v>543</v>
      </c>
      <c r="R26" s="603">
        <v>12839</v>
      </c>
      <c r="S26" s="94" t="s">
        <v>2919</v>
      </c>
      <c r="T26" s="77"/>
      <c r="U26" s="77"/>
      <c r="V26" s="77"/>
      <c r="W26" s="77"/>
      <c r="X26" s="77"/>
      <c r="Y26" s="77"/>
      <c r="Z26" s="77"/>
      <c r="AA26" s="77"/>
    </row>
    <row r="27" spans="1:27" ht="39" customHeight="1" x14ac:dyDescent="0.3">
      <c r="A27" s="20">
        <v>24</v>
      </c>
      <c r="B27" s="544" t="s">
        <v>2102</v>
      </c>
      <c r="C27" s="199"/>
      <c r="D27" s="433"/>
      <c r="E27" s="199" t="s">
        <v>2611</v>
      </c>
      <c r="F27" s="546"/>
      <c r="G27" s="546"/>
      <c r="H27" s="433" t="s">
        <v>2248</v>
      </c>
      <c r="I27" s="546"/>
      <c r="J27" s="22" t="s">
        <v>13</v>
      </c>
      <c r="K27" s="22" t="s">
        <v>14</v>
      </c>
      <c r="L27" s="22" t="s">
        <v>15</v>
      </c>
      <c r="M27" s="22" t="s">
        <v>14</v>
      </c>
      <c r="N27" s="22" t="s">
        <v>14</v>
      </c>
      <c r="O27" s="22" t="s">
        <v>16</v>
      </c>
      <c r="P27" s="94" t="s">
        <v>2920</v>
      </c>
      <c r="Q27" s="94">
        <v>1574</v>
      </c>
      <c r="R27" s="603">
        <v>13225</v>
      </c>
      <c r="S27" s="94" t="s">
        <v>2050</v>
      </c>
      <c r="T27" s="77"/>
      <c r="U27" s="77"/>
      <c r="V27" s="77"/>
      <c r="W27" s="77"/>
      <c r="X27" s="77"/>
      <c r="Y27" s="77"/>
      <c r="Z27" s="77"/>
      <c r="AA27" s="77"/>
    </row>
    <row r="28" spans="1:27" ht="39" customHeight="1" x14ac:dyDescent="0.3">
      <c r="A28" s="9">
        <v>25</v>
      </c>
      <c r="B28" s="10" t="s">
        <v>2265</v>
      </c>
      <c r="C28" s="482"/>
      <c r="D28" s="804" t="s">
        <v>2266</v>
      </c>
      <c r="E28" s="806" t="s">
        <v>2527</v>
      </c>
      <c r="F28" s="808" t="s">
        <v>2248</v>
      </c>
      <c r="G28" s="808" t="s">
        <v>2248</v>
      </c>
      <c r="H28" s="808"/>
      <c r="I28" s="808"/>
      <c r="J28" s="3" t="s">
        <v>26</v>
      </c>
      <c r="K28" s="3" t="s">
        <v>27</v>
      </c>
      <c r="L28" s="3" t="s">
        <v>77</v>
      </c>
      <c r="M28" s="3" t="s">
        <v>29</v>
      </c>
      <c r="N28" s="3" t="s">
        <v>26</v>
      </c>
      <c r="O28" s="3" t="s">
        <v>26</v>
      </c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</row>
    <row r="29" spans="1:27" ht="39" customHeight="1" x14ac:dyDescent="0.3">
      <c r="A29" s="9">
        <v>26</v>
      </c>
      <c r="B29" s="15" t="s">
        <v>2104</v>
      </c>
      <c r="C29" s="485">
        <v>17</v>
      </c>
      <c r="D29" s="863"/>
      <c r="E29" s="830"/>
      <c r="F29" s="830"/>
      <c r="G29" s="830"/>
      <c r="H29" s="830"/>
      <c r="I29" s="830"/>
      <c r="J29" s="3" t="s">
        <v>26</v>
      </c>
      <c r="K29" s="3" t="s">
        <v>27</v>
      </c>
      <c r="L29" s="3" t="s">
        <v>77</v>
      </c>
      <c r="M29" s="3" t="s">
        <v>29</v>
      </c>
      <c r="N29" s="3" t="s">
        <v>26</v>
      </c>
      <c r="O29" s="3" t="s">
        <v>26</v>
      </c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</row>
    <row r="30" spans="1:27" ht="39" customHeight="1" x14ac:dyDescent="0.3">
      <c r="A30" s="9">
        <v>27</v>
      </c>
      <c r="B30" s="15" t="s">
        <v>2105</v>
      </c>
      <c r="C30" s="485"/>
      <c r="D30" s="863"/>
      <c r="E30" s="830"/>
      <c r="F30" s="830"/>
      <c r="G30" s="830"/>
      <c r="H30" s="830"/>
      <c r="I30" s="830"/>
      <c r="J30" s="3" t="s">
        <v>26</v>
      </c>
      <c r="K30" s="3" t="s">
        <v>27</v>
      </c>
      <c r="L30" s="3" t="s">
        <v>77</v>
      </c>
      <c r="M30" s="3" t="s">
        <v>29</v>
      </c>
      <c r="N30" s="3" t="s">
        <v>26</v>
      </c>
      <c r="O30" s="3" t="s">
        <v>26</v>
      </c>
      <c r="P30" s="536"/>
      <c r="Q30" s="536"/>
      <c r="R30" s="536"/>
      <c r="S30" s="536"/>
      <c r="T30" s="536"/>
      <c r="U30" s="536"/>
      <c r="V30" s="536"/>
      <c r="W30" s="536"/>
      <c r="X30" s="536"/>
      <c r="Y30" s="536"/>
      <c r="Z30" s="536"/>
      <c r="AA30" s="536"/>
    </row>
    <row r="31" spans="1:27" ht="39" customHeight="1" x14ac:dyDescent="0.3">
      <c r="A31" s="9">
        <v>28</v>
      </c>
      <c r="B31" s="10" t="s">
        <v>2106</v>
      </c>
      <c r="C31" s="484"/>
      <c r="D31" s="805"/>
      <c r="E31" s="809"/>
      <c r="F31" s="809"/>
      <c r="G31" s="809"/>
      <c r="H31" s="809"/>
      <c r="I31" s="809"/>
      <c r="J31" s="3" t="s">
        <v>26</v>
      </c>
      <c r="K31" s="3" t="s">
        <v>27</v>
      </c>
      <c r="L31" s="3" t="s">
        <v>77</v>
      </c>
      <c r="M31" s="3" t="s">
        <v>29</v>
      </c>
      <c r="N31" s="3" t="s">
        <v>26</v>
      </c>
      <c r="O31" s="3" t="s">
        <v>26</v>
      </c>
      <c r="P31" s="536"/>
      <c r="Q31" s="536"/>
      <c r="R31" s="536"/>
      <c r="S31" s="536"/>
      <c r="T31" s="536"/>
      <c r="U31" s="536"/>
      <c r="V31" s="536"/>
      <c r="W31" s="536"/>
      <c r="X31" s="536"/>
      <c r="Y31" s="536"/>
      <c r="Z31" s="536"/>
      <c r="AA31" s="536"/>
    </row>
    <row r="32" spans="1:27" ht="39" customHeight="1" x14ac:dyDescent="0.3">
      <c r="A32" s="9">
        <v>29</v>
      </c>
      <c r="B32" s="14" t="s">
        <v>2107</v>
      </c>
      <c r="C32" s="483"/>
      <c r="D32" s="14"/>
      <c r="E32" s="430" t="s">
        <v>2575</v>
      </c>
      <c r="F32" s="431"/>
      <c r="G32" s="431"/>
      <c r="H32" s="431" t="s">
        <v>2248</v>
      </c>
      <c r="I32" s="431" t="s">
        <v>2248</v>
      </c>
      <c r="J32" s="3" t="s">
        <v>26</v>
      </c>
      <c r="K32" s="3" t="s">
        <v>27</v>
      </c>
      <c r="L32" s="3" t="s">
        <v>77</v>
      </c>
      <c r="M32" s="3" t="s">
        <v>29</v>
      </c>
      <c r="N32" s="3" t="s">
        <v>26</v>
      </c>
      <c r="O32" s="3" t="s">
        <v>26</v>
      </c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</row>
    <row r="33" spans="1:27" ht="39" customHeight="1" x14ac:dyDescent="0.3">
      <c r="A33" s="20">
        <v>30</v>
      </c>
      <c r="B33" s="21" t="s">
        <v>2108</v>
      </c>
      <c r="C33" s="537"/>
      <c r="D33" s="21"/>
      <c r="E33" s="491" t="s">
        <v>2615</v>
      </c>
      <c r="F33" s="433"/>
      <c r="G33" s="433"/>
      <c r="H33" s="433" t="s">
        <v>2248</v>
      </c>
      <c r="I33" s="433"/>
      <c r="J33" s="22" t="s">
        <v>66</v>
      </c>
      <c r="K33" s="22" t="s">
        <v>67</v>
      </c>
      <c r="L33" s="22" t="s">
        <v>2580</v>
      </c>
      <c r="M33" s="22" t="s">
        <v>29</v>
      </c>
      <c r="N33" s="22" t="s">
        <v>29</v>
      </c>
      <c r="O33" s="22" t="s">
        <v>29</v>
      </c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</row>
    <row r="34" spans="1:27" ht="39" customHeight="1" x14ac:dyDescent="0.3">
      <c r="A34" s="20">
        <v>31</v>
      </c>
      <c r="B34" s="18" t="s">
        <v>2110</v>
      </c>
      <c r="C34" s="548">
        <v>18</v>
      </c>
      <c r="D34" s="595" t="s">
        <v>2576</v>
      </c>
      <c r="E34" s="598" t="s">
        <v>2577</v>
      </c>
      <c r="F34" s="591" t="s">
        <v>2248</v>
      </c>
      <c r="G34" s="591" t="s">
        <v>2248</v>
      </c>
      <c r="H34" s="433"/>
      <c r="I34" s="433"/>
      <c r="J34" s="22" t="s">
        <v>66</v>
      </c>
      <c r="K34" s="22" t="s">
        <v>80</v>
      </c>
      <c r="L34" s="22" t="s">
        <v>2111</v>
      </c>
      <c r="M34" s="22" t="s">
        <v>29</v>
      </c>
      <c r="N34" s="22" t="s">
        <v>26</v>
      </c>
      <c r="O34" s="22" t="s">
        <v>69</v>
      </c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</row>
    <row r="35" spans="1:27" ht="39" customHeight="1" x14ac:dyDescent="0.3">
      <c r="A35" s="20">
        <v>32</v>
      </c>
      <c r="B35" s="21" t="s">
        <v>2112</v>
      </c>
      <c r="C35" s="549"/>
      <c r="D35" s="546"/>
      <c r="E35" s="199" t="s">
        <v>2575</v>
      </c>
      <c r="F35" s="546"/>
      <c r="G35" s="546"/>
      <c r="H35" s="433" t="s">
        <v>2248</v>
      </c>
      <c r="I35" s="433" t="s">
        <v>2248</v>
      </c>
      <c r="J35" s="22" t="s">
        <v>66</v>
      </c>
      <c r="K35" s="22" t="s">
        <v>80</v>
      </c>
      <c r="L35" s="22" t="s">
        <v>2111</v>
      </c>
      <c r="M35" s="22" t="s">
        <v>29</v>
      </c>
      <c r="N35" s="22" t="s">
        <v>26</v>
      </c>
      <c r="O35" s="22" t="s">
        <v>69</v>
      </c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</row>
    <row r="36" spans="1:27" ht="39" customHeight="1" x14ac:dyDescent="0.3">
      <c r="A36" s="9">
        <v>33</v>
      </c>
      <c r="B36" s="12" t="s">
        <v>2912</v>
      </c>
      <c r="C36" s="627"/>
      <c r="D36" s="630" t="s">
        <v>2268</v>
      </c>
      <c r="E36" s="625"/>
      <c r="F36" s="625"/>
      <c r="G36" s="625"/>
      <c r="H36" s="432"/>
      <c r="I36" s="432"/>
      <c r="J36" s="3" t="s">
        <v>21</v>
      </c>
      <c r="K36" s="3" t="s">
        <v>84</v>
      </c>
      <c r="L36" s="3" t="s">
        <v>85</v>
      </c>
      <c r="M36" s="3" t="s">
        <v>21</v>
      </c>
      <c r="N36" s="3" t="s">
        <v>21</v>
      </c>
      <c r="O36" s="3" t="s">
        <v>85</v>
      </c>
      <c r="P36" s="604" t="s">
        <v>1601</v>
      </c>
      <c r="Q36" s="604">
        <v>2366</v>
      </c>
      <c r="R36" s="631">
        <v>13450</v>
      </c>
      <c r="S36" s="604" t="s">
        <v>2911</v>
      </c>
      <c r="T36" s="536"/>
      <c r="U36" s="536"/>
      <c r="V36" s="536"/>
      <c r="W36" s="536"/>
      <c r="X36" s="536"/>
      <c r="Y36" s="536"/>
      <c r="Z36" s="536"/>
      <c r="AA36" s="536"/>
    </row>
    <row r="37" spans="1:27" ht="39" customHeight="1" x14ac:dyDescent="0.3">
      <c r="A37" s="9">
        <v>35</v>
      </c>
      <c r="B37" s="12" t="s">
        <v>2913</v>
      </c>
      <c r="C37" s="488">
        <v>19</v>
      </c>
      <c r="D37" s="12" t="s">
        <v>2269</v>
      </c>
      <c r="E37" s="488" t="s">
        <v>2269</v>
      </c>
      <c r="F37" s="432" t="s">
        <v>2248</v>
      </c>
      <c r="G37" s="432"/>
      <c r="H37" s="432"/>
      <c r="I37" s="432"/>
      <c r="J37" s="3" t="s">
        <v>21</v>
      </c>
      <c r="K37" s="3" t="s">
        <v>84</v>
      </c>
      <c r="L37" s="3" t="s">
        <v>85</v>
      </c>
      <c r="M37" s="3" t="s">
        <v>21</v>
      </c>
      <c r="N37" s="3" t="s">
        <v>21</v>
      </c>
      <c r="O37" s="3" t="s">
        <v>85</v>
      </c>
      <c r="P37" s="604" t="s">
        <v>1602</v>
      </c>
      <c r="Q37" s="604">
        <v>1545</v>
      </c>
      <c r="R37" s="631">
        <v>13209</v>
      </c>
      <c r="S37" s="604" t="s">
        <v>2910</v>
      </c>
      <c r="T37" s="536"/>
      <c r="U37" s="536"/>
      <c r="V37" s="536"/>
      <c r="W37" s="536"/>
      <c r="X37" s="536"/>
      <c r="Y37" s="536"/>
      <c r="Z37" s="536"/>
      <c r="AA37" s="536"/>
    </row>
    <row r="38" spans="1:27" ht="39" customHeight="1" x14ac:dyDescent="0.3">
      <c r="A38" s="9">
        <v>36</v>
      </c>
      <c r="B38" s="10" t="s">
        <v>2115</v>
      </c>
      <c r="C38" s="806">
        <v>20</v>
      </c>
      <c r="D38" s="804" t="s">
        <v>2270</v>
      </c>
      <c r="E38" s="806" t="s">
        <v>2528</v>
      </c>
      <c r="F38" s="808" t="s">
        <v>2248</v>
      </c>
      <c r="G38" s="808" t="s">
        <v>2248</v>
      </c>
      <c r="H38" s="808"/>
      <c r="I38" s="808"/>
      <c r="J38" s="3" t="s">
        <v>26</v>
      </c>
      <c r="K38" s="3" t="s">
        <v>29</v>
      </c>
      <c r="L38" s="3" t="s">
        <v>90</v>
      </c>
      <c r="M38" s="3" t="s">
        <v>29</v>
      </c>
      <c r="N38" s="3" t="s">
        <v>38</v>
      </c>
      <c r="O38" s="3" t="s">
        <v>38</v>
      </c>
      <c r="P38" s="536"/>
      <c r="Q38" s="536"/>
      <c r="R38" s="536"/>
      <c r="S38" s="536"/>
      <c r="T38" s="536"/>
      <c r="U38" s="536"/>
      <c r="V38" s="536"/>
      <c r="W38" s="536"/>
      <c r="X38" s="536"/>
      <c r="Y38" s="536"/>
      <c r="Z38" s="536"/>
      <c r="AA38" s="536"/>
    </row>
    <row r="39" spans="1:27" ht="39" customHeight="1" x14ac:dyDescent="0.3">
      <c r="A39" s="9">
        <v>37</v>
      </c>
      <c r="B39" s="15" t="s">
        <v>2116</v>
      </c>
      <c r="C39" s="807"/>
      <c r="D39" s="805"/>
      <c r="E39" s="809"/>
      <c r="F39" s="809"/>
      <c r="G39" s="809"/>
      <c r="H39" s="809"/>
      <c r="I39" s="809"/>
      <c r="J39" s="3" t="s">
        <v>26</v>
      </c>
      <c r="K39" s="3" t="s">
        <v>29</v>
      </c>
      <c r="L39" s="3" t="s">
        <v>90</v>
      </c>
      <c r="M39" s="3" t="s">
        <v>29</v>
      </c>
      <c r="N39" s="3" t="s">
        <v>38</v>
      </c>
      <c r="O39" s="3" t="s">
        <v>38</v>
      </c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</row>
    <row r="40" spans="1:27" ht="39" customHeight="1" x14ac:dyDescent="0.3">
      <c r="A40" s="9">
        <v>38</v>
      </c>
      <c r="B40" s="10" t="s">
        <v>2271</v>
      </c>
      <c r="C40" s="488">
        <v>21</v>
      </c>
      <c r="D40" s="10" t="s">
        <v>2272</v>
      </c>
      <c r="E40" s="488" t="s">
        <v>2272</v>
      </c>
      <c r="F40" s="432" t="s">
        <v>2248</v>
      </c>
      <c r="G40" s="432"/>
      <c r="H40" s="432"/>
      <c r="I40" s="432"/>
      <c r="J40" s="3" t="s">
        <v>26</v>
      </c>
      <c r="K40" s="3" t="s">
        <v>30</v>
      </c>
      <c r="L40" s="3" t="s">
        <v>34</v>
      </c>
      <c r="M40" s="3" t="s">
        <v>29</v>
      </c>
      <c r="N40" s="3" t="s">
        <v>38</v>
      </c>
      <c r="O40" s="3" t="s">
        <v>39</v>
      </c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</row>
    <row r="41" spans="1:27" ht="39" customHeight="1" x14ac:dyDescent="0.3">
      <c r="A41" s="9">
        <v>39</v>
      </c>
      <c r="B41" s="10" t="s">
        <v>2117</v>
      </c>
      <c r="C41" s="802">
        <v>22</v>
      </c>
      <c r="D41" s="804" t="s">
        <v>2273</v>
      </c>
      <c r="E41" s="806" t="s">
        <v>2529</v>
      </c>
      <c r="F41" s="808" t="s">
        <v>2248</v>
      </c>
      <c r="G41" s="808" t="s">
        <v>2248</v>
      </c>
      <c r="H41" s="808"/>
      <c r="I41" s="808"/>
      <c r="J41" s="3" t="s">
        <v>66</v>
      </c>
      <c r="K41" s="3" t="s">
        <v>96</v>
      </c>
      <c r="L41" s="3" t="s">
        <v>97</v>
      </c>
      <c r="M41" s="3" t="s">
        <v>29</v>
      </c>
      <c r="N41" s="3" t="s">
        <v>98</v>
      </c>
      <c r="O41" s="3" t="s">
        <v>98</v>
      </c>
      <c r="P41" s="60" t="s">
        <v>2823</v>
      </c>
      <c r="Q41" s="60">
        <v>2513</v>
      </c>
      <c r="R41" s="50"/>
      <c r="S41" s="50"/>
      <c r="T41" s="50"/>
      <c r="U41" s="60">
        <v>1960</v>
      </c>
      <c r="V41" s="60">
        <v>305</v>
      </c>
      <c r="W41" s="60">
        <v>197</v>
      </c>
      <c r="X41" s="60">
        <v>64.59</v>
      </c>
      <c r="Y41" s="60">
        <v>691</v>
      </c>
      <c r="Z41" s="60">
        <v>611</v>
      </c>
      <c r="AA41" s="605">
        <v>88</v>
      </c>
    </row>
    <row r="42" spans="1:27" ht="39" customHeight="1" x14ac:dyDescent="0.3">
      <c r="A42" s="9">
        <v>40</v>
      </c>
      <c r="B42" s="15" t="s">
        <v>2118</v>
      </c>
      <c r="C42" s="803"/>
      <c r="D42" s="805"/>
      <c r="E42" s="807"/>
      <c r="F42" s="809"/>
      <c r="G42" s="809"/>
      <c r="H42" s="809"/>
      <c r="I42" s="809"/>
      <c r="J42" s="3" t="s">
        <v>66</v>
      </c>
      <c r="K42" s="3" t="s">
        <v>96</v>
      </c>
      <c r="L42" s="3" t="s">
        <v>97</v>
      </c>
      <c r="M42" s="3" t="s">
        <v>29</v>
      </c>
      <c r="N42" s="3" t="s">
        <v>98</v>
      </c>
      <c r="O42" s="3" t="s">
        <v>98</v>
      </c>
      <c r="P42" s="29" t="s">
        <v>2824</v>
      </c>
      <c r="Q42" s="94">
        <v>1222</v>
      </c>
      <c r="R42" s="94"/>
      <c r="S42" s="94"/>
      <c r="T42" s="94"/>
      <c r="U42" s="94">
        <v>1960</v>
      </c>
      <c r="V42" s="94">
        <v>523</v>
      </c>
      <c r="W42" s="94">
        <v>348</v>
      </c>
      <c r="X42" s="94">
        <v>64.62</v>
      </c>
      <c r="Y42" s="94">
        <v>440</v>
      </c>
      <c r="Z42" s="94">
        <v>369</v>
      </c>
      <c r="AA42" s="94">
        <v>84</v>
      </c>
    </row>
    <row r="43" spans="1:27" ht="39" customHeight="1" x14ac:dyDescent="0.3">
      <c r="A43" s="9">
        <v>41</v>
      </c>
      <c r="B43" s="10" t="s">
        <v>2274</v>
      </c>
      <c r="C43" s="802">
        <v>23</v>
      </c>
      <c r="D43" s="847" t="s">
        <v>2275</v>
      </c>
      <c r="E43" s="802" t="s">
        <v>2629</v>
      </c>
      <c r="F43" s="808" t="s">
        <v>2248</v>
      </c>
      <c r="G43" s="808" t="s">
        <v>2248</v>
      </c>
      <c r="H43" s="808"/>
      <c r="I43" s="808"/>
      <c r="J43" s="3" t="s">
        <v>26</v>
      </c>
      <c r="K43" s="3" t="s">
        <v>26</v>
      </c>
      <c r="L43" s="3" t="s">
        <v>102</v>
      </c>
      <c r="M43" s="3" t="s">
        <v>29</v>
      </c>
      <c r="N43" s="3" t="s">
        <v>26</v>
      </c>
      <c r="O43" s="3" t="s">
        <v>26</v>
      </c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</row>
    <row r="44" spans="1:27" ht="39" customHeight="1" x14ac:dyDescent="0.3">
      <c r="A44" s="9">
        <v>42</v>
      </c>
      <c r="B44" s="15" t="s">
        <v>2120</v>
      </c>
      <c r="C44" s="803"/>
      <c r="D44" s="848"/>
      <c r="E44" s="807"/>
      <c r="F44" s="809"/>
      <c r="G44" s="809"/>
      <c r="H44" s="809"/>
      <c r="I44" s="809"/>
      <c r="J44" s="3" t="s">
        <v>26</v>
      </c>
      <c r="K44" s="3" t="s">
        <v>26</v>
      </c>
      <c r="L44" s="3" t="s">
        <v>102</v>
      </c>
      <c r="M44" s="3" t="s">
        <v>29</v>
      </c>
      <c r="N44" s="3" t="s">
        <v>26</v>
      </c>
      <c r="O44" s="3" t="s">
        <v>26</v>
      </c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</row>
    <row r="45" spans="1:27" ht="39" customHeight="1" x14ac:dyDescent="0.3">
      <c r="A45" s="413">
        <v>43</v>
      </c>
      <c r="B45" s="490" t="s">
        <v>2891</v>
      </c>
      <c r="C45" s="500">
        <v>24</v>
      </c>
      <c r="D45" s="490" t="s">
        <v>2276</v>
      </c>
      <c r="E45" s="500" t="s">
        <v>2276</v>
      </c>
      <c r="F45" s="498" t="s">
        <v>2248</v>
      </c>
      <c r="G45" s="498"/>
      <c r="H45" s="498"/>
      <c r="I45" s="498"/>
      <c r="J45" s="529" t="s">
        <v>21</v>
      </c>
      <c r="K45" s="529" t="s">
        <v>42</v>
      </c>
      <c r="L45" s="529" t="s">
        <v>105</v>
      </c>
      <c r="M45" s="529" t="s">
        <v>21</v>
      </c>
      <c r="N45" s="529" t="s">
        <v>44</v>
      </c>
      <c r="O45" s="529" t="s">
        <v>43</v>
      </c>
      <c r="P45" s="50" t="s">
        <v>1610</v>
      </c>
      <c r="Q45" s="229">
        <v>1223</v>
      </c>
      <c r="R45" s="603">
        <v>13021</v>
      </c>
      <c r="S45" s="94" t="s">
        <v>2890</v>
      </c>
      <c r="T45" s="615" t="s">
        <v>2048</v>
      </c>
      <c r="U45" s="77"/>
      <c r="V45" s="77"/>
      <c r="W45" s="77"/>
      <c r="X45" s="77"/>
      <c r="Y45" s="77"/>
      <c r="Z45" s="77"/>
      <c r="AA45" s="77"/>
    </row>
    <row r="46" spans="1:27" ht="39" customHeight="1" x14ac:dyDescent="0.3">
      <c r="A46" s="9">
        <v>44</v>
      </c>
      <c r="B46" s="12" t="s">
        <v>107</v>
      </c>
      <c r="C46" s="488">
        <v>25</v>
      </c>
      <c r="D46" s="12" t="s">
        <v>2277</v>
      </c>
      <c r="E46" s="439" t="s">
        <v>498</v>
      </c>
      <c r="F46" s="432"/>
      <c r="G46" s="432"/>
      <c r="H46" s="432"/>
      <c r="I46" s="432"/>
      <c r="J46" s="3" t="s">
        <v>21</v>
      </c>
      <c r="K46" s="3" t="s">
        <v>49</v>
      </c>
      <c r="L46" s="3" t="s">
        <v>109</v>
      </c>
      <c r="M46" s="3" t="s">
        <v>110</v>
      </c>
      <c r="N46" s="3" t="s">
        <v>44</v>
      </c>
      <c r="O46" s="3" t="s">
        <v>109</v>
      </c>
      <c r="P46" s="50" t="s">
        <v>1611</v>
      </c>
      <c r="Q46" s="229">
        <v>595</v>
      </c>
      <c r="R46" s="362">
        <v>12876</v>
      </c>
      <c r="S46" s="50" t="s">
        <v>2047</v>
      </c>
      <c r="T46" s="50" t="s">
        <v>2048</v>
      </c>
      <c r="U46" s="50">
        <v>1960</v>
      </c>
      <c r="V46" s="50">
        <v>905</v>
      </c>
      <c r="W46" s="50">
        <v>795</v>
      </c>
      <c r="X46" s="50">
        <v>87.84</v>
      </c>
      <c r="Y46" s="50">
        <v>1018</v>
      </c>
      <c r="Z46" s="50">
        <v>898</v>
      </c>
      <c r="AA46" s="50">
        <v>88.21</v>
      </c>
    </row>
    <row r="47" spans="1:27" ht="39" customHeight="1" x14ac:dyDescent="0.3">
      <c r="A47" s="9">
        <v>45</v>
      </c>
      <c r="B47" s="14" t="s">
        <v>111</v>
      </c>
      <c r="C47" s="489">
        <v>26</v>
      </c>
      <c r="D47" s="14" t="s">
        <v>2278</v>
      </c>
      <c r="E47" s="489" t="s">
        <v>2278</v>
      </c>
      <c r="F47" s="431" t="s">
        <v>2248</v>
      </c>
      <c r="G47" s="431"/>
      <c r="H47" s="431"/>
      <c r="I47" s="431"/>
      <c r="J47" s="3" t="s">
        <v>21</v>
      </c>
      <c r="K47" s="3" t="s">
        <v>49</v>
      </c>
      <c r="L47" s="3" t="s">
        <v>109</v>
      </c>
      <c r="M47" s="3" t="s">
        <v>110</v>
      </c>
      <c r="N47" s="3" t="s">
        <v>44</v>
      </c>
      <c r="O47" s="3" t="s">
        <v>109</v>
      </c>
      <c r="P47" s="50" t="s">
        <v>1612</v>
      </c>
      <c r="Q47" s="229">
        <v>773</v>
      </c>
      <c r="R47" s="362">
        <v>12943</v>
      </c>
      <c r="S47" s="50" t="s">
        <v>2049</v>
      </c>
      <c r="T47" s="50" t="s">
        <v>2048</v>
      </c>
      <c r="U47" s="50">
        <v>1960</v>
      </c>
      <c r="V47" s="50">
        <v>560</v>
      </c>
      <c r="W47" s="50">
        <v>382</v>
      </c>
      <c r="X47" s="50">
        <v>68.209999999999994</v>
      </c>
      <c r="Y47" s="50">
        <v>168</v>
      </c>
      <c r="Z47" s="50">
        <v>123</v>
      </c>
      <c r="AA47" s="50">
        <v>73.209999999999994</v>
      </c>
    </row>
    <row r="48" spans="1:27" ht="39" customHeight="1" x14ac:dyDescent="0.3">
      <c r="A48" s="20">
        <v>46</v>
      </c>
      <c r="B48" s="18" t="s">
        <v>2279</v>
      </c>
      <c r="C48" s="536"/>
      <c r="D48" s="435"/>
      <c r="E48" s="199" t="s">
        <v>2628</v>
      </c>
      <c r="F48" s="471"/>
      <c r="G48" s="532"/>
      <c r="H48" s="532" t="s">
        <v>2248</v>
      </c>
      <c r="I48" s="532" t="s">
        <v>2248</v>
      </c>
      <c r="J48" s="22" t="s">
        <v>66</v>
      </c>
      <c r="K48" s="22" t="s">
        <v>80</v>
      </c>
      <c r="L48" s="22" t="s">
        <v>115</v>
      </c>
      <c r="M48" s="22" t="s">
        <v>29</v>
      </c>
      <c r="N48" s="22" t="s">
        <v>26</v>
      </c>
      <c r="O48" s="22" t="s">
        <v>69</v>
      </c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</row>
    <row r="49" spans="1:27" ht="39" customHeight="1" x14ac:dyDescent="0.3">
      <c r="A49" s="20">
        <v>47</v>
      </c>
      <c r="B49" s="18" t="s">
        <v>2122</v>
      </c>
      <c r="C49" s="199">
        <v>27</v>
      </c>
      <c r="D49" s="550" t="s">
        <v>2280</v>
      </c>
      <c r="E49" s="551" t="s">
        <v>2622</v>
      </c>
      <c r="F49" s="532" t="s">
        <v>2248</v>
      </c>
      <c r="G49" s="532" t="s">
        <v>2248</v>
      </c>
      <c r="H49" s="532"/>
      <c r="I49" s="532"/>
      <c r="J49" s="22" t="s">
        <v>66</v>
      </c>
      <c r="K49" s="22" t="s">
        <v>80</v>
      </c>
      <c r="L49" s="22" t="s">
        <v>115</v>
      </c>
      <c r="M49" s="22" t="s">
        <v>29</v>
      </c>
      <c r="N49" s="22" t="s">
        <v>26</v>
      </c>
      <c r="O49" s="22" t="s">
        <v>69</v>
      </c>
      <c r="P49" s="60" t="s">
        <v>1613</v>
      </c>
      <c r="Q49" s="275" t="s">
        <v>1614</v>
      </c>
      <c r="R49" s="60"/>
      <c r="S49" s="275"/>
      <c r="T49" s="60"/>
      <c r="U49" s="275"/>
      <c r="V49" s="60"/>
      <c r="W49" s="275"/>
      <c r="X49" s="60"/>
      <c r="Y49" s="275"/>
      <c r="Z49" s="60"/>
      <c r="AA49" s="275"/>
    </row>
    <row r="50" spans="1:27" ht="39" customHeight="1" x14ac:dyDescent="0.3">
      <c r="A50" s="9">
        <v>48</v>
      </c>
      <c r="B50" s="12" t="s">
        <v>116</v>
      </c>
      <c r="C50" s="488">
        <v>28</v>
      </c>
      <c r="D50" s="14" t="s">
        <v>2281</v>
      </c>
      <c r="E50" s="489" t="s">
        <v>2530</v>
      </c>
      <c r="F50" s="431" t="s">
        <v>2248</v>
      </c>
      <c r="G50" s="431" t="s">
        <v>2248</v>
      </c>
      <c r="H50" s="431"/>
      <c r="I50" s="431"/>
      <c r="J50" s="3" t="s">
        <v>66</v>
      </c>
      <c r="K50" s="3" t="s">
        <v>80</v>
      </c>
      <c r="L50" s="3" t="s">
        <v>117</v>
      </c>
      <c r="M50" s="3" t="s">
        <v>29</v>
      </c>
      <c r="N50" s="22" t="s">
        <v>26</v>
      </c>
      <c r="O50" s="22" t="s">
        <v>69</v>
      </c>
      <c r="P50" s="60" t="s">
        <v>1615</v>
      </c>
      <c r="Q50" s="275" t="s">
        <v>1616</v>
      </c>
      <c r="R50" s="77"/>
      <c r="S50" s="77"/>
      <c r="T50" s="77"/>
      <c r="U50" s="77"/>
      <c r="V50" s="77"/>
      <c r="W50" s="77"/>
      <c r="X50" s="77"/>
      <c r="Y50" s="77"/>
      <c r="Z50" s="77"/>
      <c r="AA50" s="77"/>
    </row>
    <row r="51" spans="1:27" ht="39" customHeight="1" x14ac:dyDescent="0.3">
      <c r="A51" s="9">
        <v>49</v>
      </c>
      <c r="B51" s="15" t="s">
        <v>2125</v>
      </c>
      <c r="C51" s="483"/>
      <c r="D51" s="15"/>
      <c r="E51" s="430" t="s">
        <v>2565</v>
      </c>
      <c r="F51" s="431"/>
      <c r="G51" s="431"/>
      <c r="H51" s="431" t="s">
        <v>2248</v>
      </c>
      <c r="I51" s="431" t="s">
        <v>2248</v>
      </c>
      <c r="J51" s="3" t="s">
        <v>26</v>
      </c>
      <c r="K51" s="3" t="s">
        <v>31</v>
      </c>
      <c r="L51" s="3" t="s">
        <v>157</v>
      </c>
      <c r="M51" s="3" t="s">
        <v>29</v>
      </c>
      <c r="N51" s="3" t="s">
        <v>14</v>
      </c>
      <c r="O51" s="3" t="s">
        <v>2581</v>
      </c>
      <c r="P51" s="3" t="s">
        <v>2825</v>
      </c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</row>
    <row r="52" spans="1:27" ht="39" customHeight="1" x14ac:dyDescent="0.3">
      <c r="A52" s="9">
        <v>50</v>
      </c>
      <c r="B52" s="12" t="s">
        <v>2126</v>
      </c>
      <c r="C52" s="481"/>
      <c r="D52" s="12"/>
      <c r="E52" s="439" t="s">
        <v>2565</v>
      </c>
      <c r="F52" s="432"/>
      <c r="G52" s="432"/>
      <c r="H52" s="432" t="s">
        <v>2248</v>
      </c>
      <c r="I52" s="432" t="s">
        <v>2248</v>
      </c>
      <c r="J52" s="3" t="s">
        <v>26</v>
      </c>
      <c r="K52" s="3" t="s">
        <v>31</v>
      </c>
      <c r="L52" s="3" t="s">
        <v>157</v>
      </c>
      <c r="M52" s="3" t="s">
        <v>29</v>
      </c>
      <c r="N52" s="3" t="s">
        <v>14</v>
      </c>
      <c r="O52" s="3" t="s">
        <v>2581</v>
      </c>
      <c r="P52" s="536"/>
      <c r="Q52" s="536"/>
      <c r="R52" s="536"/>
      <c r="S52" s="536"/>
      <c r="T52" s="536"/>
      <c r="U52" s="536"/>
      <c r="V52" s="536"/>
      <c r="W52" s="536"/>
      <c r="X52" s="536"/>
      <c r="Y52" s="536"/>
      <c r="Z52" s="536"/>
      <c r="AA52" s="536"/>
    </row>
    <row r="53" spans="1:27" ht="39" customHeight="1" x14ac:dyDescent="0.3">
      <c r="A53" s="9">
        <v>51</v>
      </c>
      <c r="B53" s="12" t="s">
        <v>118</v>
      </c>
      <c r="C53" s="488">
        <v>29</v>
      </c>
      <c r="D53" s="12" t="s">
        <v>2282</v>
      </c>
      <c r="E53" s="488" t="s">
        <v>2282</v>
      </c>
      <c r="F53" s="432" t="s">
        <v>2248</v>
      </c>
      <c r="G53" s="432"/>
      <c r="H53" s="432"/>
      <c r="I53" s="432"/>
      <c r="J53" s="3" t="s">
        <v>21</v>
      </c>
      <c r="K53" s="3" t="s">
        <v>84</v>
      </c>
      <c r="L53" s="3" t="s">
        <v>120</v>
      </c>
      <c r="M53" s="3" t="s">
        <v>110</v>
      </c>
      <c r="N53" s="3" t="s">
        <v>21</v>
      </c>
      <c r="O53" s="3" t="s">
        <v>85</v>
      </c>
      <c r="P53" s="604" t="s">
        <v>2892</v>
      </c>
      <c r="Q53" s="604">
        <v>1910</v>
      </c>
      <c r="R53" s="604" t="s">
        <v>2893</v>
      </c>
      <c r="S53" s="604" t="s">
        <v>2894</v>
      </c>
      <c r="T53" s="604" t="s">
        <v>623</v>
      </c>
      <c r="U53" s="536"/>
      <c r="V53" s="536"/>
      <c r="W53" s="536"/>
      <c r="X53" s="536"/>
      <c r="Y53" s="536"/>
      <c r="Z53" s="536"/>
      <c r="AA53" s="536"/>
    </row>
    <row r="54" spans="1:27" ht="39" customHeight="1" x14ac:dyDescent="0.3">
      <c r="A54" s="9">
        <v>52</v>
      </c>
      <c r="B54" s="12" t="s">
        <v>121</v>
      </c>
      <c r="C54" s="488">
        <v>30</v>
      </c>
      <c r="D54" s="12" t="s">
        <v>2283</v>
      </c>
      <c r="E54" s="488" t="s">
        <v>2283</v>
      </c>
      <c r="F54" s="432" t="s">
        <v>2248</v>
      </c>
      <c r="G54" s="432"/>
      <c r="H54" s="432"/>
      <c r="I54" s="432"/>
      <c r="J54" s="3" t="s">
        <v>21</v>
      </c>
      <c r="K54" s="3" t="s">
        <v>84</v>
      </c>
      <c r="L54" s="3" t="s">
        <v>120</v>
      </c>
      <c r="M54" s="3" t="s">
        <v>110</v>
      </c>
      <c r="N54" s="3" t="s">
        <v>21</v>
      </c>
      <c r="O54" s="3" t="s">
        <v>85</v>
      </c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</row>
    <row r="55" spans="1:27" ht="39" customHeight="1" x14ac:dyDescent="0.3">
      <c r="A55" s="9">
        <v>53</v>
      </c>
      <c r="B55" s="15" t="s">
        <v>123</v>
      </c>
      <c r="C55" s="489">
        <v>31</v>
      </c>
      <c r="D55" s="15" t="s">
        <v>2284</v>
      </c>
      <c r="E55" s="489" t="s">
        <v>2284</v>
      </c>
      <c r="F55" s="431" t="s">
        <v>2248</v>
      </c>
      <c r="G55" s="431"/>
      <c r="H55" s="431"/>
      <c r="I55" s="431"/>
      <c r="J55" s="3" t="s">
        <v>66</v>
      </c>
      <c r="K55" s="3" t="s">
        <v>125</v>
      </c>
      <c r="L55" s="3" t="s">
        <v>126</v>
      </c>
      <c r="M55" s="3" t="s">
        <v>29</v>
      </c>
      <c r="N55" s="3" t="s">
        <v>98</v>
      </c>
      <c r="O55" s="3" t="s">
        <v>125</v>
      </c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</row>
    <row r="56" spans="1:27" ht="39" customHeight="1" x14ac:dyDescent="0.3">
      <c r="A56" s="9">
        <v>54</v>
      </c>
      <c r="B56" s="15" t="s">
        <v>127</v>
      </c>
      <c r="C56" s="489">
        <v>32</v>
      </c>
      <c r="D56" s="15" t="s">
        <v>2285</v>
      </c>
      <c r="E56" s="489" t="s">
        <v>2285</v>
      </c>
      <c r="F56" s="431" t="s">
        <v>2248</v>
      </c>
      <c r="G56" s="431"/>
      <c r="H56" s="431"/>
      <c r="I56" s="431"/>
      <c r="J56" s="3" t="s">
        <v>69</v>
      </c>
      <c r="K56" s="3" t="s">
        <v>96</v>
      </c>
      <c r="L56" s="3" t="s">
        <v>97</v>
      </c>
      <c r="M56" s="3" t="s">
        <v>29</v>
      </c>
      <c r="N56" s="3" t="s">
        <v>98</v>
      </c>
      <c r="O56" s="3" t="s">
        <v>98</v>
      </c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</row>
    <row r="57" spans="1:27" ht="39" customHeight="1" x14ac:dyDescent="0.3">
      <c r="A57" s="9">
        <v>55</v>
      </c>
      <c r="B57" s="12" t="s">
        <v>2127</v>
      </c>
      <c r="C57" s="481"/>
      <c r="D57" s="12"/>
      <c r="E57" s="439" t="s">
        <v>2565</v>
      </c>
      <c r="F57" s="432"/>
      <c r="G57" s="432"/>
      <c r="H57" s="432" t="s">
        <v>2248</v>
      </c>
      <c r="I57" s="432" t="s">
        <v>2248</v>
      </c>
      <c r="J57" s="3" t="s">
        <v>26</v>
      </c>
      <c r="K57" s="3" t="s">
        <v>31</v>
      </c>
      <c r="L57" s="3" t="s">
        <v>74</v>
      </c>
      <c r="M57" s="3" t="s">
        <v>29</v>
      </c>
      <c r="N57" s="3" t="s">
        <v>38</v>
      </c>
      <c r="O57" s="3" t="s">
        <v>39</v>
      </c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</row>
    <row r="58" spans="1:27" ht="39" customHeight="1" x14ac:dyDescent="0.3">
      <c r="A58" s="9">
        <v>56</v>
      </c>
      <c r="B58" s="14" t="s">
        <v>131</v>
      </c>
      <c r="C58" s="489">
        <v>33</v>
      </c>
      <c r="D58" s="14" t="s">
        <v>2288</v>
      </c>
      <c r="E58" s="489" t="s">
        <v>2288</v>
      </c>
      <c r="F58" s="431" t="s">
        <v>2248</v>
      </c>
      <c r="G58" s="431"/>
      <c r="H58" s="431"/>
      <c r="I58" s="431"/>
      <c r="J58" s="3" t="s">
        <v>13</v>
      </c>
      <c r="K58" s="3" t="s">
        <v>14</v>
      </c>
      <c r="L58" s="3" t="s">
        <v>130</v>
      </c>
      <c r="M58" s="3" t="s">
        <v>14</v>
      </c>
      <c r="N58" s="3" t="s">
        <v>14</v>
      </c>
      <c r="O58" s="3" t="s">
        <v>16</v>
      </c>
      <c r="P58" s="94" t="s">
        <v>1621</v>
      </c>
      <c r="Q58" s="94">
        <v>1576</v>
      </c>
      <c r="R58" s="603">
        <v>13225</v>
      </c>
      <c r="S58" s="94" t="s">
        <v>2050</v>
      </c>
      <c r="T58" s="77"/>
      <c r="U58" s="77"/>
      <c r="V58" s="77"/>
      <c r="W58" s="77"/>
      <c r="X58" s="77"/>
      <c r="Y58" s="77"/>
      <c r="Z58" s="77"/>
      <c r="AA58" s="77"/>
    </row>
    <row r="59" spans="1:27" ht="39" customHeight="1" x14ac:dyDescent="0.3">
      <c r="A59" s="9">
        <v>57</v>
      </c>
      <c r="B59" s="12" t="s">
        <v>2287</v>
      </c>
      <c r="C59" s="802">
        <v>34</v>
      </c>
      <c r="D59" s="804" t="s">
        <v>2286</v>
      </c>
      <c r="E59" s="489"/>
      <c r="F59" s="808" t="s">
        <v>2248</v>
      </c>
      <c r="G59" s="808" t="s">
        <v>2248</v>
      </c>
      <c r="H59" s="808"/>
      <c r="I59" s="808"/>
      <c r="J59" s="3" t="s">
        <v>13</v>
      </c>
      <c r="K59" s="3" t="s">
        <v>14</v>
      </c>
      <c r="L59" s="3" t="s">
        <v>130</v>
      </c>
      <c r="M59" s="3" t="s">
        <v>14</v>
      </c>
      <c r="N59" s="3" t="s">
        <v>14</v>
      </c>
      <c r="O59" s="3" t="s">
        <v>16</v>
      </c>
      <c r="P59" s="94" t="s">
        <v>2921</v>
      </c>
      <c r="Q59" s="94">
        <v>780</v>
      </c>
      <c r="R59" s="603">
        <v>12943</v>
      </c>
      <c r="S59" s="94" t="s">
        <v>2049</v>
      </c>
      <c r="T59" s="77"/>
      <c r="U59" s="77"/>
      <c r="V59" s="77"/>
      <c r="W59" s="77"/>
      <c r="X59" s="77"/>
      <c r="Y59" s="77"/>
      <c r="Z59" s="77"/>
      <c r="AA59" s="77"/>
    </row>
    <row r="60" spans="1:27" ht="39" customHeight="1" x14ac:dyDescent="0.3">
      <c r="A60" s="9">
        <v>58</v>
      </c>
      <c r="B60" s="12" t="s">
        <v>2129</v>
      </c>
      <c r="C60" s="803"/>
      <c r="D60" s="805"/>
      <c r="E60" s="628" t="s">
        <v>2531</v>
      </c>
      <c r="F60" s="809"/>
      <c r="G60" s="809"/>
      <c r="H60" s="809"/>
      <c r="I60" s="809"/>
      <c r="J60" s="3" t="s">
        <v>13</v>
      </c>
      <c r="K60" s="3" t="s">
        <v>14</v>
      </c>
      <c r="L60" s="3" t="s">
        <v>130</v>
      </c>
      <c r="M60" s="3" t="s">
        <v>14</v>
      </c>
      <c r="N60" s="3" t="s">
        <v>14</v>
      </c>
      <c r="O60" s="3" t="s">
        <v>16</v>
      </c>
      <c r="P60" s="94" t="s">
        <v>2922</v>
      </c>
      <c r="Q60" s="94">
        <v>1575</v>
      </c>
      <c r="R60" s="603">
        <v>13225</v>
      </c>
      <c r="S60" s="94" t="s">
        <v>2050</v>
      </c>
      <c r="T60" s="77"/>
      <c r="U60" s="77"/>
      <c r="V60" s="77"/>
      <c r="W60" s="77"/>
      <c r="X60" s="77"/>
      <c r="Y60" s="77"/>
      <c r="Z60" s="77"/>
      <c r="AA60" s="77"/>
    </row>
    <row r="61" spans="1:27" ht="39" customHeight="1" x14ac:dyDescent="0.3">
      <c r="A61" s="9">
        <v>59</v>
      </c>
      <c r="B61" s="12" t="s">
        <v>2923</v>
      </c>
      <c r="C61" s="481"/>
      <c r="D61" s="12"/>
      <c r="E61" s="439" t="s">
        <v>2565</v>
      </c>
      <c r="F61" s="432"/>
      <c r="G61" s="432"/>
      <c r="H61" s="432" t="s">
        <v>2248</v>
      </c>
      <c r="I61" s="432" t="s">
        <v>2248</v>
      </c>
      <c r="J61" s="3" t="s">
        <v>13</v>
      </c>
      <c r="K61" s="3" t="s">
        <v>14</v>
      </c>
      <c r="L61" s="3" t="s">
        <v>130</v>
      </c>
      <c r="M61" s="3" t="s">
        <v>14</v>
      </c>
      <c r="N61" s="3" t="s">
        <v>14</v>
      </c>
      <c r="O61" s="3" t="s">
        <v>16</v>
      </c>
      <c r="P61" s="94" t="s">
        <v>2924</v>
      </c>
      <c r="Q61" s="94">
        <v>2509</v>
      </c>
      <c r="R61" s="603">
        <v>13616</v>
      </c>
      <c r="S61" s="94" t="s">
        <v>2925</v>
      </c>
      <c r="T61" s="77"/>
      <c r="U61" s="77"/>
      <c r="V61" s="77"/>
      <c r="W61" s="77"/>
      <c r="X61" s="77"/>
      <c r="Y61" s="77"/>
      <c r="Z61" s="77"/>
      <c r="AA61" s="77"/>
    </row>
    <row r="62" spans="1:27" ht="39" customHeight="1" x14ac:dyDescent="0.3">
      <c r="A62" s="9">
        <v>60</v>
      </c>
      <c r="B62" s="15" t="s">
        <v>132</v>
      </c>
      <c r="C62" s="489">
        <v>35</v>
      </c>
      <c r="D62" s="15" t="s">
        <v>2289</v>
      </c>
      <c r="E62" s="489" t="s">
        <v>2289</v>
      </c>
      <c r="F62" s="431" t="s">
        <v>2248</v>
      </c>
      <c r="G62" s="431"/>
      <c r="H62" s="431"/>
      <c r="I62" s="431"/>
      <c r="J62" s="3" t="s">
        <v>69</v>
      </c>
      <c r="K62" s="3" t="s">
        <v>80</v>
      </c>
      <c r="L62" s="3" t="s">
        <v>133</v>
      </c>
      <c r="M62" s="3" t="s">
        <v>29</v>
      </c>
      <c r="N62" s="3" t="s">
        <v>30</v>
      </c>
      <c r="O62" s="3" t="s">
        <v>26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</row>
    <row r="63" spans="1:27" ht="39" customHeight="1" x14ac:dyDescent="0.3">
      <c r="A63" s="20">
        <v>61</v>
      </c>
      <c r="B63" s="18" t="s">
        <v>2131</v>
      </c>
      <c r="C63" s="545"/>
      <c r="D63" s="546"/>
      <c r="E63" s="599" t="s">
        <v>2627</v>
      </c>
      <c r="F63" s="546"/>
      <c r="G63" s="591"/>
      <c r="H63" s="591" t="s">
        <v>2248</v>
      </c>
      <c r="I63" s="591" t="s">
        <v>2248</v>
      </c>
      <c r="J63" s="22" t="s">
        <v>26</v>
      </c>
      <c r="K63" s="22" t="s">
        <v>30</v>
      </c>
      <c r="L63" s="22" t="s">
        <v>136</v>
      </c>
      <c r="M63" s="22" t="s">
        <v>29</v>
      </c>
      <c r="N63" s="22" t="s">
        <v>30</v>
      </c>
      <c r="O63" s="22" t="s">
        <v>26</v>
      </c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</row>
    <row r="64" spans="1:27" ht="39" customHeight="1" x14ac:dyDescent="0.3">
      <c r="A64" s="20">
        <v>62</v>
      </c>
      <c r="B64" s="21" t="s">
        <v>2132</v>
      </c>
      <c r="C64" s="599">
        <v>36</v>
      </c>
      <c r="D64" s="596" t="s">
        <v>2290</v>
      </c>
      <c r="E64" s="599" t="s">
        <v>2630</v>
      </c>
      <c r="F64" s="543" t="s">
        <v>2248</v>
      </c>
      <c r="G64" s="433" t="s">
        <v>2248</v>
      </c>
      <c r="H64" s="546"/>
      <c r="I64" s="546"/>
      <c r="J64" s="22" t="s">
        <v>26</v>
      </c>
      <c r="K64" s="22" t="s">
        <v>30</v>
      </c>
      <c r="L64" s="22" t="s">
        <v>136</v>
      </c>
      <c r="M64" s="22" t="s">
        <v>29</v>
      </c>
      <c r="N64" s="22" t="s">
        <v>30</v>
      </c>
      <c r="O64" s="22" t="s">
        <v>26</v>
      </c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</row>
    <row r="65" spans="1:27" ht="39" customHeight="1" x14ac:dyDescent="0.3">
      <c r="A65" s="9">
        <v>63</v>
      </c>
      <c r="B65" s="15" t="s">
        <v>137</v>
      </c>
      <c r="C65" s="489">
        <v>37</v>
      </c>
      <c r="D65" s="15" t="s">
        <v>2291</v>
      </c>
      <c r="E65" s="489" t="s">
        <v>2532</v>
      </c>
      <c r="F65" s="431" t="s">
        <v>2248</v>
      </c>
      <c r="G65" s="431"/>
      <c r="H65" s="431"/>
      <c r="I65" s="431"/>
      <c r="J65" s="3" t="s">
        <v>26</v>
      </c>
      <c r="K65" s="3" t="s">
        <v>30</v>
      </c>
      <c r="L65" s="3" t="s">
        <v>139</v>
      </c>
      <c r="M65" s="3" t="s">
        <v>29</v>
      </c>
      <c r="N65" s="3" t="s">
        <v>30</v>
      </c>
      <c r="O65" s="3" t="s">
        <v>30</v>
      </c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</row>
    <row r="66" spans="1:27" ht="39" customHeight="1" x14ac:dyDescent="0.3">
      <c r="A66" s="413">
        <v>64</v>
      </c>
      <c r="B66" s="492" t="s">
        <v>2133</v>
      </c>
      <c r="C66" s="496">
        <v>38</v>
      </c>
      <c r="D66" s="492"/>
      <c r="E66" s="496" t="s">
        <v>2573</v>
      </c>
      <c r="F66" s="497"/>
      <c r="G66" s="497"/>
      <c r="H66" s="497" t="s">
        <v>2248</v>
      </c>
      <c r="I66" s="497"/>
      <c r="J66" s="529" t="s">
        <v>69</v>
      </c>
      <c r="K66" s="529" t="s">
        <v>80</v>
      </c>
      <c r="L66" s="529" t="s">
        <v>2134</v>
      </c>
      <c r="M66" s="529" t="s">
        <v>29</v>
      </c>
      <c r="N66" s="529" t="s">
        <v>30</v>
      </c>
      <c r="O66" s="529" t="s">
        <v>69</v>
      </c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</row>
    <row r="67" spans="1:27" ht="39" customHeight="1" x14ac:dyDescent="0.3">
      <c r="A67" s="9">
        <v>65</v>
      </c>
      <c r="B67" s="15" t="s">
        <v>140</v>
      </c>
      <c r="C67" s="489">
        <v>39</v>
      </c>
      <c r="D67" s="15" t="s">
        <v>2292</v>
      </c>
      <c r="E67" s="489" t="s">
        <v>2292</v>
      </c>
      <c r="F67" s="431" t="s">
        <v>2248</v>
      </c>
      <c r="G67" s="431"/>
      <c r="H67" s="431"/>
      <c r="I67" s="431"/>
      <c r="J67" s="3" t="s">
        <v>69</v>
      </c>
      <c r="K67" s="3" t="s">
        <v>125</v>
      </c>
      <c r="L67" s="3" t="s">
        <v>142</v>
      </c>
      <c r="M67" s="3" t="s">
        <v>29</v>
      </c>
      <c r="N67" s="3" t="s">
        <v>98</v>
      </c>
      <c r="O67" s="3" t="s">
        <v>143</v>
      </c>
      <c r="P67" s="536"/>
      <c r="Q67" s="536"/>
      <c r="R67" s="536"/>
      <c r="S67" s="536"/>
      <c r="T67" s="536"/>
      <c r="U67" s="536"/>
      <c r="V67" s="536"/>
      <c r="W67" s="536"/>
      <c r="X67" s="536"/>
      <c r="Y67" s="536"/>
      <c r="Z67" s="536"/>
      <c r="AA67" s="536"/>
    </row>
    <row r="68" spans="1:27" ht="39" customHeight="1" x14ac:dyDescent="0.3">
      <c r="A68" s="9">
        <v>66</v>
      </c>
      <c r="B68" s="14" t="s">
        <v>144</v>
      </c>
      <c r="C68" s="489">
        <v>40</v>
      </c>
      <c r="D68" s="14" t="s">
        <v>2293</v>
      </c>
      <c r="E68" s="489" t="s">
        <v>2293</v>
      </c>
      <c r="F68" s="431" t="s">
        <v>2248</v>
      </c>
      <c r="G68" s="431"/>
      <c r="H68" s="431"/>
      <c r="I68" s="431"/>
      <c r="J68" s="3" t="s">
        <v>26</v>
      </c>
      <c r="K68" s="3" t="s">
        <v>31</v>
      </c>
      <c r="L68" s="3" t="s">
        <v>146</v>
      </c>
      <c r="M68" s="3" t="s">
        <v>29</v>
      </c>
      <c r="N68" s="3" t="s">
        <v>30</v>
      </c>
      <c r="O68" s="3" t="s">
        <v>1532</v>
      </c>
      <c r="P68" s="536"/>
      <c r="Q68" s="536"/>
      <c r="R68" s="536"/>
      <c r="S68" s="536"/>
      <c r="T68" s="536"/>
      <c r="U68" s="536"/>
      <c r="V68" s="536"/>
      <c r="W68" s="536"/>
      <c r="X68" s="536"/>
      <c r="Y68" s="536"/>
      <c r="Z68" s="536"/>
      <c r="AA68" s="536"/>
    </row>
    <row r="69" spans="1:27" ht="39" customHeight="1" x14ac:dyDescent="0.3">
      <c r="A69" s="9">
        <v>67</v>
      </c>
      <c r="B69" s="10" t="s">
        <v>2135</v>
      </c>
      <c r="C69" s="488">
        <v>41</v>
      </c>
      <c r="D69" s="10" t="s">
        <v>2294</v>
      </c>
      <c r="E69" s="488" t="s">
        <v>2294</v>
      </c>
      <c r="F69" s="432" t="s">
        <v>2248</v>
      </c>
      <c r="G69" s="432"/>
      <c r="H69" s="432"/>
      <c r="I69" s="432"/>
      <c r="J69" s="3" t="s">
        <v>26</v>
      </c>
      <c r="K69" s="3" t="s">
        <v>30</v>
      </c>
      <c r="L69" s="3" t="s">
        <v>148</v>
      </c>
      <c r="M69" s="3" t="s">
        <v>29</v>
      </c>
      <c r="N69" s="3" t="s">
        <v>30</v>
      </c>
      <c r="O69" s="3" t="s">
        <v>1532</v>
      </c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</row>
    <row r="70" spans="1:27" ht="39" customHeight="1" x14ac:dyDescent="0.3">
      <c r="A70" s="9">
        <v>68</v>
      </c>
      <c r="B70" s="12" t="s">
        <v>2136</v>
      </c>
      <c r="C70" s="806">
        <v>42</v>
      </c>
      <c r="D70" s="818" t="s">
        <v>2295</v>
      </c>
      <c r="E70" s="806" t="s">
        <v>2533</v>
      </c>
      <c r="F70" s="808" t="s">
        <v>2248</v>
      </c>
      <c r="G70" s="808" t="s">
        <v>2248</v>
      </c>
      <c r="H70" s="431"/>
      <c r="I70" s="431"/>
      <c r="J70" s="3" t="s">
        <v>21</v>
      </c>
      <c r="K70" s="3" t="s">
        <v>49</v>
      </c>
      <c r="L70" s="3" t="s">
        <v>151</v>
      </c>
      <c r="M70" s="3" t="s">
        <v>21</v>
      </c>
      <c r="N70" s="3" t="s">
        <v>44</v>
      </c>
      <c r="O70" s="3" t="s">
        <v>109</v>
      </c>
      <c r="P70" s="833" t="s">
        <v>1631</v>
      </c>
      <c r="Q70" s="836">
        <v>1555</v>
      </c>
      <c r="R70" s="837">
        <v>13225</v>
      </c>
      <c r="S70" s="833" t="s">
        <v>2050</v>
      </c>
      <c r="T70" s="833" t="s">
        <v>2048</v>
      </c>
      <c r="U70" s="833">
        <v>1960</v>
      </c>
      <c r="V70" s="833">
        <v>267</v>
      </c>
      <c r="W70" s="833">
        <v>236</v>
      </c>
      <c r="X70" s="833">
        <v>88.38</v>
      </c>
      <c r="Y70" s="833" t="s">
        <v>498</v>
      </c>
      <c r="Z70" s="833" t="s">
        <v>498</v>
      </c>
      <c r="AA70" s="833" t="s">
        <v>498</v>
      </c>
    </row>
    <row r="71" spans="1:27" ht="39" customHeight="1" x14ac:dyDescent="0.3">
      <c r="A71" s="9">
        <v>69</v>
      </c>
      <c r="B71" s="14" t="s">
        <v>2137</v>
      </c>
      <c r="C71" s="807"/>
      <c r="D71" s="819"/>
      <c r="E71" s="807"/>
      <c r="F71" s="809"/>
      <c r="G71" s="809"/>
      <c r="H71" s="431"/>
      <c r="I71" s="431"/>
      <c r="J71" s="3" t="s">
        <v>21</v>
      </c>
      <c r="K71" s="3" t="s">
        <v>49</v>
      </c>
      <c r="L71" s="3" t="s">
        <v>151</v>
      </c>
      <c r="M71" s="3" t="s">
        <v>21</v>
      </c>
      <c r="N71" s="3" t="s">
        <v>44</v>
      </c>
      <c r="O71" s="3" t="s">
        <v>109</v>
      </c>
      <c r="P71" s="833"/>
      <c r="Q71" s="836"/>
      <c r="R71" s="837"/>
      <c r="S71" s="833"/>
      <c r="T71" s="833"/>
      <c r="U71" s="833"/>
      <c r="V71" s="833"/>
      <c r="W71" s="833"/>
      <c r="X71" s="833"/>
      <c r="Y71" s="833"/>
      <c r="Z71" s="833"/>
      <c r="AA71" s="833"/>
    </row>
    <row r="72" spans="1:27" ht="39" customHeight="1" x14ac:dyDescent="0.3">
      <c r="A72" s="20">
        <v>70</v>
      </c>
      <c r="B72" s="21" t="s">
        <v>152</v>
      </c>
      <c r="C72" s="513">
        <v>43</v>
      </c>
      <c r="D72" s="21" t="s">
        <v>2296</v>
      </c>
      <c r="E72" s="513" t="s">
        <v>2296</v>
      </c>
      <c r="F72" s="433" t="s">
        <v>2248</v>
      </c>
      <c r="G72" s="433"/>
      <c r="H72" s="433"/>
      <c r="I72" s="433"/>
      <c r="J72" s="22" t="s">
        <v>13</v>
      </c>
      <c r="K72" s="22" t="s">
        <v>29</v>
      </c>
      <c r="L72" s="22" t="s">
        <v>154</v>
      </c>
      <c r="M72" s="22" t="s">
        <v>29</v>
      </c>
      <c r="N72" s="22" t="s">
        <v>38</v>
      </c>
      <c r="O72" s="22" t="s">
        <v>38</v>
      </c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</row>
    <row r="73" spans="1:27" ht="39" customHeight="1" x14ac:dyDescent="0.3">
      <c r="A73" s="9">
        <v>71</v>
      </c>
      <c r="B73" s="15" t="s">
        <v>2138</v>
      </c>
      <c r="C73" s="483"/>
      <c r="D73" s="15"/>
      <c r="E73" s="489" t="s">
        <v>2565</v>
      </c>
      <c r="F73" s="431"/>
      <c r="G73" s="431"/>
      <c r="H73" s="431" t="s">
        <v>2248</v>
      </c>
      <c r="I73" s="431" t="s">
        <v>2248</v>
      </c>
      <c r="J73" s="3" t="s">
        <v>13</v>
      </c>
      <c r="K73" s="3" t="s">
        <v>29</v>
      </c>
      <c r="L73" s="3" t="s">
        <v>2139</v>
      </c>
      <c r="M73" s="3" t="s">
        <v>29</v>
      </c>
      <c r="N73" s="22" t="s">
        <v>38</v>
      </c>
      <c r="O73" s="3" t="s">
        <v>2582</v>
      </c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</row>
    <row r="74" spans="1:27" ht="39" customHeight="1" x14ac:dyDescent="0.3">
      <c r="A74" s="20">
        <v>72</v>
      </c>
      <c r="B74" s="534" t="s">
        <v>155</v>
      </c>
      <c r="C74" s="491">
        <v>44</v>
      </c>
      <c r="D74" s="534"/>
      <c r="E74" s="491" t="s">
        <v>2616</v>
      </c>
      <c r="F74" s="532"/>
      <c r="G74" s="532"/>
      <c r="H74" s="532" t="s">
        <v>2248</v>
      </c>
      <c r="I74" s="532"/>
      <c r="J74" s="22" t="s">
        <v>26</v>
      </c>
      <c r="K74" s="22" t="s">
        <v>31</v>
      </c>
      <c r="L74" s="22" t="s">
        <v>157</v>
      </c>
      <c r="M74" s="22" t="s">
        <v>29</v>
      </c>
      <c r="N74" s="22" t="s">
        <v>38</v>
      </c>
      <c r="O74" s="22" t="s">
        <v>39</v>
      </c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</row>
    <row r="75" spans="1:27" ht="39" customHeight="1" x14ac:dyDescent="0.3">
      <c r="A75" s="9">
        <v>73</v>
      </c>
      <c r="B75" s="18" t="s">
        <v>158</v>
      </c>
      <c r="C75" s="491">
        <v>45</v>
      </c>
      <c r="D75" s="18" t="s">
        <v>2534</v>
      </c>
      <c r="E75" s="488" t="s">
        <v>2534</v>
      </c>
      <c r="F75" s="432" t="s">
        <v>2248</v>
      </c>
      <c r="G75" s="432"/>
      <c r="H75" s="432"/>
      <c r="I75" s="432"/>
      <c r="J75" s="3" t="s">
        <v>13</v>
      </c>
      <c r="K75" s="3" t="s">
        <v>29</v>
      </c>
      <c r="L75" s="3" t="s">
        <v>160</v>
      </c>
      <c r="M75" s="3" t="s">
        <v>29</v>
      </c>
      <c r="N75" s="3" t="s">
        <v>29</v>
      </c>
      <c r="O75" s="3" t="s">
        <v>451</v>
      </c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</row>
    <row r="76" spans="1:27" ht="39" customHeight="1" x14ac:dyDescent="0.3">
      <c r="A76" s="9">
        <v>74</v>
      </c>
      <c r="B76" s="12" t="s">
        <v>2140</v>
      </c>
      <c r="C76" s="802">
        <v>46</v>
      </c>
      <c r="D76" s="818" t="s">
        <v>2298</v>
      </c>
      <c r="E76" s="806" t="s">
        <v>2535</v>
      </c>
      <c r="F76" s="808" t="s">
        <v>2248</v>
      </c>
      <c r="G76" s="808" t="s">
        <v>2248</v>
      </c>
      <c r="H76" s="431"/>
      <c r="I76" s="431"/>
      <c r="J76" s="3" t="s">
        <v>21</v>
      </c>
      <c r="K76" s="3" t="s">
        <v>164</v>
      </c>
      <c r="L76" s="3" t="s">
        <v>165</v>
      </c>
      <c r="M76" s="3" t="s">
        <v>21</v>
      </c>
      <c r="N76" s="3" t="s">
        <v>21</v>
      </c>
      <c r="O76" s="3" t="s">
        <v>164</v>
      </c>
      <c r="P76" s="833" t="s">
        <v>2022</v>
      </c>
      <c r="Q76" s="836">
        <v>2291</v>
      </c>
      <c r="R76" s="837">
        <v>13429</v>
      </c>
      <c r="S76" s="833" t="s">
        <v>2023</v>
      </c>
      <c r="T76" s="833" t="s">
        <v>623</v>
      </c>
      <c r="U76" s="50">
        <v>1960</v>
      </c>
      <c r="V76" s="60" t="s">
        <v>2025</v>
      </c>
      <c r="W76" s="60" t="s">
        <v>2026</v>
      </c>
      <c r="X76" s="60" t="s">
        <v>2027</v>
      </c>
      <c r="Y76" s="606" t="s">
        <v>498</v>
      </c>
      <c r="Z76" s="606" t="s">
        <v>498</v>
      </c>
      <c r="AA76" s="606" t="s">
        <v>498</v>
      </c>
    </row>
    <row r="77" spans="1:27" ht="39" customHeight="1" x14ac:dyDescent="0.3">
      <c r="A77" s="9">
        <v>75</v>
      </c>
      <c r="B77" s="14" t="s">
        <v>2141</v>
      </c>
      <c r="C77" s="803"/>
      <c r="D77" s="819"/>
      <c r="E77" s="807"/>
      <c r="F77" s="809"/>
      <c r="G77" s="809"/>
      <c r="H77" s="431"/>
      <c r="I77" s="431"/>
      <c r="J77" s="3" t="s">
        <v>21</v>
      </c>
      <c r="K77" s="3" t="s">
        <v>164</v>
      </c>
      <c r="L77" s="3" t="s">
        <v>165</v>
      </c>
      <c r="M77" s="3" t="s">
        <v>21</v>
      </c>
      <c r="N77" s="3" t="s">
        <v>21</v>
      </c>
      <c r="O77" s="3" t="s">
        <v>164</v>
      </c>
      <c r="P77" s="833"/>
      <c r="Q77" s="836"/>
      <c r="R77" s="833"/>
      <c r="S77" s="833"/>
      <c r="T77" s="833"/>
      <c r="U77" s="50">
        <v>1960</v>
      </c>
      <c r="V77" s="50">
        <v>504</v>
      </c>
      <c r="W77" s="50">
        <v>387</v>
      </c>
      <c r="X77" s="50">
        <v>76.78</v>
      </c>
      <c r="Y77" s="50" t="s">
        <v>498</v>
      </c>
      <c r="Z77" s="50" t="s">
        <v>498</v>
      </c>
      <c r="AA77" s="50" t="s">
        <v>498</v>
      </c>
    </row>
    <row r="78" spans="1:27" ht="39" customHeight="1" x14ac:dyDescent="0.3">
      <c r="A78" s="9">
        <v>76</v>
      </c>
      <c r="B78" s="12" t="s">
        <v>166</v>
      </c>
      <c r="C78" s="488">
        <v>47</v>
      </c>
      <c r="D78" s="12" t="s">
        <v>2299</v>
      </c>
      <c r="E78" s="488" t="s">
        <v>2299</v>
      </c>
      <c r="F78" s="432" t="s">
        <v>2248</v>
      </c>
      <c r="G78" s="432"/>
      <c r="H78" s="432"/>
      <c r="I78" s="432"/>
      <c r="J78" s="3" t="s">
        <v>21</v>
      </c>
      <c r="K78" s="3" t="s">
        <v>164</v>
      </c>
      <c r="L78" s="3" t="s">
        <v>165</v>
      </c>
      <c r="M78" s="3" t="s">
        <v>21</v>
      </c>
      <c r="N78" s="3" t="s">
        <v>21</v>
      </c>
      <c r="O78" s="3" t="s">
        <v>164</v>
      </c>
      <c r="P78" s="536"/>
      <c r="Q78" s="536"/>
      <c r="R78" s="536"/>
      <c r="S78" s="536"/>
      <c r="T78" s="536"/>
      <c r="U78" s="536"/>
      <c r="V78" s="536"/>
      <c r="W78" s="536"/>
      <c r="X78" s="536"/>
      <c r="Y78" s="536"/>
      <c r="Z78" s="536"/>
      <c r="AA78" s="536"/>
    </row>
    <row r="79" spans="1:27" ht="39" customHeight="1" x14ac:dyDescent="0.3">
      <c r="A79" s="501">
        <v>77</v>
      </c>
      <c r="B79" s="400" t="s">
        <v>168</v>
      </c>
      <c r="C79" s="502">
        <v>48</v>
      </c>
      <c r="D79" s="400" t="s">
        <v>2536</v>
      </c>
      <c r="E79" s="502" t="s">
        <v>2536</v>
      </c>
      <c r="F79" s="503" t="s">
        <v>2248</v>
      </c>
      <c r="G79" s="503"/>
      <c r="H79" s="503"/>
      <c r="I79" s="503"/>
      <c r="J79" s="539" t="s">
        <v>13</v>
      </c>
      <c r="K79" s="539" t="s">
        <v>14</v>
      </c>
      <c r="L79" s="539" t="s">
        <v>130</v>
      </c>
      <c r="M79" s="539" t="s">
        <v>14</v>
      </c>
      <c r="N79" s="539" t="s">
        <v>14</v>
      </c>
      <c r="O79" s="539" t="s">
        <v>16</v>
      </c>
      <c r="P79" s="94" t="s">
        <v>1635</v>
      </c>
      <c r="Q79" s="94">
        <v>1016</v>
      </c>
      <c r="R79" s="603">
        <v>12992</v>
      </c>
      <c r="S79" s="94" t="s">
        <v>2926</v>
      </c>
      <c r="T79" s="77"/>
      <c r="U79" s="94">
        <v>1960</v>
      </c>
      <c r="V79" s="94">
        <v>60</v>
      </c>
      <c r="W79" s="94" t="s">
        <v>498</v>
      </c>
      <c r="X79" s="94">
        <v>0</v>
      </c>
      <c r="Y79" s="77"/>
      <c r="Z79" s="77"/>
      <c r="AA79" s="77"/>
    </row>
    <row r="80" spans="1:27" ht="39" customHeight="1" x14ac:dyDescent="0.3">
      <c r="A80" s="20">
        <v>78</v>
      </c>
      <c r="B80" s="546" t="s">
        <v>2142</v>
      </c>
      <c r="C80" s="549"/>
      <c r="D80" s="595"/>
      <c r="E80" s="597" t="s">
        <v>2565</v>
      </c>
      <c r="F80" s="433"/>
      <c r="G80" s="433"/>
      <c r="H80" s="433" t="s">
        <v>2248</v>
      </c>
      <c r="I80" s="433" t="s">
        <v>2248</v>
      </c>
      <c r="J80" s="22" t="s">
        <v>21</v>
      </c>
      <c r="K80" s="22" t="s">
        <v>19</v>
      </c>
      <c r="L80" s="22" t="s">
        <v>362</v>
      </c>
      <c r="M80" s="22" t="s">
        <v>21</v>
      </c>
      <c r="N80" s="22" t="s">
        <v>22</v>
      </c>
      <c r="O80" s="22" t="s">
        <v>23</v>
      </c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</row>
    <row r="81" spans="1:27" ht="39" customHeight="1" x14ac:dyDescent="0.3">
      <c r="A81" s="9">
        <v>79</v>
      </c>
      <c r="B81" s="24" t="s">
        <v>170</v>
      </c>
      <c r="C81" s="489">
        <v>49</v>
      </c>
      <c r="D81" s="601" t="s">
        <v>2537</v>
      </c>
      <c r="E81" s="431"/>
      <c r="F81" s="494" t="s">
        <v>2248</v>
      </c>
      <c r="G81" s="431"/>
      <c r="H81" s="431"/>
      <c r="I81" s="431"/>
      <c r="J81" s="3" t="s">
        <v>69</v>
      </c>
      <c r="K81" s="3" t="s">
        <v>67</v>
      </c>
      <c r="L81" s="3" t="s">
        <v>172</v>
      </c>
      <c r="M81" s="3" t="s">
        <v>29</v>
      </c>
      <c r="N81" s="3" t="s">
        <v>26</v>
      </c>
      <c r="O81" s="3" t="s">
        <v>69</v>
      </c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</row>
    <row r="82" spans="1:27" ht="39" customHeight="1" x14ac:dyDescent="0.3">
      <c r="A82" s="9">
        <v>80</v>
      </c>
      <c r="B82" s="601" t="s">
        <v>173</v>
      </c>
      <c r="C82" s="3">
        <v>50</v>
      </c>
      <c r="D82" s="594" t="s">
        <v>2302</v>
      </c>
      <c r="E82" s="592" t="s">
        <v>2302</v>
      </c>
      <c r="F82" s="494" t="s">
        <v>2248</v>
      </c>
      <c r="G82" s="431"/>
      <c r="H82" s="431"/>
      <c r="I82" s="431"/>
      <c r="J82" s="3" t="s">
        <v>21</v>
      </c>
      <c r="K82" s="3" t="s">
        <v>164</v>
      </c>
      <c r="L82" s="3" t="s">
        <v>175</v>
      </c>
      <c r="M82" s="3" t="s">
        <v>21</v>
      </c>
      <c r="N82" s="3" t="s">
        <v>21</v>
      </c>
      <c r="O82" s="3" t="s">
        <v>84</v>
      </c>
      <c r="P82" s="833" t="s">
        <v>1638</v>
      </c>
      <c r="Q82" s="836">
        <v>2206</v>
      </c>
      <c r="R82" s="837">
        <v>13398</v>
      </c>
      <c r="S82" s="833" t="s">
        <v>2028</v>
      </c>
      <c r="T82" s="50" t="s">
        <v>621</v>
      </c>
      <c r="U82" s="50">
        <v>1960</v>
      </c>
      <c r="V82" s="50">
        <v>424</v>
      </c>
      <c r="W82" s="50">
        <v>214</v>
      </c>
      <c r="X82" s="50">
        <v>50.47</v>
      </c>
      <c r="Y82" s="50">
        <v>376</v>
      </c>
      <c r="Z82" s="50">
        <v>226</v>
      </c>
      <c r="AA82" s="50">
        <v>60.1</v>
      </c>
    </row>
    <row r="83" spans="1:27" ht="39" customHeight="1" x14ac:dyDescent="0.3">
      <c r="A83" s="9">
        <v>81</v>
      </c>
      <c r="B83" s="601" t="s">
        <v>176</v>
      </c>
      <c r="C83" s="3">
        <v>51</v>
      </c>
      <c r="D83" s="601" t="s">
        <v>2303</v>
      </c>
      <c r="E83" s="3" t="s">
        <v>2538</v>
      </c>
      <c r="F83" s="494" t="s">
        <v>2248</v>
      </c>
      <c r="G83" s="431"/>
      <c r="H83" s="431"/>
      <c r="I83" s="431"/>
      <c r="J83" s="3" t="s">
        <v>21</v>
      </c>
      <c r="K83" s="3" t="s">
        <v>164</v>
      </c>
      <c r="L83" s="3" t="s">
        <v>175</v>
      </c>
      <c r="M83" s="3" t="s">
        <v>21</v>
      </c>
      <c r="N83" s="3" t="s">
        <v>21</v>
      </c>
      <c r="O83" s="3" t="s">
        <v>84</v>
      </c>
      <c r="P83" s="833"/>
      <c r="Q83" s="836"/>
      <c r="R83" s="833"/>
      <c r="S83" s="833"/>
      <c r="T83" s="50" t="s">
        <v>2017</v>
      </c>
      <c r="U83" s="50">
        <v>1960</v>
      </c>
      <c r="V83" s="50">
        <v>905</v>
      </c>
      <c r="W83" s="50">
        <v>856</v>
      </c>
      <c r="X83" s="50">
        <v>94.58</v>
      </c>
      <c r="Y83" s="50">
        <v>882</v>
      </c>
      <c r="Z83" s="50">
        <v>840</v>
      </c>
      <c r="AA83" s="50">
        <v>95.2</v>
      </c>
    </row>
    <row r="84" spans="1:27" ht="39" customHeight="1" x14ac:dyDescent="0.3">
      <c r="A84" s="9">
        <v>82</v>
      </c>
      <c r="B84" s="15" t="s">
        <v>178</v>
      </c>
      <c r="C84" s="489">
        <v>52</v>
      </c>
      <c r="D84" s="15" t="s">
        <v>2304</v>
      </c>
      <c r="E84" s="3" t="s">
        <v>2304</v>
      </c>
      <c r="F84" s="494" t="s">
        <v>2248</v>
      </c>
      <c r="G84" s="431"/>
      <c r="H84" s="431"/>
      <c r="I84" s="431"/>
      <c r="J84" s="3" t="s">
        <v>21</v>
      </c>
      <c r="K84" s="3" t="s">
        <v>164</v>
      </c>
      <c r="L84" s="3" t="s">
        <v>175</v>
      </c>
      <c r="M84" s="3" t="s">
        <v>21</v>
      </c>
      <c r="N84" s="3" t="s">
        <v>21</v>
      </c>
      <c r="O84" s="3" t="s">
        <v>84</v>
      </c>
      <c r="P84" s="833"/>
      <c r="Q84" s="836"/>
      <c r="R84" s="833"/>
      <c r="S84" s="833"/>
      <c r="T84" s="50" t="s">
        <v>2017</v>
      </c>
      <c r="U84" s="50">
        <v>1960</v>
      </c>
      <c r="V84" s="50">
        <v>869</v>
      </c>
      <c r="W84" s="50">
        <v>852</v>
      </c>
      <c r="X84" s="50">
        <v>98.04</v>
      </c>
      <c r="Y84" s="50">
        <v>940</v>
      </c>
      <c r="Z84" s="50">
        <v>940</v>
      </c>
      <c r="AA84" s="50">
        <v>100</v>
      </c>
    </row>
    <row r="85" spans="1:27" ht="39" customHeight="1" x14ac:dyDescent="0.3">
      <c r="A85" s="9">
        <v>83</v>
      </c>
      <c r="B85" s="15" t="s">
        <v>180</v>
      </c>
      <c r="C85" s="489">
        <v>53</v>
      </c>
      <c r="D85" s="15" t="s">
        <v>2305</v>
      </c>
      <c r="E85" s="489" t="s">
        <v>2305</v>
      </c>
      <c r="F85" s="431" t="s">
        <v>2248</v>
      </c>
      <c r="G85" s="431"/>
      <c r="H85" s="431"/>
      <c r="I85" s="431"/>
      <c r="J85" s="3" t="s">
        <v>13</v>
      </c>
      <c r="K85" s="3" t="s">
        <v>29</v>
      </c>
      <c r="L85" s="3" t="s">
        <v>160</v>
      </c>
      <c r="M85" s="3" t="s">
        <v>29</v>
      </c>
      <c r="N85" s="3" t="s">
        <v>29</v>
      </c>
      <c r="O85" s="3" t="s">
        <v>451</v>
      </c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</row>
    <row r="86" spans="1:27" ht="39" customHeight="1" x14ac:dyDescent="0.3">
      <c r="A86" s="9">
        <v>84</v>
      </c>
      <c r="B86" s="12" t="s">
        <v>182</v>
      </c>
      <c r="C86" s="488">
        <v>54</v>
      </c>
      <c r="D86" s="12" t="s">
        <v>2306</v>
      </c>
      <c r="E86" s="488" t="s">
        <v>2306</v>
      </c>
      <c r="F86" s="431" t="s">
        <v>2248</v>
      </c>
      <c r="G86" s="432"/>
      <c r="H86" s="432"/>
      <c r="I86" s="432"/>
      <c r="J86" s="3" t="s">
        <v>21</v>
      </c>
      <c r="K86" s="3" t="s">
        <v>84</v>
      </c>
      <c r="L86" s="3" t="s">
        <v>184</v>
      </c>
      <c r="M86" s="3" t="s">
        <v>21</v>
      </c>
      <c r="N86" s="3" t="s">
        <v>21</v>
      </c>
      <c r="O86" s="3" t="s">
        <v>84</v>
      </c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</row>
    <row r="87" spans="1:27" ht="39" customHeight="1" x14ac:dyDescent="0.3">
      <c r="A87" s="9">
        <v>85</v>
      </c>
      <c r="B87" s="12" t="s">
        <v>185</v>
      </c>
      <c r="C87" s="488">
        <v>55</v>
      </c>
      <c r="D87" s="12" t="s">
        <v>2307</v>
      </c>
      <c r="E87" s="488" t="s">
        <v>2307</v>
      </c>
      <c r="F87" s="431" t="s">
        <v>2248</v>
      </c>
      <c r="G87" s="432"/>
      <c r="H87" s="432"/>
      <c r="I87" s="432"/>
      <c r="J87" s="3" t="s">
        <v>21</v>
      </c>
      <c r="K87" s="3" t="s">
        <v>84</v>
      </c>
      <c r="L87" s="3" t="s">
        <v>184</v>
      </c>
      <c r="M87" s="3" t="s">
        <v>21</v>
      </c>
      <c r="N87" s="3" t="s">
        <v>21</v>
      </c>
      <c r="O87" s="3" t="s">
        <v>84</v>
      </c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</row>
    <row r="88" spans="1:27" ht="39" customHeight="1" x14ac:dyDescent="0.3">
      <c r="A88" s="20">
        <v>86</v>
      </c>
      <c r="B88" s="544" t="s">
        <v>2143</v>
      </c>
      <c r="C88" s="537"/>
      <c r="D88" s="544"/>
      <c r="E88" s="552" t="s">
        <v>2565</v>
      </c>
      <c r="F88" s="433"/>
      <c r="G88" s="433"/>
      <c r="H88" s="433" t="s">
        <v>2248</v>
      </c>
      <c r="I88" s="433" t="s">
        <v>2248</v>
      </c>
      <c r="J88" s="22" t="s">
        <v>21</v>
      </c>
      <c r="K88" s="22" t="s">
        <v>42</v>
      </c>
      <c r="L88" s="22" t="s">
        <v>191</v>
      </c>
      <c r="M88" s="22" t="s">
        <v>21</v>
      </c>
      <c r="N88" s="22" t="s">
        <v>44</v>
      </c>
      <c r="O88" s="22" t="s">
        <v>43</v>
      </c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</row>
    <row r="89" spans="1:27" ht="39" customHeight="1" x14ac:dyDescent="0.3">
      <c r="A89" s="9">
        <v>87</v>
      </c>
      <c r="B89" s="15" t="s">
        <v>187</v>
      </c>
      <c r="C89" s="489">
        <v>56</v>
      </c>
      <c r="D89" s="15" t="s">
        <v>2308</v>
      </c>
      <c r="E89" s="489" t="s">
        <v>2308</v>
      </c>
      <c r="F89" s="431"/>
      <c r="G89" s="431"/>
      <c r="H89" s="431"/>
      <c r="I89" s="431"/>
      <c r="J89" s="3" t="s">
        <v>69</v>
      </c>
      <c r="K89" s="3" t="s">
        <v>80</v>
      </c>
      <c r="L89" s="3" t="s">
        <v>69</v>
      </c>
      <c r="M89" s="3" t="s">
        <v>29</v>
      </c>
      <c r="N89" s="3" t="s">
        <v>30</v>
      </c>
      <c r="O89" s="3" t="s">
        <v>69</v>
      </c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</row>
    <row r="90" spans="1:27" ht="39" customHeight="1" x14ac:dyDescent="0.3">
      <c r="A90" s="9">
        <v>88</v>
      </c>
      <c r="B90" s="12" t="s">
        <v>2144</v>
      </c>
      <c r="C90" s="802">
        <v>57</v>
      </c>
      <c r="D90" s="838" t="s">
        <v>2309</v>
      </c>
      <c r="E90" s="802" t="s">
        <v>2539</v>
      </c>
      <c r="F90" s="812" t="s">
        <v>2248</v>
      </c>
      <c r="G90" s="812" t="s">
        <v>2248</v>
      </c>
      <c r="H90" s="812"/>
      <c r="I90" s="812"/>
      <c r="J90" s="3" t="s">
        <v>21</v>
      </c>
      <c r="K90" s="3" t="s">
        <v>42</v>
      </c>
      <c r="L90" s="3" t="s">
        <v>191</v>
      </c>
      <c r="M90" s="3" t="s">
        <v>21</v>
      </c>
      <c r="N90" s="3" t="s">
        <v>44</v>
      </c>
      <c r="O90" s="3" t="s">
        <v>43</v>
      </c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</row>
    <row r="91" spans="1:27" ht="39" customHeight="1" x14ac:dyDescent="0.3">
      <c r="A91" s="9">
        <v>89</v>
      </c>
      <c r="B91" s="12" t="s">
        <v>2145</v>
      </c>
      <c r="C91" s="803"/>
      <c r="D91" s="839"/>
      <c r="E91" s="803"/>
      <c r="F91" s="813"/>
      <c r="G91" s="813"/>
      <c r="H91" s="813"/>
      <c r="I91" s="813"/>
      <c r="J91" s="3" t="s">
        <v>21</v>
      </c>
      <c r="K91" s="3" t="s">
        <v>42</v>
      </c>
      <c r="L91" s="3" t="s">
        <v>191</v>
      </c>
      <c r="M91" s="3" t="s">
        <v>21</v>
      </c>
      <c r="N91" s="3" t="s">
        <v>44</v>
      </c>
      <c r="O91" s="3" t="s">
        <v>43</v>
      </c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</row>
    <row r="92" spans="1:27" ht="39" customHeight="1" x14ac:dyDescent="0.3">
      <c r="A92" s="9">
        <v>90</v>
      </c>
      <c r="B92" s="10" t="s">
        <v>2146</v>
      </c>
      <c r="C92" s="802">
        <v>58</v>
      </c>
      <c r="D92" s="804" t="s">
        <v>2310</v>
      </c>
      <c r="E92" s="806" t="s">
        <v>2540</v>
      </c>
      <c r="F92" s="808" t="s">
        <v>2248</v>
      </c>
      <c r="G92" s="808" t="s">
        <v>2248</v>
      </c>
      <c r="H92" s="808"/>
      <c r="I92" s="808"/>
      <c r="J92" s="3" t="s">
        <v>69</v>
      </c>
      <c r="K92" s="3" t="s">
        <v>96</v>
      </c>
      <c r="L92" s="3" t="s">
        <v>194</v>
      </c>
      <c r="M92" s="3" t="s">
        <v>29</v>
      </c>
      <c r="N92" s="3" t="s">
        <v>98</v>
      </c>
      <c r="O92" s="3" t="s">
        <v>143</v>
      </c>
      <c r="P92" s="536"/>
      <c r="Q92" s="536"/>
      <c r="R92" s="536"/>
      <c r="S92" s="536"/>
      <c r="T92" s="536"/>
      <c r="U92" s="536"/>
      <c r="V92" s="536"/>
      <c r="W92" s="536"/>
      <c r="X92" s="536"/>
      <c r="Y92" s="536"/>
      <c r="Z92" s="536"/>
      <c r="AA92" s="536"/>
    </row>
    <row r="93" spans="1:27" ht="39" customHeight="1" x14ac:dyDescent="0.3">
      <c r="A93" s="9">
        <v>91</v>
      </c>
      <c r="B93" s="15" t="s">
        <v>2147</v>
      </c>
      <c r="C93" s="803"/>
      <c r="D93" s="805"/>
      <c r="E93" s="807"/>
      <c r="F93" s="809"/>
      <c r="G93" s="809"/>
      <c r="H93" s="809"/>
      <c r="I93" s="809"/>
      <c r="J93" s="3" t="s">
        <v>69</v>
      </c>
      <c r="K93" s="3" t="s">
        <v>96</v>
      </c>
      <c r="L93" s="3" t="s">
        <v>194</v>
      </c>
      <c r="M93" s="3" t="s">
        <v>29</v>
      </c>
      <c r="N93" s="3" t="s">
        <v>98</v>
      </c>
      <c r="O93" s="3" t="s">
        <v>143</v>
      </c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</row>
    <row r="94" spans="1:27" ht="39" customHeight="1" x14ac:dyDescent="0.3">
      <c r="A94" s="9">
        <v>92</v>
      </c>
      <c r="B94" s="15" t="s">
        <v>195</v>
      </c>
      <c r="C94" s="489">
        <v>59</v>
      </c>
      <c r="D94" s="15" t="s">
        <v>2311</v>
      </c>
      <c r="E94" s="489" t="s">
        <v>2311</v>
      </c>
      <c r="F94" s="431" t="s">
        <v>2248</v>
      </c>
      <c r="G94" s="431"/>
      <c r="H94" s="431"/>
      <c r="I94" s="431"/>
      <c r="J94" s="3" t="s">
        <v>69</v>
      </c>
      <c r="K94" s="3" t="s">
        <v>67</v>
      </c>
      <c r="L94" s="3" t="s">
        <v>197</v>
      </c>
      <c r="M94" s="3" t="s">
        <v>29</v>
      </c>
      <c r="N94" s="3" t="s">
        <v>30</v>
      </c>
      <c r="O94" s="3" t="s">
        <v>69</v>
      </c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</row>
    <row r="95" spans="1:27" ht="39" customHeight="1" x14ac:dyDescent="0.3">
      <c r="A95" s="20">
        <v>93</v>
      </c>
      <c r="B95" s="21" t="s">
        <v>198</v>
      </c>
      <c r="C95" s="513">
        <v>60</v>
      </c>
      <c r="D95" s="21" t="s">
        <v>2312</v>
      </c>
      <c r="E95" s="513" t="s">
        <v>2312</v>
      </c>
      <c r="F95" s="433" t="s">
        <v>2248</v>
      </c>
      <c r="G95" s="433"/>
      <c r="H95" s="433"/>
      <c r="I95" s="433"/>
      <c r="J95" s="22" t="s">
        <v>13</v>
      </c>
      <c r="K95" s="22" t="s">
        <v>29</v>
      </c>
      <c r="L95" s="22" t="s">
        <v>154</v>
      </c>
      <c r="M95" s="22" t="s">
        <v>29</v>
      </c>
      <c r="N95" s="22" t="s">
        <v>38</v>
      </c>
      <c r="O95" s="22" t="s">
        <v>38</v>
      </c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</row>
    <row r="96" spans="1:27" ht="39" customHeight="1" x14ac:dyDescent="0.3">
      <c r="A96" s="9">
        <v>94</v>
      </c>
      <c r="B96" s="12" t="s">
        <v>2927</v>
      </c>
      <c r="C96" s="802">
        <v>61</v>
      </c>
      <c r="D96" s="818" t="s">
        <v>2313</v>
      </c>
      <c r="E96" s="806" t="s">
        <v>2541</v>
      </c>
      <c r="F96" s="808" t="s">
        <v>2248</v>
      </c>
      <c r="G96" s="808" t="s">
        <v>2248</v>
      </c>
      <c r="H96" s="431"/>
      <c r="I96" s="431"/>
      <c r="J96" s="3" t="s">
        <v>13</v>
      </c>
      <c r="K96" s="3" t="s">
        <v>14</v>
      </c>
      <c r="L96" s="3" t="s">
        <v>201</v>
      </c>
      <c r="M96" s="3" t="s">
        <v>14</v>
      </c>
      <c r="N96" s="3" t="s">
        <v>14</v>
      </c>
      <c r="O96" s="3" t="s">
        <v>14</v>
      </c>
      <c r="P96" s="94" t="s">
        <v>2928</v>
      </c>
      <c r="Q96" s="94">
        <v>1449</v>
      </c>
      <c r="R96" s="603">
        <v>13169</v>
      </c>
      <c r="S96" s="94" t="s">
        <v>2903</v>
      </c>
      <c r="T96" s="77"/>
      <c r="U96" s="77"/>
      <c r="V96" s="77"/>
      <c r="W96" s="77"/>
      <c r="X96" s="77"/>
      <c r="Y96" s="77"/>
      <c r="Z96" s="77"/>
      <c r="AA96" s="77"/>
    </row>
    <row r="97" spans="1:27" ht="39" customHeight="1" x14ac:dyDescent="0.3">
      <c r="A97" s="9">
        <v>95</v>
      </c>
      <c r="B97" s="14" t="s">
        <v>2149</v>
      </c>
      <c r="C97" s="803"/>
      <c r="D97" s="819"/>
      <c r="E97" s="807"/>
      <c r="F97" s="809"/>
      <c r="G97" s="809"/>
      <c r="H97" s="431"/>
      <c r="I97" s="431"/>
      <c r="J97" s="3" t="s">
        <v>13</v>
      </c>
      <c r="K97" s="3" t="s">
        <v>14</v>
      </c>
      <c r="L97" s="3" t="s">
        <v>201</v>
      </c>
      <c r="M97" s="3" t="s">
        <v>14</v>
      </c>
      <c r="N97" s="3" t="s">
        <v>14</v>
      </c>
      <c r="O97" s="3" t="s">
        <v>14</v>
      </c>
      <c r="P97" s="94" t="s">
        <v>2929</v>
      </c>
      <c r="Q97" s="94">
        <v>1450</v>
      </c>
      <c r="R97" s="603">
        <v>13169</v>
      </c>
      <c r="S97" s="94" t="s">
        <v>2903</v>
      </c>
      <c r="T97" s="77"/>
      <c r="U97" s="77"/>
      <c r="V97" s="77"/>
      <c r="W97" s="77"/>
      <c r="X97" s="77"/>
      <c r="Y97" s="77"/>
      <c r="Z97" s="77"/>
      <c r="AA97" s="77"/>
    </row>
    <row r="98" spans="1:27" ht="39" customHeight="1" x14ac:dyDescent="0.3">
      <c r="A98" s="9">
        <v>96</v>
      </c>
      <c r="B98" s="14" t="s">
        <v>2150</v>
      </c>
      <c r="C98" s="483"/>
      <c r="D98" s="14"/>
      <c r="E98" s="489" t="s">
        <v>2314</v>
      </c>
      <c r="F98" s="431"/>
      <c r="G98" s="431" t="s">
        <v>2248</v>
      </c>
      <c r="H98" s="431"/>
      <c r="I98" s="431"/>
      <c r="J98" s="3" t="s">
        <v>13</v>
      </c>
      <c r="K98" s="3" t="s">
        <v>19</v>
      </c>
      <c r="L98" s="3" t="s">
        <v>362</v>
      </c>
      <c r="M98" s="3" t="s">
        <v>21</v>
      </c>
      <c r="N98" s="3" t="s">
        <v>22</v>
      </c>
      <c r="O98" s="3" t="s">
        <v>23</v>
      </c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</row>
    <row r="99" spans="1:27" ht="39" customHeight="1" x14ac:dyDescent="0.3">
      <c r="A99" s="20">
        <v>97</v>
      </c>
      <c r="B99" s="534" t="s">
        <v>202</v>
      </c>
      <c r="C99" s="491"/>
      <c r="D99" s="534"/>
      <c r="E99" s="491" t="s">
        <v>2625</v>
      </c>
      <c r="F99" s="532"/>
      <c r="G99" s="532"/>
      <c r="H99" s="532" t="s">
        <v>2248</v>
      </c>
      <c r="I99" s="532" t="s">
        <v>2248</v>
      </c>
      <c r="J99" s="22" t="s">
        <v>13</v>
      </c>
      <c r="K99" s="22" t="s">
        <v>14</v>
      </c>
      <c r="L99" s="22" t="s">
        <v>14</v>
      </c>
      <c r="M99" s="22" t="s">
        <v>14</v>
      </c>
      <c r="N99" s="22" t="s">
        <v>14</v>
      </c>
      <c r="O99" s="22" t="s">
        <v>203</v>
      </c>
      <c r="P99" s="94" t="s">
        <v>2930</v>
      </c>
      <c r="Q99" s="604">
        <v>1163</v>
      </c>
      <c r="R99" s="631">
        <v>13008</v>
      </c>
      <c r="S99" s="604" t="s">
        <v>2931</v>
      </c>
      <c r="T99" s="536"/>
      <c r="U99" s="536"/>
      <c r="V99" s="536"/>
      <c r="W99" s="536"/>
      <c r="X99" s="536"/>
      <c r="Y99" s="536"/>
      <c r="Z99" s="536"/>
      <c r="AA99" s="536"/>
    </row>
    <row r="100" spans="1:27" ht="39" customHeight="1" x14ac:dyDescent="0.3">
      <c r="A100" s="9">
        <v>98</v>
      </c>
      <c r="B100" s="12" t="s">
        <v>2151</v>
      </c>
      <c r="C100" s="802">
        <v>63</v>
      </c>
      <c r="D100" s="838" t="s">
        <v>2316</v>
      </c>
      <c r="E100" s="802" t="s">
        <v>2542</v>
      </c>
      <c r="F100" s="812" t="s">
        <v>2248</v>
      </c>
      <c r="G100" s="812" t="s">
        <v>2248</v>
      </c>
      <c r="H100" s="432"/>
      <c r="I100" s="432"/>
      <c r="J100" s="3" t="s">
        <v>26</v>
      </c>
      <c r="K100" s="3" t="s">
        <v>31</v>
      </c>
      <c r="L100" s="3" t="s">
        <v>205</v>
      </c>
      <c r="M100" s="3" t="s">
        <v>29</v>
      </c>
      <c r="N100" s="3" t="s">
        <v>26</v>
      </c>
      <c r="O100" s="3" t="s">
        <v>1532</v>
      </c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</row>
    <row r="101" spans="1:27" ht="39" customHeight="1" x14ac:dyDescent="0.3">
      <c r="A101" s="9">
        <v>99</v>
      </c>
      <c r="B101" s="12" t="s">
        <v>2152</v>
      </c>
      <c r="C101" s="803"/>
      <c r="D101" s="839"/>
      <c r="E101" s="803"/>
      <c r="F101" s="813"/>
      <c r="G101" s="813"/>
      <c r="H101" s="432"/>
      <c r="I101" s="432"/>
      <c r="J101" s="3" t="s">
        <v>26</v>
      </c>
      <c r="K101" s="3" t="s">
        <v>31</v>
      </c>
      <c r="L101" s="3" t="s">
        <v>205</v>
      </c>
      <c r="M101" s="3" t="s">
        <v>29</v>
      </c>
      <c r="N101" s="3" t="s">
        <v>26</v>
      </c>
      <c r="O101" s="3" t="s">
        <v>1532</v>
      </c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</row>
    <row r="102" spans="1:27" ht="39" customHeight="1" x14ac:dyDescent="0.3">
      <c r="A102" s="9">
        <v>100</v>
      </c>
      <c r="B102" s="15" t="s">
        <v>206</v>
      </c>
      <c r="C102" s="489">
        <v>64</v>
      </c>
      <c r="D102" s="15" t="s">
        <v>2317</v>
      </c>
      <c r="E102" s="489" t="s">
        <v>2317</v>
      </c>
      <c r="F102" s="431" t="s">
        <v>2248</v>
      </c>
      <c r="G102" s="431"/>
      <c r="H102" s="431"/>
      <c r="I102" s="431"/>
      <c r="J102" s="3" t="s">
        <v>13</v>
      </c>
      <c r="K102" s="3" t="s">
        <v>29</v>
      </c>
      <c r="L102" s="3" t="s">
        <v>208</v>
      </c>
      <c r="M102" s="3" t="s">
        <v>29</v>
      </c>
      <c r="N102" s="3" t="s">
        <v>38</v>
      </c>
      <c r="O102" s="3" t="s">
        <v>38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</row>
    <row r="103" spans="1:27" ht="39" customHeight="1" x14ac:dyDescent="0.3">
      <c r="A103" s="9">
        <v>101</v>
      </c>
      <c r="B103" s="15" t="s">
        <v>209</v>
      </c>
      <c r="C103" s="489">
        <v>65</v>
      </c>
      <c r="D103" s="15" t="s">
        <v>2318</v>
      </c>
      <c r="E103" s="489" t="s">
        <v>2318</v>
      </c>
      <c r="F103" s="431" t="s">
        <v>2248</v>
      </c>
      <c r="G103" s="431"/>
      <c r="H103" s="431"/>
      <c r="I103" s="431"/>
      <c r="J103" s="3" t="s">
        <v>69</v>
      </c>
      <c r="K103" s="3" t="s">
        <v>67</v>
      </c>
      <c r="L103" s="3" t="s">
        <v>67</v>
      </c>
      <c r="M103" s="3" t="s">
        <v>29</v>
      </c>
      <c r="N103" s="3" t="s">
        <v>26</v>
      </c>
      <c r="O103" s="3" t="s">
        <v>69</v>
      </c>
      <c r="P103" s="536"/>
      <c r="Q103" s="536"/>
      <c r="R103" s="536"/>
      <c r="S103" s="536"/>
      <c r="T103" s="536"/>
      <c r="U103" s="536"/>
      <c r="V103" s="536"/>
      <c r="W103" s="536"/>
      <c r="X103" s="536"/>
      <c r="Y103" s="536"/>
      <c r="Z103" s="536"/>
      <c r="AA103" s="536"/>
    </row>
    <row r="104" spans="1:27" ht="39" customHeight="1" x14ac:dyDescent="0.3">
      <c r="A104" s="9">
        <v>102</v>
      </c>
      <c r="B104" s="15" t="s">
        <v>211</v>
      </c>
      <c r="C104" s="489">
        <v>66</v>
      </c>
      <c r="D104" s="15" t="s">
        <v>2319</v>
      </c>
      <c r="E104" s="489" t="s">
        <v>2319</v>
      </c>
      <c r="F104" s="431" t="s">
        <v>2248</v>
      </c>
      <c r="G104" s="431"/>
      <c r="H104" s="431"/>
      <c r="I104" s="431"/>
      <c r="J104" s="3" t="s">
        <v>69</v>
      </c>
      <c r="K104" s="3" t="s">
        <v>67</v>
      </c>
      <c r="L104" s="3" t="s">
        <v>67</v>
      </c>
      <c r="M104" s="3" t="s">
        <v>29</v>
      </c>
      <c r="N104" s="3" t="s">
        <v>26</v>
      </c>
      <c r="O104" s="3" t="s">
        <v>69</v>
      </c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</row>
    <row r="105" spans="1:27" ht="39" customHeight="1" x14ac:dyDescent="0.3">
      <c r="A105" s="9">
        <v>103</v>
      </c>
      <c r="B105" s="10" t="s">
        <v>213</v>
      </c>
      <c r="C105" s="488">
        <v>67</v>
      </c>
      <c r="D105" s="10" t="s">
        <v>2320</v>
      </c>
      <c r="E105" s="488" t="s">
        <v>2320</v>
      </c>
      <c r="F105" s="431" t="s">
        <v>2248</v>
      </c>
      <c r="G105" s="432"/>
      <c r="H105" s="432"/>
      <c r="I105" s="432"/>
      <c r="J105" s="3" t="s">
        <v>69</v>
      </c>
      <c r="K105" s="3" t="s">
        <v>67</v>
      </c>
      <c r="L105" s="3" t="s">
        <v>67</v>
      </c>
      <c r="M105" s="3" t="s">
        <v>29</v>
      </c>
      <c r="N105" s="3" t="s">
        <v>26</v>
      </c>
      <c r="O105" s="3" t="s">
        <v>69</v>
      </c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</row>
    <row r="106" spans="1:27" ht="39" customHeight="1" x14ac:dyDescent="0.3">
      <c r="A106" s="9">
        <v>104</v>
      </c>
      <c r="B106" s="12" t="s">
        <v>2153</v>
      </c>
      <c r="C106" s="802">
        <v>68</v>
      </c>
      <c r="D106" s="818" t="s">
        <v>2321</v>
      </c>
      <c r="E106" s="806" t="s">
        <v>2543</v>
      </c>
      <c r="F106" s="808" t="s">
        <v>2248</v>
      </c>
      <c r="G106" s="808" t="s">
        <v>2248</v>
      </c>
      <c r="H106" s="431"/>
      <c r="I106" s="431"/>
      <c r="J106" s="3" t="s">
        <v>26</v>
      </c>
      <c r="K106" s="3" t="s">
        <v>31</v>
      </c>
      <c r="L106" s="3" t="s">
        <v>217</v>
      </c>
      <c r="M106" s="3" t="s">
        <v>29</v>
      </c>
      <c r="N106" s="3" t="s">
        <v>26</v>
      </c>
      <c r="O106" s="3" t="s">
        <v>1532</v>
      </c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</row>
    <row r="107" spans="1:27" ht="39" customHeight="1" x14ac:dyDescent="0.3">
      <c r="A107" s="9">
        <v>105</v>
      </c>
      <c r="B107" s="12" t="s">
        <v>2154</v>
      </c>
      <c r="C107" s="803"/>
      <c r="D107" s="819"/>
      <c r="E107" s="807"/>
      <c r="F107" s="809"/>
      <c r="G107" s="809"/>
      <c r="H107" s="432"/>
      <c r="I107" s="432"/>
      <c r="J107" s="3" t="s">
        <v>26</v>
      </c>
      <c r="K107" s="3" t="s">
        <v>31</v>
      </c>
      <c r="L107" s="3" t="s">
        <v>217</v>
      </c>
      <c r="M107" s="3" t="s">
        <v>29</v>
      </c>
      <c r="N107" s="3" t="s">
        <v>26</v>
      </c>
      <c r="O107" s="3" t="s">
        <v>1532</v>
      </c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</row>
    <row r="108" spans="1:27" ht="39" customHeight="1" x14ac:dyDescent="0.3">
      <c r="A108" s="9">
        <v>106</v>
      </c>
      <c r="B108" s="10" t="s">
        <v>218</v>
      </c>
      <c r="C108" s="488">
        <v>69</v>
      </c>
      <c r="D108" s="10" t="s">
        <v>2322</v>
      </c>
      <c r="E108" s="488" t="s">
        <v>2322</v>
      </c>
      <c r="F108" s="432"/>
      <c r="G108" s="432"/>
      <c r="H108" s="432"/>
      <c r="I108" s="432"/>
      <c r="J108" s="3" t="s">
        <v>69</v>
      </c>
      <c r="K108" s="3" t="s">
        <v>80</v>
      </c>
      <c r="L108" s="3" t="s">
        <v>220</v>
      </c>
      <c r="M108" s="3" t="s">
        <v>29</v>
      </c>
      <c r="N108" s="3" t="s">
        <v>26</v>
      </c>
      <c r="O108" s="3" t="s">
        <v>69</v>
      </c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</row>
    <row r="109" spans="1:27" ht="39" customHeight="1" x14ac:dyDescent="0.3">
      <c r="A109" s="9">
        <v>107</v>
      </c>
      <c r="B109" s="14" t="s">
        <v>221</v>
      </c>
      <c r="C109" s="489">
        <v>70</v>
      </c>
      <c r="D109" s="14" t="s">
        <v>2323</v>
      </c>
      <c r="E109" s="489" t="s">
        <v>2323</v>
      </c>
      <c r="F109" s="431"/>
      <c r="G109" s="431"/>
      <c r="H109" s="431"/>
      <c r="I109" s="431"/>
      <c r="J109" s="3" t="s">
        <v>26</v>
      </c>
      <c r="K109" s="3" t="s">
        <v>31</v>
      </c>
      <c r="L109" s="3" t="s">
        <v>37</v>
      </c>
      <c r="M109" s="3" t="s">
        <v>29</v>
      </c>
      <c r="N109" s="3" t="s">
        <v>26</v>
      </c>
      <c r="O109" s="3" t="s">
        <v>1532</v>
      </c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</row>
    <row r="110" spans="1:27" ht="39" customHeight="1" x14ac:dyDescent="0.3">
      <c r="A110" s="9">
        <v>108</v>
      </c>
      <c r="B110" s="14" t="s">
        <v>222</v>
      </c>
      <c r="C110" s="489">
        <v>71</v>
      </c>
      <c r="D110" s="14" t="s">
        <v>2324</v>
      </c>
      <c r="E110" s="489" t="s">
        <v>2324</v>
      </c>
      <c r="F110" s="431"/>
      <c r="G110" s="431"/>
      <c r="H110" s="431"/>
      <c r="I110" s="431"/>
      <c r="J110" s="3" t="s">
        <v>21</v>
      </c>
      <c r="K110" s="3" t="s">
        <v>42</v>
      </c>
      <c r="L110" s="3" t="s">
        <v>224</v>
      </c>
      <c r="M110" s="3" t="s">
        <v>21</v>
      </c>
      <c r="N110" s="3" t="s">
        <v>44</v>
      </c>
      <c r="O110" s="3" t="s">
        <v>42</v>
      </c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</row>
    <row r="111" spans="1:27" ht="39" customHeight="1" x14ac:dyDescent="0.3">
      <c r="A111" s="9">
        <v>109</v>
      </c>
      <c r="B111" s="12" t="s">
        <v>2325</v>
      </c>
      <c r="C111" s="802">
        <v>72</v>
      </c>
      <c r="D111" s="838" t="s">
        <v>2326</v>
      </c>
      <c r="E111" s="802" t="s">
        <v>2544</v>
      </c>
      <c r="F111" s="812" t="s">
        <v>2248</v>
      </c>
      <c r="G111" s="812" t="s">
        <v>2248</v>
      </c>
      <c r="H111" s="812"/>
      <c r="I111" s="812"/>
      <c r="J111" s="3" t="s">
        <v>13</v>
      </c>
      <c r="K111" s="3" t="s">
        <v>14</v>
      </c>
      <c r="L111" s="3" t="s">
        <v>201</v>
      </c>
      <c r="M111" s="3" t="s">
        <v>14</v>
      </c>
      <c r="N111" s="3" t="s">
        <v>14</v>
      </c>
      <c r="O111" s="3" t="s">
        <v>14</v>
      </c>
      <c r="P111" s="94" t="s">
        <v>2932</v>
      </c>
      <c r="Q111" s="94">
        <v>1339</v>
      </c>
      <c r="R111" s="603">
        <v>13138</v>
      </c>
      <c r="S111" s="94" t="s">
        <v>2933</v>
      </c>
      <c r="T111" s="77"/>
      <c r="U111" s="77"/>
      <c r="V111" s="77"/>
      <c r="W111" s="77"/>
      <c r="X111" s="77"/>
      <c r="Y111" s="77"/>
      <c r="Z111" s="77"/>
      <c r="AA111" s="77"/>
    </row>
    <row r="112" spans="1:27" ht="39" customHeight="1" x14ac:dyDescent="0.3">
      <c r="A112" s="9">
        <v>110</v>
      </c>
      <c r="B112" s="12" t="s">
        <v>2156</v>
      </c>
      <c r="C112" s="803"/>
      <c r="D112" s="839"/>
      <c r="E112" s="803"/>
      <c r="F112" s="813"/>
      <c r="G112" s="813"/>
      <c r="H112" s="813"/>
      <c r="I112" s="813"/>
      <c r="J112" s="3" t="s">
        <v>13</v>
      </c>
      <c r="K112" s="3" t="s">
        <v>14</v>
      </c>
      <c r="L112" s="3" t="s">
        <v>201</v>
      </c>
      <c r="M112" s="3" t="s">
        <v>14</v>
      </c>
      <c r="N112" s="3" t="s">
        <v>14</v>
      </c>
      <c r="O112" s="3" t="s">
        <v>14</v>
      </c>
      <c r="P112" s="94" t="s">
        <v>2902</v>
      </c>
      <c r="Q112" s="94">
        <v>1451</v>
      </c>
      <c r="R112" s="603">
        <v>13169</v>
      </c>
      <c r="S112" s="94" t="s">
        <v>2903</v>
      </c>
      <c r="T112" s="77"/>
      <c r="U112" s="77"/>
      <c r="V112" s="77"/>
      <c r="W112" s="77"/>
      <c r="X112" s="77"/>
      <c r="Y112" s="77"/>
      <c r="Z112" s="77"/>
      <c r="AA112" s="77"/>
    </row>
    <row r="113" spans="1:27" ht="39" customHeight="1" x14ac:dyDescent="0.3">
      <c r="A113" s="9">
        <v>111</v>
      </c>
      <c r="B113" s="10" t="s">
        <v>2157</v>
      </c>
      <c r="C113" s="802">
        <v>73</v>
      </c>
      <c r="D113" s="804" t="s">
        <v>2327</v>
      </c>
      <c r="E113" s="806" t="s">
        <v>2545</v>
      </c>
      <c r="F113" s="808" t="s">
        <v>2248</v>
      </c>
      <c r="G113" s="808" t="s">
        <v>2248</v>
      </c>
      <c r="H113" s="808"/>
      <c r="I113" s="808"/>
      <c r="J113" s="3" t="s">
        <v>26</v>
      </c>
      <c r="K113" s="3" t="s">
        <v>27</v>
      </c>
      <c r="L113" s="3" t="s">
        <v>228</v>
      </c>
      <c r="M113" s="3" t="s">
        <v>29</v>
      </c>
      <c r="N113" s="3" t="s">
        <v>26</v>
      </c>
      <c r="O113" s="3" t="s">
        <v>1532</v>
      </c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</row>
    <row r="114" spans="1:27" ht="39" customHeight="1" x14ac:dyDescent="0.3">
      <c r="A114" s="9">
        <v>112</v>
      </c>
      <c r="B114" s="15" t="s">
        <v>2158</v>
      </c>
      <c r="C114" s="803"/>
      <c r="D114" s="805"/>
      <c r="E114" s="807"/>
      <c r="F114" s="809"/>
      <c r="G114" s="809"/>
      <c r="H114" s="809"/>
      <c r="I114" s="809"/>
      <c r="J114" s="3" t="s">
        <v>26</v>
      </c>
      <c r="K114" s="3" t="s">
        <v>27</v>
      </c>
      <c r="L114" s="3" t="s">
        <v>228</v>
      </c>
      <c r="M114" s="3" t="s">
        <v>29</v>
      </c>
      <c r="N114" s="3" t="s">
        <v>26</v>
      </c>
      <c r="O114" s="3" t="s">
        <v>1532</v>
      </c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</row>
    <row r="115" spans="1:27" ht="39" customHeight="1" x14ac:dyDescent="0.3">
      <c r="A115" s="9">
        <v>113</v>
      </c>
      <c r="B115" s="10" t="s">
        <v>2159</v>
      </c>
      <c r="C115" s="802">
        <v>74</v>
      </c>
      <c r="D115" s="804" t="s">
        <v>2328</v>
      </c>
      <c r="E115" s="806" t="s">
        <v>2546</v>
      </c>
      <c r="F115" s="808" t="s">
        <v>2248</v>
      </c>
      <c r="G115" s="808" t="s">
        <v>2248</v>
      </c>
      <c r="H115" s="808"/>
      <c r="I115" s="808"/>
      <c r="J115" s="3" t="s">
        <v>26</v>
      </c>
      <c r="K115" s="3" t="s">
        <v>27</v>
      </c>
      <c r="L115" s="3" t="s">
        <v>231</v>
      </c>
      <c r="M115" s="3" t="s">
        <v>29</v>
      </c>
      <c r="N115" s="3" t="s">
        <v>26</v>
      </c>
      <c r="O115" s="3" t="s">
        <v>1532</v>
      </c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</row>
    <row r="116" spans="1:27" ht="39" customHeight="1" x14ac:dyDescent="0.3">
      <c r="A116" s="9">
        <v>114</v>
      </c>
      <c r="B116" s="15" t="s">
        <v>2160</v>
      </c>
      <c r="C116" s="803"/>
      <c r="D116" s="805"/>
      <c r="E116" s="807"/>
      <c r="F116" s="809"/>
      <c r="G116" s="809"/>
      <c r="H116" s="809"/>
      <c r="I116" s="809"/>
      <c r="J116" s="3" t="s">
        <v>26</v>
      </c>
      <c r="K116" s="3" t="s">
        <v>27</v>
      </c>
      <c r="L116" s="3" t="s">
        <v>231</v>
      </c>
      <c r="M116" s="3" t="s">
        <v>29</v>
      </c>
      <c r="N116" s="3" t="s">
        <v>26</v>
      </c>
      <c r="O116" s="3" t="s">
        <v>1532</v>
      </c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</row>
    <row r="117" spans="1:27" ht="39" customHeight="1" x14ac:dyDescent="0.3">
      <c r="A117" s="20">
        <v>115</v>
      </c>
      <c r="B117" s="21" t="s">
        <v>232</v>
      </c>
      <c r="C117" s="513">
        <v>75</v>
      </c>
      <c r="D117" s="21" t="s">
        <v>2626</v>
      </c>
      <c r="E117" s="513" t="s">
        <v>2329</v>
      </c>
      <c r="F117" s="433" t="s">
        <v>2248</v>
      </c>
      <c r="G117" s="433"/>
      <c r="H117" s="433"/>
      <c r="I117" s="433"/>
      <c r="J117" s="22" t="s">
        <v>69</v>
      </c>
      <c r="K117" s="22" t="s">
        <v>96</v>
      </c>
      <c r="L117" s="22" t="s">
        <v>99</v>
      </c>
      <c r="M117" s="22" t="s">
        <v>29</v>
      </c>
      <c r="N117" s="22" t="s">
        <v>98</v>
      </c>
      <c r="O117" s="22" t="s">
        <v>98</v>
      </c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</row>
    <row r="118" spans="1:27" ht="39" customHeight="1" x14ac:dyDescent="0.3">
      <c r="A118" s="9">
        <v>116</v>
      </c>
      <c r="B118" s="10" t="s">
        <v>2161</v>
      </c>
      <c r="C118" s="802">
        <v>76</v>
      </c>
      <c r="D118" s="804" t="s">
        <v>2330</v>
      </c>
      <c r="E118" s="806" t="s">
        <v>2547</v>
      </c>
      <c r="F118" s="808" t="s">
        <v>2248</v>
      </c>
      <c r="G118" s="808" t="s">
        <v>2248</v>
      </c>
      <c r="H118" s="808"/>
      <c r="I118" s="808"/>
      <c r="J118" s="3" t="s">
        <v>69</v>
      </c>
      <c r="K118" s="3" t="s">
        <v>80</v>
      </c>
      <c r="L118" s="3" t="s">
        <v>133</v>
      </c>
      <c r="M118" s="3" t="s">
        <v>29</v>
      </c>
      <c r="N118" s="3" t="s">
        <v>26</v>
      </c>
      <c r="O118" s="3" t="s">
        <v>26</v>
      </c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</row>
    <row r="119" spans="1:27" ht="39" customHeight="1" x14ac:dyDescent="0.3">
      <c r="A119" s="9">
        <v>117</v>
      </c>
      <c r="B119" s="15" t="s">
        <v>2162</v>
      </c>
      <c r="C119" s="803"/>
      <c r="D119" s="805"/>
      <c r="E119" s="807"/>
      <c r="F119" s="809"/>
      <c r="G119" s="809"/>
      <c r="H119" s="809"/>
      <c r="I119" s="809"/>
      <c r="J119" s="3" t="s">
        <v>69</v>
      </c>
      <c r="K119" s="3" t="s">
        <v>80</v>
      </c>
      <c r="L119" s="3" t="s">
        <v>133</v>
      </c>
      <c r="M119" s="3" t="s">
        <v>29</v>
      </c>
      <c r="N119" s="3" t="s">
        <v>26</v>
      </c>
      <c r="O119" s="3" t="s">
        <v>26</v>
      </c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</row>
    <row r="120" spans="1:27" ht="39" customHeight="1" x14ac:dyDescent="0.3">
      <c r="A120" s="9">
        <v>118</v>
      </c>
      <c r="B120" s="10" t="s">
        <v>235</v>
      </c>
      <c r="C120" s="488">
        <v>77</v>
      </c>
      <c r="D120" s="10" t="s">
        <v>2331</v>
      </c>
      <c r="E120" s="488" t="s">
        <v>2331</v>
      </c>
      <c r="F120" s="432" t="s">
        <v>2248</v>
      </c>
      <c r="G120" s="432"/>
      <c r="H120" s="432"/>
      <c r="I120" s="432"/>
      <c r="J120" s="3" t="s">
        <v>69</v>
      </c>
      <c r="K120" s="3" t="s">
        <v>125</v>
      </c>
      <c r="L120" s="3" t="s">
        <v>237</v>
      </c>
      <c r="M120" s="3" t="s">
        <v>29</v>
      </c>
      <c r="N120" s="3" t="s">
        <v>98</v>
      </c>
      <c r="O120" s="3" t="s">
        <v>125</v>
      </c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</row>
    <row r="121" spans="1:27" ht="39" customHeight="1" x14ac:dyDescent="0.3">
      <c r="A121" s="9">
        <v>119</v>
      </c>
      <c r="B121" s="12" t="s">
        <v>2332</v>
      </c>
      <c r="C121" s="802">
        <v>78</v>
      </c>
      <c r="D121" s="818" t="s">
        <v>2333</v>
      </c>
      <c r="E121" s="806" t="s">
        <v>2548</v>
      </c>
      <c r="F121" s="808" t="s">
        <v>2248</v>
      </c>
      <c r="G121" s="808" t="s">
        <v>2248</v>
      </c>
      <c r="H121" s="431"/>
      <c r="I121" s="431"/>
      <c r="J121" s="3" t="s">
        <v>26</v>
      </c>
      <c r="K121" s="3" t="s">
        <v>31</v>
      </c>
      <c r="L121" s="3" t="s">
        <v>34</v>
      </c>
      <c r="M121" s="3" t="s">
        <v>29</v>
      </c>
      <c r="N121" s="3" t="s">
        <v>30</v>
      </c>
      <c r="O121" s="3" t="s">
        <v>31</v>
      </c>
      <c r="P121" s="536"/>
      <c r="Q121" s="536"/>
      <c r="R121" s="536"/>
      <c r="S121" s="536"/>
      <c r="T121" s="536"/>
      <c r="U121" s="536"/>
      <c r="V121" s="536"/>
      <c r="W121" s="536"/>
      <c r="X121" s="536"/>
      <c r="Y121" s="536"/>
      <c r="Z121" s="536"/>
      <c r="AA121" s="536"/>
    </row>
    <row r="122" spans="1:27" ht="39" customHeight="1" x14ac:dyDescent="0.3">
      <c r="A122" s="9">
        <v>120</v>
      </c>
      <c r="B122" s="15" t="s">
        <v>2164</v>
      </c>
      <c r="C122" s="803"/>
      <c r="D122" s="819"/>
      <c r="E122" s="807"/>
      <c r="F122" s="809"/>
      <c r="G122" s="809"/>
      <c r="H122" s="431"/>
      <c r="I122" s="431"/>
      <c r="J122" s="3" t="s">
        <v>26</v>
      </c>
      <c r="K122" s="3" t="s">
        <v>31</v>
      </c>
      <c r="L122" s="3" t="s">
        <v>34</v>
      </c>
      <c r="M122" s="3" t="s">
        <v>29</v>
      </c>
      <c r="N122" s="3" t="s">
        <v>30</v>
      </c>
      <c r="O122" s="3" t="s">
        <v>31</v>
      </c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</row>
    <row r="123" spans="1:27" ht="39" customHeight="1" x14ac:dyDescent="0.3">
      <c r="A123" s="9">
        <v>121</v>
      </c>
      <c r="B123" s="15" t="s">
        <v>1409</v>
      </c>
      <c r="C123" s="489">
        <v>79</v>
      </c>
      <c r="D123" s="15" t="s">
        <v>2334</v>
      </c>
      <c r="E123" s="489" t="s">
        <v>2334</v>
      </c>
      <c r="F123" s="431" t="s">
        <v>2248</v>
      </c>
      <c r="G123" s="431"/>
      <c r="H123" s="431"/>
      <c r="I123" s="431"/>
      <c r="J123" s="3" t="s">
        <v>69</v>
      </c>
      <c r="K123" s="3" t="s">
        <v>96</v>
      </c>
      <c r="L123" s="3" t="s">
        <v>240</v>
      </c>
      <c r="M123" s="3" t="s">
        <v>29</v>
      </c>
      <c r="N123" s="3" t="s">
        <v>98</v>
      </c>
      <c r="O123" s="3" t="s">
        <v>143</v>
      </c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</row>
    <row r="124" spans="1:27" ht="39" customHeight="1" x14ac:dyDescent="0.3">
      <c r="A124" s="9">
        <v>122</v>
      </c>
      <c r="B124" s="15" t="s">
        <v>239</v>
      </c>
      <c r="C124" s="489">
        <v>80</v>
      </c>
      <c r="D124" s="15" t="s">
        <v>2335</v>
      </c>
      <c r="E124" s="489" t="s">
        <v>2335</v>
      </c>
      <c r="F124" s="431" t="s">
        <v>2248</v>
      </c>
      <c r="G124" s="431"/>
      <c r="H124" s="431"/>
      <c r="I124" s="431"/>
      <c r="J124" s="3" t="s">
        <v>69</v>
      </c>
      <c r="K124" s="3" t="s">
        <v>96</v>
      </c>
      <c r="L124" s="3" t="s">
        <v>240</v>
      </c>
      <c r="M124" s="3" t="s">
        <v>29</v>
      </c>
      <c r="N124" s="3" t="s">
        <v>98</v>
      </c>
      <c r="O124" s="3" t="s">
        <v>143</v>
      </c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</row>
    <row r="125" spans="1:27" ht="39" customHeight="1" x14ac:dyDescent="0.3">
      <c r="A125" s="501">
        <v>123</v>
      </c>
      <c r="B125" s="396" t="s">
        <v>2165</v>
      </c>
      <c r="C125" s="505"/>
      <c r="D125" s="396" t="s">
        <v>2336</v>
      </c>
      <c r="E125" s="506"/>
      <c r="F125" s="504" t="s">
        <v>2248</v>
      </c>
      <c r="G125" s="504"/>
      <c r="H125" s="504"/>
      <c r="I125" s="504"/>
      <c r="J125" s="539" t="s">
        <v>21</v>
      </c>
      <c r="K125" s="539" t="s">
        <v>241</v>
      </c>
      <c r="L125" s="539" t="s">
        <v>242</v>
      </c>
      <c r="M125" s="539" t="s">
        <v>21</v>
      </c>
      <c r="N125" s="539" t="s">
        <v>21</v>
      </c>
      <c r="O125" s="539" t="s">
        <v>85</v>
      </c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</row>
    <row r="126" spans="1:27" ht="39" customHeight="1" x14ac:dyDescent="0.3">
      <c r="A126" s="9">
        <v>124</v>
      </c>
      <c r="B126" s="10" t="s">
        <v>243</v>
      </c>
      <c r="C126" s="488">
        <v>81</v>
      </c>
      <c r="D126" s="10" t="s">
        <v>2549</v>
      </c>
      <c r="E126" s="488" t="s">
        <v>2549</v>
      </c>
      <c r="F126" s="432" t="s">
        <v>2248</v>
      </c>
      <c r="G126" s="432"/>
      <c r="H126" s="432"/>
      <c r="I126" s="432"/>
      <c r="J126" s="3" t="s">
        <v>26</v>
      </c>
      <c r="K126" s="3" t="s">
        <v>26</v>
      </c>
      <c r="L126" s="3" t="s">
        <v>244</v>
      </c>
      <c r="M126" s="3" t="s">
        <v>29</v>
      </c>
      <c r="N126" s="3" t="s">
        <v>30</v>
      </c>
      <c r="O126" s="3" t="s">
        <v>30</v>
      </c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</row>
    <row r="127" spans="1:27" ht="39" customHeight="1" x14ac:dyDescent="0.3">
      <c r="A127" s="9">
        <v>125</v>
      </c>
      <c r="B127" s="12" t="s">
        <v>2166</v>
      </c>
      <c r="C127" s="488">
        <v>82</v>
      </c>
      <c r="D127" s="12" t="s">
        <v>2338</v>
      </c>
      <c r="E127" s="488" t="s">
        <v>2338</v>
      </c>
      <c r="F127" s="432" t="s">
        <v>2248</v>
      </c>
      <c r="G127" s="432"/>
      <c r="H127" s="432"/>
      <c r="I127" s="432"/>
      <c r="J127" s="3" t="s">
        <v>21</v>
      </c>
      <c r="K127" s="3" t="s">
        <v>49</v>
      </c>
      <c r="L127" s="3" t="s">
        <v>246</v>
      </c>
      <c r="M127" s="3" t="s">
        <v>21</v>
      </c>
      <c r="N127" s="3" t="s">
        <v>21</v>
      </c>
      <c r="O127" s="3" t="s">
        <v>51</v>
      </c>
      <c r="P127" s="50" t="s">
        <v>1674</v>
      </c>
      <c r="Q127" s="229">
        <v>774</v>
      </c>
      <c r="R127" s="837">
        <v>12943</v>
      </c>
      <c r="S127" s="833" t="s">
        <v>2049</v>
      </c>
      <c r="T127" s="60" t="s">
        <v>2051</v>
      </c>
      <c r="U127" s="60" t="s">
        <v>2052</v>
      </c>
      <c r="V127" s="60" t="s">
        <v>2053</v>
      </c>
      <c r="W127" s="60" t="s">
        <v>2054</v>
      </c>
      <c r="X127" s="60" t="s">
        <v>2055</v>
      </c>
      <c r="Y127" s="60" t="s">
        <v>2056</v>
      </c>
      <c r="Z127" s="60" t="s">
        <v>2057</v>
      </c>
      <c r="AA127" s="60" t="s">
        <v>2058</v>
      </c>
    </row>
    <row r="128" spans="1:27" ht="39" customHeight="1" x14ac:dyDescent="0.3">
      <c r="A128" s="9">
        <v>126</v>
      </c>
      <c r="B128" s="12" t="s">
        <v>247</v>
      </c>
      <c r="C128" s="488">
        <v>83</v>
      </c>
      <c r="D128" s="12" t="s">
        <v>2339</v>
      </c>
      <c r="E128" s="488" t="s">
        <v>2339</v>
      </c>
      <c r="F128" s="432" t="s">
        <v>2248</v>
      </c>
      <c r="G128" s="432"/>
      <c r="H128" s="432"/>
      <c r="I128" s="432"/>
      <c r="J128" s="3" t="s">
        <v>21</v>
      </c>
      <c r="K128" s="3" t="s">
        <v>84</v>
      </c>
      <c r="L128" s="3" t="s">
        <v>249</v>
      </c>
      <c r="M128" s="3" t="s">
        <v>21</v>
      </c>
      <c r="N128" s="3" t="s">
        <v>250</v>
      </c>
      <c r="O128" s="3" t="s">
        <v>249</v>
      </c>
      <c r="P128" s="60" t="s">
        <v>1675</v>
      </c>
      <c r="Q128" s="275">
        <v>634</v>
      </c>
      <c r="R128" s="837"/>
      <c r="S128" s="833"/>
      <c r="T128" s="60"/>
      <c r="U128" s="60"/>
      <c r="V128" s="60"/>
      <c r="W128" s="60"/>
      <c r="X128" s="60"/>
      <c r="Y128" s="60"/>
      <c r="Z128" s="60"/>
      <c r="AA128" s="60"/>
    </row>
    <row r="129" spans="1:27" ht="39" customHeight="1" x14ac:dyDescent="0.3">
      <c r="A129" s="501">
        <v>127</v>
      </c>
      <c r="B129" s="400" t="s">
        <v>2167</v>
      </c>
      <c r="C129" s="507"/>
      <c r="D129" s="400" t="s">
        <v>2340</v>
      </c>
      <c r="E129" s="502" t="s">
        <v>2584</v>
      </c>
      <c r="F129" s="503"/>
      <c r="G129" s="503"/>
      <c r="H129" s="503"/>
      <c r="I129" s="503" t="s">
        <v>2248</v>
      </c>
      <c r="J129" s="529" t="s">
        <v>26</v>
      </c>
      <c r="K129" s="529" t="s">
        <v>31</v>
      </c>
      <c r="L129" s="529" t="s">
        <v>252</v>
      </c>
      <c r="M129" s="529" t="s">
        <v>29</v>
      </c>
      <c r="N129" s="529" t="s">
        <v>38</v>
      </c>
      <c r="O129" s="529" t="s">
        <v>39</v>
      </c>
      <c r="P129" s="607"/>
      <c r="Q129" s="607"/>
      <c r="R129" s="607"/>
      <c r="S129" s="607"/>
      <c r="T129" s="607"/>
      <c r="U129" s="607"/>
      <c r="V129" s="607"/>
      <c r="W129" s="607"/>
      <c r="X129" s="607"/>
      <c r="Y129" s="607"/>
      <c r="Z129" s="607"/>
      <c r="AA129" s="607"/>
    </row>
    <row r="130" spans="1:27" ht="39" customHeight="1" x14ac:dyDescent="0.3">
      <c r="A130" s="501">
        <v>128</v>
      </c>
      <c r="B130" s="400" t="s">
        <v>2168</v>
      </c>
      <c r="C130" s="840">
        <v>84</v>
      </c>
      <c r="D130" s="842" t="s">
        <v>2341</v>
      </c>
      <c r="E130" s="840" t="s">
        <v>2617</v>
      </c>
      <c r="F130" s="845" t="s">
        <v>2248</v>
      </c>
      <c r="G130" s="845" t="s">
        <v>2248</v>
      </c>
      <c r="H130" s="845"/>
      <c r="I130" s="845" t="s">
        <v>2550</v>
      </c>
      <c r="J130" s="529" t="s">
        <v>26</v>
      </c>
      <c r="K130" s="529" t="s">
        <v>31</v>
      </c>
      <c r="L130" s="529" t="s">
        <v>252</v>
      </c>
      <c r="M130" s="529" t="s">
        <v>29</v>
      </c>
      <c r="N130" s="529" t="s">
        <v>38</v>
      </c>
      <c r="O130" s="529" t="s">
        <v>39</v>
      </c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</row>
    <row r="131" spans="1:27" ht="39" customHeight="1" x14ac:dyDescent="0.3">
      <c r="A131" s="501">
        <v>129</v>
      </c>
      <c r="B131" s="396" t="s">
        <v>2169</v>
      </c>
      <c r="C131" s="841"/>
      <c r="D131" s="843"/>
      <c r="E131" s="844"/>
      <c r="F131" s="846"/>
      <c r="G131" s="846"/>
      <c r="H131" s="846"/>
      <c r="I131" s="846"/>
      <c r="J131" s="529" t="s">
        <v>26</v>
      </c>
      <c r="K131" s="529" t="s">
        <v>31</v>
      </c>
      <c r="L131" s="529" t="s">
        <v>252</v>
      </c>
      <c r="M131" s="529" t="s">
        <v>29</v>
      </c>
      <c r="N131" s="529" t="s">
        <v>38</v>
      </c>
      <c r="O131" s="529" t="s">
        <v>39</v>
      </c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</row>
    <row r="132" spans="1:27" ht="39" customHeight="1" x14ac:dyDescent="0.3">
      <c r="A132" s="9">
        <v>130</v>
      </c>
      <c r="B132" s="14" t="s">
        <v>253</v>
      </c>
      <c r="C132" s="489">
        <v>85</v>
      </c>
      <c r="D132" s="14" t="s">
        <v>2342</v>
      </c>
      <c r="E132" s="489" t="s">
        <v>2342</v>
      </c>
      <c r="F132" s="431" t="s">
        <v>2248</v>
      </c>
      <c r="G132" s="431"/>
      <c r="H132" s="431"/>
      <c r="I132" s="431"/>
      <c r="J132" s="3" t="s">
        <v>21</v>
      </c>
      <c r="K132" s="3" t="s">
        <v>42</v>
      </c>
      <c r="L132" s="3" t="s">
        <v>255</v>
      </c>
      <c r="M132" s="3" t="s">
        <v>21</v>
      </c>
      <c r="N132" s="3" t="s">
        <v>44</v>
      </c>
      <c r="O132" s="3" t="s">
        <v>42</v>
      </c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</row>
    <row r="133" spans="1:27" ht="39" customHeight="1" x14ac:dyDescent="0.3">
      <c r="A133" s="9">
        <v>131</v>
      </c>
      <c r="B133" s="10" t="s">
        <v>256</v>
      </c>
      <c r="C133" s="488">
        <v>86</v>
      </c>
      <c r="D133" s="10" t="s">
        <v>2343</v>
      </c>
      <c r="E133" s="488" t="s">
        <v>2343</v>
      </c>
      <c r="F133" s="431" t="s">
        <v>2248</v>
      </c>
      <c r="G133" s="432"/>
      <c r="H133" s="432"/>
      <c r="I133" s="432"/>
      <c r="J133" s="3" t="s">
        <v>21</v>
      </c>
      <c r="K133" s="3" t="s">
        <v>49</v>
      </c>
      <c r="L133" s="3" t="s">
        <v>258</v>
      </c>
      <c r="M133" s="3" t="s">
        <v>21</v>
      </c>
      <c r="N133" s="3" t="s">
        <v>21</v>
      </c>
      <c r="O133" s="3" t="s">
        <v>51</v>
      </c>
      <c r="P133" s="50" t="s">
        <v>1681</v>
      </c>
      <c r="Q133" s="229">
        <v>1969</v>
      </c>
      <c r="R133" s="362">
        <v>13345</v>
      </c>
      <c r="S133" s="50" t="s">
        <v>2014</v>
      </c>
      <c r="T133" s="50" t="s">
        <v>623</v>
      </c>
      <c r="U133" s="50">
        <v>1960</v>
      </c>
      <c r="V133" s="50">
        <v>555</v>
      </c>
      <c r="W133" s="50">
        <v>456</v>
      </c>
      <c r="X133" s="50">
        <v>82.16</v>
      </c>
      <c r="Y133" s="50">
        <v>555</v>
      </c>
      <c r="Z133" s="50">
        <v>462</v>
      </c>
      <c r="AA133" s="50">
        <v>83.24</v>
      </c>
    </row>
    <row r="134" spans="1:27" ht="39" customHeight="1" x14ac:dyDescent="0.3">
      <c r="A134" s="9">
        <v>132</v>
      </c>
      <c r="B134" s="12" t="s">
        <v>259</v>
      </c>
      <c r="C134" s="488">
        <v>87</v>
      </c>
      <c r="D134" s="12" t="s">
        <v>2344</v>
      </c>
      <c r="E134" s="488" t="s">
        <v>2344</v>
      </c>
      <c r="F134" s="431" t="s">
        <v>2248</v>
      </c>
      <c r="G134" s="432"/>
      <c r="H134" s="432"/>
      <c r="I134" s="432"/>
      <c r="J134" s="3" t="s">
        <v>21</v>
      </c>
      <c r="K134" s="3" t="s">
        <v>49</v>
      </c>
      <c r="L134" s="3" t="s">
        <v>258</v>
      </c>
      <c r="M134" s="3" t="s">
        <v>21</v>
      </c>
      <c r="N134" s="3" t="s">
        <v>21</v>
      </c>
      <c r="O134" s="3" t="s">
        <v>51</v>
      </c>
      <c r="P134" s="50" t="s">
        <v>1680</v>
      </c>
      <c r="Q134" s="229">
        <v>2029</v>
      </c>
      <c r="R134" s="362">
        <v>13363</v>
      </c>
      <c r="S134" s="50" t="s">
        <v>2015</v>
      </c>
      <c r="T134" s="50" t="s">
        <v>621</v>
      </c>
      <c r="U134" s="50">
        <v>1960</v>
      </c>
      <c r="V134" s="50">
        <v>337</v>
      </c>
      <c r="W134" s="50">
        <v>268</v>
      </c>
      <c r="X134" s="50">
        <v>79.52</v>
      </c>
      <c r="Y134" s="50">
        <v>336</v>
      </c>
      <c r="Z134" s="50">
        <v>260</v>
      </c>
      <c r="AA134" s="50">
        <v>77.38</v>
      </c>
    </row>
    <row r="135" spans="1:27" ht="39" customHeight="1" x14ac:dyDescent="0.3">
      <c r="A135" s="9">
        <v>133</v>
      </c>
      <c r="B135" s="10" t="s">
        <v>261</v>
      </c>
      <c r="C135" s="488">
        <v>88</v>
      </c>
      <c r="D135" s="10" t="s">
        <v>2345</v>
      </c>
      <c r="E135" s="488" t="s">
        <v>2345</v>
      </c>
      <c r="F135" s="431" t="s">
        <v>2248</v>
      </c>
      <c r="G135" s="432"/>
      <c r="H135" s="432"/>
      <c r="I135" s="432"/>
      <c r="J135" s="3" t="s">
        <v>21</v>
      </c>
      <c r="K135" s="3" t="s">
        <v>49</v>
      </c>
      <c r="L135" s="3" t="s">
        <v>258</v>
      </c>
      <c r="M135" s="3" t="s">
        <v>21</v>
      </c>
      <c r="N135" s="3" t="s">
        <v>21</v>
      </c>
      <c r="O135" s="3" t="s">
        <v>51</v>
      </c>
      <c r="P135" s="50" t="s">
        <v>1682</v>
      </c>
      <c r="Q135" s="229">
        <v>2587</v>
      </c>
      <c r="R135" s="362">
        <v>13705</v>
      </c>
      <c r="S135" s="50" t="s">
        <v>2016</v>
      </c>
      <c r="T135" s="50" t="s">
        <v>2017</v>
      </c>
      <c r="U135" s="50">
        <v>1960</v>
      </c>
      <c r="V135" s="50" t="s">
        <v>498</v>
      </c>
      <c r="W135" s="50" t="s">
        <v>498</v>
      </c>
      <c r="X135" s="50" t="s">
        <v>498</v>
      </c>
      <c r="Y135" s="50">
        <v>205</v>
      </c>
      <c r="Z135" s="50">
        <v>143</v>
      </c>
      <c r="AA135" s="50">
        <v>69.75</v>
      </c>
    </row>
    <row r="136" spans="1:27" ht="39" customHeight="1" x14ac:dyDescent="0.3">
      <c r="A136" s="9">
        <v>134</v>
      </c>
      <c r="B136" s="10" t="s">
        <v>2170</v>
      </c>
      <c r="C136" s="481"/>
      <c r="D136" s="10"/>
      <c r="E136" s="439" t="s">
        <v>2594</v>
      </c>
      <c r="F136" s="432"/>
      <c r="G136" s="432"/>
      <c r="H136" s="432" t="s">
        <v>2248</v>
      </c>
      <c r="I136" s="432" t="s">
        <v>2248</v>
      </c>
      <c r="J136" s="3" t="s">
        <v>26</v>
      </c>
      <c r="K136" s="3" t="s">
        <v>27</v>
      </c>
      <c r="L136" s="3" t="s">
        <v>2171</v>
      </c>
      <c r="M136" s="3" t="s">
        <v>417</v>
      </c>
      <c r="N136" s="3" t="s">
        <v>30</v>
      </c>
      <c r="O136" s="3" t="s">
        <v>31</v>
      </c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</row>
    <row r="137" spans="1:27" ht="39" customHeight="1" x14ac:dyDescent="0.3">
      <c r="A137" s="9">
        <v>135</v>
      </c>
      <c r="B137" s="10" t="s">
        <v>263</v>
      </c>
      <c r="C137" s="488">
        <v>89</v>
      </c>
      <c r="D137" s="10" t="s">
        <v>2346</v>
      </c>
      <c r="E137" s="488" t="s">
        <v>2346</v>
      </c>
      <c r="F137" s="432" t="s">
        <v>2248</v>
      </c>
      <c r="G137" s="432"/>
      <c r="H137" s="432"/>
      <c r="I137" s="432"/>
      <c r="J137" s="3" t="s">
        <v>21</v>
      </c>
      <c r="K137" s="3" t="s">
        <v>84</v>
      </c>
      <c r="L137" s="3" t="s">
        <v>249</v>
      </c>
      <c r="M137" s="3" t="s">
        <v>21</v>
      </c>
      <c r="N137" s="3" t="s">
        <v>250</v>
      </c>
      <c r="O137" s="3" t="s">
        <v>249</v>
      </c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</row>
    <row r="138" spans="1:27" ht="39" customHeight="1" x14ac:dyDescent="0.3">
      <c r="A138" s="9">
        <v>136</v>
      </c>
      <c r="B138" s="10" t="s">
        <v>265</v>
      </c>
      <c r="C138" s="488">
        <v>90</v>
      </c>
      <c r="D138" s="10" t="s">
        <v>2347</v>
      </c>
      <c r="E138" s="488" t="s">
        <v>2347</v>
      </c>
      <c r="F138" s="432" t="s">
        <v>2248</v>
      </c>
      <c r="G138" s="432"/>
      <c r="H138" s="432"/>
      <c r="I138" s="432"/>
      <c r="J138" s="3" t="s">
        <v>69</v>
      </c>
      <c r="K138" s="3" t="s">
        <v>80</v>
      </c>
      <c r="L138" s="3" t="s">
        <v>267</v>
      </c>
      <c r="M138" s="3" t="s">
        <v>29</v>
      </c>
      <c r="N138" s="3" t="s">
        <v>26</v>
      </c>
      <c r="O138" s="3" t="s">
        <v>31</v>
      </c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</row>
    <row r="139" spans="1:27" ht="39" customHeight="1" x14ac:dyDescent="0.3">
      <c r="A139" s="9">
        <v>137</v>
      </c>
      <c r="B139" s="14" t="s">
        <v>268</v>
      </c>
      <c r="C139" s="489">
        <v>91</v>
      </c>
      <c r="D139" s="14" t="s">
        <v>2348</v>
      </c>
      <c r="E139" s="489" t="s">
        <v>2348</v>
      </c>
      <c r="F139" s="432" t="s">
        <v>2248</v>
      </c>
      <c r="G139" s="431"/>
      <c r="H139" s="431"/>
      <c r="I139" s="431"/>
      <c r="J139" s="3" t="s">
        <v>26</v>
      </c>
      <c r="K139" s="3" t="s">
        <v>30</v>
      </c>
      <c r="L139" s="3" t="s">
        <v>148</v>
      </c>
      <c r="M139" s="3" t="s">
        <v>29</v>
      </c>
      <c r="N139" s="3" t="s">
        <v>26</v>
      </c>
      <c r="O139" s="3" t="s">
        <v>30</v>
      </c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</row>
    <row r="140" spans="1:27" ht="39" customHeight="1" x14ac:dyDescent="0.3">
      <c r="A140" s="9">
        <v>138</v>
      </c>
      <c r="B140" s="15" t="s">
        <v>270</v>
      </c>
      <c r="C140" s="489">
        <v>92</v>
      </c>
      <c r="D140" s="15" t="s">
        <v>2349</v>
      </c>
      <c r="E140" s="489" t="s">
        <v>2349</v>
      </c>
      <c r="F140" s="432" t="s">
        <v>2248</v>
      </c>
      <c r="G140" s="431"/>
      <c r="H140" s="431"/>
      <c r="I140" s="431"/>
      <c r="J140" s="3" t="s">
        <v>26</v>
      </c>
      <c r="K140" s="3" t="s">
        <v>27</v>
      </c>
      <c r="L140" s="3" t="s">
        <v>272</v>
      </c>
      <c r="M140" s="3" t="s">
        <v>29</v>
      </c>
      <c r="N140" s="3" t="s">
        <v>30</v>
      </c>
      <c r="O140" s="3" t="s">
        <v>30</v>
      </c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</row>
    <row r="141" spans="1:27" ht="39" customHeight="1" x14ac:dyDescent="0.3">
      <c r="A141" s="9">
        <v>139</v>
      </c>
      <c r="B141" s="10" t="s">
        <v>2172</v>
      </c>
      <c r="C141" s="802">
        <v>93</v>
      </c>
      <c r="D141" s="810" t="s">
        <v>2350</v>
      </c>
      <c r="E141" s="802" t="s">
        <v>2551</v>
      </c>
      <c r="F141" s="812" t="s">
        <v>2248</v>
      </c>
      <c r="G141" s="812" t="s">
        <v>2248</v>
      </c>
      <c r="H141" s="432"/>
      <c r="I141" s="432"/>
      <c r="J141" s="3" t="s">
        <v>69</v>
      </c>
      <c r="K141" s="3" t="s">
        <v>96</v>
      </c>
      <c r="L141" s="3" t="s">
        <v>275</v>
      </c>
      <c r="M141" s="3" t="s">
        <v>29</v>
      </c>
      <c r="N141" s="3" t="s">
        <v>98</v>
      </c>
      <c r="O141" s="3" t="s">
        <v>125</v>
      </c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</row>
    <row r="142" spans="1:27" ht="39" customHeight="1" x14ac:dyDescent="0.3">
      <c r="A142" s="9">
        <v>140</v>
      </c>
      <c r="B142" s="15" t="s">
        <v>2173</v>
      </c>
      <c r="C142" s="803"/>
      <c r="D142" s="811"/>
      <c r="E142" s="803"/>
      <c r="F142" s="813"/>
      <c r="G142" s="813"/>
      <c r="H142" s="431"/>
      <c r="I142" s="431"/>
      <c r="J142" s="3" t="s">
        <v>69</v>
      </c>
      <c r="K142" s="3" t="s">
        <v>96</v>
      </c>
      <c r="L142" s="3" t="s">
        <v>275</v>
      </c>
      <c r="M142" s="3" t="s">
        <v>29</v>
      </c>
      <c r="N142" s="3" t="s">
        <v>98</v>
      </c>
      <c r="O142" s="3" t="s">
        <v>125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</row>
    <row r="143" spans="1:27" ht="39" customHeight="1" x14ac:dyDescent="0.3">
      <c r="A143" s="9">
        <v>141</v>
      </c>
      <c r="B143" s="15" t="s">
        <v>2174</v>
      </c>
      <c r="C143" s="483"/>
      <c r="D143" s="15"/>
      <c r="E143" s="489" t="s">
        <v>2598</v>
      </c>
      <c r="F143" s="431"/>
      <c r="G143" s="431"/>
      <c r="H143" s="431" t="s">
        <v>2248</v>
      </c>
      <c r="I143" s="431" t="s">
        <v>2248</v>
      </c>
      <c r="J143" s="3" t="s">
        <v>13</v>
      </c>
      <c r="K143" s="3" t="s">
        <v>19</v>
      </c>
      <c r="L143" s="3" t="s">
        <v>357</v>
      </c>
      <c r="M143" s="3" t="s">
        <v>21</v>
      </c>
      <c r="N143" s="3" t="s">
        <v>22</v>
      </c>
      <c r="O143" s="3" t="s">
        <v>23</v>
      </c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</row>
    <row r="144" spans="1:27" ht="39" customHeight="1" x14ac:dyDescent="0.3">
      <c r="A144" s="413">
        <v>142</v>
      </c>
      <c r="B144" s="397" t="s">
        <v>2175</v>
      </c>
      <c r="C144" s="499"/>
      <c r="D144" s="397" t="s">
        <v>2352</v>
      </c>
      <c r="E144" s="500" t="s">
        <v>2552</v>
      </c>
      <c r="F144" s="498" t="s">
        <v>2248</v>
      </c>
      <c r="G144" s="498" t="s">
        <v>2248</v>
      </c>
      <c r="H144" s="498"/>
      <c r="I144" s="498"/>
      <c r="J144" s="529" t="s">
        <v>21</v>
      </c>
      <c r="K144" s="529" t="s">
        <v>42</v>
      </c>
      <c r="L144" s="529" t="s">
        <v>409</v>
      </c>
      <c r="M144" s="529" t="s">
        <v>21</v>
      </c>
      <c r="N144" s="529" t="s">
        <v>44</v>
      </c>
      <c r="O144" s="529" t="s">
        <v>43</v>
      </c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</row>
    <row r="145" spans="1:27" ht="39" customHeight="1" x14ac:dyDescent="0.3">
      <c r="A145" s="9">
        <v>143</v>
      </c>
      <c r="B145" s="12" t="s">
        <v>2176</v>
      </c>
      <c r="C145" s="482"/>
      <c r="D145" s="838" t="s">
        <v>2353</v>
      </c>
      <c r="E145" s="802" t="s">
        <v>2553</v>
      </c>
      <c r="F145" s="812" t="s">
        <v>2248</v>
      </c>
      <c r="G145" s="812" t="s">
        <v>2248</v>
      </c>
      <c r="H145" s="432"/>
      <c r="I145" s="432"/>
      <c r="J145" s="3" t="s">
        <v>21</v>
      </c>
      <c r="K145" s="3" t="s">
        <v>164</v>
      </c>
      <c r="L145" s="3" t="s">
        <v>2177</v>
      </c>
      <c r="M145" s="3" t="s">
        <v>21</v>
      </c>
      <c r="N145" s="3" t="s">
        <v>21</v>
      </c>
      <c r="O145" s="3" t="s">
        <v>164</v>
      </c>
      <c r="P145" s="605" t="s">
        <v>2826</v>
      </c>
      <c r="Q145" s="608">
        <v>2021</v>
      </c>
      <c r="R145" s="609">
        <v>13355</v>
      </c>
      <c r="S145" s="605" t="s">
        <v>2827</v>
      </c>
      <c r="T145" s="605" t="s">
        <v>2828</v>
      </c>
      <c r="U145" s="605">
        <v>1960</v>
      </c>
      <c r="V145" s="605" t="s">
        <v>2829</v>
      </c>
      <c r="W145" s="605" t="s">
        <v>2830</v>
      </c>
      <c r="X145" s="605" t="s">
        <v>2831</v>
      </c>
      <c r="Y145" s="605" t="s">
        <v>2832</v>
      </c>
      <c r="Z145" s="605" t="s">
        <v>2833</v>
      </c>
      <c r="AA145" s="605" t="s">
        <v>2834</v>
      </c>
    </row>
    <row r="146" spans="1:27" ht="39" customHeight="1" x14ac:dyDescent="0.3">
      <c r="A146" s="9">
        <v>144</v>
      </c>
      <c r="B146" s="12" t="s">
        <v>2178</v>
      </c>
      <c r="C146" s="484"/>
      <c r="D146" s="839"/>
      <c r="E146" s="803"/>
      <c r="F146" s="813"/>
      <c r="G146" s="813"/>
      <c r="H146" s="432"/>
      <c r="I146" s="432"/>
      <c r="J146" s="3" t="s">
        <v>21</v>
      </c>
      <c r="K146" s="3" t="s">
        <v>164</v>
      </c>
      <c r="L146" s="3" t="s">
        <v>2177</v>
      </c>
      <c r="M146" s="3" t="s">
        <v>21</v>
      </c>
      <c r="N146" s="3" t="s">
        <v>21</v>
      </c>
      <c r="O146" s="3" t="s">
        <v>164</v>
      </c>
      <c r="P146" s="60" t="s">
        <v>2835</v>
      </c>
      <c r="Q146" s="275">
        <v>2268</v>
      </c>
      <c r="R146" s="356">
        <v>13425</v>
      </c>
      <c r="S146" s="60" t="s">
        <v>2836</v>
      </c>
      <c r="T146" s="60" t="s">
        <v>2837</v>
      </c>
      <c r="U146" s="60">
        <v>1960</v>
      </c>
      <c r="V146" s="60">
        <v>494</v>
      </c>
      <c r="W146" s="60">
        <v>424</v>
      </c>
      <c r="X146" s="60">
        <v>85.82</v>
      </c>
      <c r="Y146" s="60">
        <v>378</v>
      </c>
      <c r="Z146" s="60">
        <v>369</v>
      </c>
      <c r="AA146" s="60">
        <v>97.61</v>
      </c>
    </row>
    <row r="147" spans="1:27" ht="39" customHeight="1" x14ac:dyDescent="0.3">
      <c r="A147" s="9">
        <v>145</v>
      </c>
      <c r="B147" s="15" t="s">
        <v>276</v>
      </c>
      <c r="C147" s="489">
        <v>94</v>
      </c>
      <c r="D147" s="15" t="s">
        <v>2354</v>
      </c>
      <c r="E147" s="489" t="s">
        <v>2354</v>
      </c>
      <c r="F147" s="431" t="s">
        <v>2248</v>
      </c>
      <c r="G147" s="431"/>
      <c r="H147" s="431"/>
      <c r="I147" s="431"/>
      <c r="J147" s="3" t="s">
        <v>69</v>
      </c>
      <c r="K147" s="3" t="s">
        <v>125</v>
      </c>
      <c r="L147" s="3" t="s">
        <v>278</v>
      </c>
      <c r="M147" s="3" t="s">
        <v>29</v>
      </c>
      <c r="N147" s="3" t="s">
        <v>98</v>
      </c>
      <c r="O147" s="3" t="s">
        <v>125</v>
      </c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</row>
    <row r="148" spans="1:27" ht="39" customHeight="1" x14ac:dyDescent="0.3">
      <c r="A148" s="9">
        <v>146</v>
      </c>
      <c r="B148" s="12" t="s">
        <v>2179</v>
      </c>
      <c r="C148" s="806">
        <v>95</v>
      </c>
      <c r="D148" s="818" t="s">
        <v>2355</v>
      </c>
      <c r="E148" s="806" t="s">
        <v>2554</v>
      </c>
      <c r="F148" s="808" t="s">
        <v>2248</v>
      </c>
      <c r="G148" s="808" t="s">
        <v>2248</v>
      </c>
      <c r="H148" s="431"/>
      <c r="I148" s="431"/>
      <c r="J148" s="3" t="s">
        <v>26</v>
      </c>
      <c r="K148" s="3" t="s">
        <v>31</v>
      </c>
      <c r="L148" s="3" t="s">
        <v>280</v>
      </c>
      <c r="M148" s="3" t="s">
        <v>29</v>
      </c>
      <c r="N148" s="3" t="s">
        <v>38</v>
      </c>
      <c r="O148" s="3" t="s">
        <v>39</v>
      </c>
      <c r="P148" s="610"/>
      <c r="Q148" s="610"/>
      <c r="R148" s="610"/>
      <c r="S148" s="610"/>
      <c r="T148" s="610"/>
      <c r="U148" s="610"/>
      <c r="V148" s="610"/>
      <c r="W148" s="610"/>
      <c r="X148" s="610"/>
      <c r="Y148" s="610"/>
      <c r="Z148" s="610"/>
      <c r="AA148" s="610"/>
    </row>
    <row r="149" spans="1:27" ht="39" customHeight="1" x14ac:dyDescent="0.3">
      <c r="A149" s="9">
        <v>147</v>
      </c>
      <c r="B149" s="14" t="s">
        <v>2180</v>
      </c>
      <c r="C149" s="807"/>
      <c r="D149" s="819"/>
      <c r="E149" s="807"/>
      <c r="F149" s="809"/>
      <c r="G149" s="809"/>
      <c r="H149" s="431"/>
      <c r="I149" s="431"/>
      <c r="J149" s="3" t="s">
        <v>26</v>
      </c>
      <c r="K149" s="3" t="s">
        <v>31</v>
      </c>
      <c r="L149" s="3" t="s">
        <v>280</v>
      </c>
      <c r="M149" s="3" t="s">
        <v>29</v>
      </c>
      <c r="N149" s="3" t="s">
        <v>38</v>
      </c>
      <c r="O149" s="3" t="s">
        <v>39</v>
      </c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</row>
    <row r="150" spans="1:27" ht="39" customHeight="1" x14ac:dyDescent="0.3">
      <c r="A150" s="9">
        <v>148</v>
      </c>
      <c r="B150" s="10" t="s">
        <v>281</v>
      </c>
      <c r="C150" s="481"/>
      <c r="D150" s="10" t="s">
        <v>2356</v>
      </c>
      <c r="E150" s="488" t="s">
        <v>2555</v>
      </c>
      <c r="F150" s="432" t="s">
        <v>2248</v>
      </c>
      <c r="G150" s="432"/>
      <c r="H150" s="432"/>
      <c r="I150" s="432"/>
      <c r="J150" s="3" t="s">
        <v>21</v>
      </c>
      <c r="K150" s="3" t="s">
        <v>164</v>
      </c>
      <c r="L150" s="3" t="s">
        <v>2181</v>
      </c>
      <c r="M150" s="3" t="s">
        <v>21</v>
      </c>
      <c r="N150" s="3" t="s">
        <v>21</v>
      </c>
      <c r="O150" s="3" t="s">
        <v>164</v>
      </c>
      <c r="P150" s="50" t="s">
        <v>1691</v>
      </c>
      <c r="Q150" s="229">
        <v>2441</v>
      </c>
      <c r="R150" s="362">
        <v>13518</v>
      </c>
      <c r="S150" s="50" t="s">
        <v>2059</v>
      </c>
      <c r="T150" s="50" t="s">
        <v>2017</v>
      </c>
      <c r="U150" s="50">
        <v>1960</v>
      </c>
      <c r="V150" s="50">
        <v>163</v>
      </c>
      <c r="W150" s="50">
        <v>155</v>
      </c>
      <c r="X150" s="50">
        <v>95.09</v>
      </c>
      <c r="Y150" s="50" t="s">
        <v>498</v>
      </c>
      <c r="Z150" s="50" t="s">
        <v>498</v>
      </c>
      <c r="AA150" s="50" t="s">
        <v>498</v>
      </c>
    </row>
    <row r="151" spans="1:27" ht="39" customHeight="1" x14ac:dyDescent="0.3">
      <c r="A151" s="9">
        <v>149</v>
      </c>
      <c r="B151" s="12" t="s">
        <v>2357</v>
      </c>
      <c r="C151" s="802">
        <v>96</v>
      </c>
      <c r="D151" s="818" t="s">
        <v>2358</v>
      </c>
      <c r="E151" s="806" t="s">
        <v>2556</v>
      </c>
      <c r="F151" s="808" t="s">
        <v>2248</v>
      </c>
      <c r="G151" s="808" t="s">
        <v>2248</v>
      </c>
      <c r="H151" s="431"/>
      <c r="I151" s="431"/>
      <c r="J151" s="3" t="s">
        <v>13</v>
      </c>
      <c r="K151" s="3" t="s">
        <v>14</v>
      </c>
      <c r="L151" s="3" t="s">
        <v>286</v>
      </c>
      <c r="M151" s="3" t="s">
        <v>14</v>
      </c>
      <c r="N151" s="3" t="s">
        <v>14</v>
      </c>
      <c r="O151" s="3" t="s">
        <v>16</v>
      </c>
      <c r="P151" s="94" t="s">
        <v>2937</v>
      </c>
      <c r="Q151" s="94">
        <v>1577</v>
      </c>
      <c r="R151" s="603">
        <v>13225</v>
      </c>
      <c r="S151" s="94" t="s">
        <v>2050</v>
      </c>
      <c r="T151" s="77"/>
      <c r="U151" s="77"/>
      <c r="V151" s="77"/>
      <c r="W151" s="77"/>
      <c r="X151" s="77"/>
      <c r="Y151" s="77"/>
      <c r="Z151" s="77"/>
      <c r="AA151" s="77"/>
    </row>
    <row r="152" spans="1:27" ht="39" customHeight="1" x14ac:dyDescent="0.3">
      <c r="A152" s="9">
        <v>150</v>
      </c>
      <c r="B152" s="14" t="s">
        <v>2183</v>
      </c>
      <c r="C152" s="803"/>
      <c r="D152" s="819"/>
      <c r="E152" s="807"/>
      <c r="F152" s="809"/>
      <c r="G152" s="809"/>
      <c r="H152" s="431"/>
      <c r="I152" s="431"/>
      <c r="J152" s="3" t="s">
        <v>13</v>
      </c>
      <c r="K152" s="3" t="s">
        <v>14</v>
      </c>
      <c r="L152" s="3" t="s">
        <v>286</v>
      </c>
      <c r="M152" s="3" t="s">
        <v>14</v>
      </c>
      <c r="N152" s="3" t="s">
        <v>14</v>
      </c>
      <c r="O152" s="3" t="s">
        <v>15</v>
      </c>
      <c r="P152" s="94" t="s">
        <v>2934</v>
      </c>
      <c r="Q152" s="94">
        <v>1578</v>
      </c>
      <c r="R152" s="603">
        <v>13225</v>
      </c>
      <c r="S152" s="94" t="s">
        <v>2050</v>
      </c>
      <c r="T152" s="77"/>
      <c r="U152" s="77"/>
      <c r="V152" s="77"/>
      <c r="W152" s="77"/>
      <c r="X152" s="77"/>
      <c r="Y152" s="77"/>
      <c r="Z152" s="77"/>
      <c r="AA152" s="77"/>
    </row>
    <row r="153" spans="1:27" ht="39" customHeight="1" x14ac:dyDescent="0.3">
      <c r="A153" s="9">
        <v>151</v>
      </c>
      <c r="B153" s="12" t="s">
        <v>2935</v>
      </c>
      <c r="C153" s="481"/>
      <c r="D153" s="12"/>
      <c r="E153" s="488" t="s">
        <v>2351</v>
      </c>
      <c r="F153" s="432"/>
      <c r="G153" s="432"/>
      <c r="H153" s="432" t="s">
        <v>2248</v>
      </c>
      <c r="I153" s="432" t="s">
        <v>2248</v>
      </c>
      <c r="J153" s="3" t="s">
        <v>13</v>
      </c>
      <c r="K153" s="3" t="s">
        <v>14</v>
      </c>
      <c r="L153" s="3" t="s">
        <v>286</v>
      </c>
      <c r="M153" s="3" t="s">
        <v>14</v>
      </c>
      <c r="N153" s="3" t="s">
        <v>14</v>
      </c>
      <c r="O153" s="3" t="s">
        <v>15</v>
      </c>
      <c r="P153" s="94" t="s">
        <v>2936</v>
      </c>
      <c r="Q153" s="94">
        <v>1659</v>
      </c>
      <c r="R153" s="603">
        <v>13258</v>
      </c>
      <c r="S153" s="94" t="s">
        <v>2908</v>
      </c>
      <c r="T153" s="77"/>
      <c r="U153" s="77"/>
      <c r="V153" s="77"/>
      <c r="W153" s="77"/>
      <c r="X153" s="77"/>
      <c r="Y153" s="77"/>
      <c r="Z153" s="77"/>
      <c r="AA153" s="77"/>
    </row>
    <row r="154" spans="1:27" ht="39" customHeight="1" x14ac:dyDescent="0.3">
      <c r="A154" s="9">
        <v>152</v>
      </c>
      <c r="B154" s="14" t="s">
        <v>287</v>
      </c>
      <c r="C154" s="489">
        <v>97</v>
      </c>
      <c r="D154" s="14" t="s">
        <v>2359</v>
      </c>
      <c r="E154" s="489" t="s">
        <v>2359</v>
      </c>
      <c r="F154" s="431" t="s">
        <v>2248</v>
      </c>
      <c r="G154" s="431"/>
      <c r="H154" s="431"/>
      <c r="I154" s="431"/>
      <c r="J154" s="3" t="s">
        <v>13</v>
      </c>
      <c r="K154" s="3" t="s">
        <v>14</v>
      </c>
      <c r="L154" s="3" t="s">
        <v>286</v>
      </c>
      <c r="M154" s="3" t="s">
        <v>14</v>
      </c>
      <c r="N154" s="3" t="s">
        <v>14</v>
      </c>
      <c r="O154" s="3" t="s">
        <v>15</v>
      </c>
      <c r="P154" s="94" t="s">
        <v>1696</v>
      </c>
      <c r="Q154" s="94">
        <v>2604</v>
      </c>
      <c r="R154" s="603">
        <v>14368</v>
      </c>
      <c r="S154" s="94" t="s">
        <v>2940</v>
      </c>
      <c r="T154" s="77"/>
      <c r="U154" s="77"/>
      <c r="V154" s="77"/>
      <c r="W154" s="77"/>
      <c r="X154" s="77"/>
      <c r="Y154" s="77"/>
      <c r="Z154" s="77"/>
      <c r="AA154" s="77"/>
    </row>
    <row r="155" spans="1:27" ht="39" customHeight="1" x14ac:dyDescent="0.3">
      <c r="A155" s="9">
        <v>154</v>
      </c>
      <c r="B155" s="10" t="s">
        <v>289</v>
      </c>
      <c r="C155" s="488">
        <v>98</v>
      </c>
      <c r="D155" s="10" t="s">
        <v>2360</v>
      </c>
      <c r="E155" s="488" t="s">
        <v>2360</v>
      </c>
      <c r="F155" s="431" t="s">
        <v>2248</v>
      </c>
      <c r="G155" s="432"/>
      <c r="H155" s="432"/>
      <c r="I155" s="432"/>
      <c r="J155" s="3" t="s">
        <v>21</v>
      </c>
      <c r="K155" s="3" t="s">
        <v>164</v>
      </c>
      <c r="L155" s="3" t="s">
        <v>2181</v>
      </c>
      <c r="M155" s="3" t="s">
        <v>21</v>
      </c>
      <c r="N155" s="3" t="s">
        <v>21</v>
      </c>
      <c r="O155" s="3" t="s">
        <v>164</v>
      </c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</row>
    <row r="156" spans="1:27" ht="39" customHeight="1" x14ac:dyDescent="0.3">
      <c r="A156" s="9">
        <v>155</v>
      </c>
      <c r="B156" s="10" t="s">
        <v>2186</v>
      </c>
      <c r="C156" s="481"/>
      <c r="D156" s="10"/>
      <c r="E156" s="439" t="s">
        <v>2598</v>
      </c>
      <c r="F156" s="432"/>
      <c r="G156" s="432"/>
      <c r="H156" s="432" t="s">
        <v>2248</v>
      </c>
      <c r="I156" s="432" t="s">
        <v>2248</v>
      </c>
      <c r="J156" s="3" t="s">
        <v>21</v>
      </c>
      <c r="K156" s="3" t="s">
        <v>42</v>
      </c>
      <c r="L156" s="3" t="s">
        <v>43</v>
      </c>
      <c r="M156" s="3" t="s">
        <v>21</v>
      </c>
      <c r="N156" s="3" t="s">
        <v>44</v>
      </c>
      <c r="O156" s="3" t="s">
        <v>42</v>
      </c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</row>
    <row r="157" spans="1:27" ht="39" customHeight="1" x14ac:dyDescent="0.3">
      <c r="A157" s="20">
        <v>156</v>
      </c>
      <c r="B157" s="18" t="s">
        <v>291</v>
      </c>
      <c r="C157" s="491">
        <v>99</v>
      </c>
      <c r="D157" s="18" t="s">
        <v>2361</v>
      </c>
      <c r="E157" s="538" t="s">
        <v>2361</v>
      </c>
      <c r="F157" s="532" t="s">
        <v>2248</v>
      </c>
      <c r="G157" s="532"/>
      <c r="H157" s="532"/>
      <c r="I157" s="532"/>
      <c r="J157" s="22" t="s">
        <v>69</v>
      </c>
      <c r="K157" s="22" t="s">
        <v>80</v>
      </c>
      <c r="L157" s="22" t="s">
        <v>293</v>
      </c>
      <c r="M157" s="22" t="s">
        <v>29</v>
      </c>
      <c r="N157" s="22" t="s">
        <v>29</v>
      </c>
      <c r="O157" s="22" t="s">
        <v>29</v>
      </c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</row>
    <row r="158" spans="1:27" ht="39" customHeight="1" x14ac:dyDescent="0.3">
      <c r="A158" s="9">
        <v>157</v>
      </c>
      <c r="B158" s="10" t="s">
        <v>294</v>
      </c>
      <c r="C158" s="488">
        <v>100</v>
      </c>
      <c r="D158" s="10" t="s">
        <v>2362</v>
      </c>
      <c r="E158" s="488" t="s">
        <v>2362</v>
      </c>
      <c r="F158" s="432" t="s">
        <v>2248</v>
      </c>
      <c r="G158" s="432"/>
      <c r="H158" s="432"/>
      <c r="I158" s="432"/>
      <c r="J158" s="3" t="s">
        <v>26</v>
      </c>
      <c r="K158" s="3" t="s">
        <v>30</v>
      </c>
      <c r="L158" s="3" t="s">
        <v>296</v>
      </c>
      <c r="M158" s="3" t="s">
        <v>29</v>
      </c>
      <c r="N158" s="3" t="s">
        <v>30</v>
      </c>
      <c r="O158" s="3" t="s">
        <v>30</v>
      </c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</row>
    <row r="159" spans="1:27" ht="39" customHeight="1" x14ac:dyDescent="0.3">
      <c r="A159" s="9">
        <v>158</v>
      </c>
      <c r="B159" s="10" t="s">
        <v>297</v>
      </c>
      <c r="C159" s="488">
        <v>101</v>
      </c>
      <c r="D159" s="10" t="s">
        <v>2363</v>
      </c>
      <c r="E159" s="488" t="s">
        <v>2363</v>
      </c>
      <c r="F159" s="432" t="s">
        <v>2248</v>
      </c>
      <c r="G159" s="432"/>
      <c r="H159" s="432"/>
      <c r="I159" s="432"/>
      <c r="J159" s="3" t="s">
        <v>69</v>
      </c>
      <c r="K159" s="3" t="s">
        <v>125</v>
      </c>
      <c r="L159" s="3" t="s">
        <v>299</v>
      </c>
      <c r="M159" s="3" t="s">
        <v>29</v>
      </c>
      <c r="N159" s="3" t="s">
        <v>98</v>
      </c>
      <c r="O159" s="3" t="s">
        <v>125</v>
      </c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</row>
    <row r="160" spans="1:27" ht="39" customHeight="1" x14ac:dyDescent="0.3">
      <c r="A160" s="9">
        <v>159</v>
      </c>
      <c r="B160" s="12" t="s">
        <v>300</v>
      </c>
      <c r="C160" s="488">
        <v>102</v>
      </c>
      <c r="D160" s="12" t="s">
        <v>2364</v>
      </c>
      <c r="E160" s="488" t="s">
        <v>2364</v>
      </c>
      <c r="F160" s="432" t="s">
        <v>2248</v>
      </c>
      <c r="G160" s="432"/>
      <c r="H160" s="432"/>
      <c r="I160" s="432"/>
      <c r="J160" s="3" t="s">
        <v>13</v>
      </c>
      <c r="K160" s="3" t="s">
        <v>14</v>
      </c>
      <c r="L160" s="3" t="s">
        <v>302</v>
      </c>
      <c r="M160" s="3" t="s">
        <v>14</v>
      </c>
      <c r="N160" s="3" t="s">
        <v>302</v>
      </c>
      <c r="O160" s="3" t="s">
        <v>302</v>
      </c>
      <c r="P160" s="94" t="s">
        <v>1700</v>
      </c>
      <c r="Q160" s="94">
        <v>232</v>
      </c>
      <c r="R160" s="603">
        <v>12787</v>
      </c>
      <c r="S160" s="94" t="s">
        <v>2938</v>
      </c>
      <c r="T160" s="77"/>
      <c r="U160" s="77"/>
      <c r="V160" s="77"/>
      <c r="W160" s="77"/>
      <c r="X160" s="77"/>
      <c r="Y160" s="77"/>
      <c r="Z160" s="77"/>
      <c r="AA160" s="77"/>
    </row>
    <row r="161" spans="1:27" ht="39" customHeight="1" x14ac:dyDescent="0.3">
      <c r="A161" s="9">
        <v>160</v>
      </c>
      <c r="B161" s="10" t="s">
        <v>303</v>
      </c>
      <c r="C161" s="488">
        <v>103</v>
      </c>
      <c r="D161" s="10" t="s">
        <v>2365</v>
      </c>
      <c r="E161" s="488" t="s">
        <v>2365</v>
      </c>
      <c r="F161" s="432" t="s">
        <v>2248</v>
      </c>
      <c r="G161" s="432"/>
      <c r="H161" s="432"/>
      <c r="I161" s="432"/>
      <c r="J161" s="3" t="s">
        <v>21</v>
      </c>
      <c r="K161" s="3" t="s">
        <v>164</v>
      </c>
      <c r="L161" s="3" t="s">
        <v>305</v>
      </c>
      <c r="M161" s="3" t="s">
        <v>21</v>
      </c>
      <c r="N161" s="3" t="s">
        <v>21</v>
      </c>
      <c r="O161" s="3" t="s">
        <v>164</v>
      </c>
      <c r="P161" s="50" t="s">
        <v>1701</v>
      </c>
      <c r="Q161" s="229">
        <v>842</v>
      </c>
      <c r="R161" s="362">
        <v>12951</v>
      </c>
      <c r="S161" s="50" t="s">
        <v>2060</v>
      </c>
      <c r="T161" s="50" t="s">
        <v>2048</v>
      </c>
      <c r="U161" s="50">
        <v>1960</v>
      </c>
      <c r="V161" s="50">
        <v>507</v>
      </c>
      <c r="W161" s="50">
        <v>409</v>
      </c>
      <c r="X161" s="50">
        <v>80.67</v>
      </c>
      <c r="Y161" s="50">
        <v>564</v>
      </c>
      <c r="Z161" s="50">
        <v>465</v>
      </c>
      <c r="AA161" s="50">
        <v>82.44</v>
      </c>
    </row>
    <row r="162" spans="1:27" ht="39" customHeight="1" x14ac:dyDescent="0.3">
      <c r="A162" s="20">
        <v>161</v>
      </c>
      <c r="B162" s="18" t="s">
        <v>2187</v>
      </c>
      <c r="C162" s="535"/>
      <c r="D162" s="18"/>
      <c r="E162" s="538" t="s">
        <v>2598</v>
      </c>
      <c r="F162" s="532"/>
      <c r="G162" s="532"/>
      <c r="H162" s="532" t="s">
        <v>2248</v>
      </c>
      <c r="I162" s="532" t="s">
        <v>2248</v>
      </c>
      <c r="J162" s="22" t="s">
        <v>13</v>
      </c>
      <c r="K162" s="22" t="s">
        <v>19</v>
      </c>
      <c r="L162" s="22" t="s">
        <v>357</v>
      </c>
      <c r="M162" s="22" t="s">
        <v>21</v>
      </c>
      <c r="N162" s="22" t="s">
        <v>22</v>
      </c>
      <c r="O162" s="22" t="s">
        <v>23</v>
      </c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</row>
    <row r="163" spans="1:27" ht="39" customHeight="1" x14ac:dyDescent="0.3">
      <c r="A163" s="9">
        <v>162</v>
      </c>
      <c r="B163" s="12" t="s">
        <v>306</v>
      </c>
      <c r="C163" s="488">
        <v>104</v>
      </c>
      <c r="D163" s="12" t="s">
        <v>2366</v>
      </c>
      <c r="E163" s="488" t="s">
        <v>2366</v>
      </c>
      <c r="F163" s="432" t="s">
        <v>2248</v>
      </c>
      <c r="G163" s="432"/>
      <c r="H163" s="432"/>
      <c r="I163" s="432"/>
      <c r="J163" s="3" t="s">
        <v>26</v>
      </c>
      <c r="K163" s="3" t="s">
        <v>31</v>
      </c>
      <c r="L163" s="3" t="s">
        <v>157</v>
      </c>
      <c r="M163" s="3" t="s">
        <v>29</v>
      </c>
      <c r="N163" s="3" t="s">
        <v>38</v>
      </c>
      <c r="O163" s="3" t="s">
        <v>39</v>
      </c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</row>
    <row r="164" spans="1:27" ht="39" customHeight="1" x14ac:dyDescent="0.3">
      <c r="A164" s="9">
        <v>163</v>
      </c>
      <c r="B164" s="15" t="s">
        <v>308</v>
      </c>
      <c r="C164" s="489">
        <v>105</v>
      </c>
      <c r="D164" s="15" t="s">
        <v>2367</v>
      </c>
      <c r="E164" s="489" t="s">
        <v>2367</v>
      </c>
      <c r="F164" s="431" t="s">
        <v>2248</v>
      </c>
      <c r="G164" s="431"/>
      <c r="H164" s="431"/>
      <c r="I164" s="431"/>
      <c r="J164" s="3" t="s">
        <v>69</v>
      </c>
      <c r="K164" s="3" t="s">
        <v>67</v>
      </c>
      <c r="L164" s="3" t="s">
        <v>310</v>
      </c>
      <c r="M164" s="3" t="s">
        <v>29</v>
      </c>
      <c r="N164" s="3" t="s">
        <v>29</v>
      </c>
      <c r="O164" s="3" t="s">
        <v>29</v>
      </c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</row>
    <row r="165" spans="1:27" ht="39" customHeight="1" x14ac:dyDescent="0.3">
      <c r="A165" s="20">
        <v>164</v>
      </c>
      <c r="B165" s="21" t="s">
        <v>311</v>
      </c>
      <c r="C165" s="513">
        <v>106</v>
      </c>
      <c r="D165" s="18" t="s">
        <v>2638</v>
      </c>
      <c r="E165" s="491" t="s">
        <v>2368</v>
      </c>
      <c r="F165" s="532" t="s">
        <v>2248</v>
      </c>
      <c r="G165" s="532"/>
      <c r="H165" s="532"/>
      <c r="I165" s="532"/>
      <c r="J165" s="22" t="s">
        <v>13</v>
      </c>
      <c r="K165" s="22" t="s">
        <v>29</v>
      </c>
      <c r="L165" s="22" t="s">
        <v>313</v>
      </c>
      <c r="M165" s="22" t="s">
        <v>29</v>
      </c>
      <c r="N165" s="22" t="s">
        <v>29</v>
      </c>
      <c r="O165" s="22" t="s">
        <v>29</v>
      </c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</row>
    <row r="166" spans="1:27" ht="39" customHeight="1" x14ac:dyDescent="0.3">
      <c r="A166" s="413">
        <v>165</v>
      </c>
      <c r="B166" s="490" t="s">
        <v>2188</v>
      </c>
      <c r="C166" s="499"/>
      <c r="D166" s="490"/>
      <c r="E166" s="510" t="s">
        <v>2598</v>
      </c>
      <c r="F166" s="498"/>
      <c r="G166" s="498"/>
      <c r="H166" s="498" t="s">
        <v>2248</v>
      </c>
      <c r="I166" s="498" t="s">
        <v>2248</v>
      </c>
      <c r="J166" s="529" t="s">
        <v>13</v>
      </c>
      <c r="K166" s="529" t="s">
        <v>14</v>
      </c>
      <c r="L166" s="529" t="s">
        <v>454</v>
      </c>
      <c r="M166" s="529" t="s">
        <v>14</v>
      </c>
      <c r="N166" s="529" t="s">
        <v>14</v>
      </c>
      <c r="O166" s="529" t="s">
        <v>203</v>
      </c>
      <c r="P166" s="604" t="s">
        <v>2939</v>
      </c>
      <c r="Q166" s="604">
        <v>1340</v>
      </c>
      <c r="R166" s="631">
        <v>13138</v>
      </c>
      <c r="S166" s="604" t="s">
        <v>2933</v>
      </c>
      <c r="T166" s="536"/>
      <c r="U166" s="536"/>
      <c r="V166" s="536"/>
      <c r="W166" s="536"/>
      <c r="X166" s="536"/>
      <c r="Y166" s="536"/>
      <c r="Z166" s="536"/>
      <c r="AA166" s="536"/>
    </row>
    <row r="167" spans="1:27" ht="39" customHeight="1" x14ac:dyDescent="0.3">
      <c r="A167" s="9">
        <v>166</v>
      </c>
      <c r="B167" s="12" t="s">
        <v>314</v>
      </c>
      <c r="C167" s="488">
        <v>107</v>
      </c>
      <c r="D167" s="12" t="s">
        <v>2369</v>
      </c>
      <c r="E167" s="439" t="s">
        <v>2369</v>
      </c>
      <c r="F167" s="432" t="s">
        <v>2248</v>
      </c>
      <c r="G167" s="432"/>
      <c r="H167" s="432"/>
      <c r="I167" s="432"/>
      <c r="J167" s="3" t="s">
        <v>21</v>
      </c>
      <c r="K167" s="3" t="s">
        <v>42</v>
      </c>
      <c r="L167" s="3" t="s">
        <v>43</v>
      </c>
      <c r="M167" s="3" t="s">
        <v>21</v>
      </c>
      <c r="N167" s="3" t="s">
        <v>44</v>
      </c>
      <c r="O167" s="3" t="s">
        <v>43</v>
      </c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</row>
    <row r="168" spans="1:27" ht="39" customHeight="1" x14ac:dyDescent="0.3">
      <c r="A168" s="413">
        <v>167</v>
      </c>
      <c r="B168" s="492" t="s">
        <v>2189</v>
      </c>
      <c r="C168" s="495"/>
      <c r="D168" s="492"/>
      <c r="E168" s="511" t="s">
        <v>2618</v>
      </c>
      <c r="F168" s="497"/>
      <c r="G168" s="497" t="s">
        <v>2248</v>
      </c>
      <c r="H168" s="497"/>
      <c r="I168" s="497" t="s">
        <v>2248</v>
      </c>
      <c r="J168" s="529" t="s">
        <v>21</v>
      </c>
      <c r="K168" s="529" t="s">
        <v>42</v>
      </c>
      <c r="L168" s="529" t="s">
        <v>43</v>
      </c>
      <c r="M168" s="529" t="s">
        <v>21</v>
      </c>
      <c r="N168" s="529" t="s">
        <v>44</v>
      </c>
      <c r="O168" s="529" t="s">
        <v>43</v>
      </c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</row>
    <row r="169" spans="1:27" ht="39" customHeight="1" x14ac:dyDescent="0.3">
      <c r="A169" s="413">
        <v>168</v>
      </c>
      <c r="B169" s="397" t="s">
        <v>316</v>
      </c>
      <c r="C169" s="500">
        <v>108</v>
      </c>
      <c r="D169" s="397" t="s">
        <v>2370</v>
      </c>
      <c r="E169" s="510" t="s">
        <v>2370</v>
      </c>
      <c r="F169" s="498" t="s">
        <v>2248</v>
      </c>
      <c r="G169" s="498"/>
      <c r="H169" s="498"/>
      <c r="I169" s="498"/>
      <c r="J169" s="529" t="s">
        <v>13</v>
      </c>
      <c r="K169" s="529" t="s">
        <v>29</v>
      </c>
      <c r="L169" s="529" t="s">
        <v>318</v>
      </c>
      <c r="M169" s="529" t="s">
        <v>29</v>
      </c>
      <c r="N169" s="529" t="s">
        <v>29</v>
      </c>
      <c r="O169" s="529" t="s">
        <v>29</v>
      </c>
      <c r="P169" s="536"/>
      <c r="Q169" s="536"/>
      <c r="R169" s="536"/>
      <c r="S169" s="536"/>
      <c r="T169" s="536"/>
      <c r="U169" s="536"/>
      <c r="V169" s="536"/>
      <c r="W169" s="536"/>
      <c r="X169" s="536"/>
      <c r="Y169" s="536"/>
      <c r="Z169" s="536"/>
      <c r="AA169" s="536"/>
    </row>
    <row r="170" spans="1:27" ht="39" customHeight="1" x14ac:dyDescent="0.3">
      <c r="A170" s="9">
        <v>169</v>
      </c>
      <c r="B170" s="10" t="s">
        <v>319</v>
      </c>
      <c r="C170" s="488">
        <v>109</v>
      </c>
      <c r="D170" s="10" t="s">
        <v>2371</v>
      </c>
      <c r="E170" s="488" t="s">
        <v>2371</v>
      </c>
      <c r="F170" s="432" t="s">
        <v>2248</v>
      </c>
      <c r="G170" s="432"/>
      <c r="H170" s="432"/>
      <c r="I170" s="432"/>
      <c r="J170" s="3" t="s">
        <v>26</v>
      </c>
      <c r="K170" s="3" t="s">
        <v>30</v>
      </c>
      <c r="L170" s="3" t="s">
        <v>321</v>
      </c>
      <c r="M170" s="3" t="s">
        <v>29</v>
      </c>
      <c r="N170" s="3" t="s">
        <v>30</v>
      </c>
      <c r="O170" s="3" t="s">
        <v>30</v>
      </c>
      <c r="P170" s="610"/>
      <c r="Q170" s="610"/>
      <c r="R170" s="610"/>
      <c r="S170" s="610"/>
      <c r="T170" s="610"/>
      <c r="U170" s="610"/>
      <c r="V170" s="610"/>
      <c r="W170" s="610"/>
      <c r="X170" s="610"/>
      <c r="Y170" s="610"/>
      <c r="Z170" s="610"/>
      <c r="AA170" s="610"/>
    </row>
    <row r="171" spans="1:27" ht="39" customHeight="1" x14ac:dyDescent="0.3">
      <c r="A171" s="9">
        <v>170</v>
      </c>
      <c r="B171" s="14" t="s">
        <v>322</v>
      </c>
      <c r="C171" s="489">
        <v>110</v>
      </c>
      <c r="D171" s="14" t="s">
        <v>2557</v>
      </c>
      <c r="E171" s="489" t="s">
        <v>2557</v>
      </c>
      <c r="F171" s="431" t="s">
        <v>2248</v>
      </c>
      <c r="G171" s="431"/>
      <c r="H171" s="431"/>
      <c r="I171" s="431"/>
      <c r="J171" s="3" t="s">
        <v>26</v>
      </c>
      <c r="K171" s="3" t="s">
        <v>31</v>
      </c>
      <c r="L171" s="3" t="s">
        <v>55</v>
      </c>
      <c r="M171" s="3" t="s">
        <v>29</v>
      </c>
      <c r="N171" s="3" t="s">
        <v>30</v>
      </c>
      <c r="O171" s="3" t="s">
        <v>30</v>
      </c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</row>
    <row r="172" spans="1:27" ht="39" customHeight="1" x14ac:dyDescent="0.3">
      <c r="A172" s="834">
        <v>171</v>
      </c>
      <c r="B172" s="810" t="s">
        <v>324</v>
      </c>
      <c r="C172" s="512">
        <v>111</v>
      </c>
      <c r="D172" s="14" t="s">
        <v>2374</v>
      </c>
      <c r="E172" s="488" t="s">
        <v>2374</v>
      </c>
      <c r="F172" s="431" t="s">
        <v>2248</v>
      </c>
      <c r="G172" s="432"/>
      <c r="H172" s="432"/>
      <c r="I172" s="432"/>
      <c r="J172" s="3" t="s">
        <v>21</v>
      </c>
      <c r="K172" s="3" t="s">
        <v>164</v>
      </c>
      <c r="L172" s="3" t="s">
        <v>326</v>
      </c>
      <c r="M172" s="3" t="s">
        <v>21</v>
      </c>
      <c r="N172" s="3" t="s">
        <v>21</v>
      </c>
      <c r="O172" s="3" t="s">
        <v>164</v>
      </c>
      <c r="P172" s="833" t="s">
        <v>1709</v>
      </c>
      <c r="Q172" s="836">
        <v>776</v>
      </c>
      <c r="R172" s="837">
        <v>12943</v>
      </c>
      <c r="S172" s="833" t="s">
        <v>2061</v>
      </c>
      <c r="T172" s="833" t="s">
        <v>623</v>
      </c>
      <c r="U172" s="833">
        <v>1960</v>
      </c>
      <c r="V172" s="833">
        <v>837</v>
      </c>
      <c r="W172" s="833">
        <v>695</v>
      </c>
      <c r="X172" s="833">
        <v>83.03</v>
      </c>
      <c r="Y172" s="833">
        <v>910</v>
      </c>
      <c r="Z172" s="833">
        <v>790</v>
      </c>
      <c r="AA172" s="833">
        <v>86.81</v>
      </c>
    </row>
    <row r="173" spans="1:27" ht="39" customHeight="1" x14ac:dyDescent="0.3">
      <c r="A173" s="835"/>
      <c r="B173" s="811"/>
      <c r="C173" s="31">
        <v>112</v>
      </c>
      <c r="D173" s="10" t="s">
        <v>2373</v>
      </c>
      <c r="E173" s="488" t="s">
        <v>2373</v>
      </c>
      <c r="F173" s="431" t="s">
        <v>2248</v>
      </c>
      <c r="G173" s="432"/>
      <c r="H173" s="432"/>
      <c r="I173" s="432"/>
      <c r="J173" s="3" t="s">
        <v>21</v>
      </c>
      <c r="K173" s="3" t="s">
        <v>164</v>
      </c>
      <c r="L173" s="3" t="s">
        <v>326</v>
      </c>
      <c r="M173" s="3" t="s">
        <v>21</v>
      </c>
      <c r="N173" s="3" t="s">
        <v>21</v>
      </c>
      <c r="O173" s="3" t="s">
        <v>164</v>
      </c>
      <c r="P173" s="833"/>
      <c r="Q173" s="836"/>
      <c r="R173" s="833"/>
      <c r="S173" s="833"/>
      <c r="T173" s="833"/>
      <c r="U173" s="833"/>
      <c r="V173" s="833"/>
      <c r="W173" s="833"/>
      <c r="X173" s="833"/>
      <c r="Y173" s="833"/>
      <c r="Z173" s="833"/>
      <c r="AA173" s="833"/>
    </row>
    <row r="174" spans="1:27" ht="39" customHeight="1" x14ac:dyDescent="0.3">
      <c r="A174" s="9">
        <v>172</v>
      </c>
      <c r="B174" s="12" t="s">
        <v>328</v>
      </c>
      <c r="C174" s="488">
        <v>113</v>
      </c>
      <c r="D174" s="12" t="s">
        <v>2375</v>
      </c>
      <c r="E174" s="488" t="s">
        <v>2375</v>
      </c>
      <c r="F174" s="431" t="s">
        <v>2248</v>
      </c>
      <c r="G174" s="432"/>
      <c r="H174" s="432"/>
      <c r="I174" s="432"/>
      <c r="J174" s="3" t="s">
        <v>21</v>
      </c>
      <c r="K174" s="3" t="s">
        <v>164</v>
      </c>
      <c r="L174" s="3" t="s">
        <v>326</v>
      </c>
      <c r="M174" s="3" t="s">
        <v>21</v>
      </c>
      <c r="N174" s="3" t="s">
        <v>21</v>
      </c>
      <c r="O174" s="3" t="s">
        <v>164</v>
      </c>
      <c r="P174" s="50" t="s">
        <v>1710</v>
      </c>
      <c r="Q174" s="229">
        <v>1649</v>
      </c>
      <c r="R174" s="362">
        <v>13258</v>
      </c>
      <c r="S174" s="50" t="s">
        <v>2062</v>
      </c>
      <c r="T174" s="50" t="s">
        <v>2048</v>
      </c>
      <c r="U174" s="50">
        <v>1960</v>
      </c>
      <c r="V174" s="50">
        <v>715</v>
      </c>
      <c r="W174" s="50">
        <v>650</v>
      </c>
      <c r="X174" s="50">
        <v>90.9</v>
      </c>
      <c r="Y174" s="50">
        <v>730</v>
      </c>
      <c r="Z174" s="50">
        <v>687</v>
      </c>
      <c r="AA174" s="50">
        <v>94.1</v>
      </c>
    </row>
    <row r="175" spans="1:27" ht="39" customHeight="1" x14ac:dyDescent="0.3">
      <c r="A175" s="9">
        <v>173</v>
      </c>
      <c r="B175" s="12" t="s">
        <v>330</v>
      </c>
      <c r="C175" s="488">
        <v>114</v>
      </c>
      <c r="D175" s="12" t="s">
        <v>2376</v>
      </c>
      <c r="E175" s="488" t="s">
        <v>2376</v>
      </c>
      <c r="F175" s="431" t="s">
        <v>2248</v>
      </c>
      <c r="G175" s="432"/>
      <c r="H175" s="432"/>
      <c r="I175" s="432"/>
      <c r="J175" s="3" t="s">
        <v>21</v>
      </c>
      <c r="K175" s="3" t="s">
        <v>164</v>
      </c>
      <c r="L175" s="3" t="s">
        <v>326</v>
      </c>
      <c r="M175" s="3" t="s">
        <v>21</v>
      </c>
      <c r="N175" s="3" t="s">
        <v>21</v>
      </c>
      <c r="O175" s="3" t="s">
        <v>164</v>
      </c>
      <c r="P175" s="50" t="s">
        <v>1711</v>
      </c>
      <c r="Q175" s="229">
        <v>1002</v>
      </c>
      <c r="R175" s="362">
        <v>12992</v>
      </c>
      <c r="S175" s="50" t="s">
        <v>2064</v>
      </c>
      <c r="T175" s="50" t="s">
        <v>623</v>
      </c>
      <c r="U175" s="50">
        <v>1960</v>
      </c>
      <c r="V175" s="50">
        <v>624</v>
      </c>
      <c r="W175" s="50">
        <v>572</v>
      </c>
      <c r="X175" s="50">
        <v>91.66</v>
      </c>
      <c r="Y175" s="50">
        <v>747</v>
      </c>
      <c r="Z175" s="50">
        <v>689</v>
      </c>
      <c r="AA175" s="50">
        <v>92.23</v>
      </c>
    </row>
    <row r="176" spans="1:27" ht="39" customHeight="1" x14ac:dyDescent="0.3">
      <c r="A176" s="9">
        <v>174</v>
      </c>
      <c r="B176" s="10" t="s">
        <v>332</v>
      </c>
      <c r="C176" s="488">
        <v>115</v>
      </c>
      <c r="D176" s="10" t="s">
        <v>2377</v>
      </c>
      <c r="E176" s="488" t="s">
        <v>2377</v>
      </c>
      <c r="F176" s="431" t="s">
        <v>2248</v>
      </c>
      <c r="G176" s="432"/>
      <c r="H176" s="432"/>
      <c r="I176" s="432"/>
      <c r="J176" s="3" t="s">
        <v>21</v>
      </c>
      <c r="K176" s="3" t="s">
        <v>164</v>
      </c>
      <c r="L176" s="3" t="s">
        <v>334</v>
      </c>
      <c r="M176" s="3" t="s">
        <v>21</v>
      </c>
      <c r="N176" s="3" t="s">
        <v>21</v>
      </c>
      <c r="O176" s="3" t="s">
        <v>164</v>
      </c>
      <c r="P176" s="50" t="s">
        <v>1712</v>
      </c>
      <c r="Q176" s="229">
        <v>2531</v>
      </c>
      <c r="R176" s="364">
        <v>13632</v>
      </c>
      <c r="S176" s="78" t="s">
        <v>2065</v>
      </c>
      <c r="T176" s="78" t="s">
        <v>621</v>
      </c>
      <c r="U176" s="78">
        <v>1960</v>
      </c>
      <c r="V176" s="78">
        <v>812</v>
      </c>
      <c r="W176" s="78">
        <v>766</v>
      </c>
      <c r="X176" s="78">
        <v>94.33</v>
      </c>
      <c r="Y176" s="78">
        <v>671</v>
      </c>
      <c r="Z176" s="78">
        <v>662</v>
      </c>
      <c r="AA176" s="78">
        <v>98.65</v>
      </c>
    </row>
    <row r="177" spans="1:27" ht="39" customHeight="1" x14ac:dyDescent="0.3">
      <c r="A177" s="9">
        <v>175</v>
      </c>
      <c r="B177" s="10" t="s">
        <v>2190</v>
      </c>
      <c r="C177" s="802">
        <v>116</v>
      </c>
      <c r="D177" s="810" t="s">
        <v>2378</v>
      </c>
      <c r="E177" s="802" t="s">
        <v>2558</v>
      </c>
      <c r="F177" s="812" t="s">
        <v>2248</v>
      </c>
      <c r="G177" s="812" t="s">
        <v>2248</v>
      </c>
      <c r="H177" s="432"/>
      <c r="I177" s="432"/>
      <c r="J177" s="3" t="s">
        <v>69</v>
      </c>
      <c r="K177" s="3" t="s">
        <v>67</v>
      </c>
      <c r="L177" s="3" t="s">
        <v>337</v>
      </c>
      <c r="M177" s="3" t="s">
        <v>29</v>
      </c>
      <c r="N177" s="3" t="s">
        <v>30</v>
      </c>
      <c r="O177" s="3" t="s">
        <v>69</v>
      </c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</row>
    <row r="178" spans="1:27" ht="39" customHeight="1" x14ac:dyDescent="0.3">
      <c r="A178" s="9">
        <v>176</v>
      </c>
      <c r="B178" s="10" t="s">
        <v>2191</v>
      </c>
      <c r="C178" s="803"/>
      <c r="D178" s="811"/>
      <c r="E178" s="803"/>
      <c r="F178" s="813"/>
      <c r="G178" s="813"/>
      <c r="H178" s="432"/>
      <c r="I178" s="432"/>
      <c r="J178" s="3" t="s">
        <v>69</v>
      </c>
      <c r="K178" s="3" t="s">
        <v>67</v>
      </c>
      <c r="L178" s="3" t="s">
        <v>337</v>
      </c>
      <c r="M178" s="3" t="s">
        <v>29</v>
      </c>
      <c r="N178" s="3" t="s">
        <v>30</v>
      </c>
      <c r="O178" s="3" t="s">
        <v>69</v>
      </c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</row>
    <row r="179" spans="1:27" ht="39" customHeight="1" x14ac:dyDescent="0.3">
      <c r="A179" s="413">
        <v>177</v>
      </c>
      <c r="B179" s="397" t="s">
        <v>338</v>
      </c>
      <c r="C179" s="499"/>
      <c r="D179" s="397" t="s">
        <v>2379</v>
      </c>
      <c r="E179" s="510" t="s">
        <v>2595</v>
      </c>
      <c r="F179" s="498"/>
      <c r="G179" s="498"/>
      <c r="H179" s="498"/>
      <c r="I179" s="498"/>
      <c r="J179" s="3" t="s">
        <v>13</v>
      </c>
      <c r="K179" s="202" t="s">
        <v>29</v>
      </c>
      <c r="L179" s="202" t="s">
        <v>340</v>
      </c>
      <c r="M179" s="3" t="s">
        <v>29</v>
      </c>
      <c r="N179" s="3" t="s">
        <v>29</v>
      </c>
      <c r="O179" s="3" t="s">
        <v>341</v>
      </c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</row>
    <row r="180" spans="1:27" ht="39" customHeight="1" x14ac:dyDescent="0.3">
      <c r="A180" s="9">
        <v>178</v>
      </c>
      <c r="B180" s="10" t="s">
        <v>2380</v>
      </c>
      <c r="C180" s="802">
        <v>117</v>
      </c>
      <c r="D180" s="812" t="s">
        <v>2381</v>
      </c>
      <c r="E180" s="802" t="s">
        <v>2559</v>
      </c>
      <c r="F180" s="812" t="s">
        <v>2248</v>
      </c>
      <c r="G180" s="812" t="s">
        <v>2248</v>
      </c>
      <c r="H180" s="432"/>
      <c r="I180" s="432"/>
      <c r="J180" s="3" t="s">
        <v>69</v>
      </c>
      <c r="K180" s="3" t="s">
        <v>125</v>
      </c>
      <c r="L180" s="3" t="s">
        <v>344</v>
      </c>
      <c r="M180" s="3" t="s">
        <v>29</v>
      </c>
      <c r="N180" s="229" t="s">
        <v>98</v>
      </c>
      <c r="O180" s="229" t="s">
        <v>125</v>
      </c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</row>
    <row r="181" spans="1:27" ht="39" customHeight="1" x14ac:dyDescent="0.3">
      <c r="A181" s="9">
        <v>179</v>
      </c>
      <c r="B181" s="10" t="s">
        <v>2193</v>
      </c>
      <c r="C181" s="828"/>
      <c r="D181" s="832"/>
      <c r="E181" s="828"/>
      <c r="F181" s="832"/>
      <c r="G181" s="832"/>
      <c r="H181" s="432"/>
      <c r="I181" s="432"/>
      <c r="J181" s="3" t="s">
        <v>69</v>
      </c>
      <c r="K181" s="3" t="s">
        <v>125</v>
      </c>
      <c r="L181" s="3" t="s">
        <v>344</v>
      </c>
      <c r="M181" s="3" t="s">
        <v>29</v>
      </c>
      <c r="N181" s="229" t="s">
        <v>98</v>
      </c>
      <c r="O181" s="229" t="s">
        <v>125</v>
      </c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</row>
    <row r="182" spans="1:27" ht="39" customHeight="1" x14ac:dyDescent="0.3">
      <c r="A182" s="9">
        <v>180</v>
      </c>
      <c r="B182" s="15" t="s">
        <v>347</v>
      </c>
      <c r="C182" s="803"/>
      <c r="D182" s="813"/>
      <c r="E182" s="803"/>
      <c r="F182" s="813"/>
      <c r="G182" s="813"/>
      <c r="H182" s="431"/>
      <c r="I182" s="431"/>
      <c r="J182" s="3" t="s">
        <v>69</v>
      </c>
      <c r="K182" s="3" t="s">
        <v>125</v>
      </c>
      <c r="L182" s="3" t="s">
        <v>344</v>
      </c>
      <c r="M182" s="3" t="s">
        <v>29</v>
      </c>
      <c r="N182" s="229" t="s">
        <v>98</v>
      </c>
      <c r="O182" s="229" t="s">
        <v>125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</row>
    <row r="183" spans="1:27" ht="39" customHeight="1" x14ac:dyDescent="0.3">
      <c r="A183" s="9">
        <v>181</v>
      </c>
      <c r="B183" s="15" t="s">
        <v>345</v>
      </c>
      <c r="C183" s="489">
        <v>118</v>
      </c>
      <c r="D183" s="15" t="s">
        <v>2382</v>
      </c>
      <c r="E183" s="489" t="s">
        <v>2382</v>
      </c>
      <c r="F183" s="431" t="s">
        <v>2248</v>
      </c>
      <c r="G183" s="431"/>
      <c r="H183" s="431"/>
      <c r="I183" s="431"/>
      <c r="J183" s="3" t="s">
        <v>69</v>
      </c>
      <c r="K183" s="3" t="s">
        <v>125</v>
      </c>
      <c r="L183" s="3" t="s">
        <v>344</v>
      </c>
      <c r="M183" s="3" t="s">
        <v>29</v>
      </c>
      <c r="N183" s="229" t="s">
        <v>98</v>
      </c>
      <c r="O183" s="229" t="s">
        <v>125</v>
      </c>
      <c r="P183" s="610"/>
      <c r="Q183" s="610"/>
      <c r="R183" s="610"/>
      <c r="S183" s="610"/>
      <c r="T183" s="610"/>
      <c r="U183" s="610"/>
      <c r="V183" s="610"/>
      <c r="W183" s="610"/>
      <c r="X183" s="610"/>
      <c r="Y183" s="610"/>
      <c r="Z183" s="610"/>
      <c r="AA183" s="610"/>
    </row>
    <row r="184" spans="1:27" ht="39" customHeight="1" x14ac:dyDescent="0.3">
      <c r="A184" s="9">
        <v>182</v>
      </c>
      <c r="B184" s="10" t="s">
        <v>2384</v>
      </c>
      <c r="C184" s="802">
        <v>120</v>
      </c>
      <c r="D184" s="810" t="s">
        <v>2385</v>
      </c>
      <c r="E184" s="802" t="s">
        <v>2560</v>
      </c>
      <c r="F184" s="812" t="s">
        <v>2248</v>
      </c>
      <c r="G184" s="812" t="s">
        <v>2248</v>
      </c>
      <c r="H184" s="432"/>
      <c r="I184" s="432"/>
      <c r="J184" s="3" t="s">
        <v>26</v>
      </c>
      <c r="K184" s="3" t="s">
        <v>26</v>
      </c>
      <c r="L184" s="3" t="s">
        <v>321</v>
      </c>
      <c r="M184" s="3" t="s">
        <v>29</v>
      </c>
      <c r="N184" s="202" t="s">
        <v>30</v>
      </c>
      <c r="O184" s="202" t="s">
        <v>30</v>
      </c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</row>
    <row r="185" spans="1:27" ht="39" customHeight="1" x14ac:dyDescent="0.3">
      <c r="A185" s="9">
        <v>183</v>
      </c>
      <c r="B185" s="10" t="s">
        <v>2386</v>
      </c>
      <c r="C185" s="803"/>
      <c r="D185" s="811"/>
      <c r="E185" s="803"/>
      <c r="F185" s="813"/>
      <c r="G185" s="813"/>
      <c r="H185" s="432"/>
      <c r="I185" s="432"/>
      <c r="J185" s="3" t="s">
        <v>26</v>
      </c>
      <c r="K185" s="3" t="s">
        <v>26</v>
      </c>
      <c r="L185" s="3" t="s">
        <v>321</v>
      </c>
      <c r="M185" s="3" t="s">
        <v>29</v>
      </c>
      <c r="N185" s="202" t="s">
        <v>30</v>
      </c>
      <c r="O185" s="202" t="s">
        <v>30</v>
      </c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</row>
    <row r="186" spans="1:27" ht="39" customHeight="1" x14ac:dyDescent="0.3">
      <c r="A186" s="9">
        <v>184</v>
      </c>
      <c r="B186" s="10" t="s">
        <v>350</v>
      </c>
      <c r="C186" s="488">
        <v>121</v>
      </c>
      <c r="D186" s="10" t="s">
        <v>2387</v>
      </c>
      <c r="E186" s="488" t="s">
        <v>2387</v>
      </c>
      <c r="F186" s="432" t="s">
        <v>2248</v>
      </c>
      <c r="G186" s="432"/>
      <c r="H186" s="432"/>
      <c r="I186" s="432"/>
      <c r="J186" s="3" t="s">
        <v>26</v>
      </c>
      <c r="K186" s="3" t="s">
        <v>26</v>
      </c>
      <c r="L186" s="3" t="s">
        <v>321</v>
      </c>
      <c r="M186" s="3" t="s">
        <v>29</v>
      </c>
      <c r="N186" s="202" t="s">
        <v>30</v>
      </c>
      <c r="O186" s="202" t="s">
        <v>30</v>
      </c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</row>
    <row r="187" spans="1:27" ht="39" customHeight="1" x14ac:dyDescent="0.3">
      <c r="A187" s="9">
        <v>185</v>
      </c>
      <c r="B187" s="10" t="s">
        <v>353</v>
      </c>
      <c r="C187" s="488">
        <v>122</v>
      </c>
      <c r="D187" s="10" t="s">
        <v>2388</v>
      </c>
      <c r="E187" s="488" t="s">
        <v>2388</v>
      </c>
      <c r="F187" s="432" t="s">
        <v>2248</v>
      </c>
      <c r="G187" s="432"/>
      <c r="H187" s="432"/>
      <c r="I187" s="432"/>
      <c r="J187" s="3" t="s">
        <v>26</v>
      </c>
      <c r="K187" s="3" t="s">
        <v>26</v>
      </c>
      <c r="L187" s="3" t="s">
        <v>321</v>
      </c>
      <c r="M187" s="3" t="s">
        <v>29</v>
      </c>
      <c r="N187" s="202" t="s">
        <v>30</v>
      </c>
      <c r="O187" s="202" t="s">
        <v>30</v>
      </c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</row>
    <row r="188" spans="1:27" ht="39" customHeight="1" x14ac:dyDescent="0.3">
      <c r="A188" s="413">
        <v>186</v>
      </c>
      <c r="B188" s="397" t="s">
        <v>2196</v>
      </c>
      <c r="C188" s="499"/>
      <c r="D188" s="397" t="s">
        <v>2389</v>
      </c>
      <c r="E188" s="511" t="s">
        <v>2390</v>
      </c>
      <c r="F188" s="498" t="s">
        <v>2248</v>
      </c>
      <c r="G188" s="498" t="s">
        <v>2248</v>
      </c>
      <c r="H188" s="498"/>
      <c r="I188" s="498"/>
      <c r="J188" s="529" t="s">
        <v>26</v>
      </c>
      <c r="K188" s="529" t="s">
        <v>26</v>
      </c>
      <c r="L188" s="529" t="s">
        <v>102</v>
      </c>
      <c r="M188" s="529" t="s">
        <v>29</v>
      </c>
      <c r="N188" s="529" t="s">
        <v>30</v>
      </c>
      <c r="O188" s="529" t="s">
        <v>31</v>
      </c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</row>
    <row r="189" spans="1:27" ht="39" customHeight="1" x14ac:dyDescent="0.3">
      <c r="A189" s="9">
        <v>187</v>
      </c>
      <c r="B189" s="15" t="s">
        <v>355</v>
      </c>
      <c r="C189" s="489">
        <v>123</v>
      </c>
      <c r="D189" s="15" t="s">
        <v>2391</v>
      </c>
      <c r="E189" s="489" t="s">
        <v>2391</v>
      </c>
      <c r="F189" s="431" t="s">
        <v>2248</v>
      </c>
      <c r="G189" s="431"/>
      <c r="H189" s="431"/>
      <c r="I189" s="431"/>
      <c r="J189" s="3" t="s">
        <v>13</v>
      </c>
      <c r="K189" s="3" t="s">
        <v>19</v>
      </c>
      <c r="L189" s="3" t="s">
        <v>357</v>
      </c>
      <c r="M189" s="3" t="s">
        <v>21</v>
      </c>
      <c r="N189" s="3" t="s">
        <v>22</v>
      </c>
      <c r="O189" s="3" t="s">
        <v>23</v>
      </c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</row>
    <row r="190" spans="1:27" ht="39" customHeight="1" x14ac:dyDescent="0.3">
      <c r="A190" s="9">
        <v>188</v>
      </c>
      <c r="B190" s="12" t="s">
        <v>358</v>
      </c>
      <c r="C190" s="488">
        <v>124</v>
      </c>
      <c r="D190" s="12" t="s">
        <v>2392</v>
      </c>
      <c r="E190" s="488" t="s">
        <v>2392</v>
      </c>
      <c r="F190" s="432" t="s">
        <v>2248</v>
      </c>
      <c r="G190" s="432"/>
      <c r="H190" s="432"/>
      <c r="I190" s="432"/>
      <c r="J190" s="3" t="s">
        <v>21</v>
      </c>
      <c r="K190" s="3" t="s">
        <v>241</v>
      </c>
      <c r="L190" s="3" t="s">
        <v>242</v>
      </c>
      <c r="M190" s="3" t="s">
        <v>21</v>
      </c>
      <c r="N190" s="3" t="s">
        <v>44</v>
      </c>
      <c r="O190" s="3" t="s">
        <v>109</v>
      </c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</row>
    <row r="191" spans="1:27" ht="39" customHeight="1" x14ac:dyDescent="0.3">
      <c r="A191" s="9">
        <v>189</v>
      </c>
      <c r="B191" s="15" t="s">
        <v>360</v>
      </c>
      <c r="C191" s="489">
        <v>125</v>
      </c>
      <c r="D191" s="15" t="s">
        <v>2393</v>
      </c>
      <c r="E191" s="489" t="s">
        <v>2393</v>
      </c>
      <c r="F191" s="431" t="s">
        <v>2248</v>
      </c>
      <c r="G191" s="431"/>
      <c r="H191" s="431"/>
      <c r="I191" s="431"/>
      <c r="J191" s="3" t="s">
        <v>13</v>
      </c>
      <c r="K191" s="3" t="s">
        <v>19</v>
      </c>
      <c r="L191" s="3" t="s">
        <v>362</v>
      </c>
      <c r="M191" s="3" t="s">
        <v>21</v>
      </c>
      <c r="N191" s="3" t="s">
        <v>22</v>
      </c>
      <c r="O191" s="3" t="s">
        <v>23</v>
      </c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</row>
    <row r="192" spans="1:27" ht="39" customHeight="1" x14ac:dyDescent="0.3">
      <c r="A192" s="9">
        <v>190</v>
      </c>
      <c r="B192" s="14" t="s">
        <v>366</v>
      </c>
      <c r="C192" s="489">
        <v>127</v>
      </c>
      <c r="D192" s="14" t="s">
        <v>2395</v>
      </c>
      <c r="E192" s="489" t="s">
        <v>2395</v>
      </c>
      <c r="F192" s="431" t="s">
        <v>2248</v>
      </c>
      <c r="G192" s="431"/>
      <c r="H192" s="431"/>
      <c r="I192" s="431"/>
      <c r="J192" s="3" t="s">
        <v>13</v>
      </c>
      <c r="K192" s="3" t="s">
        <v>14</v>
      </c>
      <c r="L192" s="3" t="s">
        <v>365</v>
      </c>
      <c r="M192" s="3" t="s">
        <v>14</v>
      </c>
      <c r="N192" s="3" t="s">
        <v>14</v>
      </c>
      <c r="O192" s="3" t="s">
        <v>16</v>
      </c>
      <c r="P192" s="94" t="s">
        <v>1727</v>
      </c>
      <c r="Q192" s="94">
        <v>544</v>
      </c>
      <c r="R192" s="603">
        <v>12839</v>
      </c>
      <c r="S192" s="94" t="s">
        <v>2919</v>
      </c>
      <c r="T192" s="77"/>
      <c r="U192" s="77"/>
      <c r="V192" s="77"/>
      <c r="W192" s="77"/>
      <c r="X192" s="77"/>
      <c r="Y192" s="77"/>
      <c r="Z192" s="77"/>
      <c r="AA192" s="77"/>
    </row>
    <row r="193" spans="1:27" ht="39" customHeight="1" x14ac:dyDescent="0.3">
      <c r="A193" s="9">
        <v>191</v>
      </c>
      <c r="B193" s="14" t="s">
        <v>363</v>
      </c>
      <c r="C193" s="489">
        <v>126</v>
      </c>
      <c r="D193" s="14" t="s">
        <v>2394</v>
      </c>
      <c r="E193" s="489" t="s">
        <v>2394</v>
      </c>
      <c r="F193" s="431" t="s">
        <v>2248</v>
      </c>
      <c r="G193" s="431"/>
      <c r="H193" s="431"/>
      <c r="I193" s="431"/>
      <c r="J193" s="3" t="s">
        <v>13</v>
      </c>
      <c r="K193" s="3" t="s">
        <v>14</v>
      </c>
      <c r="L193" s="3" t="s">
        <v>365</v>
      </c>
      <c r="M193" s="3" t="s">
        <v>14</v>
      </c>
      <c r="N193" s="3" t="s">
        <v>14</v>
      </c>
      <c r="O193" s="3" t="s">
        <v>16</v>
      </c>
      <c r="P193" s="604" t="s">
        <v>1730</v>
      </c>
      <c r="Q193" s="604">
        <v>1579</v>
      </c>
      <c r="R193" s="631">
        <v>13225</v>
      </c>
      <c r="S193" s="604" t="s">
        <v>2050</v>
      </c>
      <c r="T193" s="610"/>
      <c r="U193" s="610"/>
      <c r="V193" s="610"/>
      <c r="W193" s="610"/>
      <c r="X193" s="610"/>
      <c r="Y193" s="610"/>
      <c r="Z193" s="610"/>
      <c r="AA193" s="610"/>
    </row>
    <row r="194" spans="1:27" ht="39" customHeight="1" x14ac:dyDescent="0.3">
      <c r="A194" s="9">
        <v>192</v>
      </c>
      <c r="B194" s="15" t="s">
        <v>368</v>
      </c>
      <c r="C194" s="489">
        <v>128</v>
      </c>
      <c r="D194" s="24" t="s">
        <v>2396</v>
      </c>
      <c r="E194" s="3" t="s">
        <v>2396</v>
      </c>
      <c r="F194" s="431" t="s">
        <v>2248</v>
      </c>
      <c r="G194" s="431"/>
      <c r="H194" s="431"/>
      <c r="I194" s="431"/>
      <c r="J194" s="3" t="s">
        <v>26</v>
      </c>
      <c r="K194" s="3" t="s">
        <v>26</v>
      </c>
      <c r="L194" s="3" t="s">
        <v>370</v>
      </c>
      <c r="M194" s="3" t="s">
        <v>29</v>
      </c>
      <c r="N194" s="3" t="s">
        <v>26</v>
      </c>
      <c r="O194" s="3" t="s">
        <v>26</v>
      </c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</row>
    <row r="195" spans="1:27" ht="39" customHeight="1" x14ac:dyDescent="0.3">
      <c r="A195" s="9">
        <v>193</v>
      </c>
      <c r="B195" s="15" t="s">
        <v>371</v>
      </c>
      <c r="C195" s="489">
        <v>129</v>
      </c>
      <c r="D195" s="15" t="s">
        <v>2397</v>
      </c>
      <c r="E195" s="489" t="s">
        <v>2397</v>
      </c>
      <c r="F195" s="431" t="s">
        <v>2248</v>
      </c>
      <c r="G195" s="431"/>
      <c r="H195" s="431"/>
      <c r="I195" s="431"/>
      <c r="J195" s="3" t="s">
        <v>26</v>
      </c>
      <c r="K195" s="3" t="s">
        <v>26</v>
      </c>
      <c r="L195" s="3" t="s">
        <v>370</v>
      </c>
      <c r="M195" s="3" t="s">
        <v>29</v>
      </c>
      <c r="N195" s="3" t="s">
        <v>26</v>
      </c>
      <c r="O195" s="3" t="s">
        <v>26</v>
      </c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</row>
    <row r="196" spans="1:27" ht="39" customHeight="1" x14ac:dyDescent="0.3">
      <c r="A196" s="9">
        <v>194</v>
      </c>
      <c r="B196" s="15" t="s">
        <v>373</v>
      </c>
      <c r="C196" s="489">
        <v>130</v>
      </c>
      <c r="D196" s="15" t="s">
        <v>2398</v>
      </c>
      <c r="E196" s="489" t="s">
        <v>2398</v>
      </c>
      <c r="F196" s="431" t="s">
        <v>2248</v>
      </c>
      <c r="G196" s="431"/>
      <c r="H196" s="431"/>
      <c r="I196" s="431"/>
      <c r="J196" s="3" t="s">
        <v>26</v>
      </c>
      <c r="K196" s="3" t="s">
        <v>26</v>
      </c>
      <c r="L196" s="3" t="s">
        <v>370</v>
      </c>
      <c r="M196" s="3" t="s">
        <v>29</v>
      </c>
      <c r="N196" s="3" t="s">
        <v>26</v>
      </c>
      <c r="O196" s="3" t="s">
        <v>26</v>
      </c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</row>
    <row r="197" spans="1:27" ht="39" customHeight="1" x14ac:dyDescent="0.3">
      <c r="A197" s="9">
        <v>195</v>
      </c>
      <c r="B197" s="15" t="s">
        <v>375</v>
      </c>
      <c r="C197" s="489">
        <v>131</v>
      </c>
      <c r="D197" s="15" t="s">
        <v>2399</v>
      </c>
      <c r="E197" s="489" t="s">
        <v>2399</v>
      </c>
      <c r="F197" s="431" t="s">
        <v>2248</v>
      </c>
      <c r="G197" s="431"/>
      <c r="H197" s="431"/>
      <c r="I197" s="431"/>
      <c r="J197" s="3" t="s">
        <v>26</v>
      </c>
      <c r="K197" s="3" t="s">
        <v>26</v>
      </c>
      <c r="L197" s="3" t="s">
        <v>244</v>
      </c>
      <c r="M197" s="3" t="s">
        <v>29</v>
      </c>
      <c r="N197" s="3" t="s">
        <v>26</v>
      </c>
      <c r="O197" s="3" t="s">
        <v>26</v>
      </c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</row>
    <row r="198" spans="1:27" ht="39" customHeight="1" x14ac:dyDescent="0.3">
      <c r="A198" s="9">
        <v>196</v>
      </c>
      <c r="B198" s="10" t="s">
        <v>2197</v>
      </c>
      <c r="C198" s="802">
        <v>132</v>
      </c>
      <c r="D198" s="810" t="s">
        <v>2400</v>
      </c>
      <c r="E198" s="802" t="s">
        <v>2561</v>
      </c>
      <c r="F198" s="812" t="s">
        <v>2248</v>
      </c>
      <c r="G198" s="812" t="s">
        <v>2248</v>
      </c>
      <c r="H198" s="432"/>
      <c r="I198" s="432"/>
      <c r="J198" s="3" t="s">
        <v>69</v>
      </c>
      <c r="K198" s="3" t="s">
        <v>80</v>
      </c>
      <c r="L198" s="3" t="s">
        <v>81</v>
      </c>
      <c r="M198" s="3" t="s">
        <v>29</v>
      </c>
      <c r="N198" s="3" t="s">
        <v>30</v>
      </c>
      <c r="O198" s="3" t="s">
        <v>69</v>
      </c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</row>
    <row r="199" spans="1:27" ht="39" customHeight="1" x14ac:dyDescent="0.3">
      <c r="A199" s="9">
        <v>197</v>
      </c>
      <c r="B199" s="15" t="s">
        <v>2198</v>
      </c>
      <c r="C199" s="828"/>
      <c r="D199" s="831"/>
      <c r="E199" s="828"/>
      <c r="F199" s="832"/>
      <c r="G199" s="832"/>
      <c r="H199" s="431"/>
      <c r="I199" s="431"/>
      <c r="J199" s="3" t="s">
        <v>69</v>
      </c>
      <c r="K199" s="3" t="s">
        <v>80</v>
      </c>
      <c r="L199" s="3" t="s">
        <v>81</v>
      </c>
      <c r="M199" s="3" t="s">
        <v>29</v>
      </c>
      <c r="N199" s="3" t="s">
        <v>30</v>
      </c>
      <c r="O199" s="3" t="s">
        <v>69</v>
      </c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</row>
    <row r="200" spans="1:27" ht="39" customHeight="1" x14ac:dyDescent="0.3">
      <c r="A200" s="9">
        <v>198</v>
      </c>
      <c r="B200" s="15" t="s">
        <v>2199</v>
      </c>
      <c r="C200" s="803"/>
      <c r="D200" s="811"/>
      <c r="E200" s="803"/>
      <c r="F200" s="813"/>
      <c r="G200" s="813"/>
      <c r="H200" s="431"/>
      <c r="I200" s="431"/>
      <c r="J200" s="3" t="s">
        <v>69</v>
      </c>
      <c r="K200" s="3" t="s">
        <v>80</v>
      </c>
      <c r="L200" s="3" t="s">
        <v>81</v>
      </c>
      <c r="M200" s="3" t="s">
        <v>29</v>
      </c>
      <c r="N200" s="3" t="s">
        <v>30</v>
      </c>
      <c r="O200" s="3" t="s">
        <v>69</v>
      </c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</row>
    <row r="201" spans="1:27" ht="39" customHeight="1" x14ac:dyDescent="0.3">
      <c r="A201" s="413">
        <v>199</v>
      </c>
      <c r="B201" s="397" t="s">
        <v>2200</v>
      </c>
      <c r="C201" s="499"/>
      <c r="D201" s="397"/>
      <c r="E201" s="510" t="s">
        <v>2597</v>
      </c>
      <c r="F201" s="498"/>
      <c r="G201" s="498" t="s">
        <v>2248</v>
      </c>
      <c r="H201" s="498"/>
      <c r="I201" s="498" t="s">
        <v>2248</v>
      </c>
      <c r="J201" s="529" t="s">
        <v>69</v>
      </c>
      <c r="K201" s="529" t="s">
        <v>96</v>
      </c>
      <c r="L201" s="529" t="s">
        <v>2201</v>
      </c>
      <c r="M201" s="529" t="s">
        <v>29</v>
      </c>
      <c r="N201" s="529" t="s">
        <v>98</v>
      </c>
      <c r="O201" s="529" t="s">
        <v>2202</v>
      </c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</row>
    <row r="202" spans="1:27" ht="39" customHeight="1" x14ac:dyDescent="0.3">
      <c r="A202" s="9">
        <v>200</v>
      </c>
      <c r="B202" s="12" t="s">
        <v>381</v>
      </c>
      <c r="C202" s="488">
        <v>134</v>
      </c>
      <c r="D202" s="12" t="s">
        <v>2402</v>
      </c>
      <c r="E202" s="488" t="s">
        <v>2402</v>
      </c>
      <c r="F202" s="432" t="s">
        <v>2248</v>
      </c>
      <c r="G202" s="432"/>
      <c r="H202" s="432"/>
      <c r="I202" s="432"/>
      <c r="J202" s="3" t="s">
        <v>21</v>
      </c>
      <c r="K202" s="3" t="s">
        <v>42</v>
      </c>
      <c r="L202" s="3" t="s">
        <v>380</v>
      </c>
      <c r="M202" s="3" t="s">
        <v>14</v>
      </c>
      <c r="N202" s="3" t="s">
        <v>14</v>
      </c>
      <c r="O202" s="3" t="s">
        <v>203</v>
      </c>
      <c r="P202" s="94" t="s">
        <v>1737</v>
      </c>
      <c r="Q202" s="94">
        <v>1110</v>
      </c>
      <c r="R202" s="603">
        <v>12998</v>
      </c>
      <c r="S202" s="94" t="s">
        <v>2941</v>
      </c>
      <c r="T202" s="77"/>
      <c r="U202" s="77"/>
      <c r="V202" s="77"/>
      <c r="W202" s="77"/>
      <c r="X202" s="77"/>
      <c r="Y202" s="77"/>
      <c r="Z202" s="77"/>
      <c r="AA202" s="77"/>
    </row>
    <row r="203" spans="1:27" ht="39" customHeight="1" x14ac:dyDescent="0.3">
      <c r="A203" s="9">
        <v>201</v>
      </c>
      <c r="B203" s="12" t="s">
        <v>2942</v>
      </c>
      <c r="C203" s="626">
        <v>133</v>
      </c>
      <c r="D203" s="629" t="s">
        <v>2401</v>
      </c>
      <c r="E203" s="626" t="s">
        <v>2562</v>
      </c>
      <c r="F203" s="624" t="s">
        <v>2248</v>
      </c>
      <c r="G203" s="624" t="s">
        <v>2248</v>
      </c>
      <c r="H203" s="432"/>
      <c r="I203" s="432"/>
      <c r="J203" s="3" t="s">
        <v>21</v>
      </c>
      <c r="K203" s="3" t="s">
        <v>42</v>
      </c>
      <c r="L203" s="3" t="s">
        <v>380</v>
      </c>
      <c r="M203" s="3" t="s">
        <v>14</v>
      </c>
      <c r="N203" s="3" t="s">
        <v>14</v>
      </c>
      <c r="O203" s="3" t="s">
        <v>203</v>
      </c>
      <c r="P203" s="94" t="s">
        <v>1738</v>
      </c>
      <c r="Q203" s="94">
        <v>779</v>
      </c>
      <c r="R203" s="603">
        <v>12943</v>
      </c>
      <c r="S203" s="94" t="s">
        <v>2941</v>
      </c>
      <c r="T203" s="77"/>
      <c r="U203" s="77"/>
      <c r="V203" s="77"/>
      <c r="W203" s="77"/>
      <c r="X203" s="77"/>
      <c r="Y203" s="77"/>
      <c r="Z203" s="77"/>
      <c r="AA203" s="77"/>
    </row>
    <row r="204" spans="1:27" ht="39" customHeight="1" x14ac:dyDescent="0.3">
      <c r="A204" s="413">
        <v>202</v>
      </c>
      <c r="B204" s="490" t="s">
        <v>2205</v>
      </c>
      <c r="C204" s="499"/>
      <c r="D204" s="490"/>
      <c r="E204" s="510" t="s">
        <v>2598</v>
      </c>
      <c r="F204" s="498"/>
      <c r="G204" s="498"/>
      <c r="H204" s="498" t="s">
        <v>2248</v>
      </c>
      <c r="I204" s="498" t="s">
        <v>2248</v>
      </c>
      <c r="J204" s="529" t="s">
        <v>13</v>
      </c>
      <c r="K204" s="529" t="s">
        <v>14</v>
      </c>
      <c r="L204" s="529"/>
      <c r="M204" s="3" t="s">
        <v>14</v>
      </c>
      <c r="N204" s="3" t="s">
        <v>14</v>
      </c>
      <c r="O204" s="529"/>
      <c r="P204" s="604" t="s">
        <v>2904</v>
      </c>
      <c r="Q204" s="604">
        <v>1452</v>
      </c>
      <c r="R204" s="631">
        <v>13169</v>
      </c>
      <c r="S204" s="604" t="s">
        <v>2903</v>
      </c>
      <c r="T204" s="610"/>
      <c r="U204" s="610"/>
      <c r="V204" s="610"/>
      <c r="W204" s="610"/>
      <c r="X204" s="610"/>
      <c r="Y204" s="610"/>
      <c r="Z204" s="610"/>
      <c r="AA204" s="610"/>
    </row>
    <row r="205" spans="1:27" ht="39" customHeight="1" x14ac:dyDescent="0.3">
      <c r="A205" s="9">
        <v>204</v>
      </c>
      <c r="B205" s="10" t="s">
        <v>383</v>
      </c>
      <c r="C205" s="488">
        <v>135</v>
      </c>
      <c r="D205" s="10" t="s">
        <v>2403</v>
      </c>
      <c r="E205" s="488" t="s">
        <v>2403</v>
      </c>
      <c r="F205" s="432" t="s">
        <v>2248</v>
      </c>
      <c r="G205" s="432"/>
      <c r="H205" s="432"/>
      <c r="I205" s="432"/>
      <c r="J205" s="3" t="s">
        <v>69</v>
      </c>
      <c r="K205" s="3" t="s">
        <v>96</v>
      </c>
      <c r="L205" s="3" t="s">
        <v>99</v>
      </c>
      <c r="M205" s="3" t="s">
        <v>29</v>
      </c>
      <c r="N205" s="3" t="s">
        <v>98</v>
      </c>
      <c r="O205" s="3" t="s">
        <v>99</v>
      </c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</row>
    <row r="206" spans="1:27" ht="39" customHeight="1" x14ac:dyDescent="0.3">
      <c r="A206" s="9">
        <v>205</v>
      </c>
      <c r="B206" s="10" t="s">
        <v>385</v>
      </c>
      <c r="C206" s="488">
        <v>136</v>
      </c>
      <c r="D206" s="10" t="s">
        <v>2404</v>
      </c>
      <c r="E206" s="488" t="s">
        <v>2404</v>
      </c>
      <c r="F206" s="432" t="s">
        <v>2248</v>
      </c>
      <c r="G206" s="432"/>
      <c r="H206" s="432"/>
      <c r="I206" s="432"/>
      <c r="J206" s="3" t="s">
        <v>69</v>
      </c>
      <c r="K206" s="3" t="s">
        <v>96</v>
      </c>
      <c r="L206" s="3" t="s">
        <v>387</v>
      </c>
      <c r="M206" s="3" t="s">
        <v>29</v>
      </c>
      <c r="N206" s="3" t="s">
        <v>30</v>
      </c>
      <c r="O206" s="3" t="s">
        <v>69</v>
      </c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</row>
    <row r="207" spans="1:27" ht="39" customHeight="1" x14ac:dyDescent="0.3">
      <c r="A207" s="9">
        <v>206</v>
      </c>
      <c r="B207" s="10" t="s">
        <v>2206</v>
      </c>
      <c r="C207" s="802">
        <v>137</v>
      </c>
      <c r="D207" s="804" t="s">
        <v>2405</v>
      </c>
      <c r="E207" s="806" t="s">
        <v>2563</v>
      </c>
      <c r="F207" s="808" t="s">
        <v>2248</v>
      </c>
      <c r="G207" s="808" t="s">
        <v>2248</v>
      </c>
      <c r="H207" s="431"/>
      <c r="I207" s="431"/>
      <c r="J207" s="3" t="s">
        <v>26</v>
      </c>
      <c r="K207" s="3" t="s">
        <v>26</v>
      </c>
      <c r="L207" s="3" t="s">
        <v>296</v>
      </c>
      <c r="M207" s="3" t="s">
        <v>29</v>
      </c>
      <c r="N207" s="3" t="s">
        <v>30</v>
      </c>
      <c r="O207" s="3" t="s">
        <v>30</v>
      </c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</row>
    <row r="208" spans="1:27" ht="39" customHeight="1" x14ac:dyDescent="0.3">
      <c r="A208" s="9">
        <v>207</v>
      </c>
      <c r="B208" s="15" t="s">
        <v>2207</v>
      </c>
      <c r="C208" s="803"/>
      <c r="D208" s="805"/>
      <c r="E208" s="807"/>
      <c r="F208" s="809"/>
      <c r="G208" s="809"/>
      <c r="H208" s="431"/>
      <c r="I208" s="431"/>
      <c r="J208" s="3" t="s">
        <v>26</v>
      </c>
      <c r="K208" s="3" t="s">
        <v>30</v>
      </c>
      <c r="L208" s="3" t="s">
        <v>296</v>
      </c>
      <c r="M208" s="3" t="s">
        <v>29</v>
      </c>
      <c r="N208" s="3" t="s">
        <v>30</v>
      </c>
      <c r="O208" s="3" t="s">
        <v>30</v>
      </c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610"/>
    </row>
    <row r="209" spans="1:27" ht="39" customHeight="1" x14ac:dyDescent="0.3">
      <c r="A209" s="413">
        <v>208</v>
      </c>
      <c r="B209" s="397" t="s">
        <v>390</v>
      </c>
      <c r="C209" s="500">
        <v>138</v>
      </c>
      <c r="D209" s="397" t="s">
        <v>2406</v>
      </c>
      <c r="E209" s="510" t="s">
        <v>2406</v>
      </c>
      <c r="F209" s="498" t="s">
        <v>2248</v>
      </c>
      <c r="G209" s="498"/>
      <c r="H209" s="498"/>
      <c r="I209" s="498"/>
      <c r="J209" s="529" t="s">
        <v>13</v>
      </c>
      <c r="K209" s="529" t="s">
        <v>19</v>
      </c>
      <c r="L209" s="529" t="s">
        <v>20</v>
      </c>
      <c r="M209" s="529" t="s">
        <v>110</v>
      </c>
      <c r="N209" s="529" t="s">
        <v>22</v>
      </c>
      <c r="O209" s="529" t="s">
        <v>23</v>
      </c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</row>
    <row r="210" spans="1:27" ht="39" customHeight="1" x14ac:dyDescent="0.3">
      <c r="A210" s="413">
        <v>209</v>
      </c>
      <c r="B210" s="397" t="s">
        <v>392</v>
      </c>
      <c r="C210" s="500">
        <v>139</v>
      </c>
      <c r="D210" s="397" t="s">
        <v>2407</v>
      </c>
      <c r="E210" s="510" t="s">
        <v>2407</v>
      </c>
      <c r="F210" s="498" t="s">
        <v>2248</v>
      </c>
      <c r="G210" s="498"/>
      <c r="H210" s="498"/>
      <c r="I210" s="498"/>
      <c r="J210" s="529" t="s">
        <v>13</v>
      </c>
      <c r="K210" s="529" t="s">
        <v>19</v>
      </c>
      <c r="L210" s="529" t="s">
        <v>20</v>
      </c>
      <c r="M210" s="529" t="s">
        <v>21</v>
      </c>
      <c r="N210" s="529" t="s">
        <v>22</v>
      </c>
      <c r="O210" s="529" t="s">
        <v>23</v>
      </c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</row>
    <row r="211" spans="1:27" ht="39" customHeight="1" x14ac:dyDescent="0.3">
      <c r="A211" s="9">
        <v>210</v>
      </c>
      <c r="B211" s="15" t="s">
        <v>394</v>
      </c>
      <c r="C211" s="489">
        <v>140</v>
      </c>
      <c r="D211" s="15" t="s">
        <v>2408</v>
      </c>
      <c r="E211" s="489" t="s">
        <v>2408</v>
      </c>
      <c r="F211" s="431" t="s">
        <v>2248</v>
      </c>
      <c r="G211" s="431"/>
      <c r="H211" s="431"/>
      <c r="I211" s="431"/>
      <c r="J211" s="3" t="s">
        <v>69</v>
      </c>
      <c r="K211" s="3" t="s">
        <v>96</v>
      </c>
      <c r="L211" s="3" t="s">
        <v>96</v>
      </c>
      <c r="M211" s="3" t="s">
        <v>29</v>
      </c>
      <c r="N211" s="3" t="s">
        <v>30</v>
      </c>
      <c r="O211" s="3" t="s">
        <v>69</v>
      </c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</row>
    <row r="212" spans="1:27" ht="39" customHeight="1" x14ac:dyDescent="0.3">
      <c r="A212" s="9">
        <v>211</v>
      </c>
      <c r="B212" s="15" t="s">
        <v>396</v>
      </c>
      <c r="C212" s="489">
        <v>141</v>
      </c>
      <c r="D212" s="15" t="s">
        <v>2409</v>
      </c>
      <c r="E212" s="489" t="s">
        <v>2409</v>
      </c>
      <c r="F212" s="431" t="s">
        <v>2248</v>
      </c>
      <c r="G212" s="431"/>
      <c r="H212" s="431"/>
      <c r="I212" s="431"/>
      <c r="J212" s="3" t="s">
        <v>69</v>
      </c>
      <c r="K212" s="3" t="s">
        <v>96</v>
      </c>
      <c r="L212" s="3" t="s">
        <v>96</v>
      </c>
      <c r="M212" s="3" t="s">
        <v>29</v>
      </c>
      <c r="N212" s="3" t="s">
        <v>30</v>
      </c>
      <c r="O212" s="3" t="s">
        <v>69</v>
      </c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</row>
    <row r="213" spans="1:27" ht="39" customHeight="1" x14ac:dyDescent="0.3">
      <c r="A213" s="9">
        <v>212</v>
      </c>
      <c r="B213" s="15" t="s">
        <v>398</v>
      </c>
      <c r="C213" s="489">
        <v>142</v>
      </c>
      <c r="D213" s="15" t="s">
        <v>2410</v>
      </c>
      <c r="E213" s="489" t="s">
        <v>2410</v>
      </c>
      <c r="F213" s="431" t="s">
        <v>2248</v>
      </c>
      <c r="G213" s="431"/>
      <c r="H213" s="431"/>
      <c r="I213" s="431"/>
      <c r="J213" s="3" t="s">
        <v>21</v>
      </c>
      <c r="K213" s="3" t="s">
        <v>241</v>
      </c>
      <c r="L213" s="3" t="s">
        <v>400</v>
      </c>
      <c r="M213" s="3" t="s">
        <v>21</v>
      </c>
      <c r="N213" s="3" t="s">
        <v>250</v>
      </c>
      <c r="O213" s="3" t="s">
        <v>249</v>
      </c>
      <c r="P213" s="610"/>
      <c r="Q213" s="610"/>
      <c r="R213" s="610"/>
      <c r="S213" s="610"/>
      <c r="T213" s="610"/>
      <c r="U213" s="610"/>
      <c r="V213" s="610"/>
      <c r="W213" s="610"/>
      <c r="X213" s="610"/>
      <c r="Y213" s="610"/>
      <c r="Z213" s="610"/>
      <c r="AA213" s="610"/>
    </row>
    <row r="214" spans="1:27" ht="39" customHeight="1" x14ac:dyDescent="0.3">
      <c r="A214" s="9">
        <v>213</v>
      </c>
      <c r="B214" s="15" t="s">
        <v>402</v>
      </c>
      <c r="C214" s="489">
        <v>143</v>
      </c>
      <c r="D214" s="15" t="s">
        <v>2411</v>
      </c>
      <c r="E214" s="489" t="s">
        <v>2411</v>
      </c>
      <c r="F214" s="431" t="s">
        <v>2248</v>
      </c>
      <c r="G214" s="431"/>
      <c r="H214" s="431"/>
      <c r="I214" s="431"/>
      <c r="J214" s="3" t="s">
        <v>21</v>
      </c>
      <c r="K214" s="3" t="s">
        <v>241</v>
      </c>
      <c r="L214" s="3" t="s">
        <v>400</v>
      </c>
      <c r="M214" s="3" t="s">
        <v>21</v>
      </c>
      <c r="N214" s="3" t="s">
        <v>250</v>
      </c>
      <c r="O214" s="3" t="s">
        <v>249</v>
      </c>
      <c r="P214" s="610"/>
      <c r="Q214" s="610"/>
      <c r="R214" s="610"/>
      <c r="S214" s="610"/>
      <c r="T214" s="610"/>
      <c r="U214" s="610"/>
      <c r="V214" s="610"/>
      <c r="W214" s="610"/>
      <c r="X214" s="610"/>
      <c r="Y214" s="610"/>
      <c r="Z214" s="610"/>
      <c r="AA214" s="610"/>
    </row>
    <row r="215" spans="1:27" ht="39" customHeight="1" x14ac:dyDescent="0.3">
      <c r="A215" s="9">
        <v>214</v>
      </c>
      <c r="B215" s="15" t="s">
        <v>404</v>
      </c>
      <c r="C215" s="489">
        <v>144</v>
      </c>
      <c r="D215" s="15" t="s">
        <v>2412</v>
      </c>
      <c r="E215" s="489" t="s">
        <v>2412</v>
      </c>
      <c r="F215" s="431" t="s">
        <v>2248</v>
      </c>
      <c r="G215" s="431"/>
      <c r="H215" s="431"/>
      <c r="I215" s="431"/>
      <c r="J215" s="3" t="s">
        <v>21</v>
      </c>
      <c r="K215" s="3" t="s">
        <v>42</v>
      </c>
      <c r="L215" s="3" t="s">
        <v>406</v>
      </c>
      <c r="M215" s="3" t="s">
        <v>21</v>
      </c>
      <c r="N215" s="3" t="s">
        <v>44</v>
      </c>
      <c r="O215" s="3" t="s">
        <v>42</v>
      </c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</row>
    <row r="216" spans="1:27" ht="39" customHeight="1" x14ac:dyDescent="0.3">
      <c r="A216" s="9">
        <v>215</v>
      </c>
      <c r="B216" s="15" t="s">
        <v>407</v>
      </c>
      <c r="C216" s="489">
        <v>145</v>
      </c>
      <c r="D216" s="15" t="s">
        <v>2413</v>
      </c>
      <c r="E216" s="489" t="s">
        <v>2413</v>
      </c>
      <c r="F216" s="431" t="s">
        <v>2248</v>
      </c>
      <c r="G216" s="431"/>
      <c r="H216" s="431"/>
      <c r="I216" s="431"/>
      <c r="J216" s="3" t="s">
        <v>21</v>
      </c>
      <c r="K216" s="3" t="s">
        <v>42</v>
      </c>
      <c r="L216" s="3" t="s">
        <v>409</v>
      </c>
      <c r="M216" s="3" t="s">
        <v>21</v>
      </c>
      <c r="N216" s="3" t="s">
        <v>44</v>
      </c>
      <c r="O216" s="3" t="s">
        <v>42</v>
      </c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</row>
    <row r="217" spans="1:27" ht="39" customHeight="1" x14ac:dyDescent="0.3">
      <c r="A217" s="413">
        <v>216</v>
      </c>
      <c r="B217" s="397" t="s">
        <v>2087</v>
      </c>
      <c r="C217" s="499"/>
      <c r="D217" s="397"/>
      <c r="E217" s="510" t="s">
        <v>2414</v>
      </c>
      <c r="F217" s="498"/>
      <c r="G217" s="498" t="s">
        <v>2248</v>
      </c>
      <c r="H217" s="498"/>
      <c r="I217" s="498"/>
      <c r="J217" s="529" t="s">
        <v>69</v>
      </c>
      <c r="K217" s="529" t="s">
        <v>96</v>
      </c>
      <c r="L217" s="529" t="s">
        <v>2208</v>
      </c>
      <c r="M217" s="529" t="s">
        <v>29</v>
      </c>
      <c r="N217" s="529" t="s">
        <v>98</v>
      </c>
      <c r="O217" s="529" t="s">
        <v>2202</v>
      </c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</row>
    <row r="218" spans="1:27" ht="39" customHeight="1" x14ac:dyDescent="0.3">
      <c r="A218" s="9">
        <v>217</v>
      </c>
      <c r="B218" s="14" t="s">
        <v>410</v>
      </c>
      <c r="C218" s="489">
        <v>146</v>
      </c>
      <c r="D218" s="14" t="s">
        <v>2415</v>
      </c>
      <c r="E218" s="489" t="s">
        <v>2415</v>
      </c>
      <c r="F218" s="431" t="s">
        <v>2248</v>
      </c>
      <c r="G218" s="431"/>
      <c r="H218" s="431"/>
      <c r="I218" s="431"/>
      <c r="J218" s="3" t="s">
        <v>21</v>
      </c>
      <c r="K218" s="3" t="s">
        <v>42</v>
      </c>
      <c r="L218" s="3" t="s">
        <v>380</v>
      </c>
      <c r="M218" s="3" t="s">
        <v>412</v>
      </c>
      <c r="N218" s="3" t="s">
        <v>14</v>
      </c>
      <c r="O218" s="3" t="s">
        <v>203</v>
      </c>
      <c r="P218" s="94" t="s">
        <v>1749</v>
      </c>
      <c r="Q218" s="94">
        <v>2302</v>
      </c>
      <c r="R218" s="603">
        <v>13429</v>
      </c>
      <c r="S218" s="94" t="s">
        <v>2023</v>
      </c>
      <c r="T218" s="77"/>
      <c r="U218" s="77"/>
      <c r="V218" s="77"/>
      <c r="W218" s="77"/>
      <c r="X218" s="77"/>
      <c r="Y218" s="77"/>
      <c r="Z218" s="77"/>
      <c r="AA218" s="77"/>
    </row>
    <row r="219" spans="1:27" ht="39" customHeight="1" x14ac:dyDescent="0.3">
      <c r="A219" s="9">
        <v>218</v>
      </c>
      <c r="B219" s="10" t="s">
        <v>413</v>
      </c>
      <c r="C219" s="488">
        <v>147</v>
      </c>
      <c r="D219" s="10" t="s">
        <v>2416</v>
      </c>
      <c r="E219" s="488" t="s">
        <v>2416</v>
      </c>
      <c r="F219" s="431" t="s">
        <v>2248</v>
      </c>
      <c r="G219" s="432"/>
      <c r="H219" s="432"/>
      <c r="I219" s="432"/>
      <c r="J219" s="3" t="s">
        <v>26</v>
      </c>
      <c r="K219" s="3" t="s">
        <v>30</v>
      </c>
      <c r="L219" s="3" t="s">
        <v>148</v>
      </c>
      <c r="M219" s="3" t="s">
        <v>29</v>
      </c>
      <c r="N219" s="3" t="s">
        <v>30</v>
      </c>
      <c r="O219" s="3" t="s">
        <v>30</v>
      </c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</row>
    <row r="220" spans="1:27" ht="39" customHeight="1" x14ac:dyDescent="0.3">
      <c r="A220" s="413">
        <v>219</v>
      </c>
      <c r="B220" s="492" t="s">
        <v>2209</v>
      </c>
      <c r="C220" s="495"/>
      <c r="D220" s="492"/>
      <c r="E220" s="511" t="s">
        <v>2620</v>
      </c>
      <c r="F220" s="497"/>
      <c r="G220" s="497"/>
      <c r="H220" s="497" t="s">
        <v>2248</v>
      </c>
      <c r="I220" s="497" t="s">
        <v>2248</v>
      </c>
      <c r="J220" s="529" t="s">
        <v>26</v>
      </c>
      <c r="K220" s="529" t="s">
        <v>30</v>
      </c>
      <c r="L220" s="529" t="s">
        <v>148</v>
      </c>
      <c r="M220" s="529" t="s">
        <v>29</v>
      </c>
      <c r="N220" s="529" t="s">
        <v>30</v>
      </c>
      <c r="O220" s="529" t="s">
        <v>30</v>
      </c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</row>
    <row r="221" spans="1:27" ht="39" customHeight="1" x14ac:dyDescent="0.3">
      <c r="A221" s="413">
        <v>220</v>
      </c>
      <c r="B221" s="492" t="s">
        <v>2210</v>
      </c>
      <c r="C221" s="495"/>
      <c r="D221" s="492"/>
      <c r="E221" s="511" t="s">
        <v>2620</v>
      </c>
      <c r="F221" s="497"/>
      <c r="G221" s="497"/>
      <c r="H221" s="497" t="s">
        <v>2248</v>
      </c>
      <c r="I221" s="497" t="s">
        <v>2248</v>
      </c>
      <c r="J221" s="529" t="s">
        <v>26</v>
      </c>
      <c r="K221" s="529" t="s">
        <v>30</v>
      </c>
      <c r="L221" s="529" t="s">
        <v>148</v>
      </c>
      <c r="M221" s="529" t="s">
        <v>29</v>
      </c>
      <c r="N221" s="529" t="s">
        <v>30</v>
      </c>
      <c r="O221" s="529" t="s">
        <v>30</v>
      </c>
      <c r="P221" s="610"/>
      <c r="Q221" s="610"/>
      <c r="R221" s="610"/>
      <c r="S221" s="610"/>
      <c r="T221" s="610"/>
      <c r="U221" s="610"/>
      <c r="V221" s="610"/>
      <c r="W221" s="610"/>
      <c r="X221" s="610"/>
      <c r="Y221" s="610"/>
      <c r="Z221" s="610"/>
      <c r="AA221" s="610"/>
    </row>
    <row r="222" spans="1:27" ht="39" customHeight="1" x14ac:dyDescent="0.3">
      <c r="A222" s="413">
        <v>221</v>
      </c>
      <c r="B222" s="493" t="s">
        <v>2211</v>
      </c>
      <c r="C222" s="495"/>
      <c r="D222" s="493"/>
      <c r="E222" s="511" t="s">
        <v>2619</v>
      </c>
      <c r="F222" s="497"/>
      <c r="G222" s="497"/>
      <c r="H222" s="497" t="s">
        <v>2248</v>
      </c>
      <c r="I222" s="497"/>
      <c r="J222" s="529" t="s">
        <v>21</v>
      </c>
      <c r="K222" s="529" t="s">
        <v>84</v>
      </c>
      <c r="L222" s="529" t="s">
        <v>2212</v>
      </c>
      <c r="M222" s="529" t="s">
        <v>21</v>
      </c>
      <c r="N222" s="529" t="s">
        <v>250</v>
      </c>
      <c r="O222" s="529" t="s">
        <v>249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</row>
    <row r="223" spans="1:27" ht="39" customHeight="1" x14ac:dyDescent="0.3">
      <c r="A223" s="9">
        <v>222</v>
      </c>
      <c r="B223" s="15" t="s">
        <v>415</v>
      </c>
      <c r="C223" s="489">
        <v>148</v>
      </c>
      <c r="D223" s="489" t="s">
        <v>2417</v>
      </c>
      <c r="E223" s="489" t="s">
        <v>2417</v>
      </c>
      <c r="F223" s="431" t="s">
        <v>2248</v>
      </c>
      <c r="G223" s="431"/>
      <c r="H223" s="431"/>
      <c r="I223" s="431"/>
      <c r="J223" s="3" t="s">
        <v>26</v>
      </c>
      <c r="K223" s="3" t="s">
        <v>27</v>
      </c>
      <c r="L223" s="3" t="s">
        <v>28</v>
      </c>
      <c r="M223" s="3" t="s">
        <v>417</v>
      </c>
      <c r="N223" s="3" t="s">
        <v>30</v>
      </c>
      <c r="O223" s="3" t="s">
        <v>31</v>
      </c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</row>
    <row r="224" spans="1:27" ht="39" customHeight="1" x14ac:dyDescent="0.3">
      <c r="A224" s="9">
        <v>223</v>
      </c>
      <c r="B224" s="15" t="s">
        <v>418</v>
      </c>
      <c r="C224" s="489">
        <v>149</v>
      </c>
      <c r="D224" s="489" t="s">
        <v>2418</v>
      </c>
      <c r="E224" s="489" t="s">
        <v>2418</v>
      </c>
      <c r="F224" s="431" t="s">
        <v>2248</v>
      </c>
      <c r="G224" s="431"/>
      <c r="H224" s="431"/>
      <c r="I224" s="431"/>
      <c r="J224" s="3" t="s">
        <v>26</v>
      </c>
      <c r="K224" s="3" t="s">
        <v>27</v>
      </c>
      <c r="L224" s="3" t="s">
        <v>28</v>
      </c>
      <c r="M224" s="3" t="s">
        <v>417</v>
      </c>
      <c r="N224" s="3" t="s">
        <v>30</v>
      </c>
      <c r="O224" s="3" t="s">
        <v>31</v>
      </c>
      <c r="P224" s="610"/>
      <c r="Q224" s="610"/>
      <c r="R224" s="610"/>
      <c r="S224" s="610"/>
      <c r="T224" s="610"/>
      <c r="U224" s="610"/>
      <c r="V224" s="610"/>
      <c r="W224" s="610"/>
      <c r="X224" s="610"/>
      <c r="Y224" s="610"/>
      <c r="Z224" s="610"/>
      <c r="AA224" s="610"/>
    </row>
    <row r="225" spans="1:27" ht="39" customHeight="1" x14ac:dyDescent="0.3">
      <c r="A225" s="9">
        <v>224</v>
      </c>
      <c r="B225" s="15" t="s">
        <v>420</v>
      </c>
      <c r="C225" s="489">
        <v>150</v>
      </c>
      <c r="D225" s="489" t="s">
        <v>2419</v>
      </c>
      <c r="E225" s="489" t="s">
        <v>2419</v>
      </c>
      <c r="F225" s="431" t="s">
        <v>2248</v>
      </c>
      <c r="G225" s="431"/>
      <c r="H225" s="431"/>
      <c r="I225" s="431"/>
      <c r="J225" s="3" t="s">
        <v>21</v>
      </c>
      <c r="K225" s="3" t="s">
        <v>84</v>
      </c>
      <c r="L225" s="3" t="s">
        <v>422</v>
      </c>
      <c r="M225" s="3" t="s">
        <v>21</v>
      </c>
      <c r="N225" s="3" t="s">
        <v>21</v>
      </c>
      <c r="O225" s="3" t="s">
        <v>84</v>
      </c>
      <c r="P225" s="610"/>
      <c r="Q225" s="610"/>
      <c r="R225" s="610"/>
      <c r="S225" s="610"/>
      <c r="T225" s="610"/>
      <c r="U225" s="610"/>
      <c r="V225" s="610"/>
      <c r="W225" s="610"/>
      <c r="X225" s="610"/>
      <c r="Y225" s="610"/>
      <c r="Z225" s="610"/>
      <c r="AA225" s="610"/>
    </row>
    <row r="226" spans="1:27" ht="39" customHeight="1" x14ac:dyDescent="0.3">
      <c r="A226" s="9">
        <v>225</v>
      </c>
      <c r="B226" s="15" t="s">
        <v>423</v>
      </c>
      <c r="C226" s="489">
        <v>151</v>
      </c>
      <c r="D226" s="489" t="s">
        <v>2420</v>
      </c>
      <c r="E226" s="489" t="s">
        <v>2420</v>
      </c>
      <c r="F226" s="431" t="s">
        <v>2248</v>
      </c>
      <c r="G226" s="431"/>
      <c r="H226" s="431"/>
      <c r="I226" s="431"/>
      <c r="J226" s="3" t="s">
        <v>21</v>
      </c>
      <c r="K226" s="3" t="s">
        <v>84</v>
      </c>
      <c r="L226" s="3" t="s">
        <v>422</v>
      </c>
      <c r="M226" s="3" t="s">
        <v>21</v>
      </c>
      <c r="N226" s="3" t="s">
        <v>21</v>
      </c>
      <c r="O226" s="3" t="s">
        <v>84</v>
      </c>
      <c r="P226" s="610"/>
      <c r="Q226" s="610"/>
      <c r="R226" s="610"/>
      <c r="S226" s="610"/>
      <c r="T226" s="610"/>
      <c r="U226" s="610"/>
      <c r="V226" s="610"/>
      <c r="W226" s="610"/>
      <c r="X226" s="610"/>
      <c r="Y226" s="610"/>
      <c r="Z226" s="610"/>
      <c r="AA226" s="610"/>
    </row>
    <row r="227" spans="1:27" ht="39" customHeight="1" x14ac:dyDescent="0.3">
      <c r="A227" s="9">
        <v>226</v>
      </c>
      <c r="B227" s="15" t="s">
        <v>425</v>
      </c>
      <c r="C227" s="489">
        <v>152</v>
      </c>
      <c r="D227" s="489" t="s">
        <v>2421</v>
      </c>
      <c r="E227" s="489" t="s">
        <v>2421</v>
      </c>
      <c r="F227" s="431" t="s">
        <v>2248</v>
      </c>
      <c r="G227" s="431"/>
      <c r="H227" s="431"/>
      <c r="I227" s="431"/>
      <c r="J227" s="3" t="s">
        <v>13</v>
      </c>
      <c r="K227" s="3" t="s">
        <v>19</v>
      </c>
      <c r="L227" s="3" t="s">
        <v>427</v>
      </c>
      <c r="M227" s="3" t="s">
        <v>29</v>
      </c>
      <c r="N227" s="3" t="s">
        <v>29</v>
      </c>
      <c r="O227" s="3" t="s">
        <v>341</v>
      </c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</row>
    <row r="228" spans="1:27" ht="39" customHeight="1" x14ac:dyDescent="0.3">
      <c r="A228" s="9">
        <v>227</v>
      </c>
      <c r="B228" s="15" t="s">
        <v>428</v>
      </c>
      <c r="C228" s="489">
        <v>153</v>
      </c>
      <c r="D228" s="489" t="s">
        <v>2422</v>
      </c>
      <c r="E228" s="489" t="s">
        <v>2422</v>
      </c>
      <c r="F228" s="431" t="s">
        <v>2248</v>
      </c>
      <c r="G228" s="431"/>
      <c r="H228" s="431"/>
      <c r="I228" s="431"/>
      <c r="J228" s="3" t="s">
        <v>26</v>
      </c>
      <c r="K228" s="3" t="s">
        <v>30</v>
      </c>
      <c r="L228" s="3" t="s">
        <v>430</v>
      </c>
      <c r="M228" s="3" t="s">
        <v>29</v>
      </c>
      <c r="N228" s="3" t="s">
        <v>30</v>
      </c>
      <c r="O228" s="3" t="s">
        <v>30</v>
      </c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</row>
    <row r="229" spans="1:27" ht="39" customHeight="1" x14ac:dyDescent="0.3">
      <c r="A229" s="413">
        <v>228</v>
      </c>
      <c r="B229" s="397" t="s">
        <v>2213</v>
      </c>
      <c r="C229" s="499"/>
      <c r="D229" s="397"/>
      <c r="E229" s="510" t="s">
        <v>2598</v>
      </c>
      <c r="F229" s="498"/>
      <c r="G229" s="498"/>
      <c r="H229" s="498" t="s">
        <v>2248</v>
      </c>
      <c r="I229" s="498" t="s">
        <v>2248</v>
      </c>
      <c r="J229" s="529" t="s">
        <v>21</v>
      </c>
      <c r="K229" s="529" t="s">
        <v>241</v>
      </c>
      <c r="L229" s="529" t="s">
        <v>2214</v>
      </c>
      <c r="M229" s="529" t="s">
        <v>21</v>
      </c>
      <c r="N229" s="529" t="s">
        <v>250</v>
      </c>
      <c r="O229" s="529" t="s">
        <v>401</v>
      </c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</row>
    <row r="230" spans="1:27" ht="39" customHeight="1" x14ac:dyDescent="0.3">
      <c r="A230" s="9">
        <v>229</v>
      </c>
      <c r="B230" s="15" t="s">
        <v>431</v>
      </c>
      <c r="C230" s="483">
        <v>154</v>
      </c>
      <c r="D230" s="489" t="s">
        <v>2423</v>
      </c>
      <c r="E230" s="489" t="s">
        <v>2423</v>
      </c>
      <c r="F230" s="431"/>
      <c r="G230" s="431"/>
      <c r="H230" s="431"/>
      <c r="I230" s="431"/>
      <c r="J230" s="3" t="s">
        <v>69</v>
      </c>
      <c r="K230" s="3" t="s">
        <v>67</v>
      </c>
      <c r="L230" s="3" t="s">
        <v>433</v>
      </c>
      <c r="M230" s="3" t="s">
        <v>29</v>
      </c>
      <c r="N230" s="3" t="s">
        <v>29</v>
      </c>
      <c r="O230" s="3" t="s">
        <v>29</v>
      </c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</row>
    <row r="231" spans="1:27" ht="39" customHeight="1" x14ac:dyDescent="0.3">
      <c r="A231" s="9">
        <v>230</v>
      </c>
      <c r="B231" s="15" t="s">
        <v>434</v>
      </c>
      <c r="C231" s="483">
        <v>155</v>
      </c>
      <c r="D231" s="489" t="s">
        <v>2424</v>
      </c>
      <c r="E231" s="489" t="s">
        <v>2424</v>
      </c>
      <c r="F231" s="431"/>
      <c r="G231" s="431"/>
      <c r="H231" s="431"/>
      <c r="I231" s="431"/>
      <c r="J231" s="3" t="s">
        <v>26</v>
      </c>
      <c r="K231" s="3" t="s">
        <v>27</v>
      </c>
      <c r="L231" s="3" t="s">
        <v>436</v>
      </c>
      <c r="M231" s="3" t="s">
        <v>29</v>
      </c>
      <c r="N231" s="3" t="s">
        <v>30</v>
      </c>
      <c r="O231" s="3" t="s">
        <v>30</v>
      </c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</row>
    <row r="232" spans="1:27" ht="39" customHeight="1" x14ac:dyDescent="0.3">
      <c r="A232" s="413">
        <v>231</v>
      </c>
      <c r="B232" s="493" t="s">
        <v>2566</v>
      </c>
      <c r="C232" s="820">
        <v>156</v>
      </c>
      <c r="D232" s="826" t="s">
        <v>2425</v>
      </c>
      <c r="E232" s="826" t="s">
        <v>2425</v>
      </c>
      <c r="F232" s="826" t="s">
        <v>2248</v>
      </c>
      <c r="G232" s="497"/>
      <c r="H232" s="497"/>
      <c r="I232" s="497"/>
      <c r="J232" s="529" t="s">
        <v>26</v>
      </c>
      <c r="K232" s="529" t="s">
        <v>31</v>
      </c>
      <c r="L232" s="529" t="s">
        <v>55</v>
      </c>
      <c r="M232" s="529" t="s">
        <v>29</v>
      </c>
      <c r="N232" s="529" t="s">
        <v>30</v>
      </c>
      <c r="O232" s="529" t="s">
        <v>31</v>
      </c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</row>
    <row r="233" spans="1:27" ht="39" customHeight="1" x14ac:dyDescent="0.3">
      <c r="A233" s="413">
        <v>232</v>
      </c>
      <c r="B233" s="493" t="s">
        <v>2216</v>
      </c>
      <c r="C233" s="821"/>
      <c r="D233" s="827"/>
      <c r="E233" s="827"/>
      <c r="F233" s="827"/>
      <c r="G233" s="497"/>
      <c r="H233" s="497"/>
      <c r="I233" s="497"/>
      <c r="J233" s="529" t="s">
        <v>26</v>
      </c>
      <c r="K233" s="529" t="s">
        <v>31</v>
      </c>
      <c r="L233" s="529" t="s">
        <v>55</v>
      </c>
      <c r="M233" s="529" t="s">
        <v>29</v>
      </c>
      <c r="N233" s="529" t="s">
        <v>30</v>
      </c>
      <c r="O233" s="529" t="s">
        <v>31</v>
      </c>
      <c r="P233" s="610"/>
      <c r="Q233" s="610"/>
      <c r="R233" s="610"/>
      <c r="S233" s="610"/>
      <c r="T233" s="610"/>
      <c r="U233" s="610"/>
      <c r="V233" s="610"/>
      <c r="W233" s="610"/>
      <c r="X233" s="610"/>
      <c r="Y233" s="610"/>
      <c r="Z233" s="610"/>
      <c r="AA233" s="610"/>
    </row>
    <row r="234" spans="1:27" ht="39" customHeight="1" x14ac:dyDescent="0.3">
      <c r="A234" s="9">
        <v>233</v>
      </c>
      <c r="B234" s="12" t="s">
        <v>2217</v>
      </c>
      <c r="C234" s="802">
        <v>157</v>
      </c>
      <c r="D234" s="806" t="s">
        <v>2427</v>
      </c>
      <c r="E234" s="806" t="s">
        <v>2567</v>
      </c>
      <c r="F234" s="808" t="s">
        <v>2248</v>
      </c>
      <c r="G234" s="808" t="s">
        <v>2248</v>
      </c>
      <c r="H234" s="431"/>
      <c r="I234" s="431"/>
      <c r="J234" s="3" t="s">
        <v>69</v>
      </c>
      <c r="K234" s="3" t="s">
        <v>80</v>
      </c>
      <c r="L234" s="3" t="s">
        <v>69</v>
      </c>
      <c r="M234" s="3" t="s">
        <v>29</v>
      </c>
      <c r="N234" s="3" t="s">
        <v>30</v>
      </c>
      <c r="O234" s="3" t="s">
        <v>69</v>
      </c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</row>
    <row r="235" spans="1:27" ht="39" customHeight="1" x14ac:dyDescent="0.3">
      <c r="A235" s="9">
        <v>234</v>
      </c>
      <c r="B235" s="12" t="s">
        <v>2218</v>
      </c>
      <c r="C235" s="828"/>
      <c r="D235" s="829"/>
      <c r="E235" s="829"/>
      <c r="F235" s="830"/>
      <c r="G235" s="830"/>
      <c r="H235" s="432"/>
      <c r="I235" s="432"/>
      <c r="J235" s="3" t="s">
        <v>69</v>
      </c>
      <c r="K235" s="3" t="s">
        <v>80</v>
      </c>
      <c r="L235" s="3" t="s">
        <v>69</v>
      </c>
      <c r="M235" s="3" t="s">
        <v>29</v>
      </c>
      <c r="N235" s="3" t="s">
        <v>30</v>
      </c>
      <c r="O235" s="3" t="s">
        <v>69</v>
      </c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</row>
    <row r="236" spans="1:27" ht="39" customHeight="1" x14ac:dyDescent="0.3">
      <c r="A236" s="9">
        <v>235</v>
      </c>
      <c r="B236" s="14" t="s">
        <v>2219</v>
      </c>
      <c r="C236" s="803"/>
      <c r="D236" s="807"/>
      <c r="E236" s="807"/>
      <c r="F236" s="809"/>
      <c r="G236" s="809"/>
      <c r="H236" s="431"/>
      <c r="I236" s="431"/>
      <c r="J236" s="3" t="s">
        <v>69</v>
      </c>
      <c r="K236" s="3" t="s">
        <v>80</v>
      </c>
      <c r="L236" s="3" t="s">
        <v>69</v>
      </c>
      <c r="M236" s="3" t="s">
        <v>29</v>
      </c>
      <c r="N236" s="3" t="s">
        <v>30</v>
      </c>
      <c r="O236" s="3" t="s">
        <v>69</v>
      </c>
      <c r="P236" s="610"/>
      <c r="Q236" s="610"/>
      <c r="R236" s="610"/>
      <c r="S236" s="610"/>
      <c r="T236" s="610"/>
      <c r="U236" s="610"/>
      <c r="V236" s="610"/>
      <c r="W236" s="610"/>
      <c r="X236" s="610"/>
      <c r="Y236" s="610"/>
      <c r="Z236" s="610"/>
      <c r="AA236" s="610"/>
    </row>
    <row r="237" spans="1:27" ht="39" customHeight="1" x14ac:dyDescent="0.3">
      <c r="A237" s="413">
        <v>236</v>
      </c>
      <c r="B237" s="492" t="s">
        <v>2220</v>
      </c>
      <c r="C237" s="527"/>
      <c r="D237" s="822"/>
      <c r="E237" s="826" t="s">
        <v>2621</v>
      </c>
      <c r="F237" s="816"/>
      <c r="G237" s="816"/>
      <c r="H237" s="816" t="s">
        <v>2248</v>
      </c>
      <c r="I237" s="816" t="s">
        <v>2248</v>
      </c>
      <c r="J237" s="529" t="s">
        <v>69</v>
      </c>
      <c r="K237" s="529" t="s">
        <v>80</v>
      </c>
      <c r="L237" s="529" t="s">
        <v>2221</v>
      </c>
      <c r="M237" s="529" t="s">
        <v>29</v>
      </c>
      <c r="N237" s="529" t="s">
        <v>30</v>
      </c>
      <c r="O237" s="529" t="s">
        <v>31</v>
      </c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610"/>
    </row>
    <row r="238" spans="1:27" ht="39" customHeight="1" x14ac:dyDescent="0.3">
      <c r="A238" s="413">
        <v>237</v>
      </c>
      <c r="B238" s="397" t="s">
        <v>2222</v>
      </c>
      <c r="C238" s="528"/>
      <c r="D238" s="823"/>
      <c r="E238" s="817"/>
      <c r="F238" s="817"/>
      <c r="G238" s="817"/>
      <c r="H238" s="817"/>
      <c r="I238" s="817"/>
      <c r="J238" s="529" t="s">
        <v>69</v>
      </c>
      <c r="K238" s="529" t="s">
        <v>80</v>
      </c>
      <c r="L238" s="529" t="s">
        <v>2221</v>
      </c>
      <c r="M238" s="529" t="s">
        <v>29</v>
      </c>
      <c r="N238" s="529" t="s">
        <v>30</v>
      </c>
      <c r="O238" s="529" t="s">
        <v>31</v>
      </c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</row>
    <row r="239" spans="1:27" ht="39" customHeight="1" x14ac:dyDescent="0.3">
      <c r="A239" s="9">
        <v>238</v>
      </c>
      <c r="B239" s="15" t="s">
        <v>441</v>
      </c>
      <c r="C239" s="489">
        <v>158</v>
      </c>
      <c r="D239" s="15" t="s">
        <v>2428</v>
      </c>
      <c r="E239" s="489" t="s">
        <v>2428</v>
      </c>
      <c r="F239" s="431" t="s">
        <v>2248</v>
      </c>
      <c r="G239" s="431"/>
      <c r="H239" s="431"/>
      <c r="I239" s="431"/>
      <c r="J239" s="3" t="s">
        <v>13</v>
      </c>
      <c r="K239" s="3" t="s">
        <v>29</v>
      </c>
      <c r="L239" s="3" t="s">
        <v>90</v>
      </c>
      <c r="M239" s="3" t="s">
        <v>29</v>
      </c>
      <c r="N239" s="3" t="s">
        <v>38</v>
      </c>
      <c r="O239" s="3" t="s">
        <v>38</v>
      </c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</row>
    <row r="240" spans="1:27" ht="39" customHeight="1" x14ac:dyDescent="0.3">
      <c r="A240" s="9">
        <v>239</v>
      </c>
      <c r="B240" s="10" t="s">
        <v>2223</v>
      </c>
      <c r="C240" s="806">
        <v>159</v>
      </c>
      <c r="D240" s="804" t="s">
        <v>2429</v>
      </c>
      <c r="E240" s="806" t="s">
        <v>2568</v>
      </c>
      <c r="F240" s="808" t="s">
        <v>2248</v>
      </c>
      <c r="G240" s="808" t="s">
        <v>2248</v>
      </c>
      <c r="H240" s="808"/>
      <c r="I240" s="808"/>
      <c r="J240" s="3" t="s">
        <v>69</v>
      </c>
      <c r="K240" s="3" t="s">
        <v>67</v>
      </c>
      <c r="L240" s="3" t="s">
        <v>445</v>
      </c>
      <c r="M240" s="3" t="s">
        <v>29</v>
      </c>
      <c r="N240" s="3" t="s">
        <v>30</v>
      </c>
      <c r="O240" s="3" t="s">
        <v>69</v>
      </c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</row>
    <row r="241" spans="1:27" ht="39" customHeight="1" x14ac:dyDescent="0.3">
      <c r="A241" s="9">
        <v>240</v>
      </c>
      <c r="B241" s="15" t="s">
        <v>2224</v>
      </c>
      <c r="C241" s="807"/>
      <c r="D241" s="805"/>
      <c r="E241" s="807"/>
      <c r="F241" s="809"/>
      <c r="G241" s="809"/>
      <c r="H241" s="809"/>
      <c r="I241" s="809"/>
      <c r="J241" s="3" t="s">
        <v>69</v>
      </c>
      <c r="K241" s="3" t="s">
        <v>67</v>
      </c>
      <c r="L241" s="3" t="s">
        <v>445</v>
      </c>
      <c r="M241" s="3" t="s">
        <v>29</v>
      </c>
      <c r="N241" s="3" t="s">
        <v>30</v>
      </c>
      <c r="O241" s="3" t="s">
        <v>69</v>
      </c>
      <c r="P241" s="610"/>
      <c r="Q241" s="610"/>
      <c r="R241" s="610"/>
      <c r="S241" s="610"/>
      <c r="T241" s="610"/>
      <c r="U241" s="610"/>
      <c r="V241" s="610"/>
      <c r="W241" s="610"/>
      <c r="X241" s="610"/>
      <c r="Y241" s="610"/>
      <c r="Z241" s="610"/>
      <c r="AA241" s="610"/>
    </row>
    <row r="242" spans="1:27" ht="39" customHeight="1" x14ac:dyDescent="0.3">
      <c r="A242" s="413">
        <v>241</v>
      </c>
      <c r="B242" s="492" t="s">
        <v>2225</v>
      </c>
      <c r="C242" s="820">
        <v>160</v>
      </c>
      <c r="D242" s="822" t="s">
        <v>2430</v>
      </c>
      <c r="E242" s="824" t="s">
        <v>2569</v>
      </c>
      <c r="F242" s="816" t="s">
        <v>2248</v>
      </c>
      <c r="G242" s="816" t="s">
        <v>2248</v>
      </c>
      <c r="H242" s="816"/>
      <c r="I242" s="816"/>
      <c r="J242" s="529" t="s">
        <v>13</v>
      </c>
      <c r="K242" s="529" t="s">
        <v>29</v>
      </c>
      <c r="L242" s="529" t="s">
        <v>448</v>
      </c>
      <c r="M242" s="529" t="s">
        <v>29</v>
      </c>
      <c r="N242" s="529" t="s">
        <v>29</v>
      </c>
      <c r="O242" s="529" t="s">
        <v>29</v>
      </c>
      <c r="P242" s="610"/>
      <c r="Q242" s="610"/>
      <c r="R242" s="610"/>
      <c r="S242" s="610"/>
      <c r="T242" s="610"/>
      <c r="U242" s="610"/>
      <c r="V242" s="610"/>
      <c r="W242" s="610"/>
      <c r="X242" s="610"/>
      <c r="Y242" s="610"/>
      <c r="Z242" s="610"/>
      <c r="AA242" s="610"/>
    </row>
    <row r="243" spans="1:27" ht="39" customHeight="1" x14ac:dyDescent="0.3">
      <c r="A243" s="413">
        <v>242</v>
      </c>
      <c r="B243" s="397" t="s">
        <v>2226</v>
      </c>
      <c r="C243" s="821"/>
      <c r="D243" s="823"/>
      <c r="E243" s="825"/>
      <c r="F243" s="817"/>
      <c r="G243" s="817"/>
      <c r="H243" s="817"/>
      <c r="I243" s="817"/>
      <c r="J243" s="529" t="s">
        <v>13</v>
      </c>
      <c r="K243" s="529" t="s">
        <v>29</v>
      </c>
      <c r="L243" s="529" t="s">
        <v>448</v>
      </c>
      <c r="M243" s="529" t="s">
        <v>29</v>
      </c>
      <c r="N243" s="529" t="s">
        <v>29</v>
      </c>
      <c r="O243" s="529" t="s">
        <v>29</v>
      </c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</row>
    <row r="244" spans="1:27" ht="39" customHeight="1" x14ac:dyDescent="0.3">
      <c r="A244" s="413">
        <v>243</v>
      </c>
      <c r="B244" s="397" t="s">
        <v>449</v>
      </c>
      <c r="C244" s="500">
        <v>161</v>
      </c>
      <c r="D244" s="397" t="s">
        <v>2467</v>
      </c>
      <c r="E244" s="500" t="s">
        <v>2467</v>
      </c>
      <c r="F244" s="498" t="s">
        <v>2248</v>
      </c>
      <c r="G244" s="498"/>
      <c r="H244" s="498"/>
      <c r="I244" s="498"/>
      <c r="J244" s="529" t="s">
        <v>13</v>
      </c>
      <c r="K244" s="529" t="s">
        <v>29</v>
      </c>
      <c r="L244" s="529" t="s">
        <v>160</v>
      </c>
      <c r="M244" s="529" t="s">
        <v>29</v>
      </c>
      <c r="N244" s="529" t="s">
        <v>38</v>
      </c>
      <c r="O244" s="529" t="s">
        <v>38</v>
      </c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</row>
    <row r="245" spans="1:27" ht="39" customHeight="1" x14ac:dyDescent="0.3">
      <c r="A245" s="9">
        <v>244</v>
      </c>
      <c r="B245" s="12" t="s">
        <v>2431</v>
      </c>
      <c r="C245" s="806">
        <v>162</v>
      </c>
      <c r="D245" s="818" t="s">
        <v>2432</v>
      </c>
      <c r="E245" s="806" t="s">
        <v>2570</v>
      </c>
      <c r="F245" s="808" t="s">
        <v>2248</v>
      </c>
      <c r="G245" s="808" t="s">
        <v>2248</v>
      </c>
      <c r="H245" s="808"/>
      <c r="I245" s="808"/>
      <c r="J245" s="3" t="s">
        <v>13</v>
      </c>
      <c r="K245" s="3" t="s">
        <v>14</v>
      </c>
      <c r="L245" s="3" t="s">
        <v>454</v>
      </c>
      <c r="M245" s="3" t="s">
        <v>412</v>
      </c>
      <c r="N245" s="3" t="s">
        <v>14</v>
      </c>
      <c r="O245" s="3" t="s">
        <v>203</v>
      </c>
      <c r="P245" s="94" t="s">
        <v>2905</v>
      </c>
      <c r="Q245" s="94">
        <v>1291</v>
      </c>
      <c r="R245" s="603">
        <v>13125</v>
      </c>
      <c r="S245" s="94" t="s">
        <v>2906</v>
      </c>
      <c r="T245" s="77"/>
      <c r="U245" s="77"/>
      <c r="V245" s="77"/>
      <c r="W245" s="77"/>
      <c r="X245" s="77"/>
      <c r="Y245" s="77"/>
      <c r="Z245" s="77"/>
      <c r="AA245" s="77"/>
    </row>
    <row r="246" spans="1:27" ht="39" customHeight="1" x14ac:dyDescent="0.3">
      <c r="A246" s="9">
        <v>245</v>
      </c>
      <c r="B246" s="14" t="s">
        <v>2228</v>
      </c>
      <c r="C246" s="807"/>
      <c r="D246" s="819"/>
      <c r="E246" s="807"/>
      <c r="F246" s="809"/>
      <c r="G246" s="809"/>
      <c r="H246" s="809"/>
      <c r="I246" s="809"/>
      <c r="J246" s="3" t="s">
        <v>13</v>
      </c>
      <c r="K246" s="3" t="s">
        <v>14</v>
      </c>
      <c r="L246" s="3" t="s">
        <v>454</v>
      </c>
      <c r="M246" s="3" t="s">
        <v>412</v>
      </c>
      <c r="N246" s="3" t="s">
        <v>14</v>
      </c>
      <c r="O246" s="3" t="s">
        <v>203</v>
      </c>
      <c r="P246" s="604" t="s">
        <v>2907</v>
      </c>
      <c r="Q246" s="604">
        <v>1292</v>
      </c>
      <c r="R246" s="631">
        <v>13125</v>
      </c>
      <c r="S246" s="604" t="s">
        <v>2906</v>
      </c>
      <c r="T246" s="610"/>
      <c r="U246" s="610"/>
      <c r="V246" s="610"/>
      <c r="W246" s="610"/>
      <c r="X246" s="610"/>
      <c r="Y246" s="610"/>
      <c r="Z246" s="610"/>
      <c r="AA246" s="610"/>
    </row>
    <row r="247" spans="1:27" ht="39" customHeight="1" x14ac:dyDescent="0.3">
      <c r="A247" s="9">
        <v>246</v>
      </c>
      <c r="B247" s="15" t="s">
        <v>455</v>
      </c>
      <c r="C247" s="489">
        <v>163</v>
      </c>
      <c r="D247" s="15" t="s">
        <v>2433</v>
      </c>
      <c r="E247" s="489" t="s">
        <v>2433</v>
      </c>
      <c r="F247" s="431" t="s">
        <v>2248</v>
      </c>
      <c r="G247" s="431"/>
      <c r="H247" s="431"/>
      <c r="I247" s="431"/>
      <c r="J247" s="3" t="s">
        <v>69</v>
      </c>
      <c r="K247" s="3" t="s">
        <v>96</v>
      </c>
      <c r="L247" s="3" t="s">
        <v>99</v>
      </c>
      <c r="M247" s="3" t="s">
        <v>29</v>
      </c>
      <c r="N247" s="3" t="s">
        <v>98</v>
      </c>
      <c r="O247" s="3" t="s">
        <v>99</v>
      </c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10"/>
    </row>
    <row r="248" spans="1:27" ht="39" customHeight="1" x14ac:dyDescent="0.3">
      <c r="A248" s="9">
        <v>247</v>
      </c>
      <c r="B248" s="15" t="s">
        <v>457</v>
      </c>
      <c r="C248" s="489">
        <v>164</v>
      </c>
      <c r="D248" s="15" t="s">
        <v>2434</v>
      </c>
      <c r="E248" s="489" t="s">
        <v>2434</v>
      </c>
      <c r="F248" s="431" t="s">
        <v>2248</v>
      </c>
      <c r="G248" s="431"/>
      <c r="H248" s="431"/>
      <c r="I248" s="431"/>
      <c r="J248" s="3" t="s">
        <v>13</v>
      </c>
      <c r="K248" s="202" t="s">
        <v>29</v>
      </c>
      <c r="L248" s="202" t="s">
        <v>459</v>
      </c>
      <c r="M248" s="3" t="s">
        <v>29</v>
      </c>
      <c r="N248" s="3" t="s">
        <v>38</v>
      </c>
      <c r="O248" s="3" t="s">
        <v>38</v>
      </c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610"/>
    </row>
    <row r="249" spans="1:27" ht="39" customHeight="1" x14ac:dyDescent="0.3">
      <c r="A249" s="413">
        <v>248</v>
      </c>
      <c r="B249" s="397" t="s">
        <v>2229</v>
      </c>
      <c r="C249" s="499"/>
      <c r="D249" s="397"/>
      <c r="E249" s="510" t="s">
        <v>2598</v>
      </c>
      <c r="F249" s="498"/>
      <c r="G249" s="498"/>
      <c r="H249" s="498" t="s">
        <v>2248</v>
      </c>
      <c r="I249" s="498" t="s">
        <v>2248</v>
      </c>
      <c r="J249" s="529" t="s">
        <v>69</v>
      </c>
      <c r="K249" s="529" t="s">
        <v>125</v>
      </c>
      <c r="L249" s="529" t="s">
        <v>125</v>
      </c>
      <c r="M249" s="529" t="s">
        <v>29</v>
      </c>
      <c r="N249" s="529" t="s">
        <v>98</v>
      </c>
      <c r="O249" s="529" t="s">
        <v>125</v>
      </c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</row>
    <row r="250" spans="1:27" ht="39" customHeight="1" x14ac:dyDescent="0.3">
      <c r="A250" s="9">
        <v>249</v>
      </c>
      <c r="B250" s="15" t="s">
        <v>460</v>
      </c>
      <c r="C250" s="489">
        <v>165</v>
      </c>
      <c r="D250" s="15" t="s">
        <v>2435</v>
      </c>
      <c r="E250" s="489" t="s">
        <v>2435</v>
      </c>
      <c r="F250" s="431" t="s">
        <v>2248</v>
      </c>
      <c r="G250" s="431"/>
      <c r="H250" s="431"/>
      <c r="I250" s="431"/>
      <c r="J250" s="3" t="s">
        <v>69</v>
      </c>
      <c r="K250" s="3" t="s">
        <v>125</v>
      </c>
      <c r="L250" s="3" t="s">
        <v>125</v>
      </c>
      <c r="M250" s="3" t="s">
        <v>29</v>
      </c>
      <c r="N250" s="22" t="s">
        <v>98</v>
      </c>
      <c r="O250" s="22" t="s">
        <v>125</v>
      </c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</row>
    <row r="251" spans="1:27" ht="39" customHeight="1" x14ac:dyDescent="0.3">
      <c r="A251" s="9">
        <v>250</v>
      </c>
      <c r="B251" s="15" t="s">
        <v>462</v>
      </c>
      <c r="C251" s="489">
        <v>166</v>
      </c>
      <c r="D251" s="15" t="s">
        <v>2436</v>
      </c>
      <c r="E251" s="489" t="s">
        <v>2436</v>
      </c>
      <c r="F251" s="431" t="s">
        <v>2248</v>
      </c>
      <c r="G251" s="431"/>
      <c r="H251" s="431"/>
      <c r="I251" s="431"/>
      <c r="J251" s="3" t="s">
        <v>69</v>
      </c>
      <c r="K251" s="3" t="s">
        <v>125</v>
      </c>
      <c r="L251" s="3" t="s">
        <v>125</v>
      </c>
      <c r="M251" s="3" t="s">
        <v>29</v>
      </c>
      <c r="N251" s="22" t="s">
        <v>98</v>
      </c>
      <c r="O251" s="22" t="s">
        <v>125</v>
      </c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</row>
    <row r="252" spans="1:27" ht="39" customHeight="1" x14ac:dyDescent="0.3">
      <c r="A252" s="9">
        <v>251</v>
      </c>
      <c r="B252" s="15" t="s">
        <v>464</v>
      </c>
      <c r="C252" s="489">
        <v>167</v>
      </c>
      <c r="D252" s="15" t="s">
        <v>2437</v>
      </c>
      <c r="E252" s="489" t="s">
        <v>2437</v>
      </c>
      <c r="F252" s="431" t="s">
        <v>2248</v>
      </c>
      <c r="G252" s="431"/>
      <c r="H252" s="431"/>
      <c r="I252" s="431"/>
      <c r="J252" s="3" t="s">
        <v>69</v>
      </c>
      <c r="K252" s="3" t="s">
        <v>125</v>
      </c>
      <c r="L252" s="3" t="s">
        <v>125</v>
      </c>
      <c r="M252" s="3" t="s">
        <v>29</v>
      </c>
      <c r="N252" s="22" t="s">
        <v>98</v>
      </c>
      <c r="O252" s="22" t="s">
        <v>125</v>
      </c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</row>
    <row r="253" spans="1:27" ht="39" customHeight="1" x14ac:dyDescent="0.3">
      <c r="A253" s="9">
        <v>252</v>
      </c>
      <c r="B253" s="14" t="s">
        <v>466</v>
      </c>
      <c r="C253" s="489">
        <v>168</v>
      </c>
      <c r="D253" s="14" t="s">
        <v>2438</v>
      </c>
      <c r="E253" s="489" t="s">
        <v>2438</v>
      </c>
      <c r="F253" s="431" t="s">
        <v>2248</v>
      </c>
      <c r="G253" s="431"/>
      <c r="H253" s="431"/>
      <c r="I253" s="431"/>
      <c r="J253" s="3" t="s">
        <v>26</v>
      </c>
      <c r="K253" s="3" t="s">
        <v>31</v>
      </c>
      <c r="L253" s="3" t="s">
        <v>146</v>
      </c>
      <c r="M253" s="3" t="s">
        <v>29</v>
      </c>
      <c r="N253" s="3" t="s">
        <v>30</v>
      </c>
      <c r="O253" s="3" t="s">
        <v>31</v>
      </c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610"/>
    </row>
    <row r="254" spans="1:27" ht="39" customHeight="1" x14ac:dyDescent="0.3">
      <c r="A254" s="9">
        <v>253</v>
      </c>
      <c r="B254" s="15" t="s">
        <v>468</v>
      </c>
      <c r="C254" s="489">
        <v>169</v>
      </c>
      <c r="D254" s="15" t="s">
        <v>2439</v>
      </c>
      <c r="E254" s="489" t="s">
        <v>2439</v>
      </c>
      <c r="F254" s="431" t="s">
        <v>2248</v>
      </c>
      <c r="G254" s="431"/>
      <c r="H254" s="431"/>
      <c r="I254" s="431"/>
      <c r="J254" s="3" t="s">
        <v>69</v>
      </c>
      <c r="K254" s="202" t="s">
        <v>80</v>
      </c>
      <c r="L254" s="202" t="s">
        <v>293</v>
      </c>
      <c r="M254" s="3" t="s">
        <v>29</v>
      </c>
      <c r="N254" s="3" t="s">
        <v>29</v>
      </c>
      <c r="O254" s="3" t="s">
        <v>29</v>
      </c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</row>
    <row r="255" spans="1:27" ht="39" customHeight="1" x14ac:dyDescent="0.3">
      <c r="A255" s="9">
        <v>254</v>
      </c>
      <c r="B255" s="15" t="s">
        <v>470</v>
      </c>
      <c r="C255" s="489">
        <v>170</v>
      </c>
      <c r="D255" s="15" t="s">
        <v>2440</v>
      </c>
      <c r="E255" s="489" t="s">
        <v>2440</v>
      </c>
      <c r="F255" s="431" t="s">
        <v>2248</v>
      </c>
      <c r="G255" s="431"/>
      <c r="H255" s="431"/>
      <c r="I255" s="431"/>
      <c r="J255" s="3" t="s">
        <v>13</v>
      </c>
      <c r="K255" s="3" t="s">
        <v>19</v>
      </c>
      <c r="L255" s="3" t="s">
        <v>357</v>
      </c>
      <c r="M255" s="3" t="s">
        <v>110</v>
      </c>
      <c r="N255" s="3" t="s">
        <v>22</v>
      </c>
      <c r="O255" s="3" t="s">
        <v>23</v>
      </c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</row>
    <row r="256" spans="1:27" ht="39" customHeight="1" x14ac:dyDescent="0.3">
      <c r="A256" s="9">
        <v>255</v>
      </c>
      <c r="B256" s="15" t="s">
        <v>472</v>
      </c>
      <c r="C256" s="489">
        <v>171</v>
      </c>
      <c r="D256" s="15" t="s">
        <v>2441</v>
      </c>
      <c r="E256" s="489" t="s">
        <v>2441</v>
      </c>
      <c r="F256" s="431" t="s">
        <v>2248</v>
      </c>
      <c r="G256" s="431"/>
      <c r="H256" s="431"/>
      <c r="I256" s="431"/>
      <c r="J256" s="3" t="s">
        <v>13</v>
      </c>
      <c r="K256" s="3" t="s">
        <v>19</v>
      </c>
      <c r="L256" s="3" t="s">
        <v>473</v>
      </c>
      <c r="M256" s="3" t="s">
        <v>110</v>
      </c>
      <c r="N256" s="31" t="s">
        <v>250</v>
      </c>
      <c r="O256" s="3" t="s">
        <v>474</v>
      </c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</row>
    <row r="257" spans="1:27" ht="39" customHeight="1" x14ac:dyDescent="0.3">
      <c r="A257" s="9">
        <v>256</v>
      </c>
      <c r="B257" s="422" t="s">
        <v>2230</v>
      </c>
      <c r="C257" s="802">
        <v>172</v>
      </c>
      <c r="D257" s="810" t="s">
        <v>2442</v>
      </c>
      <c r="E257" s="802" t="s">
        <v>2571</v>
      </c>
      <c r="F257" s="808" t="s">
        <v>2248</v>
      </c>
      <c r="G257" s="812" t="s">
        <v>2248</v>
      </c>
      <c r="H257" s="432"/>
      <c r="I257" s="432"/>
      <c r="J257" s="3" t="s">
        <v>69</v>
      </c>
      <c r="K257" s="3" t="s">
        <v>125</v>
      </c>
      <c r="L257" s="3" t="s">
        <v>126</v>
      </c>
      <c r="M257" s="3" t="s">
        <v>29</v>
      </c>
      <c r="N257" s="3" t="s">
        <v>98</v>
      </c>
      <c r="O257" s="3" t="s">
        <v>125</v>
      </c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</row>
    <row r="258" spans="1:27" ht="39" customHeight="1" x14ac:dyDescent="0.3">
      <c r="A258" s="9">
        <v>257</v>
      </c>
      <c r="B258" s="10" t="s">
        <v>2231</v>
      </c>
      <c r="C258" s="803"/>
      <c r="D258" s="811"/>
      <c r="E258" s="803"/>
      <c r="F258" s="809"/>
      <c r="G258" s="813"/>
      <c r="H258" s="432"/>
      <c r="I258" s="432"/>
      <c r="J258" s="3" t="s">
        <v>69</v>
      </c>
      <c r="K258" s="3" t="s">
        <v>125</v>
      </c>
      <c r="L258" s="3" t="s">
        <v>126</v>
      </c>
      <c r="M258" s="3" t="s">
        <v>29</v>
      </c>
      <c r="N258" s="3" t="s">
        <v>98</v>
      </c>
      <c r="O258" s="3" t="s">
        <v>125</v>
      </c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</row>
    <row r="259" spans="1:27" ht="39" customHeight="1" x14ac:dyDescent="0.3">
      <c r="A259" s="20">
        <v>258</v>
      </c>
      <c r="B259" s="559" t="s">
        <v>2232</v>
      </c>
      <c r="C259" s="598">
        <v>173</v>
      </c>
      <c r="D259" s="546" t="s">
        <v>2443</v>
      </c>
      <c r="E259" s="598" t="s">
        <v>2623</v>
      </c>
      <c r="F259" s="814" t="s">
        <v>2248</v>
      </c>
      <c r="G259" s="814" t="s">
        <v>2248</v>
      </c>
      <c r="H259" s="433"/>
      <c r="I259" s="433"/>
      <c r="J259" s="22" t="s">
        <v>69</v>
      </c>
      <c r="K259" s="22" t="s">
        <v>67</v>
      </c>
      <c r="L259" s="22" t="s">
        <v>479</v>
      </c>
      <c r="M259" s="22" t="s">
        <v>29</v>
      </c>
      <c r="N259" s="560" t="s">
        <v>30</v>
      </c>
      <c r="O259" s="560" t="s">
        <v>69</v>
      </c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</row>
    <row r="260" spans="1:27" ht="39" customHeight="1" x14ac:dyDescent="0.3">
      <c r="A260" s="20">
        <v>259</v>
      </c>
      <c r="B260" s="21" t="s">
        <v>2233</v>
      </c>
      <c r="C260" s="199">
        <v>174</v>
      </c>
      <c r="D260" s="596" t="s">
        <v>2469</v>
      </c>
      <c r="E260" s="199" t="s">
        <v>2624</v>
      </c>
      <c r="F260" s="815"/>
      <c r="G260" s="815"/>
      <c r="H260" s="433"/>
      <c r="I260" s="433"/>
      <c r="J260" s="22" t="s">
        <v>69</v>
      </c>
      <c r="K260" s="22" t="s">
        <v>67</v>
      </c>
      <c r="L260" s="22" t="s">
        <v>479</v>
      </c>
      <c r="M260" s="22" t="s">
        <v>29</v>
      </c>
      <c r="N260" s="560" t="s">
        <v>30</v>
      </c>
      <c r="O260" s="560" t="s">
        <v>69</v>
      </c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</row>
    <row r="261" spans="1:27" ht="39" customHeight="1" x14ac:dyDescent="0.3">
      <c r="A261" s="413">
        <v>260</v>
      </c>
      <c r="B261" s="397" t="s">
        <v>2234</v>
      </c>
      <c r="C261" s="499"/>
      <c r="D261" s="397"/>
      <c r="E261" s="510" t="s">
        <v>2599</v>
      </c>
      <c r="F261" s="498"/>
      <c r="G261" s="498"/>
      <c r="H261" s="498" t="s">
        <v>2248</v>
      </c>
      <c r="I261" s="498" t="s">
        <v>2248</v>
      </c>
      <c r="J261" s="529" t="s">
        <v>21</v>
      </c>
      <c r="K261" s="529" t="s">
        <v>42</v>
      </c>
      <c r="L261" s="529" t="s">
        <v>2235</v>
      </c>
      <c r="M261" s="529" t="s">
        <v>110</v>
      </c>
      <c r="N261" s="539" t="s">
        <v>44</v>
      </c>
      <c r="O261" s="539" t="s">
        <v>42</v>
      </c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</row>
    <row r="262" spans="1:27" ht="39" customHeight="1" x14ac:dyDescent="0.3">
      <c r="A262" s="9">
        <v>261</v>
      </c>
      <c r="B262" s="15" t="s">
        <v>481</v>
      </c>
      <c r="C262" s="489">
        <v>175</v>
      </c>
      <c r="D262" s="15" t="s">
        <v>2444</v>
      </c>
      <c r="E262" s="489" t="s">
        <v>2444</v>
      </c>
      <c r="F262" s="431" t="s">
        <v>2248</v>
      </c>
      <c r="G262" s="431"/>
      <c r="H262" s="431"/>
      <c r="I262" s="431"/>
      <c r="J262" s="22" t="s">
        <v>69</v>
      </c>
      <c r="K262" s="220" t="s">
        <v>483</v>
      </c>
      <c r="L262" s="220" t="s">
        <v>310</v>
      </c>
      <c r="M262" s="22" t="s">
        <v>29</v>
      </c>
      <c r="N262" s="22" t="s">
        <v>30</v>
      </c>
      <c r="O262" s="22" t="s">
        <v>69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</row>
    <row r="263" spans="1:27" ht="39" customHeight="1" x14ac:dyDescent="0.3">
      <c r="A263" s="9">
        <v>262</v>
      </c>
      <c r="B263" s="10" t="s">
        <v>2236</v>
      </c>
      <c r="C263" s="802">
        <v>176</v>
      </c>
      <c r="D263" s="804" t="s">
        <v>2445</v>
      </c>
      <c r="E263" s="806" t="s">
        <v>2572</v>
      </c>
      <c r="F263" s="808" t="s">
        <v>2248</v>
      </c>
      <c r="G263" s="808" t="s">
        <v>2248</v>
      </c>
      <c r="H263" s="431"/>
      <c r="I263" s="431"/>
      <c r="J263" s="3" t="s">
        <v>13</v>
      </c>
      <c r="K263" s="3" t="s">
        <v>29</v>
      </c>
      <c r="L263" s="3" t="s">
        <v>154</v>
      </c>
      <c r="M263" s="3" t="s">
        <v>29</v>
      </c>
      <c r="N263" s="3" t="s">
        <v>38</v>
      </c>
      <c r="O263" s="3" t="s">
        <v>38</v>
      </c>
      <c r="P263" s="536"/>
      <c r="Q263" s="536"/>
      <c r="R263" s="536"/>
      <c r="S263" s="536"/>
      <c r="T263" s="536"/>
      <c r="U263" s="536"/>
      <c r="V263" s="536"/>
      <c r="W263" s="536"/>
      <c r="X263" s="536"/>
      <c r="Y263" s="536"/>
      <c r="Z263" s="536"/>
      <c r="AA263" s="536"/>
    </row>
    <row r="264" spans="1:27" ht="39" customHeight="1" x14ac:dyDescent="0.3">
      <c r="A264" s="215">
        <v>263</v>
      </c>
      <c r="B264" s="601" t="s">
        <v>2237</v>
      </c>
      <c r="C264" s="803"/>
      <c r="D264" s="805"/>
      <c r="E264" s="807"/>
      <c r="F264" s="809"/>
      <c r="G264" s="809"/>
      <c r="H264" s="431"/>
      <c r="I264" s="431"/>
      <c r="J264" s="3" t="s">
        <v>13</v>
      </c>
      <c r="K264" s="3" t="s">
        <v>29</v>
      </c>
      <c r="L264" s="3" t="s">
        <v>154</v>
      </c>
      <c r="M264" s="3" t="s">
        <v>29</v>
      </c>
      <c r="N264" s="3" t="s">
        <v>38</v>
      </c>
      <c r="O264" s="3" t="s">
        <v>38</v>
      </c>
      <c r="P264" s="536"/>
      <c r="Q264" s="536"/>
      <c r="R264" s="536"/>
      <c r="S264" s="536"/>
      <c r="T264" s="536"/>
      <c r="U264" s="536"/>
      <c r="V264" s="536"/>
      <c r="W264" s="536"/>
      <c r="X264" s="536"/>
      <c r="Y264" s="536"/>
      <c r="Z264" s="536"/>
      <c r="AA264" s="536"/>
    </row>
    <row r="265" spans="1:27" ht="39" customHeight="1" x14ac:dyDescent="0.3">
      <c r="A265" s="413">
        <v>264</v>
      </c>
      <c r="B265" s="530" t="s">
        <v>2238</v>
      </c>
      <c r="C265" s="531"/>
      <c r="D265" s="397"/>
      <c r="E265" s="510" t="s">
        <v>2599</v>
      </c>
      <c r="F265" s="498"/>
      <c r="G265" s="498"/>
      <c r="H265" s="498" t="s">
        <v>2248</v>
      </c>
      <c r="I265" s="498" t="s">
        <v>2248</v>
      </c>
      <c r="J265" s="529" t="s">
        <v>13</v>
      </c>
      <c r="K265" s="529" t="s">
        <v>19</v>
      </c>
      <c r="L265" s="529" t="s">
        <v>362</v>
      </c>
      <c r="M265" s="529" t="s">
        <v>110</v>
      </c>
      <c r="N265" s="539" t="s">
        <v>29</v>
      </c>
      <c r="O265" s="539" t="s">
        <v>341</v>
      </c>
      <c r="P265" s="610"/>
      <c r="Q265" s="610"/>
      <c r="R265" s="610"/>
      <c r="S265" s="610"/>
      <c r="T265" s="610"/>
      <c r="U265" s="610"/>
      <c r="V265" s="610"/>
      <c r="W265" s="610"/>
      <c r="X265" s="610"/>
      <c r="Y265" s="610"/>
      <c r="Z265" s="610"/>
      <c r="AA265" s="610"/>
    </row>
    <row r="266" spans="1:27" ht="39" customHeight="1" x14ac:dyDescent="0.3">
      <c r="A266" s="9">
        <v>265</v>
      </c>
      <c r="C266" s="486"/>
      <c r="E266" s="322"/>
    </row>
    <row r="267" spans="1:27" ht="39" customHeight="1" x14ac:dyDescent="0.3"/>
  </sheetData>
  <mergeCells count="262">
    <mergeCell ref="A1:O2"/>
    <mergeCell ref="C10:C11"/>
    <mergeCell ref="D10:D11"/>
    <mergeCell ref="E10:E11"/>
    <mergeCell ref="F10:F11"/>
    <mergeCell ref="G10:G11"/>
    <mergeCell ref="H10:H11"/>
    <mergeCell ref="H28:H31"/>
    <mergeCell ref="I28:I31"/>
    <mergeCell ref="C24:C25"/>
    <mergeCell ref="D24:D25"/>
    <mergeCell ref="E24:E25"/>
    <mergeCell ref="F24:F25"/>
    <mergeCell ref="G24:G25"/>
    <mergeCell ref="D28:D31"/>
    <mergeCell ref="E28:E31"/>
    <mergeCell ref="F28:F31"/>
    <mergeCell ref="G28:G31"/>
    <mergeCell ref="R3:S3"/>
    <mergeCell ref="V3:X3"/>
    <mergeCell ref="Y3:AA3"/>
    <mergeCell ref="C16:C17"/>
    <mergeCell ref="D16:D17"/>
    <mergeCell ref="E16:E17"/>
    <mergeCell ref="F16:F17"/>
    <mergeCell ref="G16:G17"/>
    <mergeCell ref="I10:I11"/>
    <mergeCell ref="I38:I39"/>
    <mergeCell ref="C41:C42"/>
    <mergeCell ref="D41:D42"/>
    <mergeCell ref="E41:E42"/>
    <mergeCell ref="F41:F42"/>
    <mergeCell ref="G41:G42"/>
    <mergeCell ref="H41:H42"/>
    <mergeCell ref="I41:I42"/>
    <mergeCell ref="C38:C39"/>
    <mergeCell ref="D38:D39"/>
    <mergeCell ref="E38:E39"/>
    <mergeCell ref="F38:F39"/>
    <mergeCell ref="G38:G39"/>
    <mergeCell ref="H38:H39"/>
    <mergeCell ref="I43:I44"/>
    <mergeCell ref="C43:C44"/>
    <mergeCell ref="D43:D44"/>
    <mergeCell ref="E43:E44"/>
    <mergeCell ref="F43:F44"/>
    <mergeCell ref="G43:G44"/>
    <mergeCell ref="H43:H44"/>
    <mergeCell ref="W70:W71"/>
    <mergeCell ref="X70:X71"/>
    <mergeCell ref="D59:D60"/>
    <mergeCell ref="C59:C60"/>
    <mergeCell ref="F59:F60"/>
    <mergeCell ref="G59:G60"/>
    <mergeCell ref="H59:H60"/>
    <mergeCell ref="I59:I60"/>
    <mergeCell ref="Y70:Y71"/>
    <mergeCell ref="Z70:Z71"/>
    <mergeCell ref="AA70:AA71"/>
    <mergeCell ref="C76:C77"/>
    <mergeCell ref="D76:D77"/>
    <mergeCell ref="E76:E77"/>
    <mergeCell ref="F76:F77"/>
    <mergeCell ref="G76:G77"/>
    <mergeCell ref="Q70:Q71"/>
    <mergeCell ref="R70:R71"/>
    <mergeCell ref="S70:S71"/>
    <mergeCell ref="T70:T71"/>
    <mergeCell ref="U70:U71"/>
    <mergeCell ref="V70:V71"/>
    <mergeCell ref="C70:C71"/>
    <mergeCell ref="D70:D71"/>
    <mergeCell ref="E70:E71"/>
    <mergeCell ref="F70:F71"/>
    <mergeCell ref="G70:G71"/>
    <mergeCell ref="P70:P71"/>
    <mergeCell ref="P76:P77"/>
    <mergeCell ref="Q76:Q77"/>
    <mergeCell ref="R76:R77"/>
    <mergeCell ref="S76:S77"/>
    <mergeCell ref="T76:T77"/>
    <mergeCell ref="P82:P84"/>
    <mergeCell ref="Q82:Q84"/>
    <mergeCell ref="R82:R84"/>
    <mergeCell ref="S82:S84"/>
    <mergeCell ref="I90:I91"/>
    <mergeCell ref="C92:C93"/>
    <mergeCell ref="D92:D93"/>
    <mergeCell ref="E92:E93"/>
    <mergeCell ref="F92:F93"/>
    <mergeCell ref="G92:G93"/>
    <mergeCell ref="H92:H93"/>
    <mergeCell ref="I92:I93"/>
    <mergeCell ref="C90:C91"/>
    <mergeCell ref="D90:D91"/>
    <mergeCell ref="E90:E91"/>
    <mergeCell ref="F90:F91"/>
    <mergeCell ref="G90:G91"/>
    <mergeCell ref="H90:H91"/>
    <mergeCell ref="C96:C97"/>
    <mergeCell ref="D96:D97"/>
    <mergeCell ref="E96:E97"/>
    <mergeCell ref="F96:F97"/>
    <mergeCell ref="G96:G97"/>
    <mergeCell ref="C100:C101"/>
    <mergeCell ref="D100:D101"/>
    <mergeCell ref="E100:E101"/>
    <mergeCell ref="F100:F101"/>
    <mergeCell ref="G100:G101"/>
    <mergeCell ref="C106:C107"/>
    <mergeCell ref="D106:D107"/>
    <mergeCell ref="E106:E107"/>
    <mergeCell ref="F106:F107"/>
    <mergeCell ref="G106:G107"/>
    <mergeCell ref="C111:C112"/>
    <mergeCell ref="D111:D112"/>
    <mergeCell ref="E111:E112"/>
    <mergeCell ref="F111:F112"/>
    <mergeCell ref="G111:G112"/>
    <mergeCell ref="H111:H112"/>
    <mergeCell ref="I111:I112"/>
    <mergeCell ref="C113:C114"/>
    <mergeCell ref="D113:D114"/>
    <mergeCell ref="E113:E114"/>
    <mergeCell ref="F113:F114"/>
    <mergeCell ref="G113:G114"/>
    <mergeCell ref="H113:H114"/>
    <mergeCell ref="I113:I114"/>
    <mergeCell ref="I115:I116"/>
    <mergeCell ref="C118:C119"/>
    <mergeCell ref="D118:D119"/>
    <mergeCell ref="E118:E119"/>
    <mergeCell ref="F118:F119"/>
    <mergeCell ref="G118:G119"/>
    <mergeCell ref="H118:H119"/>
    <mergeCell ref="I118:I119"/>
    <mergeCell ref="C115:C116"/>
    <mergeCell ref="D115:D116"/>
    <mergeCell ref="E115:E116"/>
    <mergeCell ref="F115:F116"/>
    <mergeCell ref="G115:G116"/>
    <mergeCell ref="H115:H116"/>
    <mergeCell ref="S127:S128"/>
    <mergeCell ref="C130:C131"/>
    <mergeCell ref="D130:D131"/>
    <mergeCell ref="E130:E131"/>
    <mergeCell ref="F130:F131"/>
    <mergeCell ref="G130:G131"/>
    <mergeCell ref="H130:H131"/>
    <mergeCell ref="I130:I131"/>
    <mergeCell ref="C121:C122"/>
    <mergeCell ref="D121:D122"/>
    <mergeCell ref="E121:E122"/>
    <mergeCell ref="F121:F122"/>
    <mergeCell ref="G121:G122"/>
    <mergeCell ref="R127:R128"/>
    <mergeCell ref="C141:C142"/>
    <mergeCell ref="D141:D142"/>
    <mergeCell ref="E141:E142"/>
    <mergeCell ref="F141:F142"/>
    <mergeCell ref="G141:G142"/>
    <mergeCell ref="D145:D146"/>
    <mergeCell ref="E145:E146"/>
    <mergeCell ref="F145:F146"/>
    <mergeCell ref="G145:G146"/>
    <mergeCell ref="A172:A173"/>
    <mergeCell ref="B172:B173"/>
    <mergeCell ref="P172:P173"/>
    <mergeCell ref="Q172:Q173"/>
    <mergeCell ref="R172:R173"/>
    <mergeCell ref="S172:S173"/>
    <mergeCell ref="C148:C149"/>
    <mergeCell ref="D148:D149"/>
    <mergeCell ref="E148:E149"/>
    <mergeCell ref="F148:F149"/>
    <mergeCell ref="G148:G149"/>
    <mergeCell ref="C151:C152"/>
    <mergeCell ref="D151:D152"/>
    <mergeCell ref="E151:E152"/>
    <mergeCell ref="F151:F152"/>
    <mergeCell ref="G151:G152"/>
    <mergeCell ref="Z172:Z173"/>
    <mergeCell ref="AA172:AA173"/>
    <mergeCell ref="C177:C178"/>
    <mergeCell ref="D177:D178"/>
    <mergeCell ref="E177:E178"/>
    <mergeCell ref="F177:F178"/>
    <mergeCell ref="G177:G178"/>
    <mergeCell ref="T172:T173"/>
    <mergeCell ref="U172:U173"/>
    <mergeCell ref="V172:V173"/>
    <mergeCell ref="W172:W173"/>
    <mergeCell ref="X172:X173"/>
    <mergeCell ref="Y172:Y173"/>
    <mergeCell ref="C180:C182"/>
    <mergeCell ref="D180:D182"/>
    <mergeCell ref="E180:E182"/>
    <mergeCell ref="F180:F182"/>
    <mergeCell ref="G180:G182"/>
    <mergeCell ref="C184:C185"/>
    <mergeCell ref="D184:D185"/>
    <mergeCell ref="E184:E185"/>
    <mergeCell ref="F184:F185"/>
    <mergeCell ref="G184:G185"/>
    <mergeCell ref="C198:C200"/>
    <mergeCell ref="D198:D200"/>
    <mergeCell ref="E198:E200"/>
    <mergeCell ref="F198:F200"/>
    <mergeCell ref="G198:G200"/>
    <mergeCell ref="C207:C208"/>
    <mergeCell ref="D207:D208"/>
    <mergeCell ref="E207:E208"/>
    <mergeCell ref="F207:F208"/>
    <mergeCell ref="G207:G208"/>
    <mergeCell ref="C232:C233"/>
    <mergeCell ref="D232:D233"/>
    <mergeCell ref="E232:E233"/>
    <mergeCell ref="F232:F233"/>
    <mergeCell ref="C234:C236"/>
    <mergeCell ref="D234:D236"/>
    <mergeCell ref="E234:E236"/>
    <mergeCell ref="F234:F236"/>
    <mergeCell ref="G234:G236"/>
    <mergeCell ref="D237:D238"/>
    <mergeCell ref="E237:E238"/>
    <mergeCell ref="F237:F238"/>
    <mergeCell ref="G237:G238"/>
    <mergeCell ref="H237:H238"/>
    <mergeCell ref="I237:I238"/>
    <mergeCell ref="C240:C241"/>
    <mergeCell ref="D240:D241"/>
    <mergeCell ref="E240:E241"/>
    <mergeCell ref="F240:F241"/>
    <mergeCell ref="G240:G241"/>
    <mergeCell ref="H240:H241"/>
    <mergeCell ref="I240:I241"/>
    <mergeCell ref="I242:I243"/>
    <mergeCell ref="C245:C246"/>
    <mergeCell ref="D245:D246"/>
    <mergeCell ref="E245:E246"/>
    <mergeCell ref="F245:F246"/>
    <mergeCell ref="G245:G246"/>
    <mergeCell ref="H245:H246"/>
    <mergeCell ref="I245:I246"/>
    <mergeCell ref="C242:C243"/>
    <mergeCell ref="D242:D243"/>
    <mergeCell ref="E242:E243"/>
    <mergeCell ref="F242:F243"/>
    <mergeCell ref="G242:G243"/>
    <mergeCell ref="H242:H243"/>
    <mergeCell ref="C263:C264"/>
    <mergeCell ref="D263:D264"/>
    <mergeCell ref="E263:E264"/>
    <mergeCell ref="F263:F264"/>
    <mergeCell ref="G263:G264"/>
    <mergeCell ref="C257:C258"/>
    <mergeCell ref="D257:D258"/>
    <mergeCell ref="E257:E258"/>
    <mergeCell ref="F257:F258"/>
    <mergeCell ref="G257:G258"/>
    <mergeCell ref="F259:F260"/>
    <mergeCell ref="G259:G260"/>
  </mergeCells>
  <phoneticPr fontId="5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7"/>
  <sheetViews>
    <sheetView workbookViewId="0">
      <selection activeCell="B3" sqref="B3"/>
    </sheetView>
  </sheetViews>
  <sheetFormatPr defaultRowHeight="14.4" x14ac:dyDescent="0.3"/>
  <cols>
    <col min="1" max="1" width="5.6640625" customWidth="1"/>
    <col min="2" max="2" width="40.88671875" customWidth="1"/>
    <col min="3" max="3" width="35.88671875" customWidth="1"/>
    <col min="4" max="5" width="0" hidden="1" customWidth="1"/>
    <col min="6" max="6" width="8.5546875" customWidth="1"/>
    <col min="7" max="7" width="42.109375" customWidth="1"/>
    <col min="8" max="8" width="17" customWidth="1"/>
    <col min="9" max="9" width="16.44140625" customWidth="1"/>
    <col min="10" max="10" width="21.5546875" customWidth="1"/>
    <col min="11" max="13" width="20.5546875" customWidth="1"/>
    <col min="14" max="14" width="38.109375" customWidth="1"/>
  </cols>
  <sheetData>
    <row r="1" spans="1:14" x14ac:dyDescent="0.3">
      <c r="A1" s="864" t="s">
        <v>2085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</row>
    <row r="2" spans="1:14" x14ac:dyDescent="0.3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</row>
    <row r="3" spans="1:14" ht="30" customHeight="1" x14ac:dyDescent="0.3">
      <c r="A3" s="441" t="s">
        <v>0</v>
      </c>
      <c r="B3" s="441" t="s">
        <v>1</v>
      </c>
      <c r="C3" s="441" t="s">
        <v>2241</v>
      </c>
      <c r="D3" s="441" t="s">
        <v>2</v>
      </c>
      <c r="E3" s="441"/>
      <c r="F3" s="441"/>
      <c r="G3" s="441" t="s">
        <v>2242</v>
      </c>
      <c r="H3" s="467" t="s">
        <v>4</v>
      </c>
      <c r="I3" s="467" t="s">
        <v>5</v>
      </c>
      <c r="J3" s="467" t="s">
        <v>6</v>
      </c>
      <c r="K3" s="467" t="s">
        <v>7</v>
      </c>
      <c r="L3" s="467" t="s">
        <v>8</v>
      </c>
      <c r="M3" s="467" t="s">
        <v>9</v>
      </c>
      <c r="N3" s="441" t="s">
        <v>2086</v>
      </c>
    </row>
    <row r="4" spans="1:14" ht="27.6" x14ac:dyDescent="0.3">
      <c r="A4" s="3">
        <v>1</v>
      </c>
      <c r="B4" s="2" t="s">
        <v>10</v>
      </c>
      <c r="C4" s="442" t="s">
        <v>11</v>
      </c>
      <c r="D4" s="3">
        <v>1</v>
      </c>
      <c r="E4" s="3" t="s">
        <v>12</v>
      </c>
      <c r="F4" s="3">
        <v>1</v>
      </c>
      <c r="G4" s="443"/>
      <c r="H4" s="423" t="s">
        <v>13</v>
      </c>
      <c r="I4" s="423" t="s">
        <v>14</v>
      </c>
      <c r="J4" s="423" t="s">
        <v>15</v>
      </c>
      <c r="K4" s="423" t="s">
        <v>14</v>
      </c>
      <c r="L4" s="423" t="s">
        <v>14</v>
      </c>
      <c r="M4" s="423" t="s">
        <v>16</v>
      </c>
      <c r="N4" s="1"/>
    </row>
    <row r="5" spans="1:14" ht="27.6" x14ac:dyDescent="0.3">
      <c r="A5" s="4">
        <v>2</v>
      </c>
      <c r="B5" s="5" t="s">
        <v>17</v>
      </c>
      <c r="C5" s="6" t="s">
        <v>18</v>
      </c>
      <c r="D5" s="7">
        <v>2</v>
      </c>
      <c r="E5" s="381" t="s">
        <v>12</v>
      </c>
      <c r="F5" s="381">
        <v>2</v>
      </c>
      <c r="G5" s="444"/>
      <c r="H5" s="445" t="s">
        <v>13</v>
      </c>
      <c r="I5" s="424" t="s">
        <v>19</v>
      </c>
      <c r="J5" s="427" t="s">
        <v>20</v>
      </c>
      <c r="K5" s="427" t="s">
        <v>21</v>
      </c>
      <c r="L5" s="427" t="s">
        <v>22</v>
      </c>
      <c r="M5" s="427" t="s">
        <v>23</v>
      </c>
      <c r="N5" s="446"/>
    </row>
    <row r="6" spans="1:14" ht="27.6" x14ac:dyDescent="0.3">
      <c r="A6" s="9">
        <v>3</v>
      </c>
      <c r="B6" s="10" t="s">
        <v>24</v>
      </c>
      <c r="C6" s="11" t="s">
        <v>2447</v>
      </c>
      <c r="D6" s="3">
        <v>3</v>
      </c>
      <c r="E6" s="3" t="s">
        <v>12</v>
      </c>
      <c r="F6" s="3">
        <v>3</v>
      </c>
      <c r="G6" s="447"/>
      <c r="H6" s="423" t="s">
        <v>26</v>
      </c>
      <c r="I6" s="420" t="s">
        <v>27</v>
      </c>
      <c r="J6" s="412" t="s">
        <v>28</v>
      </c>
      <c r="K6" s="412" t="s">
        <v>29</v>
      </c>
      <c r="L6" s="412" t="s">
        <v>30</v>
      </c>
      <c r="M6" s="412" t="s">
        <v>31</v>
      </c>
      <c r="N6" s="405"/>
    </row>
    <row r="7" spans="1:14" ht="41.4" x14ac:dyDescent="0.3">
      <c r="A7" s="9"/>
      <c r="B7" s="12" t="s">
        <v>32</v>
      </c>
      <c r="C7" s="13" t="s">
        <v>33</v>
      </c>
      <c r="D7" s="7">
        <v>4</v>
      </c>
      <c r="E7" s="3" t="s">
        <v>12</v>
      </c>
      <c r="F7" s="381">
        <v>4</v>
      </c>
      <c r="G7" s="381"/>
      <c r="H7" s="423" t="s">
        <v>26</v>
      </c>
      <c r="I7" s="420" t="s">
        <v>27</v>
      </c>
      <c r="J7" s="412" t="s">
        <v>891</v>
      </c>
      <c r="K7" s="412" t="s">
        <v>29</v>
      </c>
      <c r="L7" s="412" t="s">
        <v>30</v>
      </c>
      <c r="M7" s="412" t="s">
        <v>31</v>
      </c>
      <c r="N7" s="405"/>
    </row>
    <row r="8" spans="1:14" ht="27.6" x14ac:dyDescent="0.3">
      <c r="A8" s="9"/>
      <c r="B8" s="12" t="s">
        <v>35</v>
      </c>
      <c r="C8" s="13" t="s">
        <v>36</v>
      </c>
      <c r="D8" s="3">
        <v>5</v>
      </c>
      <c r="E8" s="3" t="s">
        <v>12</v>
      </c>
      <c r="F8" s="448">
        <v>5</v>
      </c>
      <c r="G8" s="3"/>
      <c r="H8" s="423" t="s">
        <v>26</v>
      </c>
      <c r="I8" s="420" t="s">
        <v>31</v>
      </c>
      <c r="J8" s="412" t="s">
        <v>37</v>
      </c>
      <c r="K8" s="412" t="s">
        <v>29</v>
      </c>
      <c r="L8" s="412" t="s">
        <v>38</v>
      </c>
      <c r="M8" s="412" t="s">
        <v>39</v>
      </c>
      <c r="N8" s="405"/>
    </row>
    <row r="9" spans="1:14" ht="27.6" x14ac:dyDescent="0.3">
      <c r="A9" s="9"/>
      <c r="B9" s="12" t="s">
        <v>40</v>
      </c>
      <c r="C9" s="13" t="s">
        <v>41</v>
      </c>
      <c r="D9" s="7">
        <v>6</v>
      </c>
      <c r="E9" s="3" t="s">
        <v>12</v>
      </c>
      <c r="F9" s="381">
        <v>6</v>
      </c>
      <c r="G9" s="449"/>
      <c r="H9" s="423" t="s">
        <v>21</v>
      </c>
      <c r="I9" s="420" t="s">
        <v>42</v>
      </c>
      <c r="J9" s="412" t="s">
        <v>43</v>
      </c>
      <c r="K9" s="412" t="s">
        <v>21</v>
      </c>
      <c r="L9" s="412" t="s">
        <v>44</v>
      </c>
      <c r="M9" s="412" t="s">
        <v>42</v>
      </c>
      <c r="N9" s="405"/>
    </row>
    <row r="10" spans="1:14" ht="27.6" x14ac:dyDescent="0.3">
      <c r="A10" s="9"/>
      <c r="B10" s="12" t="s">
        <v>45</v>
      </c>
      <c r="C10" s="13" t="s">
        <v>46</v>
      </c>
      <c r="D10" s="3">
        <v>7</v>
      </c>
      <c r="E10" s="3" t="s">
        <v>12</v>
      </c>
      <c r="F10" s="3">
        <v>7</v>
      </c>
      <c r="G10" s="3"/>
      <c r="H10" s="423" t="s">
        <v>13</v>
      </c>
      <c r="I10" s="420" t="s">
        <v>19</v>
      </c>
      <c r="J10" s="412" t="s">
        <v>20</v>
      </c>
      <c r="K10" s="412" t="s">
        <v>21</v>
      </c>
      <c r="L10" s="412" t="s">
        <v>22</v>
      </c>
      <c r="M10" s="412" t="s">
        <v>23</v>
      </c>
      <c r="N10" s="405"/>
    </row>
    <row r="11" spans="1:14" ht="27.6" x14ac:dyDescent="0.3">
      <c r="A11" s="9"/>
      <c r="B11" s="14" t="s">
        <v>47</v>
      </c>
      <c r="C11" s="13" t="s">
        <v>48</v>
      </c>
      <c r="D11" s="7">
        <v>8</v>
      </c>
      <c r="E11" s="3" t="s">
        <v>12</v>
      </c>
      <c r="F11" s="450">
        <v>8</v>
      </c>
      <c r="G11" s="381"/>
      <c r="H11" s="423" t="s">
        <v>21</v>
      </c>
      <c r="I11" s="420" t="s">
        <v>49</v>
      </c>
      <c r="J11" s="412" t="s">
        <v>50</v>
      </c>
      <c r="K11" s="412" t="s">
        <v>21</v>
      </c>
      <c r="L11" s="412" t="s">
        <v>21</v>
      </c>
      <c r="M11" s="412" t="s">
        <v>51</v>
      </c>
      <c r="N11" s="405"/>
    </row>
    <row r="12" spans="1:14" ht="27.6" x14ac:dyDescent="0.3">
      <c r="A12" s="9"/>
      <c r="B12" s="12" t="s">
        <v>52</v>
      </c>
      <c r="C12" s="13" t="s">
        <v>53</v>
      </c>
      <c r="D12" s="3">
        <v>9</v>
      </c>
      <c r="E12" s="3" t="s">
        <v>12</v>
      </c>
      <c r="F12" s="448">
        <v>9</v>
      </c>
      <c r="G12" s="3"/>
      <c r="H12" s="423" t="s">
        <v>21</v>
      </c>
      <c r="I12" s="420" t="s">
        <v>49</v>
      </c>
      <c r="J12" s="412" t="s">
        <v>50</v>
      </c>
      <c r="K12" s="412" t="s">
        <v>21</v>
      </c>
      <c r="L12" s="412" t="s">
        <v>21</v>
      </c>
      <c r="M12" s="412" t="s">
        <v>51</v>
      </c>
      <c r="N12" s="405"/>
    </row>
    <row r="13" spans="1:14" ht="27.6" x14ac:dyDescent="0.3">
      <c r="A13" s="9"/>
      <c r="B13" s="12" t="s">
        <v>2448</v>
      </c>
      <c r="C13" s="13" t="s">
        <v>54</v>
      </c>
      <c r="D13" s="7">
        <v>10</v>
      </c>
      <c r="E13" s="3" t="s">
        <v>12</v>
      </c>
      <c r="F13" s="381">
        <v>10</v>
      </c>
      <c r="G13" s="444"/>
      <c r="H13" s="423" t="s">
        <v>26</v>
      </c>
      <c r="I13" s="420" t="s">
        <v>31</v>
      </c>
      <c r="J13" s="412" t="s">
        <v>2096</v>
      </c>
      <c r="K13" s="412" t="s">
        <v>29</v>
      </c>
      <c r="L13" s="412" t="s">
        <v>30</v>
      </c>
      <c r="M13" s="412" t="s">
        <v>31</v>
      </c>
      <c r="N13" s="405"/>
    </row>
    <row r="14" spans="1:14" ht="27.6" x14ac:dyDescent="0.3">
      <c r="A14" s="9"/>
      <c r="B14" s="10" t="s">
        <v>56</v>
      </c>
      <c r="C14" s="11" t="s">
        <v>57</v>
      </c>
      <c r="D14" s="3">
        <v>11</v>
      </c>
      <c r="E14" s="3" t="s">
        <v>12</v>
      </c>
      <c r="F14" s="3">
        <v>11</v>
      </c>
      <c r="G14" s="451"/>
      <c r="H14" s="423" t="s">
        <v>26</v>
      </c>
      <c r="I14" s="420" t="s">
        <v>27</v>
      </c>
      <c r="J14" s="412" t="s">
        <v>2098</v>
      </c>
      <c r="K14" s="412" t="s">
        <v>29</v>
      </c>
      <c r="L14" s="412" t="s">
        <v>30</v>
      </c>
      <c r="M14" s="412" t="s">
        <v>31</v>
      </c>
      <c r="N14" s="405"/>
    </row>
    <row r="15" spans="1:14" ht="31.5" customHeight="1" x14ac:dyDescent="0.3">
      <c r="A15" s="9"/>
      <c r="B15" s="14" t="s">
        <v>58</v>
      </c>
      <c r="C15" s="452" t="s">
        <v>2259</v>
      </c>
      <c r="D15" s="7">
        <v>12</v>
      </c>
      <c r="E15" s="3" t="s">
        <v>12</v>
      </c>
      <c r="F15" s="381">
        <v>12</v>
      </c>
      <c r="G15" s="444"/>
      <c r="H15" s="423" t="s">
        <v>13</v>
      </c>
      <c r="I15" s="420" t="s">
        <v>14</v>
      </c>
      <c r="J15" s="412" t="s">
        <v>15</v>
      </c>
      <c r="K15" s="412" t="s">
        <v>14</v>
      </c>
      <c r="L15" s="412" t="s">
        <v>14</v>
      </c>
      <c r="M15" s="412" t="s">
        <v>15</v>
      </c>
      <c r="N15" s="405"/>
    </row>
    <row r="16" spans="1:14" ht="27.6" x14ac:dyDescent="0.3">
      <c r="A16" s="9"/>
      <c r="B16" s="10" t="s">
        <v>59</v>
      </c>
      <c r="C16" s="11" t="s">
        <v>60</v>
      </c>
      <c r="D16" s="3">
        <v>13</v>
      </c>
      <c r="E16" s="3" t="s">
        <v>12</v>
      </c>
      <c r="F16" s="3">
        <v>13</v>
      </c>
      <c r="G16" s="443"/>
      <c r="H16" s="423" t="s">
        <v>13</v>
      </c>
      <c r="I16" s="420" t="s">
        <v>29</v>
      </c>
      <c r="J16" s="412" t="s">
        <v>313</v>
      </c>
      <c r="K16" s="412" t="s">
        <v>29</v>
      </c>
      <c r="L16" s="412" t="s">
        <v>29</v>
      </c>
      <c r="M16" s="412" t="s">
        <v>29</v>
      </c>
      <c r="N16" s="405"/>
    </row>
    <row r="17" spans="1:14" ht="27.6" x14ac:dyDescent="0.3">
      <c r="A17" s="9"/>
      <c r="B17" s="10" t="s">
        <v>61</v>
      </c>
      <c r="C17" s="11" t="s">
        <v>62</v>
      </c>
      <c r="D17" s="7">
        <v>14</v>
      </c>
      <c r="E17" s="3" t="s">
        <v>12</v>
      </c>
      <c r="F17" s="381">
        <v>14</v>
      </c>
      <c r="G17" s="444"/>
      <c r="H17" s="423" t="s">
        <v>26</v>
      </c>
      <c r="I17" s="420" t="s">
        <v>30</v>
      </c>
      <c r="J17" s="412" t="s">
        <v>430</v>
      </c>
      <c r="K17" s="412" t="s">
        <v>29</v>
      </c>
      <c r="L17" s="412" t="s">
        <v>30</v>
      </c>
      <c r="M17" s="412" t="s">
        <v>30</v>
      </c>
      <c r="N17" s="405"/>
    </row>
    <row r="18" spans="1:14" ht="41.4" x14ac:dyDescent="0.3">
      <c r="A18" s="9"/>
      <c r="B18" s="15" t="s">
        <v>64</v>
      </c>
      <c r="C18" s="11" t="s">
        <v>65</v>
      </c>
      <c r="D18" s="3">
        <v>15</v>
      </c>
      <c r="E18" s="3" t="s">
        <v>12</v>
      </c>
      <c r="F18" s="448">
        <v>15</v>
      </c>
      <c r="G18" s="3"/>
      <c r="H18" s="423" t="s">
        <v>66</v>
      </c>
      <c r="I18" s="420" t="s">
        <v>67</v>
      </c>
      <c r="J18" s="412" t="s">
        <v>68</v>
      </c>
      <c r="K18" s="412" t="s">
        <v>29</v>
      </c>
      <c r="L18" s="412"/>
      <c r="M18" s="412"/>
      <c r="N18" s="405"/>
    </row>
    <row r="19" spans="1:14" ht="27.6" x14ac:dyDescent="0.3">
      <c r="A19" s="9"/>
      <c r="B19" s="15" t="s">
        <v>70</v>
      </c>
      <c r="C19" s="11" t="s">
        <v>71</v>
      </c>
      <c r="D19" s="7">
        <v>16</v>
      </c>
      <c r="E19" s="3" t="s">
        <v>12</v>
      </c>
      <c r="F19" s="450">
        <v>16</v>
      </c>
      <c r="G19" s="381"/>
      <c r="H19" s="423" t="s">
        <v>66</v>
      </c>
      <c r="I19" s="420" t="s">
        <v>67</v>
      </c>
      <c r="J19" s="412" t="s">
        <v>68</v>
      </c>
      <c r="K19" s="412" t="s">
        <v>29</v>
      </c>
      <c r="L19" s="412"/>
      <c r="M19" s="412"/>
      <c r="N19" s="405"/>
    </row>
    <row r="20" spans="1:14" ht="27.6" x14ac:dyDescent="0.3">
      <c r="A20" s="9"/>
      <c r="B20" s="12" t="s">
        <v>72</v>
      </c>
      <c r="C20" s="13" t="s">
        <v>2263</v>
      </c>
      <c r="D20" s="3">
        <v>17</v>
      </c>
      <c r="E20" s="3" t="s">
        <v>12</v>
      </c>
      <c r="F20" s="3">
        <v>17</v>
      </c>
      <c r="G20" s="3"/>
      <c r="H20" s="423" t="s">
        <v>26</v>
      </c>
      <c r="I20" s="420" t="s">
        <v>31</v>
      </c>
      <c r="J20" s="412" t="s">
        <v>74</v>
      </c>
      <c r="K20" s="412" t="s">
        <v>29</v>
      </c>
      <c r="L20" s="412"/>
      <c r="M20" s="412"/>
      <c r="N20" s="405"/>
    </row>
    <row r="21" spans="1:14" ht="27.6" x14ac:dyDescent="0.3">
      <c r="A21" s="9"/>
      <c r="B21" s="12" t="s">
        <v>75</v>
      </c>
      <c r="C21" s="453" t="s">
        <v>2264</v>
      </c>
      <c r="D21" s="7">
        <v>18</v>
      </c>
      <c r="E21" s="3" t="s">
        <v>12</v>
      </c>
      <c r="F21" s="381">
        <v>18</v>
      </c>
      <c r="G21" s="381"/>
      <c r="H21" s="423" t="s">
        <v>13</v>
      </c>
      <c r="I21" s="420" t="s">
        <v>14</v>
      </c>
      <c r="J21" s="412" t="s">
        <v>15</v>
      </c>
      <c r="K21" s="412" t="s">
        <v>14</v>
      </c>
      <c r="L21" s="412" t="s">
        <v>14</v>
      </c>
      <c r="M21" s="412" t="s">
        <v>16</v>
      </c>
      <c r="N21" s="405"/>
    </row>
    <row r="22" spans="1:14" ht="55.2" x14ac:dyDescent="0.3">
      <c r="A22" s="3"/>
      <c r="B22" s="16" t="s">
        <v>2449</v>
      </c>
      <c r="C22" s="423" t="s">
        <v>2266</v>
      </c>
      <c r="D22" s="3">
        <v>19</v>
      </c>
      <c r="E22" s="3" t="s">
        <v>12</v>
      </c>
      <c r="F22" s="3">
        <v>19</v>
      </c>
      <c r="G22" s="3"/>
      <c r="H22" s="423" t="s">
        <v>26</v>
      </c>
      <c r="I22" s="423" t="s">
        <v>27</v>
      </c>
      <c r="J22" s="423" t="s">
        <v>77</v>
      </c>
      <c r="K22" s="423" t="s">
        <v>29</v>
      </c>
      <c r="L22" s="423"/>
      <c r="M22" s="423"/>
      <c r="N22" s="1"/>
    </row>
    <row r="23" spans="1:14" ht="27.6" x14ac:dyDescent="0.3">
      <c r="A23" s="9"/>
      <c r="B23" s="10" t="s">
        <v>78</v>
      </c>
      <c r="C23" s="453" t="s">
        <v>2267</v>
      </c>
      <c r="D23" s="3">
        <v>21</v>
      </c>
      <c r="E23" s="3" t="s">
        <v>12</v>
      </c>
      <c r="F23" s="381">
        <v>20</v>
      </c>
      <c r="G23" s="381"/>
      <c r="H23" s="423" t="s">
        <v>66</v>
      </c>
      <c r="I23" s="420" t="s">
        <v>80</v>
      </c>
      <c r="J23" s="412" t="s">
        <v>2111</v>
      </c>
      <c r="K23" s="412" t="s">
        <v>29</v>
      </c>
      <c r="L23" s="412"/>
      <c r="M23" s="412"/>
      <c r="N23" s="405"/>
    </row>
    <row r="24" spans="1:14" ht="27.6" x14ac:dyDescent="0.3">
      <c r="A24" s="9"/>
      <c r="B24" s="12" t="s">
        <v>82</v>
      </c>
      <c r="C24" s="13" t="s">
        <v>2268</v>
      </c>
      <c r="D24" s="7">
        <v>22</v>
      </c>
      <c r="E24" s="3" t="s">
        <v>12</v>
      </c>
      <c r="F24" s="3">
        <v>21</v>
      </c>
      <c r="G24" s="3"/>
      <c r="H24" s="423" t="s">
        <v>21</v>
      </c>
      <c r="I24" s="420" t="s">
        <v>84</v>
      </c>
      <c r="J24" s="412" t="s">
        <v>85</v>
      </c>
      <c r="K24" s="412" t="s">
        <v>21</v>
      </c>
      <c r="L24" s="412" t="s">
        <v>21</v>
      </c>
      <c r="M24" s="412" t="s">
        <v>85</v>
      </c>
      <c r="N24" s="405"/>
    </row>
    <row r="25" spans="1:14" ht="27.75" customHeight="1" x14ac:dyDescent="0.3">
      <c r="A25" s="9"/>
      <c r="B25" s="12" t="s">
        <v>86</v>
      </c>
      <c r="C25" s="13" t="s">
        <v>2269</v>
      </c>
      <c r="D25" s="3">
        <v>23</v>
      </c>
      <c r="E25" s="3" t="s">
        <v>12</v>
      </c>
      <c r="F25" s="381">
        <v>22</v>
      </c>
      <c r="G25" s="444"/>
      <c r="H25" s="423" t="s">
        <v>21</v>
      </c>
      <c r="I25" s="420" t="s">
        <v>84</v>
      </c>
      <c r="J25" s="412" t="s">
        <v>85</v>
      </c>
      <c r="K25" s="412" t="s">
        <v>21</v>
      </c>
      <c r="L25" s="412" t="s">
        <v>21</v>
      </c>
      <c r="M25" s="412" t="s">
        <v>85</v>
      </c>
      <c r="N25" s="405"/>
    </row>
    <row r="26" spans="1:14" ht="27.6" x14ac:dyDescent="0.3">
      <c r="A26" s="9"/>
      <c r="B26" s="10" t="s">
        <v>88</v>
      </c>
      <c r="C26" s="453" t="s">
        <v>2270</v>
      </c>
      <c r="D26" s="7">
        <v>24</v>
      </c>
      <c r="E26" s="3" t="s">
        <v>12</v>
      </c>
      <c r="F26" s="3">
        <v>23</v>
      </c>
      <c r="G26" s="451"/>
      <c r="H26" s="423" t="s">
        <v>26</v>
      </c>
      <c r="I26" s="420" t="s">
        <v>29</v>
      </c>
      <c r="J26" s="412" t="s">
        <v>90</v>
      </c>
      <c r="K26" s="412" t="s">
        <v>29</v>
      </c>
      <c r="L26" s="412"/>
      <c r="M26" s="412"/>
      <c r="N26" s="405"/>
    </row>
    <row r="27" spans="1:14" ht="31.5" customHeight="1" x14ac:dyDescent="0.3">
      <c r="A27" s="9"/>
      <c r="B27" s="10" t="s">
        <v>91</v>
      </c>
      <c r="C27" s="11" t="s">
        <v>2272</v>
      </c>
      <c r="D27" s="3">
        <v>25</v>
      </c>
      <c r="E27" s="3" t="s">
        <v>12</v>
      </c>
      <c r="F27" s="381">
        <v>24</v>
      </c>
      <c r="G27" s="444"/>
      <c r="H27" s="423" t="s">
        <v>26</v>
      </c>
      <c r="I27" s="420" t="s">
        <v>30</v>
      </c>
      <c r="J27" s="412" t="s">
        <v>34</v>
      </c>
      <c r="K27" s="412" t="s">
        <v>29</v>
      </c>
      <c r="L27" s="412"/>
      <c r="M27" s="412"/>
      <c r="N27" s="405"/>
    </row>
    <row r="28" spans="1:14" ht="27.6" x14ac:dyDescent="0.3">
      <c r="A28" s="9"/>
      <c r="B28" s="10" t="s">
        <v>94</v>
      </c>
      <c r="C28" s="453" t="s">
        <v>2273</v>
      </c>
      <c r="D28" s="7">
        <v>26</v>
      </c>
      <c r="E28" s="3" t="s">
        <v>12</v>
      </c>
      <c r="F28" s="3">
        <v>25</v>
      </c>
      <c r="G28" s="3"/>
      <c r="H28" s="423" t="s">
        <v>66</v>
      </c>
      <c r="I28" s="420" t="s">
        <v>96</v>
      </c>
      <c r="J28" s="412" t="s">
        <v>97</v>
      </c>
      <c r="K28" s="412" t="s">
        <v>29</v>
      </c>
      <c r="L28" s="412"/>
      <c r="M28" s="412"/>
      <c r="N28" s="405"/>
    </row>
    <row r="29" spans="1:14" ht="27.6" x14ac:dyDescent="0.3">
      <c r="A29" s="9"/>
      <c r="B29" s="10" t="s">
        <v>100</v>
      </c>
      <c r="C29" s="453" t="s">
        <v>2275</v>
      </c>
      <c r="D29" s="3">
        <v>27</v>
      </c>
      <c r="E29" s="3" t="s">
        <v>12</v>
      </c>
      <c r="F29" s="381">
        <v>26</v>
      </c>
      <c r="G29" s="381"/>
      <c r="H29" s="423" t="s">
        <v>26</v>
      </c>
      <c r="I29" s="420" t="s">
        <v>26</v>
      </c>
      <c r="J29" s="412" t="s">
        <v>102</v>
      </c>
      <c r="K29" s="412" t="s">
        <v>29</v>
      </c>
      <c r="L29" s="412"/>
      <c r="M29" s="412"/>
      <c r="N29" s="405"/>
    </row>
    <row r="30" spans="1:14" ht="21.75" customHeight="1" x14ac:dyDescent="0.3">
      <c r="A30" s="9"/>
      <c r="B30" s="14" t="s">
        <v>103</v>
      </c>
      <c r="C30" s="452" t="s">
        <v>2276</v>
      </c>
      <c r="D30" s="7">
        <v>28</v>
      </c>
      <c r="E30" s="3" t="s">
        <v>12</v>
      </c>
      <c r="F30" s="3">
        <v>27</v>
      </c>
      <c r="G30" s="451"/>
      <c r="H30" s="423" t="s">
        <v>21</v>
      </c>
      <c r="I30" s="420" t="s">
        <v>42</v>
      </c>
      <c r="J30" s="412" t="s">
        <v>105</v>
      </c>
      <c r="K30" s="412" t="s">
        <v>21</v>
      </c>
      <c r="L30" s="412" t="s">
        <v>44</v>
      </c>
      <c r="M30" s="412" t="s">
        <v>43</v>
      </c>
      <c r="N30" s="405"/>
    </row>
    <row r="31" spans="1:14" x14ac:dyDescent="0.3">
      <c r="A31" s="9"/>
      <c r="B31" s="12" t="s">
        <v>107</v>
      </c>
      <c r="C31" s="13" t="s">
        <v>2277</v>
      </c>
      <c r="D31" s="3">
        <v>29</v>
      </c>
      <c r="E31" s="3" t="s">
        <v>12</v>
      </c>
      <c r="F31" s="381">
        <v>28</v>
      </c>
      <c r="G31" s="381"/>
      <c r="H31" s="423" t="s">
        <v>21</v>
      </c>
      <c r="I31" s="420" t="s">
        <v>49</v>
      </c>
      <c r="J31" s="412" t="s">
        <v>109</v>
      </c>
      <c r="K31" s="412" t="s">
        <v>110</v>
      </c>
      <c r="L31" s="412" t="s">
        <v>44</v>
      </c>
      <c r="M31" s="412" t="s">
        <v>109</v>
      </c>
      <c r="N31" s="405"/>
    </row>
    <row r="32" spans="1:14" x14ac:dyDescent="0.3">
      <c r="A32" s="9"/>
      <c r="B32" s="14" t="s">
        <v>111</v>
      </c>
      <c r="C32" s="452" t="s">
        <v>2278</v>
      </c>
      <c r="D32" s="7">
        <v>30</v>
      </c>
      <c r="E32" s="3" t="s">
        <v>12</v>
      </c>
      <c r="F32" s="3">
        <v>29</v>
      </c>
      <c r="G32" s="3"/>
      <c r="H32" s="423" t="s">
        <v>21</v>
      </c>
      <c r="I32" s="420" t="s">
        <v>49</v>
      </c>
      <c r="J32" s="412" t="s">
        <v>109</v>
      </c>
      <c r="K32" s="412" t="s">
        <v>110</v>
      </c>
      <c r="L32" s="412" t="s">
        <v>44</v>
      </c>
      <c r="M32" s="412" t="s">
        <v>109</v>
      </c>
      <c r="N32" s="405"/>
    </row>
    <row r="33" spans="1:14" ht="27.6" x14ac:dyDescent="0.3">
      <c r="A33" s="9"/>
      <c r="B33" s="10" t="s">
        <v>113</v>
      </c>
      <c r="C33" s="11" t="s">
        <v>2280</v>
      </c>
      <c r="D33" s="3">
        <v>31</v>
      </c>
      <c r="E33" s="3" t="s">
        <v>12</v>
      </c>
      <c r="F33" s="381">
        <v>30</v>
      </c>
      <c r="G33" s="381"/>
      <c r="H33" s="423" t="s">
        <v>66</v>
      </c>
      <c r="I33" s="420" t="s">
        <v>80</v>
      </c>
      <c r="J33" s="412" t="s">
        <v>115</v>
      </c>
      <c r="K33" s="412" t="s">
        <v>29</v>
      </c>
      <c r="L33" s="412"/>
      <c r="M33" s="412"/>
      <c r="N33" s="405"/>
    </row>
    <row r="34" spans="1:14" ht="27.6" x14ac:dyDescent="0.3">
      <c r="A34" s="9"/>
      <c r="B34" s="12" t="s">
        <v>116</v>
      </c>
      <c r="C34" s="452" t="s">
        <v>2281</v>
      </c>
      <c r="D34" s="7">
        <v>32</v>
      </c>
      <c r="E34" s="3" t="s">
        <v>12</v>
      </c>
      <c r="F34" s="3">
        <v>31</v>
      </c>
      <c r="G34" s="3"/>
      <c r="H34" s="423" t="s">
        <v>66</v>
      </c>
      <c r="I34" s="420" t="s">
        <v>80</v>
      </c>
      <c r="J34" s="412" t="s">
        <v>117</v>
      </c>
      <c r="K34" s="412" t="s">
        <v>29</v>
      </c>
      <c r="L34" s="412"/>
      <c r="M34" s="412"/>
      <c r="N34" s="405"/>
    </row>
    <row r="35" spans="1:14" x14ac:dyDescent="0.3">
      <c r="A35" s="9"/>
      <c r="B35" s="12" t="s">
        <v>118</v>
      </c>
      <c r="C35" s="13" t="s">
        <v>2282</v>
      </c>
      <c r="D35" s="3">
        <v>33</v>
      </c>
      <c r="E35" s="3" t="s">
        <v>12</v>
      </c>
      <c r="F35" s="381">
        <v>32</v>
      </c>
      <c r="G35" s="381"/>
      <c r="H35" s="423" t="s">
        <v>21</v>
      </c>
      <c r="I35" s="420" t="s">
        <v>84</v>
      </c>
      <c r="J35" s="412" t="s">
        <v>120</v>
      </c>
      <c r="K35" s="412" t="s">
        <v>110</v>
      </c>
      <c r="L35" s="412" t="s">
        <v>21</v>
      </c>
      <c r="M35" s="412" t="s">
        <v>85</v>
      </c>
      <c r="N35" s="405"/>
    </row>
    <row r="36" spans="1:14" x14ac:dyDescent="0.3">
      <c r="A36" s="9"/>
      <c r="B36" s="12" t="s">
        <v>121</v>
      </c>
      <c r="C36" s="13" t="s">
        <v>2283</v>
      </c>
      <c r="D36" s="7">
        <v>34</v>
      </c>
      <c r="E36" s="3" t="s">
        <v>12</v>
      </c>
      <c r="F36" s="3">
        <v>33</v>
      </c>
      <c r="G36" s="3"/>
      <c r="H36" s="423" t="s">
        <v>21</v>
      </c>
      <c r="I36" s="420" t="s">
        <v>84</v>
      </c>
      <c r="J36" s="412" t="s">
        <v>120</v>
      </c>
      <c r="K36" s="412" t="s">
        <v>110</v>
      </c>
      <c r="L36" s="412" t="s">
        <v>21</v>
      </c>
      <c r="M36" s="412" t="s">
        <v>85</v>
      </c>
      <c r="N36" s="405"/>
    </row>
    <row r="37" spans="1:14" x14ac:dyDescent="0.3">
      <c r="A37" s="9"/>
      <c r="B37" s="15" t="s">
        <v>123</v>
      </c>
      <c r="C37" s="453" t="s">
        <v>2284</v>
      </c>
      <c r="D37" s="3">
        <v>35</v>
      </c>
      <c r="E37" s="3" t="s">
        <v>12</v>
      </c>
      <c r="F37" s="381">
        <v>34</v>
      </c>
      <c r="G37" s="444"/>
      <c r="H37" s="423" t="s">
        <v>66</v>
      </c>
      <c r="I37" s="420" t="s">
        <v>125</v>
      </c>
      <c r="J37" s="412" t="s">
        <v>126</v>
      </c>
      <c r="K37" s="412" t="s">
        <v>29</v>
      </c>
      <c r="L37" s="412"/>
      <c r="M37" s="412"/>
      <c r="N37" s="405"/>
    </row>
    <row r="38" spans="1:14" x14ac:dyDescent="0.3">
      <c r="A38" s="9"/>
      <c r="B38" s="15" t="s">
        <v>127</v>
      </c>
      <c r="C38" s="453" t="s">
        <v>2285</v>
      </c>
      <c r="D38" s="7">
        <v>36</v>
      </c>
      <c r="E38" s="3" t="s">
        <v>12</v>
      </c>
      <c r="F38" s="448">
        <v>35</v>
      </c>
      <c r="G38" s="3"/>
      <c r="H38" s="423" t="s">
        <v>69</v>
      </c>
      <c r="I38" s="420" t="s">
        <v>96</v>
      </c>
      <c r="J38" s="412" t="s">
        <v>97</v>
      </c>
      <c r="K38" s="412" t="s">
        <v>29</v>
      </c>
      <c r="L38" s="412"/>
      <c r="M38" s="412"/>
      <c r="N38" s="405"/>
    </row>
    <row r="39" spans="1:14" ht="27.6" x14ac:dyDescent="0.3">
      <c r="A39" s="9"/>
      <c r="B39" s="12" t="s">
        <v>2450</v>
      </c>
      <c r="C39" s="452" t="s">
        <v>2286</v>
      </c>
      <c r="D39" s="3">
        <v>37</v>
      </c>
      <c r="E39" s="3" t="s">
        <v>12</v>
      </c>
      <c r="F39" s="450">
        <v>36</v>
      </c>
      <c r="G39" s="444"/>
      <c r="H39" s="423" t="s">
        <v>13</v>
      </c>
      <c r="I39" s="420" t="s">
        <v>14</v>
      </c>
      <c r="J39" s="412" t="s">
        <v>130</v>
      </c>
      <c r="K39" s="412" t="s">
        <v>14</v>
      </c>
      <c r="L39" s="412" t="s">
        <v>14</v>
      </c>
      <c r="M39" s="412" t="s">
        <v>16</v>
      </c>
      <c r="N39" s="405"/>
    </row>
    <row r="40" spans="1:14" x14ac:dyDescent="0.3">
      <c r="A40" s="9"/>
      <c r="B40" s="14" t="s">
        <v>131</v>
      </c>
      <c r="C40" s="452" t="s">
        <v>2288</v>
      </c>
      <c r="D40" s="7">
        <v>38</v>
      </c>
      <c r="E40" s="3" t="s">
        <v>12</v>
      </c>
      <c r="F40" s="448">
        <v>37</v>
      </c>
      <c r="G40" s="451"/>
      <c r="H40" s="423" t="s">
        <v>13</v>
      </c>
      <c r="I40" s="420" t="s">
        <v>14</v>
      </c>
      <c r="J40" s="412" t="s">
        <v>130</v>
      </c>
      <c r="K40" s="412" t="s">
        <v>14</v>
      </c>
      <c r="L40" s="412" t="s">
        <v>14</v>
      </c>
      <c r="M40" s="412" t="s">
        <v>16</v>
      </c>
      <c r="N40" s="405"/>
    </row>
    <row r="41" spans="1:14" x14ac:dyDescent="0.3">
      <c r="A41" s="9"/>
      <c r="B41" s="15" t="s">
        <v>132</v>
      </c>
      <c r="C41" s="453" t="s">
        <v>2289</v>
      </c>
      <c r="D41" s="3">
        <v>39</v>
      </c>
      <c r="E41" s="3" t="s">
        <v>12</v>
      </c>
      <c r="F41" s="381">
        <v>38</v>
      </c>
      <c r="G41" s="444"/>
      <c r="H41" s="423" t="s">
        <v>69</v>
      </c>
      <c r="I41" s="420" t="s">
        <v>30</v>
      </c>
      <c r="J41" s="412" t="s">
        <v>133</v>
      </c>
      <c r="K41" s="412" t="s">
        <v>29</v>
      </c>
      <c r="L41" s="412"/>
      <c r="M41" s="412"/>
      <c r="N41" s="405"/>
    </row>
    <row r="42" spans="1:14" ht="27.6" x14ac:dyDescent="0.3">
      <c r="A42" s="9"/>
      <c r="B42" s="10" t="s">
        <v>134</v>
      </c>
      <c r="C42" s="453" t="s">
        <v>2290</v>
      </c>
      <c r="D42" s="7">
        <v>40</v>
      </c>
      <c r="E42" s="3" t="s">
        <v>12</v>
      </c>
      <c r="F42" s="3">
        <v>39</v>
      </c>
      <c r="G42" s="451"/>
      <c r="H42" s="423" t="s">
        <v>26</v>
      </c>
      <c r="I42" s="420" t="s">
        <v>30</v>
      </c>
      <c r="J42" s="412" t="s">
        <v>136</v>
      </c>
      <c r="K42" s="412" t="s">
        <v>29</v>
      </c>
      <c r="L42" s="412"/>
      <c r="M42" s="412"/>
      <c r="N42" s="405"/>
    </row>
    <row r="43" spans="1:14" x14ac:dyDescent="0.3">
      <c r="A43" s="9"/>
      <c r="B43" s="15" t="s">
        <v>137</v>
      </c>
      <c r="C43" s="453" t="s">
        <v>2291</v>
      </c>
      <c r="D43" s="3">
        <v>41</v>
      </c>
      <c r="E43" s="3" t="s">
        <v>12</v>
      </c>
      <c r="F43" s="450">
        <v>40</v>
      </c>
      <c r="G43" s="381"/>
      <c r="H43" s="423" t="s">
        <v>26</v>
      </c>
      <c r="I43" s="420" t="s">
        <v>30</v>
      </c>
      <c r="J43" s="412" t="s">
        <v>139</v>
      </c>
      <c r="K43" s="412" t="s">
        <v>29</v>
      </c>
      <c r="L43" s="412"/>
      <c r="M43" s="412"/>
      <c r="N43" s="405"/>
    </row>
    <row r="44" spans="1:14" x14ac:dyDescent="0.3">
      <c r="A44" s="9"/>
      <c r="B44" s="15" t="s">
        <v>140</v>
      </c>
      <c r="C44" s="453" t="s">
        <v>2292</v>
      </c>
      <c r="D44" s="7">
        <v>42</v>
      </c>
      <c r="E44" s="3" t="s">
        <v>12</v>
      </c>
      <c r="F44" s="3">
        <v>41</v>
      </c>
      <c r="G44" s="3"/>
      <c r="H44" s="423" t="s">
        <v>69</v>
      </c>
      <c r="I44" s="420" t="s">
        <v>125</v>
      </c>
      <c r="J44" s="412" t="s">
        <v>142</v>
      </c>
      <c r="K44" s="412" t="s">
        <v>29</v>
      </c>
      <c r="L44" s="412"/>
      <c r="M44" s="412"/>
      <c r="N44" s="405"/>
    </row>
    <row r="45" spans="1:14" x14ac:dyDescent="0.3">
      <c r="A45" s="9"/>
      <c r="B45" s="14" t="s">
        <v>144</v>
      </c>
      <c r="C45" s="452" t="s">
        <v>2293</v>
      </c>
      <c r="D45" s="3">
        <v>43</v>
      </c>
      <c r="E45" s="3" t="s">
        <v>12</v>
      </c>
      <c r="F45" s="381">
        <v>42</v>
      </c>
      <c r="G45" s="444"/>
      <c r="H45" s="423" t="s">
        <v>26</v>
      </c>
      <c r="I45" s="420" t="s">
        <v>31</v>
      </c>
      <c r="J45" s="412" t="s">
        <v>146</v>
      </c>
      <c r="K45" s="412" t="s">
        <v>29</v>
      </c>
      <c r="L45" s="412"/>
      <c r="M45" s="412"/>
      <c r="N45" s="405"/>
    </row>
    <row r="46" spans="1:14" x14ac:dyDescent="0.3">
      <c r="A46" s="9"/>
      <c r="B46" s="10" t="s">
        <v>2135</v>
      </c>
      <c r="C46" s="11" t="s">
        <v>2451</v>
      </c>
      <c r="D46" s="7">
        <v>44</v>
      </c>
      <c r="E46" s="3" t="s">
        <v>12</v>
      </c>
      <c r="F46" s="3">
        <v>43</v>
      </c>
      <c r="G46" s="451"/>
      <c r="H46" s="423" t="s">
        <v>26</v>
      </c>
      <c r="I46" s="420" t="s">
        <v>30</v>
      </c>
      <c r="J46" s="412" t="s">
        <v>148</v>
      </c>
      <c r="K46" s="412" t="s">
        <v>29</v>
      </c>
      <c r="L46" s="412"/>
      <c r="M46" s="412"/>
      <c r="N46" s="405"/>
    </row>
    <row r="47" spans="1:14" ht="27.6" x14ac:dyDescent="0.3">
      <c r="A47" s="9"/>
      <c r="B47" s="12" t="s">
        <v>149</v>
      </c>
      <c r="C47" s="452" t="s">
        <v>2295</v>
      </c>
      <c r="D47" s="3">
        <v>45</v>
      </c>
      <c r="E47" s="3" t="s">
        <v>12</v>
      </c>
      <c r="F47" s="450">
        <v>44</v>
      </c>
      <c r="G47" s="381"/>
      <c r="H47" s="423" t="s">
        <v>21</v>
      </c>
      <c r="I47" s="420" t="s">
        <v>49</v>
      </c>
      <c r="J47" s="412" t="s">
        <v>151</v>
      </c>
      <c r="K47" s="412" t="s">
        <v>21</v>
      </c>
      <c r="L47" s="412" t="s">
        <v>44</v>
      </c>
      <c r="M47" s="412" t="s">
        <v>109</v>
      </c>
      <c r="N47" s="405"/>
    </row>
    <row r="48" spans="1:14" x14ac:dyDescent="0.3">
      <c r="A48" s="9"/>
      <c r="B48" s="15" t="s">
        <v>152</v>
      </c>
      <c r="C48" s="453" t="s">
        <v>2296</v>
      </c>
      <c r="D48" s="7">
        <v>46</v>
      </c>
      <c r="E48" s="3" t="s">
        <v>12</v>
      </c>
      <c r="F48" s="3">
        <v>45</v>
      </c>
      <c r="G48" s="443"/>
      <c r="H48" s="423" t="s">
        <v>13</v>
      </c>
      <c r="I48" s="420" t="s">
        <v>29</v>
      </c>
      <c r="J48" s="412"/>
      <c r="K48" s="412" t="s">
        <v>29</v>
      </c>
      <c r="L48" s="412"/>
      <c r="M48" s="412"/>
      <c r="N48" s="405"/>
    </row>
    <row r="49" spans="1:14" x14ac:dyDescent="0.3">
      <c r="A49" s="9"/>
      <c r="B49" s="12" t="s">
        <v>155</v>
      </c>
      <c r="C49" s="13" t="s">
        <v>2297</v>
      </c>
      <c r="D49" s="3">
        <v>47</v>
      </c>
      <c r="E49" s="3" t="s">
        <v>12</v>
      </c>
      <c r="F49" s="381">
        <v>46</v>
      </c>
      <c r="G49" s="381"/>
      <c r="H49" s="423" t="s">
        <v>26</v>
      </c>
      <c r="I49" s="420" t="s">
        <v>31</v>
      </c>
      <c r="J49" s="412" t="s">
        <v>157</v>
      </c>
      <c r="K49" s="412" t="s">
        <v>29</v>
      </c>
      <c r="L49" s="412"/>
      <c r="M49" s="412"/>
      <c r="N49" s="405"/>
    </row>
    <row r="50" spans="1:14" x14ac:dyDescent="0.3">
      <c r="A50" s="9"/>
      <c r="B50" s="18" t="s">
        <v>158</v>
      </c>
      <c r="C50" s="11" t="s">
        <v>2452</v>
      </c>
      <c r="D50" s="7">
        <v>48</v>
      </c>
      <c r="E50" s="3" t="s">
        <v>12</v>
      </c>
      <c r="F50" s="3">
        <v>47</v>
      </c>
      <c r="G50" s="451"/>
      <c r="H50" s="423" t="s">
        <v>13</v>
      </c>
      <c r="I50" s="420" t="s">
        <v>29</v>
      </c>
      <c r="J50" s="412" t="s">
        <v>160</v>
      </c>
      <c r="K50" s="412" t="s">
        <v>29</v>
      </c>
      <c r="L50" s="412"/>
      <c r="M50" s="412"/>
      <c r="N50" s="405"/>
    </row>
    <row r="51" spans="1:14" ht="27.6" x14ac:dyDescent="0.3">
      <c r="A51" s="9"/>
      <c r="B51" s="12" t="s">
        <v>162</v>
      </c>
      <c r="C51" s="452" t="s">
        <v>2298</v>
      </c>
      <c r="D51" s="3">
        <v>49</v>
      </c>
      <c r="E51" s="3" t="s">
        <v>12</v>
      </c>
      <c r="F51" s="381">
        <v>48</v>
      </c>
      <c r="G51" s="381"/>
      <c r="H51" s="423" t="s">
        <v>21</v>
      </c>
      <c r="I51" s="420" t="s">
        <v>164</v>
      </c>
      <c r="J51" s="412" t="s">
        <v>165</v>
      </c>
      <c r="K51" s="412" t="s">
        <v>21</v>
      </c>
      <c r="L51" s="412" t="s">
        <v>21</v>
      </c>
      <c r="M51" s="412" t="s">
        <v>164</v>
      </c>
      <c r="N51" s="405"/>
    </row>
    <row r="52" spans="1:14" x14ac:dyDescent="0.3">
      <c r="A52" s="9"/>
      <c r="B52" s="12" t="s">
        <v>166</v>
      </c>
      <c r="C52" s="13" t="s">
        <v>2299</v>
      </c>
      <c r="D52" s="7">
        <v>50</v>
      </c>
      <c r="E52" s="3" t="s">
        <v>12</v>
      </c>
      <c r="F52" s="3">
        <v>49</v>
      </c>
      <c r="G52" s="3"/>
      <c r="H52" s="423" t="s">
        <v>21</v>
      </c>
      <c r="I52" s="420" t="s">
        <v>164</v>
      </c>
      <c r="J52" s="412" t="s">
        <v>165</v>
      </c>
      <c r="K52" s="412" t="s">
        <v>21</v>
      </c>
      <c r="L52" s="412" t="s">
        <v>21</v>
      </c>
      <c r="M52" s="412" t="s">
        <v>164</v>
      </c>
      <c r="N52" s="405"/>
    </row>
    <row r="53" spans="1:14" x14ac:dyDescent="0.3">
      <c r="A53" s="9"/>
      <c r="B53" s="12" t="s">
        <v>168</v>
      </c>
      <c r="C53" s="13" t="s">
        <v>2300</v>
      </c>
      <c r="D53" s="3">
        <v>51</v>
      </c>
      <c r="E53" s="3" t="s">
        <v>12</v>
      </c>
      <c r="F53" s="381">
        <v>50</v>
      </c>
      <c r="G53" s="449"/>
      <c r="H53" s="423" t="s">
        <v>13</v>
      </c>
      <c r="I53" s="420" t="s">
        <v>14</v>
      </c>
      <c r="J53" s="412"/>
      <c r="K53" s="412" t="s">
        <v>14</v>
      </c>
      <c r="L53" s="412" t="s">
        <v>14</v>
      </c>
      <c r="M53" s="412" t="s">
        <v>16</v>
      </c>
      <c r="N53" s="405"/>
    </row>
    <row r="54" spans="1:14" x14ac:dyDescent="0.3">
      <c r="A54" s="9"/>
      <c r="B54" s="15" t="s">
        <v>170</v>
      </c>
      <c r="C54" s="453" t="s">
        <v>2301</v>
      </c>
      <c r="D54" s="7">
        <v>52</v>
      </c>
      <c r="E54" s="3" t="s">
        <v>12</v>
      </c>
      <c r="F54" s="3">
        <v>51</v>
      </c>
      <c r="G54" s="451"/>
      <c r="H54" s="423" t="s">
        <v>69</v>
      </c>
      <c r="I54" s="420" t="s">
        <v>67</v>
      </c>
      <c r="J54" s="412" t="s">
        <v>172</v>
      </c>
      <c r="K54" s="412" t="s">
        <v>29</v>
      </c>
      <c r="L54" s="412"/>
      <c r="M54" s="412"/>
      <c r="N54" s="405"/>
    </row>
    <row r="55" spans="1:14" x14ac:dyDescent="0.3">
      <c r="A55" s="9"/>
      <c r="B55" s="14" t="s">
        <v>173</v>
      </c>
      <c r="C55" s="452" t="s">
        <v>2302</v>
      </c>
      <c r="D55" s="3">
        <v>53</v>
      </c>
      <c r="E55" s="3" t="s">
        <v>12</v>
      </c>
      <c r="F55" s="381">
        <v>52</v>
      </c>
      <c r="G55" s="381"/>
      <c r="H55" s="423" t="s">
        <v>21</v>
      </c>
      <c r="I55" s="420" t="s">
        <v>164</v>
      </c>
      <c r="J55" s="412"/>
      <c r="K55" s="412" t="s">
        <v>21</v>
      </c>
      <c r="L55" s="412" t="s">
        <v>21</v>
      </c>
      <c r="M55" s="412" t="s">
        <v>84</v>
      </c>
      <c r="N55" s="405"/>
    </row>
    <row r="56" spans="1:14" x14ac:dyDescent="0.3">
      <c r="A56" s="9"/>
      <c r="B56" s="14" t="s">
        <v>176</v>
      </c>
      <c r="C56" s="452" t="s">
        <v>2303</v>
      </c>
      <c r="D56" s="7">
        <v>54</v>
      </c>
      <c r="E56" s="3" t="s">
        <v>12</v>
      </c>
      <c r="F56" s="3">
        <v>53</v>
      </c>
      <c r="G56" s="3"/>
      <c r="H56" s="423" t="s">
        <v>21</v>
      </c>
      <c r="I56" s="420" t="s">
        <v>164</v>
      </c>
      <c r="J56" s="412"/>
      <c r="K56" s="412" t="s">
        <v>21</v>
      </c>
      <c r="L56" s="412" t="s">
        <v>21</v>
      </c>
      <c r="M56" s="412" t="s">
        <v>84</v>
      </c>
      <c r="N56" s="405"/>
    </row>
    <row r="57" spans="1:14" x14ac:dyDescent="0.3">
      <c r="A57" s="9"/>
      <c r="B57" s="15" t="s">
        <v>178</v>
      </c>
      <c r="C57" s="453" t="s">
        <v>2304</v>
      </c>
      <c r="D57" s="3">
        <v>55</v>
      </c>
      <c r="E57" s="3" t="s">
        <v>12</v>
      </c>
      <c r="F57" s="381">
        <v>54</v>
      </c>
      <c r="G57" s="381"/>
      <c r="H57" s="423" t="s">
        <v>21</v>
      </c>
      <c r="I57" s="420" t="s">
        <v>164</v>
      </c>
      <c r="J57" s="412"/>
      <c r="K57" s="412" t="s">
        <v>21</v>
      </c>
      <c r="L57" s="412" t="s">
        <v>21</v>
      </c>
      <c r="M57" s="412" t="s">
        <v>84</v>
      </c>
      <c r="N57" s="405"/>
    </row>
    <row r="58" spans="1:14" x14ac:dyDescent="0.3">
      <c r="A58" s="9"/>
      <c r="B58" s="15" t="s">
        <v>180</v>
      </c>
      <c r="C58" s="453" t="s">
        <v>2305</v>
      </c>
      <c r="D58" s="7">
        <v>56</v>
      </c>
      <c r="E58" s="3" t="s">
        <v>12</v>
      </c>
      <c r="F58" s="3">
        <v>55</v>
      </c>
      <c r="G58" s="451"/>
      <c r="H58" s="423" t="s">
        <v>13</v>
      </c>
      <c r="I58" s="420" t="s">
        <v>29</v>
      </c>
      <c r="J58" s="412" t="s">
        <v>160</v>
      </c>
      <c r="K58" s="412" t="s">
        <v>29</v>
      </c>
      <c r="L58" s="412"/>
      <c r="M58" s="412"/>
      <c r="N58" s="405"/>
    </row>
    <row r="59" spans="1:14" x14ac:dyDescent="0.3">
      <c r="A59" s="9"/>
      <c r="B59" s="12" t="s">
        <v>182</v>
      </c>
      <c r="C59" s="13" t="s">
        <v>2306</v>
      </c>
      <c r="D59" s="3">
        <v>57</v>
      </c>
      <c r="E59" s="3" t="s">
        <v>12</v>
      </c>
      <c r="F59" s="381">
        <v>56</v>
      </c>
      <c r="G59" s="444"/>
      <c r="H59" s="423" t="s">
        <v>21</v>
      </c>
      <c r="I59" s="420" t="s">
        <v>84</v>
      </c>
      <c r="J59" s="412" t="s">
        <v>184</v>
      </c>
      <c r="K59" s="412" t="s">
        <v>21</v>
      </c>
      <c r="L59" s="412" t="s">
        <v>21</v>
      </c>
      <c r="M59" s="412" t="s">
        <v>84</v>
      </c>
      <c r="N59" s="405"/>
    </row>
    <row r="60" spans="1:14" x14ac:dyDescent="0.3">
      <c r="A60" s="9"/>
      <c r="B60" s="12" t="s">
        <v>185</v>
      </c>
      <c r="C60" s="13" t="s">
        <v>2307</v>
      </c>
      <c r="D60" s="7">
        <v>58</v>
      </c>
      <c r="E60" s="3" t="s">
        <v>12</v>
      </c>
      <c r="F60" s="3">
        <v>57</v>
      </c>
      <c r="G60" s="451"/>
      <c r="H60" s="423" t="s">
        <v>21</v>
      </c>
      <c r="I60" s="420" t="s">
        <v>84</v>
      </c>
      <c r="J60" s="412" t="s">
        <v>184</v>
      </c>
      <c r="K60" s="412" t="s">
        <v>21</v>
      </c>
      <c r="L60" s="412" t="s">
        <v>21</v>
      </c>
      <c r="M60" s="412" t="s">
        <v>84</v>
      </c>
      <c r="N60" s="405"/>
    </row>
    <row r="61" spans="1:14" x14ac:dyDescent="0.3">
      <c r="A61" s="9"/>
      <c r="B61" s="15" t="s">
        <v>187</v>
      </c>
      <c r="C61" s="453" t="s">
        <v>2308</v>
      </c>
      <c r="D61" s="3">
        <v>59</v>
      </c>
      <c r="E61" s="3" t="s">
        <v>12</v>
      </c>
      <c r="F61" s="381">
        <v>58</v>
      </c>
      <c r="G61" s="381"/>
      <c r="H61" s="423" t="s">
        <v>69</v>
      </c>
      <c r="I61" s="420" t="s">
        <v>80</v>
      </c>
      <c r="J61" s="412" t="s">
        <v>69</v>
      </c>
      <c r="K61" s="412" t="s">
        <v>29</v>
      </c>
      <c r="L61" s="412"/>
      <c r="M61" s="412"/>
      <c r="N61" s="405"/>
    </row>
    <row r="62" spans="1:14" ht="27.6" x14ac:dyDescent="0.3">
      <c r="A62" s="9"/>
      <c r="B62" s="12" t="s">
        <v>189</v>
      </c>
      <c r="C62" s="13" t="s">
        <v>2309</v>
      </c>
      <c r="D62" s="7">
        <v>60</v>
      </c>
      <c r="E62" s="3" t="s">
        <v>12</v>
      </c>
      <c r="F62" s="3">
        <v>59</v>
      </c>
      <c r="G62" s="3"/>
      <c r="H62" s="423" t="s">
        <v>21</v>
      </c>
      <c r="I62" s="420" t="s">
        <v>42</v>
      </c>
      <c r="J62" s="412" t="s">
        <v>191</v>
      </c>
      <c r="K62" s="412" t="s">
        <v>21</v>
      </c>
      <c r="L62" s="412" t="s">
        <v>44</v>
      </c>
      <c r="M62" s="412" t="s">
        <v>43</v>
      </c>
      <c r="N62" s="405"/>
    </row>
    <row r="63" spans="1:14" ht="27.6" x14ac:dyDescent="0.3">
      <c r="A63" s="9"/>
      <c r="B63" s="10" t="s">
        <v>192</v>
      </c>
      <c r="C63" s="453" t="s">
        <v>2310</v>
      </c>
      <c r="D63" s="3">
        <v>61</v>
      </c>
      <c r="E63" s="3" t="s">
        <v>12</v>
      </c>
      <c r="F63" s="381">
        <v>60</v>
      </c>
      <c r="G63" s="381"/>
      <c r="H63" s="423" t="s">
        <v>69</v>
      </c>
      <c r="I63" s="420" t="s">
        <v>96</v>
      </c>
      <c r="J63" s="412" t="s">
        <v>194</v>
      </c>
      <c r="K63" s="412" t="s">
        <v>29</v>
      </c>
      <c r="L63" s="412"/>
      <c r="M63" s="412"/>
      <c r="N63" s="405"/>
    </row>
    <row r="64" spans="1:14" x14ac:dyDescent="0.3">
      <c r="A64" s="9"/>
      <c r="B64" s="15" t="s">
        <v>195</v>
      </c>
      <c r="C64" s="453" t="s">
        <v>2311</v>
      </c>
      <c r="D64" s="7">
        <v>62</v>
      </c>
      <c r="E64" s="3" t="s">
        <v>12</v>
      </c>
      <c r="F64" s="448">
        <v>61</v>
      </c>
      <c r="G64" s="3"/>
      <c r="H64" s="423" t="s">
        <v>69</v>
      </c>
      <c r="I64" s="420" t="s">
        <v>67</v>
      </c>
      <c r="J64" s="412" t="s">
        <v>197</v>
      </c>
      <c r="K64" s="412" t="s">
        <v>29</v>
      </c>
      <c r="L64" s="412"/>
      <c r="M64" s="412"/>
      <c r="N64" s="405"/>
    </row>
    <row r="65" spans="1:14" x14ac:dyDescent="0.3">
      <c r="A65" s="9"/>
      <c r="B65" s="15" t="s">
        <v>198</v>
      </c>
      <c r="C65" s="453" t="s">
        <v>2312</v>
      </c>
      <c r="D65" s="3">
        <v>63</v>
      </c>
      <c r="E65" s="3" t="s">
        <v>12</v>
      </c>
      <c r="F65" s="381">
        <v>62</v>
      </c>
      <c r="G65" s="381"/>
      <c r="H65" s="423" t="s">
        <v>13</v>
      </c>
      <c r="I65" s="420" t="s">
        <v>29</v>
      </c>
      <c r="J65" s="412" t="s">
        <v>154</v>
      </c>
      <c r="K65" s="412" t="s">
        <v>29</v>
      </c>
      <c r="L65" s="412"/>
      <c r="M65" s="412"/>
      <c r="N65" s="405"/>
    </row>
    <row r="66" spans="1:14" ht="27.6" x14ac:dyDescent="0.3">
      <c r="A66" s="9"/>
      <c r="B66" s="12" t="s">
        <v>2453</v>
      </c>
      <c r="C66" s="452" t="s">
        <v>2313</v>
      </c>
      <c r="D66" s="7">
        <v>64</v>
      </c>
      <c r="E66" s="3" t="s">
        <v>12</v>
      </c>
      <c r="F66" s="3">
        <v>63</v>
      </c>
      <c r="G66" s="3"/>
      <c r="H66" s="423" t="s">
        <v>13</v>
      </c>
      <c r="I66" s="420" t="s">
        <v>14</v>
      </c>
      <c r="J66" s="412" t="s">
        <v>201</v>
      </c>
      <c r="K66" s="412" t="s">
        <v>14</v>
      </c>
      <c r="L66" s="412" t="s">
        <v>14</v>
      </c>
      <c r="M66" s="412" t="s">
        <v>14</v>
      </c>
      <c r="N66" s="405"/>
    </row>
    <row r="67" spans="1:14" x14ac:dyDescent="0.3">
      <c r="A67" s="9"/>
      <c r="B67" s="12" t="s">
        <v>202</v>
      </c>
      <c r="C67" s="13" t="s">
        <v>2315</v>
      </c>
      <c r="D67" s="3">
        <v>65</v>
      </c>
      <c r="E67" s="3" t="s">
        <v>12</v>
      </c>
      <c r="F67" s="381">
        <v>64</v>
      </c>
      <c r="G67" s="449"/>
      <c r="H67" s="423" t="s">
        <v>13</v>
      </c>
      <c r="I67" s="420" t="s">
        <v>14</v>
      </c>
      <c r="J67" s="412" t="s">
        <v>14</v>
      </c>
      <c r="K67" s="412" t="s">
        <v>14</v>
      </c>
      <c r="L67" s="412" t="s">
        <v>14</v>
      </c>
      <c r="M67" s="412" t="s">
        <v>203</v>
      </c>
      <c r="N67" s="405"/>
    </row>
    <row r="68" spans="1:14" ht="27.6" x14ac:dyDescent="0.3">
      <c r="A68" s="9"/>
      <c r="B68" s="12" t="s">
        <v>2454</v>
      </c>
      <c r="C68" s="13" t="s">
        <v>2316</v>
      </c>
      <c r="D68" s="7">
        <v>66</v>
      </c>
      <c r="E68" s="3" t="s">
        <v>12</v>
      </c>
      <c r="F68" s="448">
        <v>65</v>
      </c>
      <c r="G68" s="3"/>
      <c r="H68" s="423" t="s">
        <v>26</v>
      </c>
      <c r="I68" s="420" t="s">
        <v>31</v>
      </c>
      <c r="J68" s="412" t="s">
        <v>205</v>
      </c>
      <c r="K68" s="412" t="s">
        <v>29</v>
      </c>
      <c r="L68" s="412"/>
      <c r="M68" s="412"/>
      <c r="N68" s="405"/>
    </row>
    <row r="69" spans="1:14" x14ac:dyDescent="0.3">
      <c r="A69" s="9"/>
      <c r="B69" s="15" t="s">
        <v>206</v>
      </c>
      <c r="C69" s="453" t="s">
        <v>2317</v>
      </c>
      <c r="D69" s="3">
        <v>67</v>
      </c>
      <c r="E69" s="3" t="s">
        <v>12</v>
      </c>
      <c r="F69" s="381">
        <v>66</v>
      </c>
      <c r="G69" s="381"/>
      <c r="H69" s="423" t="s">
        <v>13</v>
      </c>
      <c r="I69" s="420" t="s">
        <v>29</v>
      </c>
      <c r="J69" s="412" t="s">
        <v>208</v>
      </c>
      <c r="K69" s="412" t="s">
        <v>29</v>
      </c>
      <c r="L69" s="412"/>
      <c r="M69" s="412"/>
      <c r="N69" s="405"/>
    </row>
    <row r="70" spans="1:14" x14ac:dyDescent="0.3">
      <c r="A70" s="9"/>
      <c r="B70" s="15" t="s">
        <v>209</v>
      </c>
      <c r="C70" s="453" t="s">
        <v>2318</v>
      </c>
      <c r="D70" s="7">
        <v>68</v>
      </c>
      <c r="E70" s="3" t="s">
        <v>12</v>
      </c>
      <c r="F70" s="3">
        <v>67</v>
      </c>
      <c r="G70" s="3"/>
      <c r="H70" s="423" t="s">
        <v>69</v>
      </c>
      <c r="I70" s="420" t="s">
        <v>67</v>
      </c>
      <c r="J70" s="412" t="s">
        <v>67</v>
      </c>
      <c r="K70" s="412" t="s">
        <v>29</v>
      </c>
      <c r="L70" s="412"/>
      <c r="M70" s="412"/>
      <c r="N70" s="405"/>
    </row>
    <row r="71" spans="1:14" x14ac:dyDescent="0.3">
      <c r="A71" s="9"/>
      <c r="B71" s="15" t="s">
        <v>211</v>
      </c>
      <c r="C71" s="453" t="s">
        <v>2319</v>
      </c>
      <c r="D71" s="3">
        <v>69</v>
      </c>
      <c r="E71" s="3" t="s">
        <v>12</v>
      </c>
      <c r="F71" s="450">
        <v>68</v>
      </c>
      <c r="G71" s="381"/>
      <c r="H71" s="423" t="s">
        <v>69</v>
      </c>
      <c r="I71" s="420" t="s">
        <v>67</v>
      </c>
      <c r="J71" s="412" t="s">
        <v>67</v>
      </c>
      <c r="K71" s="412" t="s">
        <v>29</v>
      </c>
      <c r="L71" s="412"/>
      <c r="M71" s="412"/>
      <c r="N71" s="405"/>
    </row>
    <row r="72" spans="1:14" x14ac:dyDescent="0.3">
      <c r="A72" s="9"/>
      <c r="B72" s="10" t="s">
        <v>213</v>
      </c>
      <c r="C72" s="11" t="s">
        <v>2320</v>
      </c>
      <c r="D72" s="7">
        <v>70</v>
      </c>
      <c r="E72" s="3" t="s">
        <v>12</v>
      </c>
      <c r="F72" s="448">
        <v>69</v>
      </c>
      <c r="G72" s="3"/>
      <c r="H72" s="423" t="s">
        <v>69</v>
      </c>
      <c r="I72" s="420" t="s">
        <v>67</v>
      </c>
      <c r="J72" s="412" t="s">
        <v>67</v>
      </c>
      <c r="K72" s="412" t="s">
        <v>29</v>
      </c>
      <c r="L72" s="412"/>
      <c r="M72" s="412"/>
      <c r="N72" s="405"/>
    </row>
    <row r="73" spans="1:14" ht="27.6" x14ac:dyDescent="0.3">
      <c r="A73" s="9"/>
      <c r="B73" s="12" t="s">
        <v>215</v>
      </c>
      <c r="C73" s="452" t="s">
        <v>2321</v>
      </c>
      <c r="D73" s="3">
        <v>71</v>
      </c>
      <c r="E73" s="3" t="s">
        <v>12</v>
      </c>
      <c r="F73" s="381">
        <v>70</v>
      </c>
      <c r="G73" s="444"/>
      <c r="H73" s="423" t="s">
        <v>26</v>
      </c>
      <c r="I73" s="420" t="s">
        <v>31</v>
      </c>
      <c r="J73" s="412" t="s">
        <v>217</v>
      </c>
      <c r="K73" s="412" t="s">
        <v>29</v>
      </c>
      <c r="L73" s="412"/>
      <c r="M73" s="412"/>
      <c r="N73" s="405"/>
    </row>
    <row r="74" spans="1:14" x14ac:dyDescent="0.3">
      <c r="A74" s="9"/>
      <c r="B74" s="10" t="s">
        <v>218</v>
      </c>
      <c r="C74" s="11" t="s">
        <v>2322</v>
      </c>
      <c r="D74" s="7">
        <v>72</v>
      </c>
      <c r="E74" s="3" t="s">
        <v>12</v>
      </c>
      <c r="F74" s="3">
        <v>71</v>
      </c>
      <c r="G74" s="3"/>
      <c r="H74" s="423" t="s">
        <v>69</v>
      </c>
      <c r="I74" s="420" t="s">
        <v>80</v>
      </c>
      <c r="J74" s="412" t="s">
        <v>220</v>
      </c>
      <c r="K74" s="412" t="s">
        <v>29</v>
      </c>
      <c r="L74" s="412"/>
      <c r="M74" s="412"/>
      <c r="N74" s="405"/>
    </row>
    <row r="75" spans="1:14" x14ac:dyDescent="0.3">
      <c r="A75" s="9"/>
      <c r="B75" s="14" t="s">
        <v>221</v>
      </c>
      <c r="C75" s="452" t="s">
        <v>2323</v>
      </c>
      <c r="D75" s="3">
        <v>73</v>
      </c>
      <c r="E75" s="3" t="s">
        <v>12</v>
      </c>
      <c r="F75" s="381">
        <v>72</v>
      </c>
      <c r="G75" s="381"/>
      <c r="H75" s="423" t="s">
        <v>26</v>
      </c>
      <c r="I75" s="420" t="s">
        <v>31</v>
      </c>
      <c r="J75" s="412" t="s">
        <v>37</v>
      </c>
      <c r="K75" s="412" t="s">
        <v>29</v>
      </c>
      <c r="L75" s="412"/>
      <c r="M75" s="412"/>
      <c r="N75" s="405"/>
    </row>
    <row r="76" spans="1:14" x14ac:dyDescent="0.3">
      <c r="A76" s="9"/>
      <c r="B76" s="14" t="s">
        <v>222</v>
      </c>
      <c r="C76" s="452" t="s">
        <v>2324</v>
      </c>
      <c r="D76" s="7">
        <v>74</v>
      </c>
      <c r="E76" s="3" t="s">
        <v>12</v>
      </c>
      <c r="F76" s="3">
        <v>73</v>
      </c>
      <c r="G76" s="451"/>
      <c r="H76" s="423" t="s">
        <v>21</v>
      </c>
      <c r="I76" s="420" t="s">
        <v>42</v>
      </c>
      <c r="J76" s="412" t="s">
        <v>224</v>
      </c>
      <c r="K76" s="412" t="s">
        <v>21</v>
      </c>
      <c r="L76" s="412" t="s">
        <v>44</v>
      </c>
      <c r="M76" s="412" t="s">
        <v>42</v>
      </c>
      <c r="N76" s="405"/>
    </row>
    <row r="77" spans="1:14" ht="27.6" x14ac:dyDescent="0.3">
      <c r="A77" s="9"/>
      <c r="B77" s="12" t="s">
        <v>225</v>
      </c>
      <c r="C77" s="13" t="s">
        <v>2326</v>
      </c>
      <c r="D77" s="3">
        <v>75</v>
      </c>
      <c r="E77" s="3" t="s">
        <v>12</v>
      </c>
      <c r="F77" s="381">
        <v>74</v>
      </c>
      <c r="G77" s="381"/>
      <c r="H77" s="423" t="s">
        <v>13</v>
      </c>
      <c r="I77" s="420" t="s">
        <v>14</v>
      </c>
      <c r="J77" s="412" t="s">
        <v>201</v>
      </c>
      <c r="K77" s="412" t="s">
        <v>14</v>
      </c>
      <c r="L77" s="412" t="s">
        <v>14</v>
      </c>
      <c r="M77" s="412" t="s">
        <v>14</v>
      </c>
      <c r="N77" s="405"/>
    </row>
    <row r="78" spans="1:14" ht="27.6" x14ac:dyDescent="0.3">
      <c r="A78" s="9"/>
      <c r="B78" s="10" t="s">
        <v>2455</v>
      </c>
      <c r="C78" s="453" t="s">
        <v>2327</v>
      </c>
      <c r="D78" s="7">
        <v>76</v>
      </c>
      <c r="E78" s="3" t="s">
        <v>12</v>
      </c>
      <c r="F78" s="3">
        <v>75</v>
      </c>
      <c r="G78" s="451"/>
      <c r="H78" s="423" t="s">
        <v>26</v>
      </c>
      <c r="I78" s="420" t="s">
        <v>27</v>
      </c>
      <c r="J78" s="412" t="s">
        <v>228</v>
      </c>
      <c r="K78" s="412" t="s">
        <v>29</v>
      </c>
      <c r="L78" s="412"/>
      <c r="M78" s="412"/>
      <c r="N78" s="405"/>
    </row>
    <row r="79" spans="1:14" ht="27.6" x14ac:dyDescent="0.3">
      <c r="A79" s="9"/>
      <c r="B79" s="10" t="s">
        <v>229</v>
      </c>
      <c r="C79" s="453" t="s">
        <v>2328</v>
      </c>
      <c r="D79" s="3">
        <v>77</v>
      </c>
      <c r="E79" s="3" t="s">
        <v>12</v>
      </c>
      <c r="F79" s="381">
        <v>76</v>
      </c>
      <c r="G79" s="381"/>
      <c r="H79" s="423" t="s">
        <v>26</v>
      </c>
      <c r="I79" s="420" t="s">
        <v>27</v>
      </c>
      <c r="J79" s="412" t="s">
        <v>231</v>
      </c>
      <c r="K79" s="412" t="s">
        <v>29</v>
      </c>
      <c r="L79" s="412"/>
      <c r="M79" s="412"/>
      <c r="N79" s="405"/>
    </row>
    <row r="80" spans="1:14" x14ac:dyDescent="0.3">
      <c r="A80" s="9"/>
      <c r="B80" s="15" t="s">
        <v>232</v>
      </c>
      <c r="C80" s="453" t="s">
        <v>2329</v>
      </c>
      <c r="D80" s="7">
        <v>78</v>
      </c>
      <c r="E80" s="3" t="s">
        <v>12</v>
      </c>
      <c r="F80" s="3">
        <v>77</v>
      </c>
      <c r="G80" s="451"/>
      <c r="H80" s="423" t="s">
        <v>69</v>
      </c>
      <c r="I80" s="420" t="s">
        <v>96</v>
      </c>
      <c r="J80" s="412" t="s">
        <v>99</v>
      </c>
      <c r="K80" s="412" t="s">
        <v>29</v>
      </c>
      <c r="L80" s="412"/>
      <c r="M80" s="412"/>
      <c r="N80" s="405"/>
    </row>
    <row r="81" spans="1:14" ht="27.6" x14ac:dyDescent="0.3">
      <c r="A81" s="9"/>
      <c r="B81" s="10" t="s">
        <v>234</v>
      </c>
      <c r="C81" s="453" t="s">
        <v>2330</v>
      </c>
      <c r="D81" s="3">
        <v>79</v>
      </c>
      <c r="E81" s="3" t="s">
        <v>12</v>
      </c>
      <c r="F81" s="381">
        <v>78</v>
      </c>
      <c r="G81" s="381"/>
      <c r="H81" s="423" t="s">
        <v>69</v>
      </c>
      <c r="I81" s="420" t="s">
        <v>80</v>
      </c>
      <c r="J81" s="412" t="s">
        <v>133</v>
      </c>
      <c r="K81" s="412" t="s">
        <v>29</v>
      </c>
      <c r="L81" s="412"/>
      <c r="M81" s="412"/>
      <c r="N81" s="405"/>
    </row>
    <row r="82" spans="1:14" x14ac:dyDescent="0.3">
      <c r="A82" s="9"/>
      <c r="B82" s="10" t="s">
        <v>235</v>
      </c>
      <c r="C82" s="11" t="s">
        <v>2331</v>
      </c>
      <c r="D82" s="7">
        <v>80</v>
      </c>
      <c r="E82" s="3" t="s">
        <v>12</v>
      </c>
      <c r="F82" s="3">
        <v>79</v>
      </c>
      <c r="G82" s="451"/>
      <c r="H82" s="423" t="s">
        <v>69</v>
      </c>
      <c r="I82" s="420" t="s">
        <v>125</v>
      </c>
      <c r="J82" s="412" t="s">
        <v>237</v>
      </c>
      <c r="K82" s="412" t="s">
        <v>29</v>
      </c>
      <c r="L82" s="412"/>
      <c r="M82" s="412"/>
      <c r="N82" s="405"/>
    </row>
    <row r="83" spans="1:14" ht="27.6" x14ac:dyDescent="0.3">
      <c r="A83" s="9"/>
      <c r="B83" s="12" t="s">
        <v>2456</v>
      </c>
      <c r="C83" s="452" t="s">
        <v>2333</v>
      </c>
      <c r="D83" s="3">
        <v>81</v>
      </c>
      <c r="E83" s="3" t="s">
        <v>12</v>
      </c>
      <c r="F83" s="381">
        <v>80</v>
      </c>
      <c r="G83" s="444"/>
      <c r="H83" s="423" t="s">
        <v>26</v>
      </c>
      <c r="I83" s="420" t="s">
        <v>31</v>
      </c>
      <c r="J83" s="412" t="s">
        <v>34</v>
      </c>
      <c r="K83" s="412" t="s">
        <v>29</v>
      </c>
      <c r="L83" s="412"/>
      <c r="M83" s="412"/>
      <c r="N83" s="405"/>
    </row>
    <row r="84" spans="1:14" x14ac:dyDescent="0.3">
      <c r="A84" s="9"/>
      <c r="B84" s="15" t="s">
        <v>239</v>
      </c>
      <c r="C84" s="453" t="s">
        <v>2335</v>
      </c>
      <c r="D84" s="7">
        <v>82</v>
      </c>
      <c r="E84" s="3" t="s">
        <v>12</v>
      </c>
      <c r="F84" s="448">
        <v>81</v>
      </c>
      <c r="G84" s="3"/>
      <c r="H84" s="423" t="s">
        <v>69</v>
      </c>
      <c r="I84" s="420" t="s">
        <v>96</v>
      </c>
      <c r="J84" s="412" t="s">
        <v>240</v>
      </c>
      <c r="K84" s="412" t="s">
        <v>29</v>
      </c>
      <c r="L84" s="412"/>
      <c r="M84" s="412"/>
      <c r="N84" s="405"/>
    </row>
    <row r="85" spans="1:14" x14ac:dyDescent="0.3">
      <c r="A85" s="9"/>
      <c r="B85" s="14" t="s">
        <v>2165</v>
      </c>
      <c r="C85" s="452" t="s">
        <v>2336</v>
      </c>
      <c r="D85" s="3">
        <v>83</v>
      </c>
      <c r="E85" s="3" t="s">
        <v>12</v>
      </c>
      <c r="F85" s="381">
        <v>82</v>
      </c>
      <c r="G85" s="381"/>
      <c r="H85" s="423" t="s">
        <v>21</v>
      </c>
      <c r="I85" s="420" t="s">
        <v>241</v>
      </c>
      <c r="J85" s="412" t="s">
        <v>242</v>
      </c>
      <c r="K85" s="412" t="s">
        <v>21</v>
      </c>
      <c r="L85" s="412" t="s">
        <v>21</v>
      </c>
      <c r="M85" s="412" t="s">
        <v>85</v>
      </c>
      <c r="N85" s="405"/>
    </row>
    <row r="86" spans="1:14" x14ac:dyDescent="0.3">
      <c r="A86" s="9"/>
      <c r="B86" s="10" t="s">
        <v>243</v>
      </c>
      <c r="C86" s="11" t="s">
        <v>2337</v>
      </c>
      <c r="D86" s="7">
        <v>84</v>
      </c>
      <c r="E86" s="3" t="s">
        <v>12</v>
      </c>
      <c r="F86" s="3">
        <v>83</v>
      </c>
      <c r="G86" s="3"/>
      <c r="H86" s="423" t="s">
        <v>26</v>
      </c>
      <c r="I86" s="420" t="s">
        <v>26</v>
      </c>
      <c r="J86" s="412" t="s">
        <v>244</v>
      </c>
      <c r="K86" s="412" t="s">
        <v>29</v>
      </c>
      <c r="L86" s="412"/>
      <c r="M86" s="412"/>
      <c r="N86" s="405"/>
    </row>
    <row r="87" spans="1:14" x14ac:dyDescent="0.3">
      <c r="A87" s="9"/>
      <c r="B87" s="12" t="s">
        <v>2166</v>
      </c>
      <c r="C87" s="13" t="s">
        <v>2338</v>
      </c>
      <c r="D87" s="3">
        <v>85</v>
      </c>
      <c r="E87" s="3" t="s">
        <v>12</v>
      </c>
      <c r="F87" s="381">
        <v>84</v>
      </c>
      <c r="G87" s="381"/>
      <c r="H87" s="423" t="s">
        <v>21</v>
      </c>
      <c r="I87" s="420" t="s">
        <v>49</v>
      </c>
      <c r="J87" s="412" t="s">
        <v>246</v>
      </c>
      <c r="K87" s="412" t="s">
        <v>21</v>
      </c>
      <c r="L87" s="412" t="s">
        <v>21</v>
      </c>
      <c r="M87" s="412" t="s">
        <v>51</v>
      </c>
      <c r="N87" s="405"/>
    </row>
    <row r="88" spans="1:14" x14ac:dyDescent="0.3">
      <c r="A88" s="9"/>
      <c r="B88" s="12" t="s">
        <v>247</v>
      </c>
      <c r="C88" s="13" t="s">
        <v>2339</v>
      </c>
      <c r="D88" s="7">
        <v>86</v>
      </c>
      <c r="E88" s="3" t="s">
        <v>12</v>
      </c>
      <c r="F88" s="3">
        <v>85</v>
      </c>
      <c r="G88" s="451"/>
      <c r="H88" s="423" t="s">
        <v>21</v>
      </c>
      <c r="I88" s="420" t="s">
        <v>84</v>
      </c>
      <c r="J88" s="412" t="s">
        <v>249</v>
      </c>
      <c r="K88" s="412" t="s">
        <v>21</v>
      </c>
      <c r="L88" s="412" t="s">
        <v>250</v>
      </c>
      <c r="M88" s="412" t="s">
        <v>249</v>
      </c>
      <c r="N88" s="405"/>
    </row>
    <row r="89" spans="1:14" ht="27.6" x14ac:dyDescent="0.3">
      <c r="A89" s="9"/>
      <c r="B89" s="12" t="s">
        <v>2457</v>
      </c>
      <c r="C89" s="452" t="s">
        <v>2341</v>
      </c>
      <c r="D89" s="3">
        <v>87</v>
      </c>
      <c r="E89" s="3" t="s">
        <v>12</v>
      </c>
      <c r="F89" s="381">
        <v>86</v>
      </c>
      <c r="G89" s="381"/>
      <c r="H89" s="423" t="s">
        <v>26</v>
      </c>
      <c r="I89" s="420" t="s">
        <v>31</v>
      </c>
      <c r="J89" s="412" t="s">
        <v>252</v>
      </c>
      <c r="K89" s="412" t="s">
        <v>29</v>
      </c>
      <c r="L89" s="412"/>
      <c r="M89" s="412"/>
      <c r="N89" s="405"/>
    </row>
    <row r="90" spans="1:14" x14ac:dyDescent="0.3">
      <c r="A90" s="9"/>
      <c r="B90" s="14" t="s">
        <v>253</v>
      </c>
      <c r="C90" s="452" t="s">
        <v>2342</v>
      </c>
      <c r="D90" s="7">
        <v>88</v>
      </c>
      <c r="E90" s="3" t="s">
        <v>12</v>
      </c>
      <c r="F90" s="3">
        <v>87</v>
      </c>
      <c r="G90" s="3"/>
      <c r="H90" s="423" t="s">
        <v>21</v>
      </c>
      <c r="I90" s="420" t="s">
        <v>42</v>
      </c>
      <c r="J90" s="412" t="s">
        <v>255</v>
      </c>
      <c r="K90" s="412" t="s">
        <v>21</v>
      </c>
      <c r="L90" s="412" t="s">
        <v>44</v>
      </c>
      <c r="M90" s="412" t="s">
        <v>42</v>
      </c>
      <c r="N90" s="405"/>
    </row>
    <row r="91" spans="1:14" x14ac:dyDescent="0.3">
      <c r="A91" s="9"/>
      <c r="B91" s="10" t="s">
        <v>256</v>
      </c>
      <c r="C91" s="11" t="s">
        <v>2343</v>
      </c>
      <c r="D91" s="3">
        <v>89</v>
      </c>
      <c r="E91" s="3" t="s">
        <v>12</v>
      </c>
      <c r="F91" s="450">
        <v>88</v>
      </c>
      <c r="G91" s="381"/>
      <c r="H91" s="423" t="s">
        <v>21</v>
      </c>
      <c r="I91" s="420" t="s">
        <v>164</v>
      </c>
      <c r="J91" s="412" t="s">
        <v>258</v>
      </c>
      <c r="K91" s="412" t="s">
        <v>21</v>
      </c>
      <c r="L91" s="412" t="s">
        <v>21</v>
      </c>
      <c r="M91" s="412" t="s">
        <v>51</v>
      </c>
      <c r="N91" s="405"/>
    </row>
    <row r="92" spans="1:14" x14ac:dyDescent="0.3">
      <c r="A92" s="9"/>
      <c r="B92" s="12" t="s">
        <v>259</v>
      </c>
      <c r="C92" s="13" t="s">
        <v>2344</v>
      </c>
      <c r="D92" s="7">
        <v>90</v>
      </c>
      <c r="E92" s="3" t="s">
        <v>12</v>
      </c>
      <c r="F92" s="3">
        <v>89</v>
      </c>
      <c r="G92" s="3"/>
      <c r="H92" s="423" t="s">
        <v>21</v>
      </c>
      <c r="I92" s="420" t="s">
        <v>164</v>
      </c>
      <c r="J92" s="412" t="s">
        <v>258</v>
      </c>
      <c r="K92" s="412" t="s">
        <v>21</v>
      </c>
      <c r="L92" s="412" t="s">
        <v>21</v>
      </c>
      <c r="M92" s="412" t="s">
        <v>51</v>
      </c>
      <c r="N92" s="405"/>
    </row>
    <row r="93" spans="1:14" x14ac:dyDescent="0.3">
      <c r="A93" s="9"/>
      <c r="B93" s="10" t="s">
        <v>261</v>
      </c>
      <c r="C93" s="11" t="s">
        <v>2345</v>
      </c>
      <c r="D93" s="3">
        <v>91</v>
      </c>
      <c r="E93" s="3" t="s">
        <v>12</v>
      </c>
      <c r="F93" s="381">
        <v>90</v>
      </c>
      <c r="G93" s="381"/>
      <c r="H93" s="423" t="s">
        <v>21</v>
      </c>
      <c r="I93" s="420" t="s">
        <v>164</v>
      </c>
      <c r="J93" s="412" t="s">
        <v>258</v>
      </c>
      <c r="K93" s="412" t="s">
        <v>21</v>
      </c>
      <c r="L93" s="412" t="s">
        <v>21</v>
      </c>
      <c r="M93" s="412" t="s">
        <v>51</v>
      </c>
      <c r="N93" s="405"/>
    </row>
    <row r="94" spans="1:14" x14ac:dyDescent="0.3">
      <c r="A94" s="9"/>
      <c r="B94" s="10" t="s">
        <v>263</v>
      </c>
      <c r="C94" s="11" t="s">
        <v>2346</v>
      </c>
      <c r="D94" s="7">
        <v>92</v>
      </c>
      <c r="E94" s="3" t="s">
        <v>12</v>
      </c>
      <c r="F94" s="448">
        <v>91</v>
      </c>
      <c r="G94" s="451"/>
      <c r="H94" s="423" t="s">
        <v>21</v>
      </c>
      <c r="I94" s="420" t="s">
        <v>84</v>
      </c>
      <c r="J94" s="412" t="s">
        <v>249</v>
      </c>
      <c r="K94" s="412" t="s">
        <v>21</v>
      </c>
      <c r="L94" s="412" t="s">
        <v>250</v>
      </c>
      <c r="M94" s="412" t="s">
        <v>249</v>
      </c>
      <c r="N94" s="405"/>
    </row>
    <row r="95" spans="1:14" x14ac:dyDescent="0.3">
      <c r="A95" s="9"/>
      <c r="B95" s="10" t="s">
        <v>265</v>
      </c>
      <c r="C95" s="11" t="s">
        <v>2347</v>
      </c>
      <c r="D95" s="3">
        <v>93</v>
      </c>
      <c r="E95" s="3" t="s">
        <v>12</v>
      </c>
      <c r="F95" s="381">
        <v>92</v>
      </c>
      <c r="G95" s="444"/>
      <c r="H95" s="423" t="s">
        <v>69</v>
      </c>
      <c r="I95" s="420" t="s">
        <v>80</v>
      </c>
      <c r="J95" s="412" t="s">
        <v>267</v>
      </c>
      <c r="K95" s="412" t="s">
        <v>29</v>
      </c>
      <c r="L95" s="412"/>
      <c r="M95" s="412"/>
      <c r="N95" s="405"/>
    </row>
    <row r="96" spans="1:14" x14ac:dyDescent="0.3">
      <c r="A96" s="9"/>
      <c r="B96" s="14" t="s">
        <v>268</v>
      </c>
      <c r="C96" s="452" t="s">
        <v>2348</v>
      </c>
      <c r="D96" s="7">
        <v>94</v>
      </c>
      <c r="E96" s="3" t="s">
        <v>12</v>
      </c>
      <c r="F96" s="3">
        <v>93</v>
      </c>
      <c r="G96" s="451"/>
      <c r="H96" s="423" t="s">
        <v>26</v>
      </c>
      <c r="I96" s="420" t="s">
        <v>30</v>
      </c>
      <c r="J96" s="412" t="s">
        <v>148</v>
      </c>
      <c r="K96" s="412" t="s">
        <v>29</v>
      </c>
      <c r="L96" s="412"/>
      <c r="M96" s="412"/>
      <c r="N96" s="405"/>
    </row>
    <row r="97" spans="1:14" x14ac:dyDescent="0.3">
      <c r="A97" s="9"/>
      <c r="B97" s="15" t="s">
        <v>270</v>
      </c>
      <c r="C97" s="453" t="s">
        <v>2349</v>
      </c>
      <c r="D97" s="3">
        <v>95</v>
      </c>
      <c r="E97" s="3" t="s">
        <v>12</v>
      </c>
      <c r="F97" s="381">
        <v>94</v>
      </c>
      <c r="G97" s="444"/>
      <c r="H97" s="423" t="s">
        <v>26</v>
      </c>
      <c r="I97" s="420" t="s">
        <v>27</v>
      </c>
      <c r="J97" s="412" t="s">
        <v>272</v>
      </c>
      <c r="K97" s="412" t="s">
        <v>29</v>
      </c>
      <c r="L97" s="412"/>
      <c r="M97" s="412"/>
      <c r="N97" s="405"/>
    </row>
    <row r="98" spans="1:14" ht="27.6" x14ac:dyDescent="0.3">
      <c r="A98" s="9"/>
      <c r="B98" s="10" t="s">
        <v>273</v>
      </c>
      <c r="C98" s="11" t="s">
        <v>2350</v>
      </c>
      <c r="D98" s="7">
        <v>96</v>
      </c>
      <c r="E98" s="3" t="s">
        <v>12</v>
      </c>
      <c r="F98" s="448">
        <v>95</v>
      </c>
      <c r="G98" s="451"/>
      <c r="H98" s="423" t="s">
        <v>69</v>
      </c>
      <c r="I98" s="420" t="s">
        <v>96</v>
      </c>
      <c r="J98" s="412" t="s">
        <v>275</v>
      </c>
      <c r="K98" s="412" t="s">
        <v>29</v>
      </c>
      <c r="L98" s="412"/>
      <c r="M98" s="412"/>
      <c r="N98" s="405"/>
    </row>
    <row r="99" spans="1:14" ht="27.6" x14ac:dyDescent="0.3">
      <c r="A99" s="9"/>
      <c r="B99" s="12" t="s">
        <v>2458</v>
      </c>
      <c r="C99" s="13" t="s">
        <v>2353</v>
      </c>
      <c r="D99" s="3">
        <v>97</v>
      </c>
      <c r="E99" s="3" t="s">
        <v>12</v>
      </c>
      <c r="F99" s="381">
        <v>96</v>
      </c>
      <c r="G99" s="381"/>
      <c r="H99" s="423" t="s">
        <v>21</v>
      </c>
      <c r="I99" s="420" t="s">
        <v>164</v>
      </c>
      <c r="J99" s="412" t="s">
        <v>2177</v>
      </c>
      <c r="K99" s="412" t="s">
        <v>21</v>
      </c>
      <c r="L99" s="412" t="s">
        <v>21</v>
      </c>
      <c r="M99" s="412" t="s">
        <v>164</v>
      </c>
      <c r="N99" s="405"/>
    </row>
    <row r="100" spans="1:14" x14ac:dyDescent="0.3">
      <c r="A100" s="9"/>
      <c r="B100" s="15" t="s">
        <v>276</v>
      </c>
      <c r="C100" s="453" t="s">
        <v>2354</v>
      </c>
      <c r="D100" s="7">
        <v>98</v>
      </c>
      <c r="E100" s="3" t="s">
        <v>12</v>
      </c>
      <c r="F100" s="448">
        <v>97</v>
      </c>
      <c r="G100" s="451"/>
      <c r="H100" s="423" t="s">
        <v>69</v>
      </c>
      <c r="I100" s="420" t="s">
        <v>125</v>
      </c>
      <c r="J100" s="412" t="s">
        <v>278</v>
      </c>
      <c r="K100" s="412" t="s">
        <v>29</v>
      </c>
      <c r="L100" s="412"/>
      <c r="M100" s="412"/>
      <c r="N100" s="405"/>
    </row>
    <row r="101" spans="1:14" ht="27.6" x14ac:dyDescent="0.3">
      <c r="A101" s="9"/>
      <c r="B101" s="12" t="s">
        <v>2459</v>
      </c>
      <c r="C101" s="452" t="s">
        <v>2355</v>
      </c>
      <c r="D101" s="3">
        <v>99</v>
      </c>
      <c r="E101" s="3" t="s">
        <v>12</v>
      </c>
      <c r="F101" s="381">
        <v>98</v>
      </c>
      <c r="G101" s="381"/>
      <c r="H101" s="423" t="s">
        <v>26</v>
      </c>
      <c r="I101" s="420" t="s">
        <v>31</v>
      </c>
      <c r="J101" s="412" t="s">
        <v>280</v>
      </c>
      <c r="K101" s="412" t="s">
        <v>29</v>
      </c>
      <c r="L101" s="412"/>
      <c r="M101" s="412"/>
      <c r="N101" s="405"/>
    </row>
    <row r="102" spans="1:14" x14ac:dyDescent="0.3">
      <c r="A102" s="9"/>
      <c r="B102" s="10" t="s">
        <v>281</v>
      </c>
      <c r="C102" s="11" t="s">
        <v>2356</v>
      </c>
      <c r="D102" s="7">
        <v>100</v>
      </c>
      <c r="E102" s="3" t="s">
        <v>12</v>
      </c>
      <c r="F102" s="3">
        <v>99</v>
      </c>
      <c r="G102" s="3"/>
      <c r="H102" s="423" t="s">
        <v>21</v>
      </c>
      <c r="I102" s="420" t="s">
        <v>164</v>
      </c>
      <c r="J102" s="412" t="s">
        <v>2181</v>
      </c>
      <c r="K102" s="412" t="s">
        <v>21</v>
      </c>
      <c r="L102" s="412" t="s">
        <v>21</v>
      </c>
      <c r="M102" s="412" t="s">
        <v>164</v>
      </c>
      <c r="N102" s="405"/>
    </row>
    <row r="103" spans="1:14" ht="27.6" x14ac:dyDescent="0.3">
      <c r="A103" s="9"/>
      <c r="B103" s="12" t="s">
        <v>284</v>
      </c>
      <c r="C103" s="452" t="s">
        <v>2358</v>
      </c>
      <c r="D103" s="3">
        <v>101</v>
      </c>
      <c r="E103" s="3" t="s">
        <v>12</v>
      </c>
      <c r="F103" s="381">
        <v>100</v>
      </c>
      <c r="G103" s="381"/>
      <c r="H103" s="423" t="s">
        <v>13</v>
      </c>
      <c r="I103" s="420" t="s">
        <v>14</v>
      </c>
      <c r="J103" s="412" t="s">
        <v>286</v>
      </c>
      <c r="K103" s="412" t="s">
        <v>14</v>
      </c>
      <c r="L103" s="412" t="s">
        <v>14</v>
      </c>
      <c r="M103" s="412" t="s">
        <v>16</v>
      </c>
      <c r="N103" s="405"/>
    </row>
    <row r="104" spans="1:14" x14ac:dyDescent="0.3">
      <c r="A104" s="9"/>
      <c r="B104" s="14" t="s">
        <v>287</v>
      </c>
      <c r="C104" s="452" t="s">
        <v>2359</v>
      </c>
      <c r="D104" s="7">
        <v>102</v>
      </c>
      <c r="E104" s="3" t="s">
        <v>12</v>
      </c>
      <c r="F104" s="448">
        <v>101</v>
      </c>
      <c r="G104" s="451"/>
      <c r="H104" s="423" t="s">
        <v>13</v>
      </c>
      <c r="I104" s="420" t="s">
        <v>14</v>
      </c>
      <c r="J104" s="412" t="s">
        <v>286</v>
      </c>
      <c r="K104" s="412" t="s">
        <v>14</v>
      </c>
      <c r="L104" s="412" t="s">
        <v>14</v>
      </c>
      <c r="M104" s="412" t="s">
        <v>15</v>
      </c>
      <c r="N104" s="405"/>
    </row>
    <row r="105" spans="1:14" x14ac:dyDescent="0.3">
      <c r="A105" s="9"/>
      <c r="B105" s="10" t="s">
        <v>289</v>
      </c>
      <c r="C105" s="11" t="s">
        <v>2360</v>
      </c>
      <c r="D105" s="3">
        <v>103</v>
      </c>
      <c r="E105" s="3" t="s">
        <v>12</v>
      </c>
      <c r="F105" s="381">
        <v>102</v>
      </c>
      <c r="G105" s="449"/>
      <c r="H105" s="423" t="s">
        <v>21</v>
      </c>
      <c r="I105" s="420" t="s">
        <v>164</v>
      </c>
      <c r="J105" s="412" t="s">
        <v>2181</v>
      </c>
      <c r="K105" s="412" t="s">
        <v>21</v>
      </c>
      <c r="L105" s="412" t="s">
        <v>21</v>
      </c>
      <c r="M105" s="412" t="s">
        <v>164</v>
      </c>
      <c r="N105" s="405"/>
    </row>
    <row r="106" spans="1:14" x14ac:dyDescent="0.3">
      <c r="A106" s="9"/>
      <c r="B106" s="10" t="s">
        <v>291</v>
      </c>
      <c r="C106" s="11" t="s">
        <v>2361</v>
      </c>
      <c r="D106" s="7">
        <v>104</v>
      </c>
      <c r="E106" s="3" t="s">
        <v>12</v>
      </c>
      <c r="F106" s="3">
        <v>103</v>
      </c>
      <c r="G106" s="451"/>
      <c r="H106" s="423" t="s">
        <v>69</v>
      </c>
      <c r="I106" s="420" t="s">
        <v>80</v>
      </c>
      <c r="J106" s="412" t="s">
        <v>293</v>
      </c>
      <c r="K106" s="412" t="s">
        <v>29</v>
      </c>
      <c r="L106" s="412"/>
      <c r="M106" s="412"/>
      <c r="N106" s="405"/>
    </row>
    <row r="107" spans="1:14" x14ac:dyDescent="0.3">
      <c r="A107" s="9"/>
      <c r="B107" s="10" t="s">
        <v>294</v>
      </c>
      <c r="C107" s="11" t="s">
        <v>2362</v>
      </c>
      <c r="D107" s="3">
        <v>105</v>
      </c>
      <c r="E107" s="3" t="s">
        <v>12</v>
      </c>
      <c r="F107" s="381">
        <v>104</v>
      </c>
      <c r="G107" s="444"/>
      <c r="H107" s="423" t="s">
        <v>26</v>
      </c>
      <c r="I107" s="420" t="s">
        <v>30</v>
      </c>
      <c r="J107" s="412" t="s">
        <v>296</v>
      </c>
      <c r="K107" s="412" t="s">
        <v>29</v>
      </c>
      <c r="L107" s="412"/>
      <c r="M107" s="412"/>
      <c r="N107" s="405"/>
    </row>
    <row r="108" spans="1:14" x14ac:dyDescent="0.3">
      <c r="A108" s="9"/>
      <c r="B108" s="10" t="s">
        <v>297</v>
      </c>
      <c r="C108" s="11" t="s">
        <v>2363</v>
      </c>
      <c r="D108" s="7">
        <v>106</v>
      </c>
      <c r="E108" s="3" t="s">
        <v>12</v>
      </c>
      <c r="F108" s="448">
        <v>105</v>
      </c>
      <c r="G108" s="451"/>
      <c r="H108" s="423" t="s">
        <v>69</v>
      </c>
      <c r="I108" s="420" t="s">
        <v>125</v>
      </c>
      <c r="J108" s="412" t="s">
        <v>299</v>
      </c>
      <c r="K108" s="412" t="s">
        <v>29</v>
      </c>
      <c r="L108" s="412"/>
      <c r="M108" s="412"/>
      <c r="N108" s="405"/>
    </row>
    <row r="109" spans="1:14" x14ac:dyDescent="0.3">
      <c r="A109" s="9"/>
      <c r="B109" s="12" t="s">
        <v>300</v>
      </c>
      <c r="C109" s="13" t="s">
        <v>2364</v>
      </c>
      <c r="D109" s="3">
        <v>107</v>
      </c>
      <c r="E109" s="3" t="s">
        <v>12</v>
      </c>
      <c r="F109" s="381">
        <v>106</v>
      </c>
      <c r="G109" s="381"/>
      <c r="H109" s="423" t="s">
        <v>13</v>
      </c>
      <c r="I109" s="420" t="s">
        <v>14</v>
      </c>
      <c r="J109" s="412" t="s">
        <v>302</v>
      </c>
      <c r="K109" s="412" t="s">
        <v>14</v>
      </c>
      <c r="L109" s="412" t="s">
        <v>302</v>
      </c>
      <c r="M109" s="412" t="s">
        <v>302</v>
      </c>
      <c r="N109" s="405"/>
    </row>
    <row r="110" spans="1:14" x14ac:dyDescent="0.3">
      <c r="A110" s="9"/>
      <c r="B110" s="10" t="s">
        <v>303</v>
      </c>
      <c r="C110" s="11" t="s">
        <v>2365</v>
      </c>
      <c r="D110" s="7">
        <v>108</v>
      </c>
      <c r="E110" s="3" t="s">
        <v>12</v>
      </c>
      <c r="F110" s="3">
        <v>107</v>
      </c>
      <c r="G110" s="3"/>
      <c r="H110" s="423" t="s">
        <v>21</v>
      </c>
      <c r="I110" s="420" t="s">
        <v>164</v>
      </c>
      <c r="J110" s="412" t="s">
        <v>305</v>
      </c>
      <c r="K110" s="412" t="s">
        <v>21</v>
      </c>
      <c r="L110" s="412" t="s">
        <v>21</v>
      </c>
      <c r="M110" s="412" t="s">
        <v>164</v>
      </c>
      <c r="N110" s="405"/>
    </row>
    <row r="111" spans="1:14" x14ac:dyDescent="0.3">
      <c r="A111" s="9"/>
      <c r="B111" s="12" t="s">
        <v>306</v>
      </c>
      <c r="C111" s="13" t="s">
        <v>2366</v>
      </c>
      <c r="D111" s="3">
        <v>109</v>
      </c>
      <c r="E111" s="3" t="s">
        <v>12</v>
      </c>
      <c r="F111" s="381">
        <v>108</v>
      </c>
      <c r="G111" s="444"/>
      <c r="H111" s="423" t="s">
        <v>26</v>
      </c>
      <c r="I111" s="420" t="s">
        <v>31</v>
      </c>
      <c r="J111" s="412" t="s">
        <v>157</v>
      </c>
      <c r="K111" s="412" t="s">
        <v>29</v>
      </c>
      <c r="L111" s="412"/>
      <c r="M111" s="412"/>
      <c r="N111" s="405"/>
    </row>
    <row r="112" spans="1:14" x14ac:dyDescent="0.3">
      <c r="A112" s="9"/>
      <c r="B112" s="15" t="s">
        <v>308</v>
      </c>
      <c r="C112" s="453" t="s">
        <v>2367</v>
      </c>
      <c r="D112" s="7">
        <v>110</v>
      </c>
      <c r="E112" s="3" t="s">
        <v>12</v>
      </c>
      <c r="F112" s="3">
        <v>109</v>
      </c>
      <c r="G112" s="443"/>
      <c r="H112" s="423" t="s">
        <v>69</v>
      </c>
      <c r="I112" s="420" t="s">
        <v>67</v>
      </c>
      <c r="J112" s="412" t="s">
        <v>310</v>
      </c>
      <c r="K112" s="412" t="s">
        <v>29</v>
      </c>
      <c r="L112" s="412"/>
      <c r="M112" s="412"/>
      <c r="N112" s="405"/>
    </row>
    <row r="113" spans="1:14" ht="27.6" x14ac:dyDescent="0.3">
      <c r="A113" s="20"/>
      <c r="B113" s="21" t="s">
        <v>311</v>
      </c>
      <c r="C113" s="19" t="s">
        <v>2368</v>
      </c>
      <c r="D113" s="22">
        <v>111</v>
      </c>
      <c r="E113" s="22" t="s">
        <v>12</v>
      </c>
      <c r="F113" s="450">
        <v>110</v>
      </c>
      <c r="G113" s="381"/>
      <c r="H113" s="454" t="s">
        <v>13</v>
      </c>
      <c r="I113" s="455" t="s">
        <v>29</v>
      </c>
      <c r="J113" s="456" t="s">
        <v>313</v>
      </c>
      <c r="K113" s="456" t="s">
        <v>29</v>
      </c>
      <c r="L113" s="456"/>
      <c r="M113" s="456"/>
      <c r="N113" s="434"/>
    </row>
    <row r="114" spans="1:14" x14ac:dyDescent="0.3">
      <c r="A114" s="9"/>
      <c r="B114" s="12" t="s">
        <v>314</v>
      </c>
      <c r="C114" s="13" t="s">
        <v>2369</v>
      </c>
      <c r="D114" s="7">
        <v>112</v>
      </c>
      <c r="E114" s="3" t="s">
        <v>12</v>
      </c>
      <c r="F114" s="3">
        <v>111</v>
      </c>
      <c r="G114" s="3"/>
      <c r="H114" s="423" t="s">
        <v>21</v>
      </c>
      <c r="I114" s="420" t="s">
        <v>42</v>
      </c>
      <c r="J114" s="412" t="s">
        <v>43</v>
      </c>
      <c r="K114" s="412" t="s">
        <v>21</v>
      </c>
      <c r="L114" s="412" t="s">
        <v>44</v>
      </c>
      <c r="M114" s="412" t="s">
        <v>43</v>
      </c>
      <c r="N114" s="405"/>
    </row>
    <row r="115" spans="1:14" x14ac:dyDescent="0.3">
      <c r="A115" s="20"/>
      <c r="B115" s="21" t="s">
        <v>316</v>
      </c>
      <c r="C115" s="457" t="s">
        <v>2370</v>
      </c>
      <c r="D115" s="22">
        <v>113</v>
      </c>
      <c r="E115" s="22" t="s">
        <v>12</v>
      </c>
      <c r="F115" s="381">
        <v>112</v>
      </c>
      <c r="G115" s="449"/>
      <c r="H115" s="454" t="s">
        <v>13</v>
      </c>
      <c r="I115" s="455" t="s">
        <v>29</v>
      </c>
      <c r="J115" s="456" t="s">
        <v>318</v>
      </c>
      <c r="K115" s="456" t="s">
        <v>29</v>
      </c>
      <c r="L115" s="456"/>
      <c r="M115" s="456"/>
      <c r="N115" s="434"/>
    </row>
    <row r="116" spans="1:14" x14ac:dyDescent="0.3">
      <c r="A116" s="9"/>
      <c r="B116" s="10" t="s">
        <v>319</v>
      </c>
      <c r="C116" s="11" t="s">
        <v>2460</v>
      </c>
      <c r="D116" s="7">
        <v>114</v>
      </c>
      <c r="E116" s="3" t="s">
        <v>12</v>
      </c>
      <c r="F116" s="3">
        <v>113</v>
      </c>
      <c r="G116" s="451"/>
      <c r="H116" s="423" t="s">
        <v>26</v>
      </c>
      <c r="I116" s="420" t="s">
        <v>30</v>
      </c>
      <c r="J116" s="412" t="s">
        <v>321</v>
      </c>
      <c r="K116" s="412" t="s">
        <v>29</v>
      </c>
      <c r="L116" s="412"/>
      <c r="M116" s="412"/>
      <c r="N116" s="405"/>
    </row>
    <row r="117" spans="1:14" x14ac:dyDescent="0.3">
      <c r="A117" s="9"/>
      <c r="B117" s="14" t="s">
        <v>322</v>
      </c>
      <c r="C117" s="452" t="s">
        <v>2372</v>
      </c>
      <c r="D117" s="3">
        <v>115</v>
      </c>
      <c r="E117" s="3" t="s">
        <v>12</v>
      </c>
      <c r="F117" s="381">
        <v>114</v>
      </c>
      <c r="G117" s="381"/>
      <c r="H117" s="423" t="s">
        <v>26</v>
      </c>
      <c r="I117" s="420" t="s">
        <v>31</v>
      </c>
      <c r="J117" s="412" t="s">
        <v>55</v>
      </c>
      <c r="K117" s="412" t="s">
        <v>29</v>
      </c>
      <c r="L117" s="412"/>
      <c r="M117" s="412"/>
      <c r="N117" s="405"/>
    </row>
    <row r="118" spans="1:14" x14ac:dyDescent="0.3">
      <c r="A118" s="834"/>
      <c r="B118" s="810" t="s">
        <v>324</v>
      </c>
      <c r="C118" s="11" t="s">
        <v>2374</v>
      </c>
      <c r="D118" s="7">
        <v>116</v>
      </c>
      <c r="E118" s="3" t="s">
        <v>12</v>
      </c>
      <c r="F118" s="448">
        <v>115</v>
      </c>
      <c r="G118" s="3"/>
      <c r="H118" s="423" t="s">
        <v>21</v>
      </c>
      <c r="I118" s="420" t="s">
        <v>164</v>
      </c>
      <c r="J118" s="412" t="s">
        <v>326</v>
      </c>
      <c r="K118" s="412" t="s">
        <v>21</v>
      </c>
      <c r="L118" s="412" t="s">
        <v>21</v>
      </c>
      <c r="M118" s="412" t="s">
        <v>164</v>
      </c>
      <c r="N118" s="405"/>
    </row>
    <row r="119" spans="1:14" x14ac:dyDescent="0.3">
      <c r="A119" s="835"/>
      <c r="B119" s="811"/>
      <c r="C119" s="11" t="s">
        <v>2374</v>
      </c>
      <c r="D119" s="3">
        <v>117</v>
      </c>
      <c r="E119" s="3" t="s">
        <v>327</v>
      </c>
      <c r="F119" s="450">
        <v>116</v>
      </c>
      <c r="G119" s="381"/>
      <c r="H119" s="423" t="s">
        <v>21</v>
      </c>
      <c r="I119" s="420" t="s">
        <v>164</v>
      </c>
      <c r="J119" s="412" t="s">
        <v>326</v>
      </c>
      <c r="K119" s="412" t="s">
        <v>21</v>
      </c>
      <c r="L119" s="412"/>
      <c r="M119" s="412"/>
      <c r="N119" s="405"/>
    </row>
    <row r="120" spans="1:14" x14ac:dyDescent="0.3">
      <c r="A120" s="9"/>
      <c r="B120" s="12" t="s">
        <v>328</v>
      </c>
      <c r="C120" s="13" t="s">
        <v>2375</v>
      </c>
      <c r="D120" s="7">
        <v>118</v>
      </c>
      <c r="E120" s="3" t="s">
        <v>12</v>
      </c>
      <c r="F120" s="448">
        <v>117</v>
      </c>
      <c r="G120" s="3"/>
      <c r="H120" s="423" t="s">
        <v>21</v>
      </c>
      <c r="I120" s="420" t="s">
        <v>164</v>
      </c>
      <c r="J120" s="412" t="s">
        <v>326</v>
      </c>
      <c r="K120" s="412" t="s">
        <v>21</v>
      </c>
      <c r="L120" s="412" t="s">
        <v>21</v>
      </c>
      <c r="M120" s="412" t="s">
        <v>164</v>
      </c>
      <c r="N120" s="405"/>
    </row>
    <row r="121" spans="1:14" x14ac:dyDescent="0.3">
      <c r="A121" s="9"/>
      <c r="B121" s="12" t="s">
        <v>330</v>
      </c>
      <c r="C121" s="13" t="s">
        <v>2376</v>
      </c>
      <c r="D121" s="3">
        <v>119</v>
      </c>
      <c r="E121" s="3" t="s">
        <v>12</v>
      </c>
      <c r="F121" s="381">
        <v>118</v>
      </c>
      <c r="G121" s="381"/>
      <c r="H121" s="423" t="s">
        <v>21</v>
      </c>
      <c r="I121" s="420" t="s">
        <v>164</v>
      </c>
      <c r="J121" s="412" t="s">
        <v>326</v>
      </c>
      <c r="K121" s="412" t="s">
        <v>21</v>
      </c>
      <c r="L121" s="412" t="s">
        <v>21</v>
      </c>
      <c r="M121" s="412" t="s">
        <v>164</v>
      </c>
      <c r="N121" s="405"/>
    </row>
    <row r="122" spans="1:14" x14ac:dyDescent="0.3">
      <c r="A122" s="9"/>
      <c r="B122" s="10" t="s">
        <v>332</v>
      </c>
      <c r="C122" s="11" t="s">
        <v>2377</v>
      </c>
      <c r="D122" s="7">
        <v>120</v>
      </c>
      <c r="E122" s="3" t="s">
        <v>12</v>
      </c>
      <c r="F122" s="448">
        <v>119</v>
      </c>
      <c r="G122" s="3"/>
      <c r="H122" s="423" t="s">
        <v>21</v>
      </c>
      <c r="I122" s="420" t="s">
        <v>164</v>
      </c>
      <c r="J122" s="412" t="s">
        <v>334</v>
      </c>
      <c r="K122" s="412" t="s">
        <v>21</v>
      </c>
      <c r="L122" s="412" t="s">
        <v>21</v>
      </c>
      <c r="M122" s="412" t="s">
        <v>164</v>
      </c>
      <c r="N122" s="405"/>
    </row>
    <row r="123" spans="1:14" ht="27.6" x14ac:dyDescent="0.3">
      <c r="A123" s="9"/>
      <c r="B123" s="10" t="s">
        <v>335</v>
      </c>
      <c r="C123" s="11" t="s">
        <v>2378</v>
      </c>
      <c r="D123" s="3">
        <v>121</v>
      </c>
      <c r="E123" s="3" t="s">
        <v>12</v>
      </c>
      <c r="F123" s="381">
        <v>120</v>
      </c>
      <c r="G123" s="444"/>
      <c r="H123" s="423" t="s">
        <v>69</v>
      </c>
      <c r="I123" s="420" t="s">
        <v>67</v>
      </c>
      <c r="J123" s="412" t="s">
        <v>337</v>
      </c>
      <c r="K123" s="412" t="s">
        <v>29</v>
      </c>
      <c r="L123" s="412"/>
      <c r="M123" s="412"/>
      <c r="N123" s="405"/>
    </row>
    <row r="124" spans="1:14" x14ac:dyDescent="0.3">
      <c r="A124" s="9"/>
      <c r="B124" s="15" t="s">
        <v>338</v>
      </c>
      <c r="C124" s="453" t="s">
        <v>2379</v>
      </c>
      <c r="D124" s="7">
        <v>122</v>
      </c>
      <c r="E124" s="3" t="s">
        <v>12</v>
      </c>
      <c r="F124" s="3">
        <v>121</v>
      </c>
      <c r="G124" s="443"/>
      <c r="H124" s="423"/>
      <c r="I124" s="420"/>
      <c r="J124" s="412"/>
      <c r="K124" s="412"/>
      <c r="L124" s="412"/>
      <c r="M124" s="412"/>
      <c r="N124" s="405"/>
    </row>
    <row r="125" spans="1:14" ht="27.6" x14ac:dyDescent="0.3">
      <c r="A125" s="9"/>
      <c r="B125" s="10" t="s">
        <v>342</v>
      </c>
      <c r="C125" s="11" t="s">
        <v>2381</v>
      </c>
      <c r="D125" s="3">
        <v>123</v>
      </c>
      <c r="E125" s="3" t="s">
        <v>12</v>
      </c>
      <c r="F125" s="381">
        <v>122</v>
      </c>
      <c r="G125" s="381"/>
      <c r="H125" s="423" t="s">
        <v>69</v>
      </c>
      <c r="I125" s="420" t="s">
        <v>125</v>
      </c>
      <c r="J125" s="412" t="s">
        <v>344</v>
      </c>
      <c r="K125" s="412" t="s">
        <v>29</v>
      </c>
      <c r="L125" s="412"/>
      <c r="M125" s="412"/>
      <c r="N125" s="405"/>
    </row>
    <row r="126" spans="1:14" x14ac:dyDescent="0.3">
      <c r="A126" s="9"/>
      <c r="B126" s="15" t="s">
        <v>345</v>
      </c>
      <c r="C126" s="453" t="s">
        <v>2382</v>
      </c>
      <c r="D126" s="7">
        <v>124</v>
      </c>
      <c r="E126" s="3" t="s">
        <v>12</v>
      </c>
      <c r="F126" s="3">
        <v>123</v>
      </c>
      <c r="G126" s="3"/>
      <c r="H126" s="423" t="s">
        <v>69</v>
      </c>
      <c r="I126" s="420" t="s">
        <v>125</v>
      </c>
      <c r="J126" s="412" t="s">
        <v>344</v>
      </c>
      <c r="K126" s="412" t="s">
        <v>29</v>
      </c>
      <c r="L126" s="412"/>
      <c r="M126" s="412"/>
      <c r="N126" s="405"/>
    </row>
    <row r="127" spans="1:14" x14ac:dyDescent="0.3">
      <c r="A127" s="9"/>
      <c r="B127" s="15" t="s">
        <v>347</v>
      </c>
      <c r="C127" s="453" t="s">
        <v>2383</v>
      </c>
      <c r="D127" s="3">
        <v>125</v>
      </c>
      <c r="E127" s="3" t="s">
        <v>12</v>
      </c>
      <c r="F127" s="381">
        <v>124</v>
      </c>
      <c r="G127" s="381"/>
      <c r="H127" s="423" t="s">
        <v>69</v>
      </c>
      <c r="I127" s="420" t="s">
        <v>125</v>
      </c>
      <c r="J127" s="412" t="s">
        <v>344</v>
      </c>
      <c r="K127" s="412" t="s">
        <v>29</v>
      </c>
      <c r="L127" s="412"/>
      <c r="M127" s="412"/>
      <c r="N127" s="405"/>
    </row>
    <row r="128" spans="1:14" ht="27.6" x14ac:dyDescent="0.3">
      <c r="A128" s="9"/>
      <c r="B128" s="10" t="s">
        <v>2461</v>
      </c>
      <c r="C128" s="11" t="s">
        <v>2385</v>
      </c>
      <c r="D128" s="7">
        <v>126</v>
      </c>
      <c r="E128" s="3" t="s">
        <v>12</v>
      </c>
      <c r="F128" s="3">
        <v>125</v>
      </c>
      <c r="G128" s="3"/>
      <c r="H128" s="423" t="s">
        <v>26</v>
      </c>
      <c r="I128" s="420" t="s">
        <v>26</v>
      </c>
      <c r="J128" s="412" t="s">
        <v>321</v>
      </c>
      <c r="K128" s="412" t="s">
        <v>29</v>
      </c>
      <c r="L128" s="412"/>
      <c r="M128" s="412"/>
      <c r="N128" s="405"/>
    </row>
    <row r="129" spans="1:14" x14ac:dyDescent="0.3">
      <c r="A129" s="9"/>
      <c r="B129" s="10" t="s">
        <v>350</v>
      </c>
      <c r="C129" s="11" t="s">
        <v>2387</v>
      </c>
      <c r="D129" s="3">
        <v>127</v>
      </c>
      <c r="E129" s="3" t="s">
        <v>12</v>
      </c>
      <c r="F129" s="381">
        <v>126</v>
      </c>
      <c r="G129" s="381"/>
      <c r="H129" s="423" t="s">
        <v>26</v>
      </c>
      <c r="I129" s="420" t="s">
        <v>26</v>
      </c>
      <c r="J129" s="412" t="s">
        <v>321</v>
      </c>
      <c r="K129" s="412" t="s">
        <v>29</v>
      </c>
      <c r="L129" s="412"/>
      <c r="M129" s="412"/>
      <c r="N129" s="405"/>
    </row>
    <row r="130" spans="1:14" x14ac:dyDescent="0.3">
      <c r="A130" s="9"/>
      <c r="B130" s="10" t="s">
        <v>353</v>
      </c>
      <c r="C130" s="11" t="s">
        <v>2388</v>
      </c>
      <c r="D130" s="7">
        <v>128</v>
      </c>
      <c r="E130" s="3" t="s">
        <v>12</v>
      </c>
      <c r="F130" s="3">
        <v>127</v>
      </c>
      <c r="G130" s="451"/>
      <c r="H130" s="423" t="s">
        <v>26</v>
      </c>
      <c r="I130" s="420" t="s">
        <v>26</v>
      </c>
      <c r="J130" s="412" t="s">
        <v>321</v>
      </c>
      <c r="K130" s="412" t="s">
        <v>29</v>
      </c>
      <c r="L130" s="412"/>
      <c r="M130" s="412"/>
      <c r="N130" s="405"/>
    </row>
    <row r="131" spans="1:14" x14ac:dyDescent="0.3">
      <c r="A131" s="9"/>
      <c r="B131" s="15" t="s">
        <v>355</v>
      </c>
      <c r="C131" s="453" t="s">
        <v>2391</v>
      </c>
      <c r="D131" s="3">
        <v>129</v>
      </c>
      <c r="E131" s="3" t="s">
        <v>12</v>
      </c>
      <c r="F131" s="381">
        <v>128</v>
      </c>
      <c r="G131" s="444"/>
      <c r="H131" s="423" t="s">
        <v>13</v>
      </c>
      <c r="I131" s="420" t="s">
        <v>19</v>
      </c>
      <c r="J131" s="412" t="s">
        <v>357</v>
      </c>
      <c r="K131" s="412" t="s">
        <v>21</v>
      </c>
      <c r="L131" s="412" t="s">
        <v>22</v>
      </c>
      <c r="M131" s="412" t="s">
        <v>23</v>
      </c>
      <c r="N131" s="405"/>
    </row>
    <row r="132" spans="1:14" x14ac:dyDescent="0.3">
      <c r="A132" s="20"/>
      <c r="B132" s="21"/>
      <c r="C132" s="457" t="s">
        <v>2088</v>
      </c>
      <c r="D132" s="458">
        <v>130</v>
      </c>
      <c r="E132" s="22"/>
      <c r="F132" s="3">
        <v>129</v>
      </c>
      <c r="G132" s="3"/>
      <c r="H132" s="454"/>
      <c r="I132" s="455"/>
      <c r="J132" s="456"/>
      <c r="K132" s="456"/>
      <c r="L132" s="456"/>
      <c r="M132" s="456"/>
      <c r="N132" s="434"/>
    </row>
    <row r="133" spans="1:14" x14ac:dyDescent="0.3">
      <c r="A133" s="9"/>
      <c r="B133" s="12" t="s">
        <v>358</v>
      </c>
      <c r="C133" s="13" t="s">
        <v>2392</v>
      </c>
      <c r="D133" s="3">
        <v>131</v>
      </c>
      <c r="E133" s="3" t="s">
        <v>12</v>
      </c>
      <c r="F133" s="381">
        <v>130</v>
      </c>
      <c r="G133" s="381"/>
      <c r="H133" s="423" t="s">
        <v>21</v>
      </c>
      <c r="I133" s="420" t="s">
        <v>241</v>
      </c>
      <c r="J133" s="412" t="s">
        <v>242</v>
      </c>
      <c r="K133" s="412" t="s">
        <v>21</v>
      </c>
      <c r="L133" s="412" t="s">
        <v>44</v>
      </c>
      <c r="M133" s="412" t="s">
        <v>109</v>
      </c>
      <c r="N133" s="405"/>
    </row>
    <row r="134" spans="1:14" x14ac:dyDescent="0.3">
      <c r="A134" s="9"/>
      <c r="B134" s="15" t="s">
        <v>360</v>
      </c>
      <c r="C134" s="453" t="s">
        <v>2393</v>
      </c>
      <c r="D134" s="7">
        <v>132</v>
      </c>
      <c r="E134" s="3" t="s">
        <v>12</v>
      </c>
      <c r="F134" s="3">
        <v>131</v>
      </c>
      <c r="G134" s="443"/>
      <c r="H134" s="423" t="s">
        <v>13</v>
      </c>
      <c r="I134" s="420" t="s">
        <v>19</v>
      </c>
      <c r="J134" s="412" t="s">
        <v>362</v>
      </c>
      <c r="K134" s="412" t="s">
        <v>21</v>
      </c>
      <c r="L134" s="412" t="s">
        <v>22</v>
      </c>
      <c r="M134" s="412" t="s">
        <v>23</v>
      </c>
      <c r="N134" s="405"/>
    </row>
    <row r="135" spans="1:14" x14ac:dyDescent="0.3">
      <c r="A135" s="9"/>
      <c r="B135" s="14" t="s">
        <v>363</v>
      </c>
      <c r="C135" s="452" t="s">
        <v>2394</v>
      </c>
      <c r="D135" s="3">
        <v>133</v>
      </c>
      <c r="E135" s="3" t="s">
        <v>12</v>
      </c>
      <c r="F135" s="450">
        <v>132</v>
      </c>
      <c r="G135" s="449"/>
      <c r="H135" s="423" t="s">
        <v>13</v>
      </c>
      <c r="I135" s="420" t="s">
        <v>14</v>
      </c>
      <c r="J135" s="412" t="s">
        <v>365</v>
      </c>
      <c r="K135" s="412" t="s">
        <v>14</v>
      </c>
      <c r="L135" s="412" t="s">
        <v>14</v>
      </c>
      <c r="M135" s="412" t="s">
        <v>16</v>
      </c>
      <c r="N135" s="405"/>
    </row>
    <row r="136" spans="1:14" x14ac:dyDescent="0.3">
      <c r="A136" s="9"/>
      <c r="B136" s="14" t="s">
        <v>366</v>
      </c>
      <c r="C136" s="452" t="s">
        <v>2395</v>
      </c>
      <c r="D136" s="7">
        <v>134</v>
      </c>
      <c r="E136" s="3" t="s">
        <v>12</v>
      </c>
      <c r="F136" s="448">
        <v>133</v>
      </c>
      <c r="G136" s="443"/>
      <c r="H136" s="423" t="s">
        <v>13</v>
      </c>
      <c r="I136" s="420" t="s">
        <v>14</v>
      </c>
      <c r="J136" s="412" t="s">
        <v>365</v>
      </c>
      <c r="K136" s="412" t="s">
        <v>14</v>
      </c>
      <c r="L136" s="412" t="s">
        <v>14</v>
      </c>
      <c r="M136" s="412" t="s">
        <v>16</v>
      </c>
      <c r="N136" s="405"/>
    </row>
    <row r="137" spans="1:14" x14ac:dyDescent="0.3">
      <c r="A137" s="9"/>
      <c r="B137" s="15" t="s">
        <v>368</v>
      </c>
      <c r="C137" s="453" t="s">
        <v>2462</v>
      </c>
      <c r="D137" s="3">
        <v>135</v>
      </c>
      <c r="E137" s="3" t="s">
        <v>12</v>
      </c>
      <c r="F137" s="381">
        <v>134</v>
      </c>
      <c r="G137" s="381"/>
      <c r="H137" s="423" t="s">
        <v>26</v>
      </c>
      <c r="I137" s="420" t="s">
        <v>26</v>
      </c>
      <c r="J137" s="412" t="s">
        <v>370</v>
      </c>
      <c r="K137" s="412" t="s">
        <v>29</v>
      </c>
      <c r="L137" s="412"/>
      <c r="M137" s="412"/>
      <c r="N137" s="405"/>
    </row>
    <row r="138" spans="1:14" x14ac:dyDescent="0.3">
      <c r="A138" s="9"/>
      <c r="B138" s="15" t="s">
        <v>371</v>
      </c>
      <c r="C138" s="453" t="s">
        <v>2397</v>
      </c>
      <c r="D138" s="7">
        <v>136</v>
      </c>
      <c r="E138" s="3" t="s">
        <v>12</v>
      </c>
      <c r="F138" s="3">
        <v>135</v>
      </c>
      <c r="G138" s="3"/>
      <c r="H138" s="423" t="s">
        <v>26</v>
      </c>
      <c r="I138" s="420" t="s">
        <v>26</v>
      </c>
      <c r="J138" s="412" t="s">
        <v>370</v>
      </c>
      <c r="K138" s="412" t="s">
        <v>29</v>
      </c>
      <c r="L138" s="412"/>
      <c r="M138" s="412"/>
      <c r="N138" s="405"/>
    </row>
    <row r="139" spans="1:14" x14ac:dyDescent="0.3">
      <c r="A139" s="9"/>
      <c r="B139" s="15" t="s">
        <v>373</v>
      </c>
      <c r="C139" s="453" t="s">
        <v>2398</v>
      </c>
      <c r="D139" s="3">
        <v>137</v>
      </c>
      <c r="E139" s="3" t="s">
        <v>12</v>
      </c>
      <c r="F139" s="450">
        <v>136</v>
      </c>
      <c r="G139" s="381"/>
      <c r="H139" s="423" t="s">
        <v>26</v>
      </c>
      <c r="I139" s="420" t="s">
        <v>26</v>
      </c>
      <c r="J139" s="412" t="s">
        <v>370</v>
      </c>
      <c r="K139" s="412" t="s">
        <v>29</v>
      </c>
      <c r="L139" s="412"/>
      <c r="M139" s="412"/>
      <c r="N139" s="405"/>
    </row>
    <row r="140" spans="1:14" x14ac:dyDescent="0.3">
      <c r="A140" s="9"/>
      <c r="B140" s="15" t="s">
        <v>375</v>
      </c>
      <c r="C140" s="453" t="s">
        <v>2399</v>
      </c>
      <c r="D140" s="7">
        <v>138</v>
      </c>
      <c r="E140" s="3" t="s">
        <v>12</v>
      </c>
      <c r="F140" s="3">
        <v>137</v>
      </c>
      <c r="G140" s="451"/>
      <c r="H140" s="423" t="s">
        <v>26</v>
      </c>
      <c r="I140" s="420" t="s">
        <v>26</v>
      </c>
      <c r="J140" s="412" t="s">
        <v>244</v>
      </c>
      <c r="K140" s="412" t="s">
        <v>29</v>
      </c>
      <c r="L140" s="412"/>
      <c r="M140" s="412"/>
      <c r="N140" s="405"/>
    </row>
    <row r="141" spans="1:14" ht="41.4" x14ac:dyDescent="0.3">
      <c r="A141" s="9"/>
      <c r="B141" s="10" t="s">
        <v>377</v>
      </c>
      <c r="C141" s="11" t="s">
        <v>2400</v>
      </c>
      <c r="D141" s="3">
        <v>139</v>
      </c>
      <c r="E141" s="3" t="s">
        <v>12</v>
      </c>
      <c r="F141" s="381">
        <v>138</v>
      </c>
      <c r="G141" s="381"/>
      <c r="H141" s="423" t="s">
        <v>69</v>
      </c>
      <c r="I141" s="420" t="s">
        <v>80</v>
      </c>
      <c r="J141" s="412" t="s">
        <v>81</v>
      </c>
      <c r="K141" s="412" t="s">
        <v>29</v>
      </c>
      <c r="L141" s="412"/>
      <c r="M141" s="412"/>
      <c r="N141" s="405"/>
    </row>
    <row r="142" spans="1:14" ht="27.6" x14ac:dyDescent="0.3">
      <c r="A142" s="9"/>
      <c r="B142" s="12" t="s">
        <v>2463</v>
      </c>
      <c r="C142" s="13" t="s">
        <v>2401</v>
      </c>
      <c r="D142" s="7">
        <v>140</v>
      </c>
      <c r="E142" s="3" t="s">
        <v>12</v>
      </c>
      <c r="F142" s="3">
        <v>139</v>
      </c>
      <c r="G142" s="3"/>
      <c r="H142" s="423" t="s">
        <v>21</v>
      </c>
      <c r="I142" s="420" t="s">
        <v>42</v>
      </c>
      <c r="J142" s="412" t="s">
        <v>380</v>
      </c>
      <c r="K142" s="412" t="s">
        <v>14</v>
      </c>
      <c r="L142" s="412" t="s">
        <v>14</v>
      </c>
      <c r="M142" s="412" t="s">
        <v>203</v>
      </c>
      <c r="N142" s="405"/>
    </row>
    <row r="143" spans="1:14" x14ac:dyDescent="0.3">
      <c r="A143" s="9"/>
      <c r="B143" s="12" t="s">
        <v>381</v>
      </c>
      <c r="C143" s="13" t="s">
        <v>2402</v>
      </c>
      <c r="D143" s="3">
        <v>141</v>
      </c>
      <c r="E143" s="3" t="s">
        <v>12</v>
      </c>
      <c r="F143" s="381">
        <v>140</v>
      </c>
      <c r="G143" s="381"/>
      <c r="H143" s="423" t="s">
        <v>21</v>
      </c>
      <c r="I143" s="420" t="s">
        <v>42</v>
      </c>
      <c r="J143" s="412" t="s">
        <v>380</v>
      </c>
      <c r="K143" s="412" t="s">
        <v>14</v>
      </c>
      <c r="L143" s="412" t="s">
        <v>14</v>
      </c>
      <c r="M143" s="412" t="s">
        <v>203</v>
      </c>
      <c r="N143" s="405"/>
    </row>
    <row r="144" spans="1:14" x14ac:dyDescent="0.3">
      <c r="A144" s="9"/>
      <c r="B144" s="10" t="s">
        <v>383</v>
      </c>
      <c r="C144" s="11" t="s">
        <v>2403</v>
      </c>
      <c r="D144" s="7">
        <v>142</v>
      </c>
      <c r="E144" s="3" t="s">
        <v>12</v>
      </c>
      <c r="F144" s="3">
        <v>141</v>
      </c>
      <c r="G144" s="451"/>
      <c r="H144" s="423" t="s">
        <v>69</v>
      </c>
      <c r="I144" s="420" t="s">
        <v>96</v>
      </c>
      <c r="J144" s="412" t="s">
        <v>99</v>
      </c>
      <c r="K144" s="412" t="s">
        <v>29</v>
      </c>
      <c r="L144" s="412"/>
      <c r="M144" s="412"/>
      <c r="N144" s="405"/>
    </row>
    <row r="145" spans="1:14" x14ac:dyDescent="0.3">
      <c r="A145" s="9"/>
      <c r="B145" s="10" t="s">
        <v>385</v>
      </c>
      <c r="C145" s="11" t="s">
        <v>2404</v>
      </c>
      <c r="D145" s="3">
        <v>143</v>
      </c>
      <c r="E145" s="3" t="s">
        <v>12</v>
      </c>
      <c r="F145" s="381">
        <v>142</v>
      </c>
      <c r="G145" s="444"/>
      <c r="H145" s="423" t="s">
        <v>69</v>
      </c>
      <c r="I145" s="420" t="s">
        <v>96</v>
      </c>
      <c r="J145" s="412" t="s">
        <v>387</v>
      </c>
      <c r="K145" s="412" t="s">
        <v>29</v>
      </c>
      <c r="L145" s="412"/>
      <c r="M145" s="412"/>
      <c r="N145" s="405"/>
    </row>
    <row r="146" spans="1:14" ht="27.6" x14ac:dyDescent="0.3">
      <c r="A146" s="9"/>
      <c r="B146" s="10" t="s">
        <v>388</v>
      </c>
      <c r="C146" s="453" t="s">
        <v>2405</v>
      </c>
      <c r="D146" s="7">
        <v>144</v>
      </c>
      <c r="E146" s="3" t="s">
        <v>12</v>
      </c>
      <c r="F146" s="3">
        <v>143</v>
      </c>
      <c r="G146" s="451"/>
      <c r="H146" s="423" t="s">
        <v>26</v>
      </c>
      <c r="I146" s="420" t="s">
        <v>26</v>
      </c>
      <c r="J146" s="412" t="s">
        <v>296</v>
      </c>
      <c r="K146" s="412" t="s">
        <v>29</v>
      </c>
      <c r="L146" s="412"/>
      <c r="M146" s="412"/>
      <c r="N146" s="405"/>
    </row>
    <row r="147" spans="1:14" x14ac:dyDescent="0.3">
      <c r="A147" s="9"/>
      <c r="B147" s="15" t="s">
        <v>390</v>
      </c>
      <c r="C147" s="453" t="s">
        <v>2406</v>
      </c>
      <c r="D147" s="3">
        <v>145</v>
      </c>
      <c r="E147" s="3" t="s">
        <v>12</v>
      </c>
      <c r="F147" s="450">
        <v>144</v>
      </c>
      <c r="G147" s="444"/>
      <c r="H147" s="423" t="s">
        <v>13</v>
      </c>
      <c r="I147" s="420" t="s">
        <v>19</v>
      </c>
      <c r="J147" s="412" t="s">
        <v>20</v>
      </c>
      <c r="K147" s="412" t="s">
        <v>110</v>
      </c>
      <c r="L147" s="412"/>
      <c r="M147" s="412"/>
      <c r="N147" s="405"/>
    </row>
    <row r="148" spans="1:14" x14ac:dyDescent="0.3">
      <c r="A148" s="9"/>
      <c r="B148" s="15" t="s">
        <v>392</v>
      </c>
      <c r="C148" s="453" t="s">
        <v>2407</v>
      </c>
      <c r="D148" s="7">
        <v>146</v>
      </c>
      <c r="E148" s="3" t="s">
        <v>12</v>
      </c>
      <c r="F148" s="448">
        <v>145</v>
      </c>
      <c r="G148" s="451"/>
      <c r="H148" s="423" t="s">
        <v>13</v>
      </c>
      <c r="I148" s="420" t="s">
        <v>19</v>
      </c>
      <c r="J148" s="412" t="s">
        <v>20</v>
      </c>
      <c r="K148" s="412" t="s">
        <v>21</v>
      </c>
      <c r="L148" s="412" t="s">
        <v>22</v>
      </c>
      <c r="M148" s="412" t="s">
        <v>23</v>
      </c>
      <c r="N148" s="405"/>
    </row>
    <row r="149" spans="1:14" x14ac:dyDescent="0.3">
      <c r="A149" s="9"/>
      <c r="B149" s="15" t="s">
        <v>394</v>
      </c>
      <c r="C149" s="453" t="s">
        <v>2464</v>
      </c>
      <c r="D149" s="3">
        <v>147</v>
      </c>
      <c r="E149" s="3" t="s">
        <v>12</v>
      </c>
      <c r="F149" s="381">
        <v>146</v>
      </c>
      <c r="G149" s="381"/>
      <c r="H149" s="423" t="s">
        <v>69</v>
      </c>
      <c r="I149" s="420" t="s">
        <v>96</v>
      </c>
      <c r="J149" s="412" t="s">
        <v>96</v>
      </c>
      <c r="K149" s="412" t="s">
        <v>29</v>
      </c>
      <c r="L149" s="412"/>
      <c r="M149" s="412"/>
      <c r="N149" s="405"/>
    </row>
    <row r="150" spans="1:14" x14ac:dyDescent="0.3">
      <c r="A150" s="9"/>
      <c r="B150" s="15" t="s">
        <v>396</v>
      </c>
      <c r="C150" s="453" t="s">
        <v>2409</v>
      </c>
      <c r="D150" s="7">
        <v>148</v>
      </c>
      <c r="E150" s="3" t="s">
        <v>12</v>
      </c>
      <c r="F150" s="3">
        <v>147</v>
      </c>
      <c r="G150" s="3"/>
      <c r="H150" s="423" t="s">
        <v>69</v>
      </c>
      <c r="I150" s="420" t="s">
        <v>96</v>
      </c>
      <c r="J150" s="412" t="s">
        <v>96</v>
      </c>
      <c r="K150" s="412" t="s">
        <v>29</v>
      </c>
      <c r="L150" s="412"/>
      <c r="M150" s="412"/>
      <c r="N150" s="405"/>
    </row>
    <row r="151" spans="1:14" x14ac:dyDescent="0.3">
      <c r="A151" s="9"/>
      <c r="B151" s="15" t="s">
        <v>398</v>
      </c>
      <c r="C151" s="453" t="s">
        <v>2410</v>
      </c>
      <c r="D151" s="3">
        <v>149</v>
      </c>
      <c r="E151" s="3" t="s">
        <v>12</v>
      </c>
      <c r="F151" s="450">
        <v>148</v>
      </c>
      <c r="G151" s="381"/>
      <c r="H151" s="423" t="s">
        <v>21</v>
      </c>
      <c r="I151" s="420" t="s">
        <v>241</v>
      </c>
      <c r="J151" s="412" t="s">
        <v>400</v>
      </c>
      <c r="K151" s="412" t="s">
        <v>21</v>
      </c>
      <c r="L151" s="412" t="s">
        <v>250</v>
      </c>
      <c r="M151" s="412" t="s">
        <v>249</v>
      </c>
      <c r="N151" s="405"/>
    </row>
    <row r="152" spans="1:14" x14ac:dyDescent="0.3">
      <c r="A152" s="9"/>
      <c r="B152" s="15" t="s">
        <v>402</v>
      </c>
      <c r="C152" s="453" t="s">
        <v>2411</v>
      </c>
      <c r="D152" s="7">
        <v>150</v>
      </c>
      <c r="E152" s="3" t="s">
        <v>12</v>
      </c>
      <c r="F152" s="448">
        <v>149</v>
      </c>
      <c r="G152" s="3"/>
      <c r="H152" s="423" t="s">
        <v>21</v>
      </c>
      <c r="I152" s="420" t="s">
        <v>241</v>
      </c>
      <c r="J152" s="412" t="s">
        <v>400</v>
      </c>
      <c r="K152" s="412" t="s">
        <v>21</v>
      </c>
      <c r="L152" s="412" t="s">
        <v>250</v>
      </c>
      <c r="M152" s="412" t="s">
        <v>249</v>
      </c>
      <c r="N152" s="405"/>
    </row>
    <row r="153" spans="1:14" x14ac:dyDescent="0.3">
      <c r="A153" s="9"/>
      <c r="B153" s="15" t="s">
        <v>404</v>
      </c>
      <c r="C153" s="453" t="s">
        <v>2412</v>
      </c>
      <c r="D153" s="3">
        <v>151</v>
      </c>
      <c r="E153" s="3" t="s">
        <v>12</v>
      </c>
      <c r="F153" s="450">
        <v>150</v>
      </c>
      <c r="G153" s="381"/>
      <c r="H153" s="423" t="s">
        <v>21</v>
      </c>
      <c r="I153" s="420" t="s">
        <v>42</v>
      </c>
      <c r="J153" s="412" t="s">
        <v>406</v>
      </c>
      <c r="K153" s="412" t="s">
        <v>21</v>
      </c>
      <c r="L153" s="412" t="s">
        <v>44</v>
      </c>
      <c r="M153" s="412" t="s">
        <v>42</v>
      </c>
      <c r="N153" s="405"/>
    </row>
    <row r="154" spans="1:14" x14ac:dyDescent="0.3">
      <c r="A154" s="9"/>
      <c r="B154" s="15" t="s">
        <v>407</v>
      </c>
      <c r="C154" s="453" t="s">
        <v>2413</v>
      </c>
      <c r="D154" s="7">
        <v>152</v>
      </c>
      <c r="E154" s="3" t="s">
        <v>12</v>
      </c>
      <c r="F154" s="3">
        <v>151</v>
      </c>
      <c r="G154" s="3"/>
      <c r="H154" s="423" t="s">
        <v>21</v>
      </c>
      <c r="I154" s="420" t="s">
        <v>42</v>
      </c>
      <c r="J154" s="412" t="s">
        <v>409</v>
      </c>
      <c r="K154" s="412" t="s">
        <v>21</v>
      </c>
      <c r="L154" s="412" t="s">
        <v>44</v>
      </c>
      <c r="M154" s="412" t="s">
        <v>42</v>
      </c>
      <c r="N154" s="405"/>
    </row>
    <row r="155" spans="1:14" x14ac:dyDescent="0.3">
      <c r="A155" s="9"/>
      <c r="B155" s="14" t="s">
        <v>410</v>
      </c>
      <c r="C155" s="452" t="s">
        <v>2415</v>
      </c>
      <c r="D155" s="3">
        <v>153</v>
      </c>
      <c r="E155" s="3" t="s">
        <v>12</v>
      </c>
      <c r="F155" s="450">
        <v>152</v>
      </c>
      <c r="G155" s="381"/>
      <c r="H155" s="423" t="s">
        <v>21</v>
      </c>
      <c r="I155" s="420" t="s">
        <v>42</v>
      </c>
      <c r="J155" s="412" t="s">
        <v>380</v>
      </c>
      <c r="K155" s="412" t="s">
        <v>412</v>
      </c>
      <c r="L155" s="412" t="s">
        <v>14</v>
      </c>
      <c r="M155" s="412" t="s">
        <v>203</v>
      </c>
      <c r="N155" s="405"/>
    </row>
    <row r="156" spans="1:14" x14ac:dyDescent="0.3">
      <c r="A156" s="9"/>
      <c r="B156" s="10" t="s">
        <v>413</v>
      </c>
      <c r="C156" s="11" t="s">
        <v>2416</v>
      </c>
      <c r="D156" s="7">
        <v>154</v>
      </c>
      <c r="E156" s="3" t="s">
        <v>12</v>
      </c>
      <c r="F156" s="3">
        <v>153</v>
      </c>
      <c r="G156" s="3"/>
      <c r="H156" s="423" t="s">
        <v>26</v>
      </c>
      <c r="I156" s="420" t="s">
        <v>30</v>
      </c>
      <c r="J156" s="412" t="s">
        <v>148</v>
      </c>
      <c r="K156" s="412" t="s">
        <v>29</v>
      </c>
      <c r="L156" s="412" t="s">
        <v>30</v>
      </c>
      <c r="M156" s="412"/>
      <c r="N156" s="405"/>
    </row>
    <row r="157" spans="1:14" x14ac:dyDescent="0.3">
      <c r="A157" s="9"/>
      <c r="B157" s="15" t="s">
        <v>415</v>
      </c>
      <c r="C157" s="453" t="s">
        <v>2417</v>
      </c>
      <c r="D157" s="3">
        <v>155</v>
      </c>
      <c r="E157" s="3" t="s">
        <v>12</v>
      </c>
      <c r="F157" s="381">
        <v>154</v>
      </c>
      <c r="G157" s="444"/>
      <c r="H157" s="423" t="s">
        <v>26</v>
      </c>
      <c r="I157" s="420" t="s">
        <v>27</v>
      </c>
      <c r="J157" s="412" t="s">
        <v>28</v>
      </c>
      <c r="K157" s="412" t="s">
        <v>417</v>
      </c>
      <c r="L157" s="412"/>
      <c r="M157" s="412"/>
      <c r="N157" s="405"/>
    </row>
    <row r="158" spans="1:14" x14ac:dyDescent="0.3">
      <c r="A158" s="9"/>
      <c r="B158" s="15" t="s">
        <v>418</v>
      </c>
      <c r="C158" s="453" t="s">
        <v>2418</v>
      </c>
      <c r="D158" s="7">
        <v>156</v>
      </c>
      <c r="E158" s="3" t="s">
        <v>12</v>
      </c>
      <c r="F158" s="3">
        <v>155</v>
      </c>
      <c r="G158" s="3"/>
      <c r="H158" s="423" t="s">
        <v>26</v>
      </c>
      <c r="I158" s="420" t="s">
        <v>27</v>
      </c>
      <c r="J158" s="412" t="s">
        <v>28</v>
      </c>
      <c r="K158" s="412" t="s">
        <v>417</v>
      </c>
      <c r="L158" s="412"/>
      <c r="M158" s="412"/>
      <c r="N158" s="405"/>
    </row>
    <row r="159" spans="1:14" x14ac:dyDescent="0.3">
      <c r="A159" s="9"/>
      <c r="B159" s="15" t="s">
        <v>420</v>
      </c>
      <c r="C159" s="453" t="s">
        <v>2419</v>
      </c>
      <c r="D159" s="3">
        <v>157</v>
      </c>
      <c r="E159" s="3" t="s">
        <v>12</v>
      </c>
      <c r="F159" s="450">
        <v>156</v>
      </c>
      <c r="G159" s="381"/>
      <c r="H159" s="423" t="s">
        <v>21</v>
      </c>
      <c r="I159" s="420" t="s">
        <v>84</v>
      </c>
      <c r="J159" s="412" t="s">
        <v>422</v>
      </c>
      <c r="K159" s="412" t="s">
        <v>21</v>
      </c>
      <c r="L159" s="412" t="s">
        <v>21</v>
      </c>
      <c r="M159" s="412" t="s">
        <v>84</v>
      </c>
      <c r="N159" s="405"/>
    </row>
    <row r="160" spans="1:14" x14ac:dyDescent="0.3">
      <c r="A160" s="9"/>
      <c r="B160" s="15" t="s">
        <v>423</v>
      </c>
      <c r="C160" s="453" t="s">
        <v>2420</v>
      </c>
      <c r="D160" s="7">
        <v>158</v>
      </c>
      <c r="E160" s="3" t="s">
        <v>12</v>
      </c>
      <c r="F160" s="448">
        <v>157</v>
      </c>
      <c r="G160" s="3"/>
      <c r="H160" s="423" t="s">
        <v>21</v>
      </c>
      <c r="I160" s="420" t="s">
        <v>84</v>
      </c>
      <c r="J160" s="412" t="s">
        <v>422</v>
      </c>
      <c r="K160" s="412" t="s">
        <v>21</v>
      </c>
      <c r="L160" s="412" t="s">
        <v>21</v>
      </c>
      <c r="M160" s="412" t="s">
        <v>84</v>
      </c>
      <c r="N160" s="405"/>
    </row>
    <row r="161" spans="1:14" x14ac:dyDescent="0.3">
      <c r="A161" s="9"/>
      <c r="B161" s="15" t="s">
        <v>425</v>
      </c>
      <c r="C161" s="453" t="s">
        <v>2421</v>
      </c>
      <c r="D161" s="3">
        <v>159</v>
      </c>
      <c r="E161" s="3" t="s">
        <v>12</v>
      </c>
      <c r="F161" s="381">
        <v>158</v>
      </c>
      <c r="G161" s="444"/>
      <c r="H161" s="423" t="s">
        <v>13</v>
      </c>
      <c r="I161" s="420" t="s">
        <v>19</v>
      </c>
      <c r="J161" s="412" t="s">
        <v>427</v>
      </c>
      <c r="K161" s="412" t="s">
        <v>29</v>
      </c>
      <c r="L161" s="412" t="s">
        <v>29</v>
      </c>
      <c r="M161" s="412"/>
      <c r="N161" s="405"/>
    </row>
    <row r="162" spans="1:14" x14ac:dyDescent="0.3">
      <c r="A162" s="9"/>
      <c r="B162" s="15" t="s">
        <v>428</v>
      </c>
      <c r="C162" s="453" t="s">
        <v>2422</v>
      </c>
      <c r="D162" s="7">
        <v>160</v>
      </c>
      <c r="E162" s="3" t="s">
        <v>12</v>
      </c>
      <c r="F162" s="3">
        <v>159</v>
      </c>
      <c r="G162" s="451"/>
      <c r="H162" s="423" t="s">
        <v>26</v>
      </c>
      <c r="I162" s="420" t="s">
        <v>30</v>
      </c>
      <c r="J162" s="412" t="s">
        <v>430</v>
      </c>
      <c r="K162" s="412" t="s">
        <v>29</v>
      </c>
      <c r="L162" s="412" t="s">
        <v>30</v>
      </c>
      <c r="M162" s="412"/>
      <c r="N162" s="405"/>
    </row>
    <row r="163" spans="1:14" x14ac:dyDescent="0.3">
      <c r="A163" s="9"/>
      <c r="B163" s="15" t="s">
        <v>431</v>
      </c>
      <c r="C163" s="453" t="s">
        <v>2423</v>
      </c>
      <c r="D163" s="3">
        <v>161</v>
      </c>
      <c r="E163" s="3" t="s">
        <v>12</v>
      </c>
      <c r="F163" s="381">
        <v>160</v>
      </c>
      <c r="G163" s="449"/>
      <c r="H163" s="423" t="s">
        <v>69</v>
      </c>
      <c r="I163" s="420" t="s">
        <v>67</v>
      </c>
      <c r="J163" s="412" t="s">
        <v>433</v>
      </c>
      <c r="K163" s="412" t="s">
        <v>29</v>
      </c>
      <c r="L163" s="412"/>
      <c r="M163" s="412"/>
      <c r="N163" s="405"/>
    </row>
    <row r="164" spans="1:14" x14ac:dyDescent="0.3">
      <c r="A164" s="9"/>
      <c r="B164" s="15" t="s">
        <v>434</v>
      </c>
      <c r="C164" s="453" t="s">
        <v>2424</v>
      </c>
      <c r="D164" s="7">
        <v>162</v>
      </c>
      <c r="E164" s="3" t="s">
        <v>12</v>
      </c>
      <c r="F164" s="3">
        <v>161</v>
      </c>
      <c r="G164" s="451"/>
      <c r="H164" s="423" t="s">
        <v>26</v>
      </c>
      <c r="I164" s="420" t="s">
        <v>27</v>
      </c>
      <c r="J164" s="412" t="s">
        <v>436</v>
      </c>
      <c r="K164" s="412" t="s">
        <v>29</v>
      </c>
      <c r="L164" s="412"/>
      <c r="M164" s="412"/>
      <c r="N164" s="405"/>
    </row>
    <row r="165" spans="1:14" x14ac:dyDescent="0.3">
      <c r="A165" s="834"/>
      <c r="B165" s="838" t="s">
        <v>437</v>
      </c>
      <c r="C165" s="13" t="s">
        <v>2425</v>
      </c>
      <c r="D165" s="3">
        <v>163</v>
      </c>
      <c r="E165" s="3" t="s">
        <v>12</v>
      </c>
      <c r="F165" s="381">
        <v>162</v>
      </c>
      <c r="G165" s="381"/>
      <c r="H165" s="423" t="s">
        <v>26</v>
      </c>
      <c r="I165" s="420" t="s">
        <v>31</v>
      </c>
      <c r="J165" s="412" t="s">
        <v>55</v>
      </c>
      <c r="K165" s="412" t="s">
        <v>29</v>
      </c>
      <c r="L165" s="412"/>
      <c r="M165" s="412"/>
      <c r="N165" s="405"/>
    </row>
    <row r="166" spans="1:14" x14ac:dyDescent="0.3">
      <c r="A166" s="835"/>
      <c r="B166" s="839"/>
      <c r="C166" s="13" t="s">
        <v>2465</v>
      </c>
      <c r="D166" s="7">
        <v>164</v>
      </c>
      <c r="E166" s="3" t="s">
        <v>327</v>
      </c>
      <c r="F166" s="3">
        <v>163</v>
      </c>
      <c r="G166" s="3"/>
      <c r="H166" s="423" t="s">
        <v>26</v>
      </c>
      <c r="I166" s="420" t="s">
        <v>31</v>
      </c>
      <c r="J166" s="412" t="s">
        <v>55</v>
      </c>
      <c r="K166" s="412" t="s">
        <v>29</v>
      </c>
      <c r="L166" s="412"/>
      <c r="M166" s="412"/>
      <c r="N166" s="405"/>
    </row>
    <row r="167" spans="1:14" ht="41.4" x14ac:dyDescent="0.3">
      <c r="A167" s="9"/>
      <c r="B167" s="12" t="s">
        <v>439</v>
      </c>
      <c r="C167" s="452" t="s">
        <v>2427</v>
      </c>
      <c r="D167" s="3">
        <v>165</v>
      </c>
      <c r="E167" s="3" t="s">
        <v>12</v>
      </c>
      <c r="F167" s="381">
        <v>164</v>
      </c>
      <c r="G167" s="3"/>
      <c r="H167" s="423" t="s">
        <v>69</v>
      </c>
      <c r="I167" s="420" t="s">
        <v>80</v>
      </c>
      <c r="J167" s="412" t="s">
        <v>69</v>
      </c>
      <c r="K167" s="412" t="s">
        <v>29</v>
      </c>
      <c r="L167" s="412"/>
      <c r="M167" s="412"/>
      <c r="N167" s="405"/>
    </row>
    <row r="168" spans="1:14" x14ac:dyDescent="0.3">
      <c r="A168" s="9"/>
      <c r="B168" s="15" t="s">
        <v>441</v>
      </c>
      <c r="C168" s="453" t="s">
        <v>2428</v>
      </c>
      <c r="D168" s="3">
        <v>167</v>
      </c>
      <c r="E168" s="3" t="s">
        <v>12</v>
      </c>
      <c r="F168" s="3">
        <v>165</v>
      </c>
      <c r="G168" s="451"/>
      <c r="H168" s="423" t="s">
        <v>13</v>
      </c>
      <c r="I168" s="420" t="s">
        <v>29</v>
      </c>
      <c r="J168" s="412" t="s">
        <v>90</v>
      </c>
      <c r="K168" s="412" t="s">
        <v>29</v>
      </c>
      <c r="L168" s="412"/>
      <c r="M168" s="412"/>
      <c r="N168" s="405"/>
    </row>
    <row r="169" spans="1:14" ht="27.6" x14ac:dyDescent="0.3">
      <c r="A169" s="9"/>
      <c r="B169" s="10" t="s">
        <v>443</v>
      </c>
      <c r="C169" s="453" t="s">
        <v>2429</v>
      </c>
      <c r="D169" s="7">
        <v>168</v>
      </c>
      <c r="E169" s="3" t="s">
        <v>12</v>
      </c>
      <c r="F169" s="381">
        <v>166</v>
      </c>
      <c r="G169" s="444"/>
      <c r="H169" s="423" t="s">
        <v>69</v>
      </c>
      <c r="I169" s="420" t="s">
        <v>67</v>
      </c>
      <c r="J169" s="412" t="s">
        <v>445</v>
      </c>
      <c r="K169" s="412" t="s">
        <v>29</v>
      </c>
      <c r="L169" s="412"/>
      <c r="M169" s="412"/>
      <c r="N169" s="405"/>
    </row>
    <row r="170" spans="1:14" ht="27.6" x14ac:dyDescent="0.3">
      <c r="A170" s="9"/>
      <c r="B170" s="10" t="s">
        <v>446</v>
      </c>
      <c r="C170" s="459" t="s">
        <v>2466</v>
      </c>
      <c r="D170" s="3">
        <v>169</v>
      </c>
      <c r="E170" s="3" t="s">
        <v>12</v>
      </c>
      <c r="F170" s="3">
        <v>167</v>
      </c>
      <c r="G170" s="443"/>
      <c r="H170" s="423" t="s">
        <v>13</v>
      </c>
      <c r="I170" s="420" t="s">
        <v>29</v>
      </c>
      <c r="J170" s="412" t="s">
        <v>448</v>
      </c>
      <c r="K170" s="412" t="s">
        <v>29</v>
      </c>
      <c r="L170" s="412"/>
      <c r="M170" s="412"/>
      <c r="N170" s="405"/>
    </row>
    <row r="171" spans="1:14" x14ac:dyDescent="0.3">
      <c r="A171" s="20"/>
      <c r="B171" s="21" t="s">
        <v>449</v>
      </c>
      <c r="C171" s="457" t="s">
        <v>2467</v>
      </c>
      <c r="D171" s="458">
        <v>170</v>
      </c>
      <c r="E171" s="22" t="s">
        <v>12</v>
      </c>
      <c r="F171" s="381">
        <v>168</v>
      </c>
      <c r="G171" s="444"/>
      <c r="H171" s="454" t="s">
        <v>13</v>
      </c>
      <c r="I171" s="455" t="s">
        <v>29</v>
      </c>
      <c r="J171" s="456" t="s">
        <v>160</v>
      </c>
      <c r="K171" s="456" t="s">
        <v>29</v>
      </c>
      <c r="L171" s="456"/>
      <c r="M171" s="456"/>
      <c r="N171" s="434"/>
    </row>
    <row r="172" spans="1:14" ht="27.6" x14ac:dyDescent="0.3">
      <c r="A172" s="9"/>
      <c r="B172" s="12" t="s">
        <v>452</v>
      </c>
      <c r="C172" s="452" t="s">
        <v>2432</v>
      </c>
      <c r="D172" s="3">
        <v>171</v>
      </c>
      <c r="E172" s="3" t="s">
        <v>12</v>
      </c>
      <c r="F172" s="3">
        <v>169</v>
      </c>
      <c r="G172" s="451"/>
      <c r="H172" s="423" t="s">
        <v>13</v>
      </c>
      <c r="I172" s="420" t="s">
        <v>14</v>
      </c>
      <c r="J172" s="412" t="s">
        <v>454</v>
      </c>
      <c r="K172" s="412" t="s">
        <v>412</v>
      </c>
      <c r="L172" s="412" t="s">
        <v>14</v>
      </c>
      <c r="M172" s="412" t="s">
        <v>203</v>
      </c>
      <c r="N172" s="405"/>
    </row>
    <row r="173" spans="1:14" x14ac:dyDescent="0.3">
      <c r="A173" s="9"/>
      <c r="B173" s="15" t="s">
        <v>455</v>
      </c>
      <c r="C173" s="453" t="s">
        <v>2433</v>
      </c>
      <c r="D173" s="7">
        <v>172</v>
      </c>
      <c r="E173" s="3" t="s">
        <v>12</v>
      </c>
      <c r="F173" s="381">
        <v>170</v>
      </c>
      <c r="G173" s="381"/>
      <c r="H173" s="423" t="s">
        <v>69</v>
      </c>
      <c r="I173" s="420" t="s">
        <v>96</v>
      </c>
      <c r="J173" s="412" t="s">
        <v>99</v>
      </c>
      <c r="K173" s="412" t="s">
        <v>29</v>
      </c>
      <c r="L173" s="412"/>
      <c r="M173" s="412"/>
      <c r="N173" s="405"/>
    </row>
    <row r="174" spans="1:14" x14ac:dyDescent="0.3">
      <c r="A174" s="9"/>
      <c r="B174" s="15" t="s">
        <v>457</v>
      </c>
      <c r="C174" s="453" t="s">
        <v>2434</v>
      </c>
      <c r="D174" s="3">
        <v>173</v>
      </c>
      <c r="E174" s="3" t="s">
        <v>12</v>
      </c>
      <c r="F174" s="3">
        <v>171</v>
      </c>
      <c r="G174" s="443"/>
      <c r="H174" s="423"/>
      <c r="I174" s="420"/>
      <c r="J174" s="412"/>
      <c r="K174" s="412"/>
      <c r="L174" s="412"/>
      <c r="M174" s="412"/>
      <c r="N174" s="405"/>
    </row>
    <row r="175" spans="1:14" x14ac:dyDescent="0.3">
      <c r="A175" s="9"/>
      <c r="B175" s="15" t="s">
        <v>460</v>
      </c>
      <c r="C175" s="453" t="s">
        <v>2435</v>
      </c>
      <c r="D175" s="7">
        <v>174</v>
      </c>
      <c r="E175" s="3" t="s">
        <v>12</v>
      </c>
      <c r="F175" s="450">
        <v>172</v>
      </c>
      <c r="G175" s="381"/>
      <c r="H175" s="423" t="s">
        <v>69</v>
      </c>
      <c r="I175" s="420" t="s">
        <v>125</v>
      </c>
      <c r="J175" s="412" t="s">
        <v>125</v>
      </c>
      <c r="K175" s="412" t="s">
        <v>29</v>
      </c>
      <c r="L175" s="412"/>
      <c r="M175" s="412"/>
      <c r="N175" s="405"/>
    </row>
    <row r="176" spans="1:14" x14ac:dyDescent="0.3">
      <c r="A176" s="9"/>
      <c r="B176" s="15" t="s">
        <v>462</v>
      </c>
      <c r="C176" s="453" t="s">
        <v>2436</v>
      </c>
      <c r="D176" s="3">
        <v>175</v>
      </c>
      <c r="E176" s="3" t="s">
        <v>12</v>
      </c>
      <c r="F176" s="448">
        <v>173</v>
      </c>
      <c r="G176" s="3"/>
      <c r="H176" s="423" t="s">
        <v>69</v>
      </c>
      <c r="I176" s="420" t="s">
        <v>125</v>
      </c>
      <c r="J176" s="412" t="s">
        <v>125</v>
      </c>
      <c r="K176" s="412" t="s">
        <v>29</v>
      </c>
      <c r="L176" s="412"/>
      <c r="M176" s="412"/>
      <c r="N176" s="405"/>
    </row>
    <row r="177" spans="1:14" x14ac:dyDescent="0.3">
      <c r="A177" s="171"/>
      <c r="B177" s="178" t="s">
        <v>464</v>
      </c>
      <c r="C177" s="460" t="s">
        <v>2437</v>
      </c>
      <c r="D177" s="179">
        <v>176</v>
      </c>
      <c r="E177" s="380" t="s">
        <v>12</v>
      </c>
      <c r="F177" s="461">
        <v>174</v>
      </c>
      <c r="G177" s="462"/>
      <c r="H177" s="423" t="s">
        <v>69</v>
      </c>
      <c r="I177" s="420" t="s">
        <v>125</v>
      </c>
      <c r="J177" s="412" t="s">
        <v>125</v>
      </c>
      <c r="K177" s="412" t="s">
        <v>29</v>
      </c>
      <c r="L177" s="412"/>
      <c r="M177" s="412"/>
      <c r="N177" s="405"/>
    </row>
    <row r="178" spans="1:14" x14ac:dyDescent="0.3">
      <c r="A178" s="806"/>
      <c r="B178" s="866" t="s">
        <v>466</v>
      </c>
      <c r="C178" s="1" t="s">
        <v>2438</v>
      </c>
      <c r="D178" s="3">
        <v>177</v>
      </c>
      <c r="E178" s="3" t="s">
        <v>12</v>
      </c>
      <c r="F178" s="3">
        <v>175</v>
      </c>
      <c r="G178" s="451"/>
      <c r="H178" s="423" t="s">
        <v>26</v>
      </c>
      <c r="I178" s="420" t="s">
        <v>31</v>
      </c>
      <c r="J178" s="412" t="s">
        <v>146</v>
      </c>
      <c r="K178" s="412" t="s">
        <v>29</v>
      </c>
      <c r="L178" s="412"/>
      <c r="M178" s="412"/>
      <c r="N178" s="405"/>
    </row>
    <row r="179" spans="1:14" x14ac:dyDescent="0.3">
      <c r="A179" s="807"/>
      <c r="B179" s="866"/>
      <c r="C179" s="1" t="s">
        <v>2468</v>
      </c>
      <c r="D179" s="3"/>
      <c r="E179" s="3"/>
      <c r="F179" s="3">
        <v>176</v>
      </c>
      <c r="G179" s="451"/>
      <c r="H179" s="423"/>
      <c r="I179" s="420"/>
      <c r="J179" s="412"/>
      <c r="K179" s="412"/>
      <c r="L179" s="412"/>
      <c r="M179" s="412"/>
      <c r="N179" s="405"/>
    </row>
    <row r="180" spans="1:14" x14ac:dyDescent="0.3">
      <c r="A180" s="3"/>
      <c r="B180" s="24" t="s">
        <v>468</v>
      </c>
      <c r="C180" s="423" t="s">
        <v>2439</v>
      </c>
      <c r="D180" s="31">
        <v>178</v>
      </c>
      <c r="E180" s="3" t="s">
        <v>12</v>
      </c>
      <c r="F180" s="3">
        <v>177</v>
      </c>
      <c r="G180" s="443"/>
      <c r="H180" s="423"/>
      <c r="I180" s="420"/>
      <c r="J180" s="412"/>
      <c r="K180" s="412"/>
      <c r="L180" s="412"/>
      <c r="M180" s="412"/>
      <c r="N180" s="405"/>
    </row>
    <row r="181" spans="1:14" x14ac:dyDescent="0.3">
      <c r="A181" s="4"/>
      <c r="B181" s="25" t="s">
        <v>470</v>
      </c>
      <c r="C181" s="463" t="s">
        <v>2440</v>
      </c>
      <c r="D181" s="381">
        <v>179</v>
      </c>
      <c r="E181" s="381" t="s">
        <v>12</v>
      </c>
      <c r="F181" s="381">
        <v>178</v>
      </c>
      <c r="G181" s="444"/>
      <c r="H181" s="423" t="s">
        <v>13</v>
      </c>
      <c r="I181" s="421" t="s">
        <v>19</v>
      </c>
      <c r="J181" s="417" t="s">
        <v>357</v>
      </c>
      <c r="K181" s="417" t="s">
        <v>110</v>
      </c>
      <c r="L181" s="417"/>
      <c r="M181" s="417"/>
      <c r="N181" s="436"/>
    </row>
    <row r="182" spans="1:14" x14ac:dyDescent="0.3">
      <c r="A182" s="9"/>
      <c r="B182" s="15" t="s">
        <v>472</v>
      </c>
      <c r="C182" s="453" t="s">
        <v>2441</v>
      </c>
      <c r="D182" s="7">
        <v>180</v>
      </c>
      <c r="E182" s="3" t="s">
        <v>12</v>
      </c>
      <c r="F182" s="3">
        <v>179</v>
      </c>
      <c r="G182" s="3"/>
      <c r="H182" s="423" t="s">
        <v>13</v>
      </c>
      <c r="I182" s="464" t="s">
        <v>19</v>
      </c>
      <c r="J182" s="412" t="s">
        <v>473</v>
      </c>
      <c r="K182" s="412" t="s">
        <v>110</v>
      </c>
      <c r="L182" s="412"/>
      <c r="M182" s="420"/>
      <c r="N182" s="437"/>
    </row>
    <row r="183" spans="1:14" ht="27.6" x14ac:dyDescent="0.3">
      <c r="A183" s="9"/>
      <c r="B183" s="16" t="s">
        <v>475</v>
      </c>
      <c r="C183" s="11" t="s">
        <v>2442</v>
      </c>
      <c r="D183" s="3">
        <v>181</v>
      </c>
      <c r="E183" s="3" t="s">
        <v>12</v>
      </c>
      <c r="F183" s="381">
        <v>180</v>
      </c>
      <c r="G183" s="444"/>
      <c r="H183" s="423" t="s">
        <v>69</v>
      </c>
      <c r="I183" s="420" t="s">
        <v>125</v>
      </c>
      <c r="J183" s="412" t="s">
        <v>126</v>
      </c>
      <c r="K183" s="412" t="s">
        <v>29</v>
      </c>
      <c r="L183" s="417"/>
      <c r="M183" s="417"/>
      <c r="N183" s="437"/>
    </row>
    <row r="184" spans="1:14" x14ac:dyDescent="0.3">
      <c r="A184" s="834"/>
      <c r="B184" s="810" t="s">
        <v>477</v>
      </c>
      <c r="C184" s="453" t="s">
        <v>2443</v>
      </c>
      <c r="D184" s="7">
        <v>182</v>
      </c>
      <c r="E184" s="3" t="s">
        <v>12</v>
      </c>
      <c r="F184" s="448">
        <v>181</v>
      </c>
      <c r="G184" s="3"/>
      <c r="H184" s="423" t="s">
        <v>69</v>
      </c>
      <c r="I184" s="465" t="s">
        <v>67</v>
      </c>
      <c r="J184" s="429" t="s">
        <v>479</v>
      </c>
      <c r="K184" s="466" t="s">
        <v>29</v>
      </c>
      <c r="L184" s="423"/>
      <c r="M184" s="423"/>
      <c r="N184" s="1"/>
    </row>
    <row r="185" spans="1:14" x14ac:dyDescent="0.3">
      <c r="A185" s="835"/>
      <c r="B185" s="811"/>
      <c r="C185" s="453" t="s">
        <v>2469</v>
      </c>
      <c r="D185" s="3">
        <v>183</v>
      </c>
      <c r="E185" s="3" t="s">
        <v>327</v>
      </c>
      <c r="F185" s="450">
        <v>182</v>
      </c>
      <c r="G185" s="381"/>
      <c r="H185" s="423" t="s">
        <v>69</v>
      </c>
      <c r="I185" s="465" t="s">
        <v>67</v>
      </c>
      <c r="J185" s="429" t="s">
        <v>479</v>
      </c>
      <c r="K185" s="466" t="s">
        <v>29</v>
      </c>
      <c r="L185" s="423"/>
      <c r="M185" s="423"/>
      <c r="N185" s="1"/>
    </row>
    <row r="186" spans="1:14" x14ac:dyDescent="0.3">
      <c r="A186" s="9"/>
      <c r="B186" s="15" t="s">
        <v>481</v>
      </c>
      <c r="C186" s="453" t="s">
        <v>2444</v>
      </c>
      <c r="D186" s="7">
        <v>184</v>
      </c>
      <c r="E186" s="3" t="s">
        <v>12</v>
      </c>
      <c r="F186" s="3">
        <v>183</v>
      </c>
      <c r="G186" s="443"/>
      <c r="H186" s="423" t="s">
        <v>69</v>
      </c>
      <c r="I186" s="423"/>
      <c r="J186" s="423"/>
      <c r="K186" s="423"/>
      <c r="L186" s="424"/>
      <c r="M186" s="427"/>
      <c r="N186" s="438"/>
    </row>
    <row r="187" spans="1:14" ht="27.6" x14ac:dyDescent="0.3">
      <c r="A187" s="9"/>
      <c r="B187" s="10" t="s">
        <v>484</v>
      </c>
      <c r="C187" s="453" t="s">
        <v>2445</v>
      </c>
      <c r="D187" s="3">
        <v>185</v>
      </c>
      <c r="E187" s="3" t="s">
        <v>12</v>
      </c>
      <c r="F187" s="381">
        <v>184</v>
      </c>
      <c r="G187" s="381"/>
      <c r="H187" s="423" t="s">
        <v>13</v>
      </c>
      <c r="I187" s="424" t="s">
        <v>29</v>
      </c>
      <c r="J187" s="427" t="s">
        <v>154</v>
      </c>
      <c r="K187" s="427" t="s">
        <v>29</v>
      </c>
      <c r="L187" s="427"/>
      <c r="M187" s="427"/>
      <c r="N187" s="438"/>
    </row>
  </sheetData>
  <mergeCells count="9">
    <mergeCell ref="A184:A185"/>
    <mergeCell ref="B184:B185"/>
    <mergeCell ref="A178:A179"/>
    <mergeCell ref="A1:N2"/>
    <mergeCell ref="A118:A119"/>
    <mergeCell ref="B118:B119"/>
    <mergeCell ref="A165:A166"/>
    <mergeCell ref="B165:B166"/>
    <mergeCell ref="B178:B17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CC1397"/>
  <sheetViews>
    <sheetView tabSelected="1" topLeftCell="A4" zoomScaleNormal="100" workbookViewId="0">
      <pane ySplit="6" topLeftCell="A10" activePane="bottomLeft" state="frozen"/>
      <selection activeCell="AV9" sqref="AV9"/>
      <selection pane="bottomLeft" activeCell="A113" sqref="A113:XFD113"/>
    </sheetView>
  </sheetViews>
  <sheetFormatPr defaultColWidth="8.88671875" defaultRowHeight="13.8" x14ac:dyDescent="0.3"/>
  <cols>
    <col min="1" max="1" width="6.6640625" style="3" customWidth="1"/>
    <col min="2" max="2" width="46.88671875" style="1" customWidth="1"/>
    <col min="3" max="3" width="66.109375" style="1" hidden="1" customWidth="1"/>
    <col min="4" max="4" width="32.44140625" style="3" customWidth="1"/>
    <col min="5" max="5" width="10.6640625" style="3" hidden="1" customWidth="1"/>
    <col min="6" max="6" width="9.33203125" style="3" hidden="1" customWidth="1"/>
    <col min="7" max="7" width="10.6640625" style="3" hidden="1" customWidth="1"/>
    <col min="8" max="8" width="12.44140625" style="3" hidden="1" customWidth="1"/>
    <col min="9" max="9" width="12.6640625" style="3" hidden="1" customWidth="1"/>
    <col min="10" max="10" width="9.6640625" style="3" hidden="1" customWidth="1"/>
    <col min="11" max="11" width="12.88671875" style="3" hidden="1" customWidth="1"/>
    <col min="12" max="12" width="10.33203125" style="3" hidden="1" customWidth="1"/>
    <col min="13" max="13" width="13" style="27" hidden="1" customWidth="1"/>
    <col min="14" max="14" width="5" style="27" hidden="1" customWidth="1"/>
    <col min="15" max="16" width="9.88671875" style="27" hidden="1" customWidth="1"/>
    <col min="17" max="17" width="11.109375" style="27" hidden="1" customWidth="1"/>
    <col min="18" max="20" width="8.88671875" style="27" hidden="1" customWidth="1"/>
    <col min="21" max="21" width="9.44140625" style="27" hidden="1" customWidth="1"/>
    <col min="22" max="22" width="14.109375" style="27" customWidth="1"/>
    <col min="23" max="23" width="8.44140625" style="27" customWidth="1"/>
    <col min="24" max="24" width="26.88671875" style="27" customWidth="1"/>
    <col min="25" max="25" width="15.5546875" style="27" customWidth="1"/>
    <col min="26" max="26" width="39.109375" style="27" customWidth="1"/>
    <col min="27" max="27" width="10.5546875" style="27" customWidth="1"/>
    <col min="28" max="32" width="15.5546875" style="27" customWidth="1"/>
    <col min="33" max="33" width="30.88671875" style="27" customWidth="1"/>
    <col min="34" max="35" width="15.5546875" style="27" customWidth="1"/>
    <col min="36" max="36" width="19.88671875" style="27" customWidth="1"/>
    <col min="37" max="37" width="29.6640625" style="27" customWidth="1"/>
    <col min="38" max="38" width="28.88671875" style="27" customWidth="1"/>
    <col min="39" max="39" width="11.44140625" style="173" customWidth="1"/>
    <col min="40" max="40" width="11.6640625" style="173" customWidth="1"/>
    <col min="41" max="41" width="11.88671875" style="27" customWidth="1"/>
    <col min="42" max="42" width="15.88671875" style="27" customWidth="1"/>
    <col min="43" max="44" width="14.109375" style="27" customWidth="1"/>
    <col min="45" max="45" width="13.5546875" style="27" customWidth="1"/>
    <col min="46" max="46" width="17.109375" style="27" customWidth="1"/>
    <col min="47" max="47" width="12.33203125" style="27" customWidth="1"/>
    <col min="48" max="48" width="13.5546875" style="27" customWidth="1"/>
    <col min="49" max="49" width="17.109375" style="27" customWidth="1"/>
    <col min="50" max="50" width="12.33203125" style="27" customWidth="1"/>
    <col min="51" max="51" width="8.33203125" style="27" customWidth="1"/>
    <col min="52" max="52" width="9.6640625" style="337" customWidth="1"/>
    <col min="53" max="53" width="10.44140625" style="27" customWidth="1"/>
    <col min="54" max="54" width="10" style="27" customWidth="1"/>
    <col min="55" max="57" width="8.88671875" style="27" customWidth="1"/>
    <col min="58" max="58" width="9.6640625" style="27" customWidth="1"/>
    <col min="59" max="59" width="10.109375" style="27" customWidth="1"/>
    <col min="60" max="63" width="8.88671875" style="27" customWidth="1"/>
    <col min="64" max="64" width="23.88671875" style="349" customWidth="1"/>
    <col min="65" max="65" width="11" style="300" hidden="1" customWidth="1"/>
    <col min="66" max="66" width="12.109375" style="300" hidden="1" customWidth="1"/>
    <col min="67" max="67" width="10" style="300" hidden="1" customWidth="1"/>
    <col min="68" max="68" width="10.33203125" style="300" hidden="1" customWidth="1"/>
    <col min="69" max="69" width="7.33203125" style="300" hidden="1" customWidth="1"/>
    <col min="70" max="70" width="13.33203125" style="300" hidden="1" customWidth="1"/>
    <col min="71" max="71" width="12.5546875" style="300" hidden="1" customWidth="1"/>
    <col min="72" max="72" width="30.44140625" style="300" hidden="1" customWidth="1"/>
    <col min="73" max="73" width="11" style="300" customWidth="1"/>
    <col min="74" max="74" width="12.109375" style="300" customWidth="1"/>
    <col min="75" max="75" width="10" style="300" customWidth="1"/>
    <col min="76" max="77" width="10.33203125" style="300" customWidth="1"/>
    <col min="78" max="78" width="11.109375" style="300" customWidth="1"/>
    <col min="79" max="79" width="10.6640625" style="300" customWidth="1"/>
    <col min="80" max="80" width="10.109375" style="300" customWidth="1"/>
    <col min="81" max="81" width="10" style="27" customWidth="1"/>
    <col min="82" max="16384" width="8.88671875" style="1"/>
  </cols>
  <sheetData>
    <row r="1" spans="1:81" ht="33" hidden="1" customHeight="1" x14ac:dyDescent="0.3">
      <c r="A1" s="997" t="s">
        <v>486</v>
      </c>
      <c r="B1" s="998"/>
      <c r="C1" s="998"/>
      <c r="D1" s="998"/>
      <c r="E1" s="998"/>
      <c r="F1" s="998"/>
      <c r="G1" s="998"/>
      <c r="H1" s="998"/>
      <c r="I1" s="998"/>
      <c r="J1" s="998"/>
      <c r="K1" s="998"/>
      <c r="L1" s="998"/>
    </row>
    <row r="2" spans="1:81" ht="21.75" hidden="1" customHeight="1" x14ac:dyDescent="0.3">
      <c r="A2" s="999"/>
      <c r="B2" s="999"/>
      <c r="C2" s="999"/>
      <c r="D2" s="999"/>
      <c r="E2" s="999"/>
      <c r="F2" s="999"/>
      <c r="G2" s="999"/>
      <c r="H2" s="999"/>
      <c r="I2" s="999"/>
      <c r="J2" s="999"/>
      <c r="K2" s="999"/>
      <c r="L2" s="999"/>
    </row>
    <row r="3" spans="1:81" ht="15" customHeight="1" x14ac:dyDescent="0.3">
      <c r="A3" s="127"/>
      <c r="B3" s="128"/>
      <c r="C3" s="128"/>
      <c r="D3" s="128"/>
      <c r="E3" s="1000"/>
      <c r="F3" s="1000"/>
      <c r="G3" s="1000"/>
      <c r="H3" s="1000"/>
      <c r="I3" s="1000"/>
      <c r="J3" s="1000"/>
      <c r="K3" s="1000"/>
      <c r="L3" s="1000"/>
    </row>
    <row r="4" spans="1:81" ht="15" customHeight="1" x14ac:dyDescent="0.3">
      <c r="A4" s="1002">
        <f ca="1">TODAY()</f>
        <v>46002</v>
      </c>
      <c r="B4" s="129"/>
      <c r="C4" s="128"/>
      <c r="D4" s="128"/>
      <c r="E4" s="1000"/>
      <c r="F4" s="1000"/>
      <c r="G4" s="1000"/>
      <c r="H4" s="1000"/>
      <c r="I4" s="1000"/>
      <c r="J4" s="1000"/>
      <c r="K4" s="1000"/>
      <c r="L4" s="1000"/>
    </row>
    <row r="5" spans="1:81" ht="16.5" customHeight="1" x14ac:dyDescent="0.3">
      <c r="A5" s="1002"/>
      <c r="B5" s="129"/>
      <c r="C5" s="128"/>
      <c r="D5" s="128"/>
      <c r="E5" s="1000"/>
      <c r="F5" s="1000"/>
      <c r="G5" s="1000"/>
      <c r="H5" s="1000"/>
      <c r="I5" s="1000"/>
      <c r="J5" s="1000"/>
      <c r="K5" s="1000"/>
      <c r="L5" s="1000"/>
    </row>
    <row r="6" spans="1:81" ht="30.75" customHeight="1" thickBot="1" x14ac:dyDescent="0.35">
      <c r="A6" s="1003" t="s">
        <v>2473</v>
      </c>
      <c r="B6" s="1004"/>
      <c r="C6" s="1004"/>
      <c r="D6" s="1005"/>
      <c r="E6" s="1001"/>
      <c r="F6" s="1001"/>
      <c r="G6" s="1001"/>
      <c r="H6" s="1001"/>
      <c r="I6" s="1001"/>
      <c r="J6" s="1001"/>
      <c r="K6" s="1001"/>
      <c r="L6" s="1001"/>
    </row>
    <row r="7" spans="1:81" s="39" customFormat="1" ht="30" customHeight="1" thickBot="1" x14ac:dyDescent="0.3">
      <c r="A7" s="1006" t="s">
        <v>0</v>
      </c>
      <c r="B7" s="982" t="s">
        <v>487</v>
      </c>
      <c r="C7" s="982" t="s">
        <v>545</v>
      </c>
      <c r="D7" s="982" t="s">
        <v>488</v>
      </c>
      <c r="E7" s="982" t="s">
        <v>3</v>
      </c>
      <c r="F7" s="982" t="s">
        <v>2</v>
      </c>
      <c r="G7" s="967" t="s">
        <v>4</v>
      </c>
      <c r="H7" s="967" t="s">
        <v>5</v>
      </c>
      <c r="I7" s="967" t="s">
        <v>6</v>
      </c>
      <c r="J7" s="967" t="s">
        <v>7</v>
      </c>
      <c r="K7" s="967" t="s">
        <v>8</v>
      </c>
      <c r="L7" s="967" t="s">
        <v>9</v>
      </c>
      <c r="M7" s="985" t="s">
        <v>507</v>
      </c>
      <c r="N7" s="985" t="s">
        <v>508</v>
      </c>
      <c r="O7" s="982" t="s">
        <v>509</v>
      </c>
      <c r="P7" s="1009" t="s">
        <v>510</v>
      </c>
      <c r="Q7" s="985" t="s">
        <v>490</v>
      </c>
      <c r="R7" s="985" t="s">
        <v>511</v>
      </c>
      <c r="S7" s="982" t="s">
        <v>512</v>
      </c>
      <c r="T7" s="985" t="s">
        <v>513</v>
      </c>
      <c r="U7" s="988" t="s">
        <v>514</v>
      </c>
      <c r="V7" s="991" t="s">
        <v>491</v>
      </c>
      <c r="W7" s="851"/>
      <c r="X7" s="851"/>
      <c r="Y7" s="851"/>
      <c r="Z7" s="851"/>
      <c r="AA7" s="851"/>
      <c r="AB7" s="851"/>
      <c r="AC7" s="851"/>
      <c r="AD7" s="851"/>
      <c r="AE7" s="851"/>
      <c r="AF7" s="851"/>
      <c r="AG7" s="851"/>
      <c r="AH7" s="851"/>
      <c r="AI7" s="851"/>
      <c r="AJ7" s="851"/>
      <c r="AK7" s="852"/>
      <c r="AL7" s="955" t="s">
        <v>628</v>
      </c>
      <c r="AM7" s="955" t="s">
        <v>1551</v>
      </c>
      <c r="AN7" s="272"/>
      <c r="AO7" s="849" t="s">
        <v>1553</v>
      </c>
      <c r="AP7" s="850"/>
      <c r="AQ7" s="972" t="s">
        <v>1556</v>
      </c>
      <c r="AR7" s="359"/>
      <c r="AS7" s="851" t="s">
        <v>1988</v>
      </c>
      <c r="AT7" s="851"/>
      <c r="AU7" s="852"/>
      <c r="AV7" s="849" t="s">
        <v>1985</v>
      </c>
      <c r="AW7" s="853"/>
      <c r="AX7" s="850"/>
      <c r="AY7" s="975" t="s">
        <v>602</v>
      </c>
      <c r="AZ7" s="976"/>
      <c r="BA7" s="976"/>
      <c r="BB7" s="976"/>
      <c r="BC7" s="976"/>
      <c r="BD7" s="976"/>
      <c r="BE7" s="976"/>
      <c r="BF7" s="976"/>
      <c r="BG7" s="976"/>
      <c r="BH7" s="976"/>
      <c r="BI7" s="976"/>
      <c r="BJ7" s="976"/>
      <c r="BK7" s="976"/>
      <c r="BL7" s="961" t="s">
        <v>549</v>
      </c>
      <c r="BM7" s="962" t="s">
        <v>1790</v>
      </c>
      <c r="BN7" s="963"/>
      <c r="BO7" s="963"/>
      <c r="BP7" s="963"/>
      <c r="BQ7" s="963" t="s">
        <v>1791</v>
      </c>
      <c r="BR7" s="963"/>
      <c r="BS7" s="963"/>
      <c r="BT7" s="964"/>
      <c r="BU7" s="909" t="s">
        <v>2887</v>
      </c>
      <c r="BV7" s="910"/>
      <c r="BW7" s="910"/>
      <c r="BX7" s="910"/>
      <c r="BY7" s="910" t="s">
        <v>2888</v>
      </c>
      <c r="BZ7" s="910"/>
      <c r="CA7" s="910"/>
      <c r="CB7" s="911"/>
      <c r="CC7" s="38"/>
    </row>
    <row r="8" spans="1:81" s="39" customFormat="1" ht="32.25" customHeight="1" thickBot="1" x14ac:dyDescent="0.35">
      <c r="A8" s="1007"/>
      <c r="B8" s="983"/>
      <c r="C8" s="983"/>
      <c r="D8" s="983"/>
      <c r="E8" s="983"/>
      <c r="F8" s="983"/>
      <c r="G8" s="976"/>
      <c r="H8" s="976"/>
      <c r="I8" s="976"/>
      <c r="J8" s="976"/>
      <c r="K8" s="976"/>
      <c r="L8" s="976"/>
      <c r="M8" s="986"/>
      <c r="N8" s="986"/>
      <c r="O8" s="983"/>
      <c r="P8" s="1010"/>
      <c r="Q8" s="986"/>
      <c r="R8" s="986"/>
      <c r="S8" s="983"/>
      <c r="T8" s="986"/>
      <c r="U8" s="989"/>
      <c r="V8" s="965" t="s">
        <v>515</v>
      </c>
      <c r="W8" s="967" t="s">
        <v>516</v>
      </c>
      <c r="X8" s="969" t="s">
        <v>517</v>
      </c>
      <c r="Y8" s="969" t="s">
        <v>518</v>
      </c>
      <c r="Z8" s="969" t="s">
        <v>519</v>
      </c>
      <c r="AA8" s="969" t="s">
        <v>520</v>
      </c>
      <c r="AB8" s="992" t="s">
        <v>521</v>
      </c>
      <c r="AC8" s="994" t="s">
        <v>492</v>
      </c>
      <c r="AD8" s="995"/>
      <c r="AE8" s="995"/>
      <c r="AF8" s="996"/>
      <c r="AG8" s="994" t="s">
        <v>493</v>
      </c>
      <c r="AH8" s="995"/>
      <c r="AI8" s="995"/>
      <c r="AJ8" s="995"/>
      <c r="AK8" s="996"/>
      <c r="AL8" s="971"/>
      <c r="AM8" s="971"/>
      <c r="AN8" s="273" t="s">
        <v>1552</v>
      </c>
      <c r="AO8" s="955" t="s">
        <v>1554</v>
      </c>
      <c r="AP8" s="955" t="s">
        <v>1555</v>
      </c>
      <c r="AQ8" s="973"/>
      <c r="AR8" s="360" t="s">
        <v>2024</v>
      </c>
      <c r="AS8" s="955" t="s">
        <v>1557</v>
      </c>
      <c r="AT8" s="955" t="s">
        <v>1558</v>
      </c>
      <c r="AU8" s="955" t="s">
        <v>1559</v>
      </c>
      <c r="AV8" s="955" t="s">
        <v>1557</v>
      </c>
      <c r="AW8" s="955" t="s">
        <v>1558</v>
      </c>
      <c r="AX8" s="955" t="s">
        <v>1559</v>
      </c>
      <c r="AY8" s="957" t="s">
        <v>496</v>
      </c>
      <c r="AZ8" s="959" t="s">
        <v>605</v>
      </c>
      <c r="BA8" s="977" t="s">
        <v>606</v>
      </c>
      <c r="BB8" s="979" t="s">
        <v>607</v>
      </c>
      <c r="BC8" s="980"/>
      <c r="BD8" s="980"/>
      <c r="BE8" s="980"/>
      <c r="BF8" s="980"/>
      <c r="BG8" s="980"/>
      <c r="BH8" s="981"/>
      <c r="BI8" s="979" t="s">
        <v>608</v>
      </c>
      <c r="BJ8" s="980"/>
      <c r="BK8" s="981"/>
      <c r="BL8" s="961"/>
      <c r="BM8" s="310" t="s">
        <v>609</v>
      </c>
      <c r="BN8" s="301" t="s">
        <v>610</v>
      </c>
      <c r="BO8" s="301" t="s">
        <v>611</v>
      </c>
      <c r="BP8" s="301" t="s">
        <v>612</v>
      </c>
      <c r="BQ8" s="301" t="s">
        <v>609</v>
      </c>
      <c r="BR8" s="317" t="s">
        <v>610</v>
      </c>
      <c r="BS8" s="317" t="s">
        <v>611</v>
      </c>
      <c r="BT8" s="317" t="s">
        <v>613</v>
      </c>
      <c r="BU8" s="310" t="s">
        <v>609</v>
      </c>
      <c r="BV8" s="301" t="s">
        <v>610</v>
      </c>
      <c r="BW8" s="301" t="s">
        <v>611</v>
      </c>
      <c r="BX8" s="301" t="s">
        <v>612</v>
      </c>
      <c r="BY8" s="301" t="s">
        <v>609</v>
      </c>
      <c r="BZ8" s="317" t="s">
        <v>610</v>
      </c>
      <c r="CA8" s="317" t="s">
        <v>611</v>
      </c>
      <c r="CB8" s="317" t="s">
        <v>613</v>
      </c>
      <c r="CC8" s="38"/>
    </row>
    <row r="9" spans="1:81" s="39" customFormat="1" ht="32.25" customHeight="1" thickBot="1" x14ac:dyDescent="0.35">
      <c r="A9" s="1008"/>
      <c r="B9" s="984"/>
      <c r="C9" s="984"/>
      <c r="D9" s="984"/>
      <c r="E9" s="984"/>
      <c r="F9" s="984"/>
      <c r="G9" s="968"/>
      <c r="H9" s="968"/>
      <c r="I9" s="968"/>
      <c r="J9" s="968"/>
      <c r="K9" s="968"/>
      <c r="L9" s="968"/>
      <c r="M9" s="987"/>
      <c r="N9" s="987"/>
      <c r="O9" s="984"/>
      <c r="P9" s="1011"/>
      <c r="Q9" s="987"/>
      <c r="R9" s="987"/>
      <c r="S9" s="984"/>
      <c r="T9" s="987"/>
      <c r="U9" s="990"/>
      <c r="V9" s="966"/>
      <c r="W9" s="968"/>
      <c r="X9" s="970"/>
      <c r="Y9" s="970"/>
      <c r="Z9" s="970"/>
      <c r="AA9" s="970"/>
      <c r="AB9" s="993"/>
      <c r="AC9" s="131"/>
      <c r="AD9" s="132" t="s">
        <v>494</v>
      </c>
      <c r="AE9" s="132" t="s">
        <v>495</v>
      </c>
      <c r="AF9" s="133" t="s">
        <v>496</v>
      </c>
      <c r="AG9" s="131"/>
      <c r="AH9" s="132" t="s">
        <v>496</v>
      </c>
      <c r="AI9" s="132" t="s">
        <v>495</v>
      </c>
      <c r="AJ9" s="132" t="s">
        <v>494</v>
      </c>
      <c r="AK9" s="133"/>
      <c r="AL9" s="956"/>
      <c r="AM9" s="956"/>
      <c r="AN9" s="274"/>
      <c r="AO9" s="956"/>
      <c r="AP9" s="956"/>
      <c r="AQ9" s="974"/>
      <c r="AR9" s="378"/>
      <c r="AS9" s="956"/>
      <c r="AT9" s="956"/>
      <c r="AU9" s="956"/>
      <c r="AV9" s="956"/>
      <c r="AW9" s="956"/>
      <c r="AX9" s="956"/>
      <c r="AY9" s="958"/>
      <c r="AZ9" s="960"/>
      <c r="BA9" s="978"/>
      <c r="BB9" s="222" t="s">
        <v>614</v>
      </c>
      <c r="BC9" s="222" t="s">
        <v>615</v>
      </c>
      <c r="BD9" s="222" t="s">
        <v>616</v>
      </c>
      <c r="BE9" s="222" t="s">
        <v>617</v>
      </c>
      <c r="BF9" s="222" t="s">
        <v>618</v>
      </c>
      <c r="BG9" s="222" t="s">
        <v>619</v>
      </c>
      <c r="BH9" s="222" t="s">
        <v>620</v>
      </c>
      <c r="BI9" s="222" t="s">
        <v>621</v>
      </c>
      <c r="BJ9" s="222" t="s">
        <v>622</v>
      </c>
      <c r="BK9" s="222" t="s">
        <v>623</v>
      </c>
      <c r="BL9" s="961"/>
      <c r="BM9" s="311" t="s">
        <v>624</v>
      </c>
      <c r="BN9" s="302" t="s">
        <v>625</v>
      </c>
      <c r="BO9" s="302" t="s">
        <v>626</v>
      </c>
      <c r="BP9" s="302" t="s">
        <v>627</v>
      </c>
      <c r="BQ9" s="302" t="s">
        <v>624</v>
      </c>
      <c r="BR9" s="302" t="s">
        <v>625</v>
      </c>
      <c r="BS9" s="302" t="s">
        <v>626</v>
      </c>
      <c r="BT9" s="301" t="s">
        <v>627</v>
      </c>
      <c r="BU9" s="473" t="s">
        <v>624</v>
      </c>
      <c r="BV9" s="474" t="s">
        <v>625</v>
      </c>
      <c r="BW9" s="474" t="s">
        <v>626</v>
      </c>
      <c r="BX9" s="474" t="s">
        <v>627</v>
      </c>
      <c r="BY9" s="474" t="s">
        <v>624</v>
      </c>
      <c r="BZ9" s="474" t="s">
        <v>625</v>
      </c>
      <c r="CA9" s="474" t="s">
        <v>626</v>
      </c>
      <c r="CB9" s="474" t="s">
        <v>627</v>
      </c>
      <c r="CC9" s="38"/>
    </row>
    <row r="10" spans="1:81" ht="46.5" customHeight="1" x14ac:dyDescent="0.3">
      <c r="A10" s="381">
        <v>1</v>
      </c>
      <c r="B10" s="182" t="s">
        <v>489</v>
      </c>
      <c r="C10" s="36" t="s">
        <v>11</v>
      </c>
      <c r="D10" s="37" t="s">
        <v>11</v>
      </c>
      <c r="E10" s="381" t="s">
        <v>12</v>
      </c>
      <c r="F10" s="381">
        <v>1</v>
      </c>
      <c r="G10" s="206" t="s">
        <v>13</v>
      </c>
      <c r="H10" s="4" t="s">
        <v>14</v>
      </c>
      <c r="I10" s="4" t="s">
        <v>15</v>
      </c>
      <c r="J10" s="4" t="s">
        <v>14</v>
      </c>
      <c r="K10" s="4" t="s">
        <v>14</v>
      </c>
      <c r="L10" s="218" t="s">
        <v>16</v>
      </c>
      <c r="M10" s="367" t="s">
        <v>497</v>
      </c>
      <c r="N10" s="40" t="s">
        <v>498</v>
      </c>
      <c r="O10" s="40" t="s">
        <v>498</v>
      </c>
      <c r="P10" s="242"/>
      <c r="Q10" s="367" t="s">
        <v>499</v>
      </c>
      <c r="R10" s="367">
        <v>3</v>
      </c>
      <c r="S10" s="367" t="s">
        <v>500</v>
      </c>
      <c r="T10" s="367" t="s">
        <v>501</v>
      </c>
      <c r="U10" s="41" t="s">
        <v>502</v>
      </c>
      <c r="V10" s="87" t="s">
        <v>503</v>
      </c>
      <c r="W10" s="367" t="s">
        <v>504</v>
      </c>
      <c r="X10" s="42" t="s">
        <v>505</v>
      </c>
      <c r="Y10" s="43"/>
      <c r="Z10" s="43"/>
      <c r="AA10" s="43"/>
      <c r="AB10" s="367" t="s">
        <v>506</v>
      </c>
      <c r="AC10" s="35"/>
      <c r="AD10" s="35"/>
      <c r="AE10" s="35"/>
      <c r="AF10" s="35"/>
      <c r="AG10" s="88"/>
      <c r="AH10" s="35"/>
      <c r="AI10" s="35"/>
      <c r="AJ10" s="35"/>
      <c r="AK10" s="35"/>
      <c r="AL10" s="89"/>
      <c r="AM10" s="367" t="s">
        <v>1577</v>
      </c>
      <c r="AN10" s="381">
        <v>492</v>
      </c>
      <c r="AO10" s="355">
        <v>12826</v>
      </c>
      <c r="AP10" s="367" t="s">
        <v>1986</v>
      </c>
      <c r="AQ10" s="367" t="s">
        <v>500</v>
      </c>
      <c r="AR10" s="367"/>
      <c r="AS10" s="367">
        <v>99</v>
      </c>
      <c r="AT10" s="367">
        <v>41</v>
      </c>
      <c r="AU10" s="367">
        <v>41.41</v>
      </c>
      <c r="AV10" s="367">
        <v>101</v>
      </c>
      <c r="AW10" s="367">
        <v>35</v>
      </c>
      <c r="AX10" s="367">
        <v>34.65</v>
      </c>
      <c r="AY10" s="43"/>
      <c r="AZ10" s="338"/>
      <c r="BA10" s="91"/>
      <c r="BB10" s="90"/>
      <c r="BC10" s="90"/>
      <c r="BD10" s="90"/>
      <c r="BE10" s="91"/>
      <c r="BF10" s="92"/>
      <c r="BG10" s="90"/>
      <c r="BH10" s="90"/>
      <c r="BI10" s="90"/>
      <c r="BJ10" s="90"/>
      <c r="BK10" s="90"/>
      <c r="BL10" s="350"/>
      <c r="BM10" s="912" t="s">
        <v>1984</v>
      </c>
      <c r="BN10" s="913"/>
      <c r="BO10" s="913"/>
      <c r="BP10" s="914"/>
      <c r="BQ10" s="303"/>
      <c r="BR10" s="303"/>
      <c r="BS10" s="303"/>
      <c r="BT10" s="304"/>
      <c r="BU10" s="867" t="s">
        <v>2959</v>
      </c>
      <c r="BV10" s="868"/>
      <c r="BW10" s="868"/>
      <c r="BX10" s="869"/>
      <c r="BY10" s="1014"/>
      <c r="BZ10" s="1015"/>
      <c r="CA10" s="1015"/>
      <c r="CB10" s="1016"/>
    </row>
    <row r="11" spans="1:81" s="8" customFormat="1" ht="55.5" customHeight="1" x14ac:dyDescent="0.3">
      <c r="A11" s="4">
        <v>2</v>
      </c>
      <c r="B11" s="6" t="s">
        <v>635</v>
      </c>
      <c r="C11" s="6" t="s">
        <v>18</v>
      </c>
      <c r="D11" s="7" t="s">
        <v>18</v>
      </c>
      <c r="E11" s="381" t="s">
        <v>12</v>
      </c>
      <c r="F11" s="381">
        <v>2</v>
      </c>
      <c r="G11" s="198" t="s">
        <v>13</v>
      </c>
      <c r="H11" s="9" t="s">
        <v>19</v>
      </c>
      <c r="I11" s="9" t="s">
        <v>20</v>
      </c>
      <c r="J11" s="9" t="s">
        <v>21</v>
      </c>
      <c r="K11" s="9" t="s">
        <v>22</v>
      </c>
      <c r="L11" s="215" t="s">
        <v>23</v>
      </c>
      <c r="M11" s="50" t="s">
        <v>631</v>
      </c>
      <c r="N11" s="69" t="s">
        <v>498</v>
      </c>
      <c r="O11" s="69" t="s">
        <v>498</v>
      </c>
      <c r="P11" s="243"/>
      <c r="Q11" s="50" t="s">
        <v>499</v>
      </c>
      <c r="R11" s="50">
        <v>3</v>
      </c>
      <c r="S11" s="50" t="s">
        <v>500</v>
      </c>
      <c r="T11" s="50" t="s">
        <v>524</v>
      </c>
      <c r="U11" s="52" t="s">
        <v>535</v>
      </c>
      <c r="V11" s="50" t="s">
        <v>503</v>
      </c>
      <c r="W11" s="365" t="s">
        <v>504</v>
      </c>
      <c r="X11" s="70" t="s">
        <v>632</v>
      </c>
      <c r="Y11" s="50" t="s">
        <v>631</v>
      </c>
      <c r="Z11" s="50" t="s">
        <v>633</v>
      </c>
      <c r="AA11" s="50" t="s">
        <v>538</v>
      </c>
      <c r="AB11" s="50" t="s">
        <v>506</v>
      </c>
      <c r="AC11" s="55">
        <v>26663</v>
      </c>
      <c r="AD11" s="48">
        <f>DAY(AC11)</f>
        <v>30</v>
      </c>
      <c r="AE11" s="48">
        <f>MONTH(AC11)</f>
        <v>12</v>
      </c>
      <c r="AF11" s="48">
        <f>YEAR(AC11)</f>
        <v>1972</v>
      </c>
      <c r="AG11" s="49">
        <f t="shared" ref="AG11:AG71" si="0">EDATE(AC11,12*60)</f>
        <v>48578</v>
      </c>
      <c r="AH11" s="48">
        <f ca="1">DATEDIF($A$4,AG11, "Y" )</f>
        <v>7</v>
      </c>
      <c r="AI11" s="48">
        <f ca="1">DATEDIF($A$4,AG11, "YM" )</f>
        <v>0</v>
      </c>
      <c r="AJ11" s="48">
        <f ca="1">DATEDIF($A$4,AG11, "MD" )</f>
        <v>19</v>
      </c>
      <c r="AK11" s="48" t="str">
        <f ca="1">CONCATENATE(AH11,"year","/",AI11,"months","/",AJ11,"Days")</f>
        <v>7year/0months/19Days</v>
      </c>
      <c r="AL11" s="60" t="s">
        <v>634</v>
      </c>
      <c r="AM11" s="60" t="s">
        <v>1578</v>
      </c>
      <c r="AN11" s="275">
        <v>1760</v>
      </c>
      <c r="AO11" s="356">
        <v>13262</v>
      </c>
      <c r="AP11" s="60" t="s">
        <v>1987</v>
      </c>
      <c r="AQ11" s="60" t="s">
        <v>500</v>
      </c>
      <c r="AR11" s="60">
        <v>1960</v>
      </c>
      <c r="AS11" s="60">
        <v>309</v>
      </c>
      <c r="AT11" s="60">
        <v>32</v>
      </c>
      <c r="AU11" s="60">
        <v>10.35</v>
      </c>
      <c r="AV11" s="60">
        <v>309</v>
      </c>
      <c r="AW11" s="60">
        <v>35</v>
      </c>
      <c r="AX11" s="60">
        <v>11.32</v>
      </c>
      <c r="AY11" s="50">
        <v>2019</v>
      </c>
      <c r="AZ11" s="107">
        <v>3</v>
      </c>
      <c r="BA11" s="78">
        <v>574</v>
      </c>
      <c r="BB11" s="78">
        <v>569</v>
      </c>
      <c r="BC11" s="78" t="s">
        <v>498</v>
      </c>
      <c r="BD11" s="78" t="s">
        <v>498</v>
      </c>
      <c r="BE11" s="78">
        <v>5</v>
      </c>
      <c r="BF11" s="74">
        <f>BE11/BA11*100</f>
        <v>0.87108013937282225</v>
      </c>
      <c r="BG11" s="78" t="s">
        <v>498</v>
      </c>
      <c r="BH11" s="78" t="s">
        <v>498</v>
      </c>
      <c r="BI11" s="78">
        <v>573</v>
      </c>
      <c r="BJ11" s="78">
        <v>1</v>
      </c>
      <c r="BK11" s="93"/>
      <c r="BL11" s="151"/>
      <c r="BM11" s="867" t="s">
        <v>1843</v>
      </c>
      <c r="BN11" s="868"/>
      <c r="BO11" s="868"/>
      <c r="BP11" s="869"/>
      <c r="BQ11" s="305"/>
      <c r="BR11" s="305"/>
      <c r="BS11" s="305"/>
      <c r="BT11" s="305"/>
      <c r="BU11" s="867" t="s">
        <v>2959</v>
      </c>
      <c r="BV11" s="868"/>
      <c r="BW11" s="868"/>
      <c r="BX11" s="869"/>
      <c r="BY11" s="305"/>
      <c r="BZ11" s="305"/>
      <c r="CA11" s="305"/>
      <c r="CB11" s="305"/>
      <c r="CC11" s="27"/>
    </row>
    <row r="12" spans="1:81" s="8" customFormat="1" ht="54" customHeight="1" x14ac:dyDescent="0.25">
      <c r="A12" s="9">
        <v>3</v>
      </c>
      <c r="B12" s="183" t="s">
        <v>888</v>
      </c>
      <c r="C12" s="11" t="s">
        <v>25</v>
      </c>
      <c r="D12" s="31" t="s">
        <v>2447</v>
      </c>
      <c r="E12" s="3" t="s">
        <v>12</v>
      </c>
      <c r="F12" s="3">
        <v>3</v>
      </c>
      <c r="G12" s="198" t="s">
        <v>26</v>
      </c>
      <c r="H12" s="9" t="s">
        <v>27</v>
      </c>
      <c r="I12" s="9" t="s">
        <v>28</v>
      </c>
      <c r="J12" s="9" t="s">
        <v>29</v>
      </c>
      <c r="K12" s="9" t="s">
        <v>30</v>
      </c>
      <c r="L12" s="215" t="s">
        <v>31</v>
      </c>
      <c r="M12" s="50" t="s">
        <v>885</v>
      </c>
      <c r="N12" s="69" t="s">
        <v>498</v>
      </c>
      <c r="O12" s="69" t="s">
        <v>498</v>
      </c>
      <c r="P12" s="250" t="s">
        <v>1507</v>
      </c>
      <c r="Q12" s="50" t="s">
        <v>499</v>
      </c>
      <c r="R12" s="50">
        <v>3</v>
      </c>
      <c r="S12" s="50" t="s">
        <v>500</v>
      </c>
      <c r="T12" s="50" t="s">
        <v>524</v>
      </c>
      <c r="U12" s="97" t="s">
        <v>535</v>
      </c>
      <c r="V12" s="50" t="s">
        <v>503</v>
      </c>
      <c r="W12" s="60" t="s">
        <v>542</v>
      </c>
      <c r="X12" s="113" t="s">
        <v>887</v>
      </c>
      <c r="Y12" s="50"/>
      <c r="Z12" s="50"/>
      <c r="AA12" s="50" t="s">
        <v>538</v>
      </c>
      <c r="AB12" s="50" t="s">
        <v>769</v>
      </c>
      <c r="AC12" s="55">
        <v>26664</v>
      </c>
      <c r="AD12" s="48">
        <f t="shared" ref="AD12:AD71" si="1">DAY(AC12)</f>
        <v>31</v>
      </c>
      <c r="AE12" s="48">
        <f t="shared" ref="AE12:AE71" si="2">MONTH(AC12)</f>
        <v>12</v>
      </c>
      <c r="AF12" s="48">
        <f t="shared" ref="AF12:AF71" si="3">YEAR(AC12)</f>
        <v>1972</v>
      </c>
      <c r="AG12" s="49">
        <f t="shared" si="0"/>
        <v>48579</v>
      </c>
      <c r="AH12" s="48">
        <f t="shared" ref="AH12:AH71" ca="1" si="4">DATEDIF($A$4,AG12, "Y" )</f>
        <v>7</v>
      </c>
      <c r="AI12" s="48">
        <f t="shared" ref="AI12:AI71" ca="1" si="5">DATEDIF($A$4,AG12, "YM" )</f>
        <v>0</v>
      </c>
      <c r="AJ12" s="48">
        <f t="shared" ref="AJ12:AJ71" ca="1" si="6">DATEDIF($A$4,AG12, "MD" )</f>
        <v>20</v>
      </c>
      <c r="AK12" s="48" t="str">
        <f t="shared" ref="AK12:AK72" ca="1" si="7">CONCATENATE(AH12,"year","/",AI12,"months","/",AJ12,"Days")</f>
        <v>7year/0months/20Days</v>
      </c>
      <c r="AL12" s="384"/>
      <c r="AM12" s="384" t="s">
        <v>1579</v>
      </c>
      <c r="AN12" s="276">
        <v>1251</v>
      </c>
      <c r="AO12" s="357">
        <v>13109</v>
      </c>
      <c r="AP12" s="384" t="s">
        <v>1989</v>
      </c>
      <c r="AQ12" s="384" t="s">
        <v>500</v>
      </c>
      <c r="AR12" s="384">
        <v>1960</v>
      </c>
      <c r="AS12" s="384">
        <v>164</v>
      </c>
      <c r="AT12" s="384">
        <v>156</v>
      </c>
      <c r="AU12" s="384">
        <v>95.12</v>
      </c>
      <c r="AV12" s="384">
        <v>187</v>
      </c>
      <c r="AW12" s="384">
        <v>175</v>
      </c>
      <c r="AX12" s="384">
        <v>93.58</v>
      </c>
      <c r="AY12" s="50">
        <v>2022</v>
      </c>
      <c r="AZ12" s="52">
        <v>2</v>
      </c>
      <c r="BA12" s="50">
        <v>274</v>
      </c>
      <c r="BB12" s="50">
        <v>242</v>
      </c>
      <c r="BC12" s="78" t="s">
        <v>498</v>
      </c>
      <c r="BD12" s="50" t="s">
        <v>498</v>
      </c>
      <c r="BE12" s="50">
        <v>32</v>
      </c>
      <c r="BF12" s="74">
        <f t="shared" ref="BF12:BF72" si="8">BE12/BA12*100</f>
        <v>11.678832116788321</v>
      </c>
      <c r="BG12" s="78" t="s">
        <v>498</v>
      </c>
      <c r="BH12" s="78" t="s">
        <v>498</v>
      </c>
      <c r="BI12" s="50">
        <v>274</v>
      </c>
      <c r="BJ12" s="78" t="s">
        <v>498</v>
      </c>
      <c r="BK12" s="78" t="s">
        <v>498</v>
      </c>
      <c r="BL12" s="151">
        <v>44841</v>
      </c>
      <c r="BM12" s="867" t="s">
        <v>1860</v>
      </c>
      <c r="BN12" s="868"/>
      <c r="BO12" s="868"/>
      <c r="BP12" s="869"/>
      <c r="BQ12" s="318"/>
      <c r="BR12" s="318"/>
      <c r="BS12" s="318"/>
      <c r="BT12" s="318"/>
      <c r="BU12" s="867" t="s">
        <v>2889</v>
      </c>
      <c r="BV12" s="868"/>
      <c r="BW12" s="868"/>
      <c r="BX12" s="869"/>
      <c r="BY12" s="876"/>
      <c r="BZ12" s="877"/>
      <c r="CA12" s="877"/>
      <c r="CB12" s="878"/>
      <c r="CC12" s="27"/>
    </row>
    <row r="13" spans="1:81" s="8" customFormat="1" ht="45" customHeight="1" x14ac:dyDescent="0.25">
      <c r="A13" s="58" t="s">
        <v>548</v>
      </c>
      <c r="B13" s="118" t="s">
        <v>892</v>
      </c>
      <c r="C13" s="13" t="s">
        <v>33</v>
      </c>
      <c r="D13" s="7" t="s">
        <v>33</v>
      </c>
      <c r="E13" s="3" t="s">
        <v>12</v>
      </c>
      <c r="F13" s="381">
        <v>4</v>
      </c>
      <c r="G13" s="198" t="s">
        <v>26</v>
      </c>
      <c r="H13" s="9" t="s">
        <v>27</v>
      </c>
      <c r="I13" s="9" t="s">
        <v>34</v>
      </c>
      <c r="J13" s="9" t="s">
        <v>29</v>
      </c>
      <c r="K13" s="9" t="s">
        <v>30</v>
      </c>
      <c r="L13" s="215" t="s">
        <v>31</v>
      </c>
      <c r="M13" s="365" t="s">
        <v>889</v>
      </c>
      <c r="N13" s="69" t="s">
        <v>498</v>
      </c>
      <c r="O13" s="69" t="s">
        <v>498</v>
      </c>
      <c r="P13" s="245" t="s">
        <v>890</v>
      </c>
      <c r="Q13" s="50" t="s">
        <v>499</v>
      </c>
      <c r="R13" s="365">
        <v>3</v>
      </c>
      <c r="S13" s="50" t="s">
        <v>500</v>
      </c>
      <c r="T13" s="50" t="s">
        <v>524</v>
      </c>
      <c r="U13" s="59" t="s">
        <v>535</v>
      </c>
      <c r="V13" s="50" t="s">
        <v>503</v>
      </c>
      <c r="W13" s="50"/>
      <c r="X13" s="114" t="s">
        <v>2897</v>
      </c>
      <c r="Y13" s="365"/>
      <c r="Z13" s="60"/>
      <c r="AA13" s="50" t="s">
        <v>660</v>
      </c>
      <c r="AB13" s="50" t="s">
        <v>506</v>
      </c>
      <c r="AC13" s="55">
        <v>26665</v>
      </c>
      <c r="AD13" s="48">
        <f t="shared" si="1"/>
        <v>1</v>
      </c>
      <c r="AE13" s="48">
        <f t="shared" si="2"/>
        <v>1</v>
      </c>
      <c r="AF13" s="48">
        <f t="shared" si="3"/>
        <v>1973</v>
      </c>
      <c r="AG13" s="49">
        <f t="shared" si="0"/>
        <v>48580</v>
      </c>
      <c r="AH13" s="48">
        <f t="shared" ca="1" si="4"/>
        <v>7</v>
      </c>
      <c r="AI13" s="48">
        <f t="shared" ca="1" si="5"/>
        <v>0</v>
      </c>
      <c r="AJ13" s="48">
        <f t="shared" ca="1" si="6"/>
        <v>21</v>
      </c>
      <c r="AK13" s="48" t="str">
        <f t="shared" ca="1" si="7"/>
        <v>7year/0months/21Days</v>
      </c>
      <c r="AL13" s="99"/>
      <c r="AM13" s="165" t="s">
        <v>1580</v>
      </c>
      <c r="AN13" s="277" t="s">
        <v>1581</v>
      </c>
      <c r="AO13" s="358" t="s">
        <v>1991</v>
      </c>
      <c r="AP13" s="165" t="s">
        <v>1990</v>
      </c>
      <c r="AQ13" s="99" t="s">
        <v>500</v>
      </c>
      <c r="AR13" s="99">
        <v>1960</v>
      </c>
      <c r="AS13" s="165" t="s">
        <v>1992</v>
      </c>
      <c r="AT13" s="165" t="s">
        <v>1993</v>
      </c>
      <c r="AU13" s="165" t="s">
        <v>1994</v>
      </c>
      <c r="AV13" s="165" t="s">
        <v>1995</v>
      </c>
      <c r="AW13" s="165" t="s">
        <v>1996</v>
      </c>
      <c r="AX13" s="165" t="s">
        <v>1997</v>
      </c>
      <c r="AY13" s="365">
        <v>2023</v>
      </c>
      <c r="AZ13" s="45">
        <v>3</v>
      </c>
      <c r="BA13" s="365">
        <v>517</v>
      </c>
      <c r="BB13" s="365">
        <v>450</v>
      </c>
      <c r="BC13" s="78" t="s">
        <v>498</v>
      </c>
      <c r="BD13" s="365" t="s">
        <v>498</v>
      </c>
      <c r="BE13" s="365">
        <v>59</v>
      </c>
      <c r="BF13" s="74">
        <f t="shared" si="8"/>
        <v>11.411992263056092</v>
      </c>
      <c r="BG13" s="78" t="s">
        <v>498</v>
      </c>
      <c r="BH13" s="78" t="s">
        <v>498</v>
      </c>
      <c r="BI13" s="365">
        <v>517</v>
      </c>
      <c r="BJ13" s="78" t="s">
        <v>498</v>
      </c>
      <c r="BK13" s="78" t="s">
        <v>498</v>
      </c>
      <c r="BL13" s="151">
        <v>45295</v>
      </c>
      <c r="BM13" s="867" t="s">
        <v>1864</v>
      </c>
      <c r="BN13" s="868"/>
      <c r="BO13" s="868"/>
      <c r="BP13" s="869"/>
      <c r="BQ13" s="888" t="s">
        <v>1894</v>
      </c>
      <c r="BR13" s="889"/>
      <c r="BS13" s="889"/>
      <c r="BT13" s="890"/>
      <c r="BU13" s="867" t="s">
        <v>2889</v>
      </c>
      <c r="BV13" s="868"/>
      <c r="BW13" s="868"/>
      <c r="BX13" s="869"/>
      <c r="BY13" s="475"/>
      <c r="BZ13" s="475"/>
      <c r="CA13" s="475"/>
      <c r="CB13" s="475"/>
      <c r="CC13" s="27"/>
    </row>
    <row r="14" spans="1:81" s="8" customFormat="1" ht="39.75" customHeight="1" x14ac:dyDescent="0.25">
      <c r="A14" s="555" t="s">
        <v>598</v>
      </c>
      <c r="B14" s="118" t="s">
        <v>894</v>
      </c>
      <c r="C14" s="13" t="s">
        <v>36</v>
      </c>
      <c r="D14" s="31" t="s">
        <v>36</v>
      </c>
      <c r="E14" s="3" t="s">
        <v>12</v>
      </c>
      <c r="F14" s="3">
        <v>5</v>
      </c>
      <c r="G14" s="207" t="s">
        <v>26</v>
      </c>
      <c r="H14" s="20" t="s">
        <v>31</v>
      </c>
      <c r="I14" s="20" t="s">
        <v>37</v>
      </c>
      <c r="J14" s="20" t="s">
        <v>29</v>
      </c>
      <c r="K14" s="9" t="s">
        <v>38</v>
      </c>
      <c r="L14" s="219" t="s">
        <v>39</v>
      </c>
      <c r="M14" s="365" t="s">
        <v>893</v>
      </c>
      <c r="N14" s="69" t="s">
        <v>498</v>
      </c>
      <c r="O14" s="51" t="s">
        <v>1976</v>
      </c>
      <c r="P14" s="245" t="s">
        <v>1493</v>
      </c>
      <c r="Q14" s="50" t="s">
        <v>499</v>
      </c>
      <c r="R14" s="365">
        <v>3</v>
      </c>
      <c r="S14" s="50" t="s">
        <v>500</v>
      </c>
      <c r="T14" s="50" t="s">
        <v>524</v>
      </c>
      <c r="U14" s="59" t="s">
        <v>535</v>
      </c>
      <c r="V14" s="50" t="s">
        <v>503</v>
      </c>
      <c r="W14" s="371" t="s">
        <v>504</v>
      </c>
      <c r="X14" s="46" t="s">
        <v>2803</v>
      </c>
      <c r="Y14" s="365" t="s">
        <v>2804</v>
      </c>
      <c r="Z14" s="60"/>
      <c r="AA14" s="50"/>
      <c r="AB14" s="50" t="s">
        <v>506</v>
      </c>
      <c r="AC14" s="55"/>
      <c r="AD14" s="48"/>
      <c r="AE14" s="48"/>
      <c r="AF14" s="48"/>
      <c r="AG14" s="49"/>
      <c r="AH14" s="48"/>
      <c r="AI14" s="48"/>
      <c r="AJ14" s="48"/>
      <c r="AK14" s="48"/>
      <c r="AL14" s="115"/>
      <c r="AM14" s="104" t="s">
        <v>1582</v>
      </c>
      <c r="AN14" s="278" t="s">
        <v>1583</v>
      </c>
      <c r="AO14" s="115"/>
      <c r="AP14" s="115"/>
      <c r="AQ14" s="115"/>
      <c r="AR14" s="115"/>
      <c r="AS14" s="104" t="s">
        <v>2000</v>
      </c>
      <c r="AT14" s="104" t="s">
        <v>1999</v>
      </c>
      <c r="AU14" s="104" t="s">
        <v>1998</v>
      </c>
      <c r="AV14" s="104" t="s">
        <v>2001</v>
      </c>
      <c r="AW14" s="104" t="s">
        <v>2002</v>
      </c>
      <c r="AX14" s="104" t="s">
        <v>2003</v>
      </c>
      <c r="AY14" s="365">
        <v>2024</v>
      </c>
      <c r="AZ14" s="45" t="s">
        <v>764</v>
      </c>
      <c r="BA14" s="365">
        <v>445</v>
      </c>
      <c r="BB14" s="365">
        <v>157</v>
      </c>
      <c r="BC14" s="78" t="s">
        <v>498</v>
      </c>
      <c r="BD14" s="365" t="s">
        <v>498</v>
      </c>
      <c r="BE14" s="365">
        <v>288</v>
      </c>
      <c r="BF14" s="74">
        <f t="shared" si="8"/>
        <v>64.719101123595507</v>
      </c>
      <c r="BG14" s="78" t="s">
        <v>498</v>
      </c>
      <c r="BH14" s="78" t="s">
        <v>498</v>
      </c>
      <c r="BI14" s="365">
        <v>445</v>
      </c>
      <c r="BJ14" s="365" t="s">
        <v>498</v>
      </c>
      <c r="BK14" s="365" t="s">
        <v>498</v>
      </c>
      <c r="BL14" s="151">
        <v>45553</v>
      </c>
      <c r="BM14" s="867" t="s">
        <v>1864</v>
      </c>
      <c r="BN14" s="868"/>
      <c r="BO14" s="868"/>
      <c r="BP14" s="869"/>
      <c r="BQ14" s="867" t="s">
        <v>1873</v>
      </c>
      <c r="BR14" s="868"/>
      <c r="BS14" s="868"/>
      <c r="BT14" s="869"/>
      <c r="BU14" s="867" t="s">
        <v>2600</v>
      </c>
      <c r="BV14" s="868"/>
      <c r="BW14" s="868"/>
      <c r="BX14" s="869"/>
      <c r="BY14" s="867" t="s">
        <v>2649</v>
      </c>
      <c r="BZ14" s="868"/>
      <c r="CA14" s="868"/>
      <c r="CB14" s="869"/>
      <c r="CC14" s="27"/>
    </row>
    <row r="15" spans="1:81" s="8" customFormat="1" ht="40.35" customHeight="1" x14ac:dyDescent="0.3">
      <c r="A15" s="9">
        <v>8</v>
      </c>
      <c r="B15" s="118" t="s">
        <v>1289</v>
      </c>
      <c r="C15" s="13" t="s">
        <v>46</v>
      </c>
      <c r="D15" s="31" t="s">
        <v>46</v>
      </c>
      <c r="E15" s="3" t="s">
        <v>12</v>
      </c>
      <c r="F15" s="3">
        <v>6</v>
      </c>
      <c r="G15" s="198" t="s">
        <v>13</v>
      </c>
      <c r="H15" s="9" t="s">
        <v>19</v>
      </c>
      <c r="I15" s="9" t="s">
        <v>20</v>
      </c>
      <c r="J15" s="9" t="s">
        <v>21</v>
      </c>
      <c r="K15" s="9" t="s">
        <v>22</v>
      </c>
      <c r="L15" s="215" t="s">
        <v>23</v>
      </c>
      <c r="M15" s="50" t="s">
        <v>636</v>
      </c>
      <c r="N15" s="69" t="s">
        <v>498</v>
      </c>
      <c r="O15" s="69" t="s">
        <v>498</v>
      </c>
      <c r="P15" s="244"/>
      <c r="Q15" s="50" t="s">
        <v>499</v>
      </c>
      <c r="R15" s="50" t="s">
        <v>560</v>
      </c>
      <c r="S15" s="50" t="s">
        <v>500</v>
      </c>
      <c r="T15" s="50" t="s">
        <v>524</v>
      </c>
      <c r="U15" s="52" t="s">
        <v>638</v>
      </c>
      <c r="V15" s="50" t="s">
        <v>503</v>
      </c>
      <c r="W15" s="50" t="s">
        <v>527</v>
      </c>
      <c r="X15" s="70" t="s">
        <v>639</v>
      </c>
      <c r="Y15" s="60" t="s">
        <v>640</v>
      </c>
      <c r="Z15" s="50" t="s">
        <v>633</v>
      </c>
      <c r="AA15" s="50" t="s">
        <v>538</v>
      </c>
      <c r="AB15" s="50" t="s">
        <v>506</v>
      </c>
      <c r="AC15" s="55">
        <v>26668</v>
      </c>
      <c r="AD15" s="48">
        <f t="shared" si="1"/>
        <v>4</v>
      </c>
      <c r="AE15" s="48">
        <f t="shared" si="2"/>
        <v>1</v>
      </c>
      <c r="AF15" s="48">
        <f t="shared" si="3"/>
        <v>1973</v>
      </c>
      <c r="AG15" s="49">
        <f t="shared" si="0"/>
        <v>48583</v>
      </c>
      <c r="AH15" s="48">
        <f t="shared" ca="1" si="4"/>
        <v>7</v>
      </c>
      <c r="AI15" s="48">
        <f t="shared" ca="1" si="5"/>
        <v>0</v>
      </c>
      <c r="AJ15" s="48">
        <f t="shared" ca="1" si="6"/>
        <v>24</v>
      </c>
      <c r="AK15" s="48" t="str">
        <f t="shared" ca="1" si="7"/>
        <v>7year/0months/24Days</v>
      </c>
      <c r="AL15" s="60" t="s">
        <v>642</v>
      </c>
      <c r="AM15" s="60" t="s">
        <v>1584</v>
      </c>
      <c r="AN15" s="275">
        <v>777</v>
      </c>
      <c r="AO15" s="60"/>
      <c r="AP15" s="60"/>
      <c r="AQ15" s="60"/>
      <c r="AR15" s="60"/>
      <c r="AS15" s="60">
        <v>537</v>
      </c>
      <c r="AT15" s="60">
        <v>91</v>
      </c>
      <c r="AU15" s="60">
        <v>16.940000000000001</v>
      </c>
      <c r="AV15" s="60">
        <v>722</v>
      </c>
      <c r="AW15" s="60">
        <v>107</v>
      </c>
      <c r="AX15" s="60">
        <v>14.81</v>
      </c>
      <c r="AY15" s="634">
        <v>2020</v>
      </c>
      <c r="AZ15" s="225" t="s">
        <v>643</v>
      </c>
      <c r="BA15" s="78">
        <v>1498</v>
      </c>
      <c r="BB15" s="78">
        <v>1035</v>
      </c>
      <c r="BC15" s="78" t="s">
        <v>498</v>
      </c>
      <c r="BD15" s="78">
        <v>5</v>
      </c>
      <c r="BE15" s="78">
        <v>196</v>
      </c>
      <c r="BF15" s="74">
        <f t="shared" si="8"/>
        <v>13.084112149532709</v>
      </c>
      <c r="BG15" s="78" t="s">
        <v>498</v>
      </c>
      <c r="BH15" s="78" t="s">
        <v>498</v>
      </c>
      <c r="BI15" s="78">
        <v>1214</v>
      </c>
      <c r="BJ15" s="78">
        <v>284</v>
      </c>
      <c r="BK15" s="78" t="s">
        <v>498</v>
      </c>
      <c r="BL15" s="151">
        <v>44277</v>
      </c>
      <c r="BM15" s="867" t="s">
        <v>1864</v>
      </c>
      <c r="BN15" s="868"/>
      <c r="BO15" s="868"/>
      <c r="BP15" s="869"/>
      <c r="BQ15" s="305"/>
      <c r="BR15" s="305"/>
      <c r="BS15" s="305"/>
      <c r="BT15" s="305"/>
      <c r="BU15" s="867" t="s">
        <v>2600</v>
      </c>
      <c r="BV15" s="868"/>
      <c r="BW15" s="868"/>
      <c r="BX15" s="869"/>
      <c r="BY15" s="305"/>
      <c r="BZ15" s="305"/>
      <c r="CA15" s="305"/>
      <c r="CB15" s="305"/>
      <c r="CC15" s="27"/>
    </row>
    <row r="16" spans="1:81" s="8" customFormat="1" ht="46.5" customHeight="1" x14ac:dyDescent="0.3">
      <c r="A16" s="9">
        <v>9</v>
      </c>
      <c r="B16" s="118" t="s">
        <v>1290</v>
      </c>
      <c r="C16" s="13" t="s">
        <v>48</v>
      </c>
      <c r="D16" s="7" t="s">
        <v>48</v>
      </c>
      <c r="E16" s="3" t="s">
        <v>12</v>
      </c>
      <c r="F16" s="381">
        <v>7</v>
      </c>
      <c r="G16" s="198" t="s">
        <v>21</v>
      </c>
      <c r="H16" s="9" t="s">
        <v>49</v>
      </c>
      <c r="I16" s="9" t="s">
        <v>50</v>
      </c>
      <c r="J16" s="9" t="s">
        <v>21</v>
      </c>
      <c r="K16" s="9" t="s">
        <v>21</v>
      </c>
      <c r="L16" s="215" t="s">
        <v>51</v>
      </c>
      <c r="M16" s="29" t="s">
        <v>647</v>
      </c>
      <c r="N16" s="69" t="s">
        <v>498</v>
      </c>
      <c r="O16" s="69" t="s">
        <v>498</v>
      </c>
      <c r="P16" s="246"/>
      <c r="Q16" s="50" t="s">
        <v>499</v>
      </c>
      <c r="R16" s="29">
        <v>2</v>
      </c>
      <c r="S16" s="50" t="s">
        <v>500</v>
      </c>
      <c r="T16" s="50" t="s">
        <v>524</v>
      </c>
      <c r="U16" s="34" t="s">
        <v>648</v>
      </c>
      <c r="V16" s="50" t="s">
        <v>503</v>
      </c>
      <c r="W16" s="29" t="s">
        <v>542</v>
      </c>
      <c r="X16" s="30" t="s">
        <v>649</v>
      </c>
      <c r="Y16" s="29" t="s">
        <v>650</v>
      </c>
      <c r="Z16" s="50" t="s">
        <v>633</v>
      </c>
      <c r="AA16" s="50" t="s">
        <v>538</v>
      </c>
      <c r="AB16" s="50" t="s">
        <v>506</v>
      </c>
      <c r="AC16" s="55">
        <v>26669</v>
      </c>
      <c r="AD16" s="48">
        <f t="shared" si="1"/>
        <v>5</v>
      </c>
      <c r="AE16" s="48">
        <f t="shared" si="2"/>
        <v>1</v>
      </c>
      <c r="AF16" s="48">
        <f t="shared" si="3"/>
        <v>1973</v>
      </c>
      <c r="AG16" s="49">
        <f t="shared" si="0"/>
        <v>48584</v>
      </c>
      <c r="AH16" s="48">
        <f t="shared" ca="1" si="4"/>
        <v>7</v>
      </c>
      <c r="AI16" s="48">
        <f t="shared" ca="1" si="5"/>
        <v>0</v>
      </c>
      <c r="AJ16" s="48">
        <f t="shared" ca="1" si="6"/>
        <v>25</v>
      </c>
      <c r="AK16" s="48" t="str">
        <f t="shared" ca="1" si="7"/>
        <v>7year/0months/25Days</v>
      </c>
      <c r="AL16" s="29"/>
      <c r="AM16" s="950" t="s">
        <v>1585</v>
      </c>
      <c r="AN16" s="806">
        <v>1221</v>
      </c>
      <c r="AO16" s="952">
        <v>13021</v>
      </c>
      <c r="AP16" s="950" t="s">
        <v>2045</v>
      </c>
      <c r="AQ16" s="953" t="s">
        <v>2046</v>
      </c>
      <c r="AR16" s="950">
        <v>1960</v>
      </c>
      <c r="AS16" s="29">
        <v>216</v>
      </c>
      <c r="AT16" s="29">
        <v>148</v>
      </c>
      <c r="AU16" s="29">
        <v>68.52</v>
      </c>
      <c r="AV16" s="29">
        <v>498</v>
      </c>
      <c r="AW16" s="29">
        <v>304</v>
      </c>
      <c r="AX16" s="29">
        <v>61.04</v>
      </c>
      <c r="AY16" s="29">
        <v>2017</v>
      </c>
      <c r="AZ16" s="62">
        <v>1</v>
      </c>
      <c r="BA16" s="61">
        <v>85</v>
      </c>
      <c r="BB16" s="61">
        <v>29</v>
      </c>
      <c r="BC16" s="78" t="s">
        <v>498</v>
      </c>
      <c r="BD16" s="61">
        <v>5</v>
      </c>
      <c r="BE16" s="61">
        <v>29</v>
      </c>
      <c r="BF16" s="74">
        <f t="shared" si="8"/>
        <v>34.117647058823529</v>
      </c>
      <c r="BG16" s="78" t="s">
        <v>498</v>
      </c>
      <c r="BH16" s="78" t="s">
        <v>498</v>
      </c>
      <c r="BI16" s="61">
        <v>85</v>
      </c>
      <c r="BJ16" s="61"/>
      <c r="BK16" s="61"/>
      <c r="BL16" s="76">
        <v>44649</v>
      </c>
      <c r="BM16" s="867" t="s">
        <v>1860</v>
      </c>
      <c r="BN16" s="868"/>
      <c r="BO16" s="868"/>
      <c r="BP16" s="869"/>
      <c r="BQ16" s="304"/>
      <c r="BR16" s="304"/>
      <c r="BS16" s="304"/>
      <c r="BT16" s="304"/>
      <c r="BU16" s="867" t="s">
        <v>2600</v>
      </c>
      <c r="BV16" s="868"/>
      <c r="BW16" s="868"/>
      <c r="BX16" s="869"/>
      <c r="BY16" s="304"/>
      <c r="BZ16" s="304"/>
      <c r="CA16" s="304"/>
      <c r="CB16" s="304"/>
      <c r="CC16" s="27"/>
    </row>
    <row r="17" spans="1:81" s="656" customFormat="1" ht="40.35" customHeight="1" x14ac:dyDescent="0.25">
      <c r="A17" s="636">
        <v>10</v>
      </c>
      <c r="B17" s="637" t="s">
        <v>1291</v>
      </c>
      <c r="C17" s="638" t="s">
        <v>53</v>
      </c>
      <c r="D17" s="639" t="s">
        <v>1971</v>
      </c>
      <c r="E17" s="451" t="s">
        <v>12</v>
      </c>
      <c r="F17" s="451">
        <v>8</v>
      </c>
      <c r="G17" s="640" t="s">
        <v>21</v>
      </c>
      <c r="H17" s="636" t="s">
        <v>49</v>
      </c>
      <c r="I17" s="636" t="s">
        <v>50</v>
      </c>
      <c r="J17" s="636" t="s">
        <v>21</v>
      </c>
      <c r="K17" s="636" t="s">
        <v>21</v>
      </c>
      <c r="L17" s="641" t="s">
        <v>51</v>
      </c>
      <c r="M17" s="642" t="s">
        <v>644</v>
      </c>
      <c r="N17" s="643" t="s">
        <v>498</v>
      </c>
      <c r="O17" s="643" t="s">
        <v>498</v>
      </c>
      <c r="P17" s="644" t="s">
        <v>1972</v>
      </c>
      <c r="Q17" s="642" t="s">
        <v>499</v>
      </c>
      <c r="R17" s="642" t="s">
        <v>560</v>
      </c>
      <c r="S17" s="642" t="s">
        <v>500</v>
      </c>
      <c r="T17" s="642" t="s">
        <v>524</v>
      </c>
      <c r="U17" s="645" t="s">
        <v>638</v>
      </c>
      <c r="V17" s="642" t="s">
        <v>503</v>
      </c>
      <c r="W17" s="642" t="s">
        <v>527</v>
      </c>
      <c r="X17" s="646" t="s">
        <v>2508</v>
      </c>
      <c r="Y17" s="647" t="s">
        <v>2509</v>
      </c>
      <c r="Z17" s="648" t="s">
        <v>2898</v>
      </c>
      <c r="AA17" s="642" t="s">
        <v>562</v>
      </c>
      <c r="AB17" s="642" t="s">
        <v>710</v>
      </c>
      <c r="AC17" s="649">
        <v>25089</v>
      </c>
      <c r="AD17" s="650">
        <f t="shared" ref="AD17" si="9">DAY(AC17)</f>
        <v>8</v>
      </c>
      <c r="AE17" s="650">
        <f t="shared" ref="AE17" si="10">MONTH(AC17)</f>
        <v>9</v>
      </c>
      <c r="AF17" s="650">
        <f t="shared" ref="AF17" si="11">YEAR(AC17)</f>
        <v>1968</v>
      </c>
      <c r="AG17" s="651">
        <f t="shared" si="0"/>
        <v>47004</v>
      </c>
      <c r="AH17" s="650">
        <f t="shared" ref="AH17" ca="1" si="12">DATEDIF($A$4,AG17, "Y" )</f>
        <v>2</v>
      </c>
      <c r="AI17" s="650">
        <f t="shared" ref="AI17" ca="1" si="13">DATEDIF($A$4,AG17, "YM" )</f>
        <v>8</v>
      </c>
      <c r="AJ17" s="650">
        <f t="shared" ref="AJ17" ca="1" si="14">DATEDIF($A$4,AG17, "MD" )</f>
        <v>28</v>
      </c>
      <c r="AK17" s="650" t="str">
        <f t="shared" ref="AK17" ca="1" si="15">CONCATENATE(AH17,"year","/",AI17,"months","/",AJ17,"Days")</f>
        <v>2year/8months/28Days</v>
      </c>
      <c r="AL17" s="648"/>
      <c r="AM17" s="951"/>
      <c r="AN17" s="807"/>
      <c r="AO17" s="951"/>
      <c r="AP17" s="951"/>
      <c r="AQ17" s="954"/>
      <c r="AR17" s="951"/>
      <c r="AS17" s="648">
        <v>358</v>
      </c>
      <c r="AT17" s="648">
        <v>257</v>
      </c>
      <c r="AU17" s="648">
        <v>71.78</v>
      </c>
      <c r="AV17" s="648">
        <v>498</v>
      </c>
      <c r="AW17" s="648">
        <v>304</v>
      </c>
      <c r="AX17" s="648">
        <v>61.04</v>
      </c>
      <c r="AY17" s="642">
        <v>2023</v>
      </c>
      <c r="AZ17" s="645">
        <v>1</v>
      </c>
      <c r="BA17" s="652">
        <v>260</v>
      </c>
      <c r="BB17" s="652" t="s">
        <v>498</v>
      </c>
      <c r="BC17" s="652">
        <v>139</v>
      </c>
      <c r="BD17" s="652" t="s">
        <v>498</v>
      </c>
      <c r="BE17" s="652">
        <v>121</v>
      </c>
      <c r="BF17" s="653">
        <f t="shared" si="8"/>
        <v>46.53846153846154</v>
      </c>
      <c r="BG17" s="652" t="s">
        <v>498</v>
      </c>
      <c r="BH17" s="652" t="s">
        <v>498</v>
      </c>
      <c r="BI17" s="652" t="s">
        <v>498</v>
      </c>
      <c r="BJ17" s="652">
        <v>260</v>
      </c>
      <c r="BK17" s="642" t="s">
        <v>498</v>
      </c>
      <c r="BL17" s="654">
        <v>45324</v>
      </c>
      <c r="BM17" s="873" t="s">
        <v>1792</v>
      </c>
      <c r="BN17" s="874"/>
      <c r="BO17" s="874"/>
      <c r="BP17" s="875"/>
      <c r="BQ17" s="873">
        <v>45539</v>
      </c>
      <c r="BR17" s="874"/>
      <c r="BS17" s="874"/>
      <c r="BT17" s="875"/>
      <c r="BU17" s="906">
        <v>45511</v>
      </c>
      <c r="BV17" s="907"/>
      <c r="BW17" s="907"/>
      <c r="BX17" s="908"/>
      <c r="BY17" s="873" t="s">
        <v>2801</v>
      </c>
      <c r="BZ17" s="874"/>
      <c r="CA17" s="874"/>
      <c r="CB17" s="875"/>
      <c r="CC17" s="655"/>
    </row>
    <row r="18" spans="1:81" s="8" customFormat="1" ht="40.35" customHeight="1" x14ac:dyDescent="0.25">
      <c r="A18" s="561" t="s">
        <v>2474</v>
      </c>
      <c r="B18" s="118" t="s">
        <v>1292</v>
      </c>
      <c r="C18" s="13" t="s">
        <v>54</v>
      </c>
      <c r="D18" s="7" t="s">
        <v>899</v>
      </c>
      <c r="E18" s="3" t="s">
        <v>12</v>
      </c>
      <c r="F18" s="381">
        <v>9</v>
      </c>
      <c r="G18" s="198" t="s">
        <v>26</v>
      </c>
      <c r="H18" s="9" t="s">
        <v>31</v>
      </c>
      <c r="I18" s="9" t="s">
        <v>55</v>
      </c>
      <c r="J18" s="9" t="s">
        <v>29</v>
      </c>
      <c r="K18" s="9" t="s">
        <v>30</v>
      </c>
      <c r="L18" s="215" t="s">
        <v>31</v>
      </c>
      <c r="M18" s="365" t="s">
        <v>895</v>
      </c>
      <c r="N18" s="69" t="s">
        <v>498</v>
      </c>
      <c r="O18" s="51" t="s">
        <v>2674</v>
      </c>
      <c r="P18" s="247" t="s">
        <v>896</v>
      </c>
      <c r="Q18" s="50" t="s">
        <v>499</v>
      </c>
      <c r="R18" s="365" t="s">
        <v>560</v>
      </c>
      <c r="S18" s="50" t="s">
        <v>500</v>
      </c>
      <c r="T18" s="50" t="s">
        <v>524</v>
      </c>
      <c r="U18" s="59" t="s">
        <v>561</v>
      </c>
      <c r="V18" s="50" t="s">
        <v>503</v>
      </c>
      <c r="W18" s="365" t="s">
        <v>542</v>
      </c>
      <c r="X18" s="114" t="s">
        <v>897</v>
      </c>
      <c r="Y18" s="365" t="s">
        <v>898</v>
      </c>
      <c r="Z18" s="60" t="s">
        <v>2675</v>
      </c>
      <c r="AA18" s="50" t="s">
        <v>562</v>
      </c>
      <c r="AB18" s="50" t="s">
        <v>506</v>
      </c>
      <c r="AC18" s="55">
        <v>25614</v>
      </c>
      <c r="AD18" s="48">
        <f t="shared" si="1"/>
        <v>15</v>
      </c>
      <c r="AE18" s="48">
        <f t="shared" si="2"/>
        <v>2</v>
      </c>
      <c r="AF18" s="48">
        <f t="shared" si="3"/>
        <v>1970</v>
      </c>
      <c r="AG18" s="49">
        <f t="shared" si="0"/>
        <v>47529</v>
      </c>
      <c r="AH18" s="48">
        <f t="shared" ca="1" si="4"/>
        <v>4</v>
      </c>
      <c r="AI18" s="48">
        <f t="shared" ca="1" si="5"/>
        <v>2</v>
      </c>
      <c r="AJ18" s="48">
        <f t="shared" ca="1" si="6"/>
        <v>4</v>
      </c>
      <c r="AK18" s="48" t="str">
        <f t="shared" ca="1" si="7"/>
        <v>4year/2months/4Days</v>
      </c>
      <c r="AL18" s="60"/>
      <c r="AM18" s="371" t="s">
        <v>1586</v>
      </c>
      <c r="AN18" s="373" t="s">
        <v>1587</v>
      </c>
      <c r="AO18" s="371"/>
      <c r="AP18" s="60"/>
      <c r="AQ18" s="60"/>
      <c r="AR18" s="60"/>
      <c r="AS18" s="60"/>
      <c r="AT18" s="60"/>
      <c r="AU18" s="60"/>
      <c r="AV18" s="60"/>
      <c r="AW18" s="60"/>
      <c r="AX18" s="60"/>
      <c r="AY18" s="371">
        <v>2025</v>
      </c>
      <c r="AZ18" s="59"/>
      <c r="BA18" s="371">
        <v>454</v>
      </c>
      <c r="BB18" s="371">
        <v>50</v>
      </c>
      <c r="BC18" s="78" t="s">
        <v>498</v>
      </c>
      <c r="BD18" s="365" t="s">
        <v>498</v>
      </c>
      <c r="BE18" s="371">
        <v>404</v>
      </c>
      <c r="BF18" s="74">
        <f t="shared" si="8"/>
        <v>88.986784140969164</v>
      </c>
      <c r="BG18" s="78" t="s">
        <v>498</v>
      </c>
      <c r="BH18" s="78" t="s">
        <v>498</v>
      </c>
      <c r="BI18" s="371">
        <v>454</v>
      </c>
      <c r="BJ18" s="371" t="s">
        <v>498</v>
      </c>
      <c r="BK18" s="371" t="s">
        <v>498</v>
      </c>
      <c r="BL18" s="151">
        <v>45987</v>
      </c>
      <c r="BM18" s="867" t="s">
        <v>1854</v>
      </c>
      <c r="BN18" s="868"/>
      <c r="BO18" s="868"/>
      <c r="BP18" s="869"/>
      <c r="BQ18" s="867" t="s">
        <v>1863</v>
      </c>
      <c r="BR18" s="868"/>
      <c r="BS18" s="868"/>
      <c r="BT18" s="869"/>
      <c r="BU18" s="867" t="s">
        <v>2889</v>
      </c>
      <c r="BV18" s="868"/>
      <c r="BW18" s="868"/>
      <c r="BX18" s="869"/>
      <c r="BY18" s="867" t="s">
        <v>2949</v>
      </c>
      <c r="BZ18" s="868"/>
      <c r="CA18" s="868"/>
      <c r="CB18" s="869"/>
      <c r="CC18" s="27"/>
    </row>
    <row r="19" spans="1:81" s="8" customFormat="1" ht="39" customHeight="1" x14ac:dyDescent="0.25">
      <c r="A19" s="9">
        <v>13</v>
      </c>
      <c r="B19" s="11" t="s">
        <v>1293</v>
      </c>
      <c r="C19" s="11" t="s">
        <v>57</v>
      </c>
      <c r="D19" s="3" t="s">
        <v>902</v>
      </c>
      <c r="E19" s="3" t="s">
        <v>12</v>
      </c>
      <c r="F19" s="3">
        <v>10</v>
      </c>
      <c r="G19" s="198" t="s">
        <v>26</v>
      </c>
      <c r="H19" s="9" t="s">
        <v>27</v>
      </c>
      <c r="I19" s="9" t="s">
        <v>28</v>
      </c>
      <c r="J19" s="9" t="s">
        <v>29</v>
      </c>
      <c r="K19" s="9" t="s">
        <v>30</v>
      </c>
      <c r="L19" s="215" t="s">
        <v>31</v>
      </c>
      <c r="M19" s="50" t="s">
        <v>900</v>
      </c>
      <c r="N19" s="69" t="s">
        <v>498</v>
      </c>
      <c r="O19" s="51" t="s">
        <v>2950</v>
      </c>
      <c r="P19" s="248" t="s">
        <v>901</v>
      </c>
      <c r="Q19" s="50" t="s">
        <v>499</v>
      </c>
      <c r="R19" s="50">
        <v>2</v>
      </c>
      <c r="S19" s="50" t="s">
        <v>500</v>
      </c>
      <c r="T19" s="50" t="s">
        <v>524</v>
      </c>
      <c r="U19" s="97" t="s">
        <v>502</v>
      </c>
      <c r="V19" s="50" t="s">
        <v>503</v>
      </c>
      <c r="W19" s="365" t="s">
        <v>567</v>
      </c>
      <c r="X19" s="113" t="s">
        <v>2951</v>
      </c>
      <c r="Y19" s="60" t="s">
        <v>2952</v>
      </c>
      <c r="Z19" s="50" t="s">
        <v>2953</v>
      </c>
      <c r="AA19" s="50" t="s">
        <v>538</v>
      </c>
      <c r="AB19" s="634" t="s">
        <v>506</v>
      </c>
      <c r="AC19" s="55">
        <v>31722</v>
      </c>
      <c r="AD19" s="48">
        <f t="shared" ref="AD19" si="16">DAY(AC19)</f>
        <v>6</v>
      </c>
      <c r="AE19" s="48">
        <f t="shared" ref="AE19" si="17">MONTH(AC19)</f>
        <v>11</v>
      </c>
      <c r="AF19" s="48">
        <f t="shared" ref="AF19" si="18">YEAR(AC19)</f>
        <v>1986</v>
      </c>
      <c r="AG19" s="49">
        <f t="shared" ref="AG19" si="19">EDATE(AC19,12*60)</f>
        <v>53637</v>
      </c>
      <c r="AH19" s="48">
        <f t="shared" ca="1" si="4"/>
        <v>20</v>
      </c>
      <c r="AI19" s="48">
        <f t="shared" ca="1" si="5"/>
        <v>10</v>
      </c>
      <c r="AJ19" s="48">
        <f t="shared" ca="1" si="6"/>
        <v>26</v>
      </c>
      <c r="AK19" s="48" t="str">
        <f t="shared" ca="1" si="7"/>
        <v>20year/10months/26Days</v>
      </c>
      <c r="AL19" s="116"/>
      <c r="AM19" s="50" t="s">
        <v>1588</v>
      </c>
      <c r="AN19" s="229">
        <v>1230</v>
      </c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>
        <v>2025</v>
      </c>
      <c r="AZ19" s="52" t="s">
        <v>1917</v>
      </c>
      <c r="BA19" s="50">
        <v>104</v>
      </c>
      <c r="BB19" s="50">
        <v>64</v>
      </c>
      <c r="BC19" s="78" t="s">
        <v>498</v>
      </c>
      <c r="BD19" s="50" t="s">
        <v>498</v>
      </c>
      <c r="BE19" s="50">
        <v>38</v>
      </c>
      <c r="BF19" s="74">
        <f t="shared" si="8"/>
        <v>36.538461538461533</v>
      </c>
      <c r="BG19" s="78" t="s">
        <v>498</v>
      </c>
      <c r="BH19" s="78" t="s">
        <v>498</v>
      </c>
      <c r="BI19" s="50">
        <v>104</v>
      </c>
      <c r="BJ19" s="95"/>
      <c r="BK19" s="95"/>
      <c r="BL19" s="151">
        <v>45987</v>
      </c>
      <c r="BM19" s="867" t="s">
        <v>1864</v>
      </c>
      <c r="BN19" s="868"/>
      <c r="BO19" s="868"/>
      <c r="BP19" s="869"/>
      <c r="BQ19" s="318"/>
      <c r="BR19" s="319"/>
      <c r="BS19" s="319"/>
      <c r="BT19" s="319"/>
      <c r="BU19" s="867" t="s">
        <v>2889</v>
      </c>
      <c r="BV19" s="868"/>
      <c r="BW19" s="868"/>
      <c r="BX19" s="869"/>
      <c r="BY19" s="888" t="s">
        <v>2954</v>
      </c>
      <c r="BZ19" s="889"/>
      <c r="CA19" s="889"/>
      <c r="CB19" s="890"/>
      <c r="CC19" s="27"/>
    </row>
    <row r="20" spans="1:81" s="8" customFormat="1" ht="40.35" customHeight="1" x14ac:dyDescent="0.25">
      <c r="A20" s="558">
        <v>14</v>
      </c>
      <c r="B20" s="118" t="s">
        <v>904</v>
      </c>
      <c r="C20" s="11" t="s">
        <v>60</v>
      </c>
      <c r="D20" s="3" t="s">
        <v>903</v>
      </c>
      <c r="E20" s="3" t="s">
        <v>12</v>
      </c>
      <c r="F20" s="3">
        <v>11</v>
      </c>
      <c r="G20" s="198" t="s">
        <v>13</v>
      </c>
      <c r="H20" s="9" t="s">
        <v>29</v>
      </c>
      <c r="I20" s="9" t="s">
        <v>29</v>
      </c>
      <c r="J20" s="9" t="s">
        <v>29</v>
      </c>
      <c r="K20" s="9" t="s">
        <v>29</v>
      </c>
      <c r="L20" s="215" t="s">
        <v>29</v>
      </c>
      <c r="M20" s="60" t="s">
        <v>1934</v>
      </c>
      <c r="N20" s="69" t="s">
        <v>498</v>
      </c>
      <c r="O20" s="51" t="s">
        <v>1935</v>
      </c>
      <c r="P20" s="243" t="s">
        <v>1936</v>
      </c>
      <c r="Q20" s="50" t="s">
        <v>499</v>
      </c>
      <c r="R20" s="50" t="s">
        <v>560</v>
      </c>
      <c r="S20" s="50" t="s">
        <v>500</v>
      </c>
      <c r="T20" s="50" t="s">
        <v>524</v>
      </c>
      <c r="U20" s="97" t="s">
        <v>525</v>
      </c>
      <c r="V20" s="50" t="s">
        <v>503</v>
      </c>
      <c r="W20" s="50" t="s">
        <v>527</v>
      </c>
      <c r="X20" s="70" t="s">
        <v>1937</v>
      </c>
      <c r="Y20" s="50" t="s">
        <v>1938</v>
      </c>
      <c r="Z20" s="50" t="s">
        <v>1939</v>
      </c>
      <c r="AA20" s="50" t="s">
        <v>538</v>
      </c>
      <c r="AB20" s="50" t="s">
        <v>506</v>
      </c>
      <c r="AC20" s="55">
        <v>28453</v>
      </c>
      <c r="AD20" s="48">
        <f t="shared" si="1"/>
        <v>24</v>
      </c>
      <c r="AE20" s="48">
        <f t="shared" si="2"/>
        <v>11</v>
      </c>
      <c r="AF20" s="48">
        <f t="shared" si="3"/>
        <v>1977</v>
      </c>
      <c r="AG20" s="49">
        <f t="shared" si="0"/>
        <v>50368</v>
      </c>
      <c r="AH20" s="48">
        <f t="shared" ca="1" si="4"/>
        <v>11</v>
      </c>
      <c r="AI20" s="48">
        <f t="shared" ca="1" si="5"/>
        <v>11</v>
      </c>
      <c r="AJ20" s="48">
        <f t="shared" ca="1" si="6"/>
        <v>13</v>
      </c>
      <c r="AK20" s="48" t="str">
        <f t="shared" ca="1" si="7"/>
        <v>11year/11months/13Days</v>
      </c>
      <c r="AL20" s="384"/>
      <c r="AM20" s="384" t="s">
        <v>1589</v>
      </c>
      <c r="AN20" s="276">
        <v>2231</v>
      </c>
      <c r="AO20" s="384"/>
      <c r="AP20" s="384"/>
      <c r="AQ20" s="384"/>
      <c r="AR20" s="384"/>
      <c r="AS20" s="384"/>
      <c r="AT20" s="384"/>
      <c r="AU20" s="384"/>
      <c r="AV20" s="384"/>
      <c r="AW20" s="384"/>
      <c r="AX20" s="384"/>
      <c r="AY20" s="50">
        <v>2024</v>
      </c>
      <c r="AZ20" s="107" t="s">
        <v>1917</v>
      </c>
      <c r="BA20" s="78">
        <v>128</v>
      </c>
      <c r="BB20" s="78">
        <v>102</v>
      </c>
      <c r="BC20" s="78" t="s">
        <v>498</v>
      </c>
      <c r="BD20" s="78" t="s">
        <v>498</v>
      </c>
      <c r="BE20" s="78">
        <v>25</v>
      </c>
      <c r="BF20" s="74">
        <f t="shared" si="8"/>
        <v>19.53125</v>
      </c>
      <c r="BG20" s="78" t="s">
        <v>498</v>
      </c>
      <c r="BH20" s="78" t="s">
        <v>498</v>
      </c>
      <c r="BI20" s="78">
        <v>102</v>
      </c>
      <c r="BJ20" s="78" t="s">
        <v>498</v>
      </c>
      <c r="BK20" s="78" t="s">
        <v>498</v>
      </c>
      <c r="BL20" s="151">
        <v>45559</v>
      </c>
      <c r="BM20" s="934" t="s">
        <v>1843</v>
      </c>
      <c r="BN20" s="934"/>
      <c r="BO20" s="934"/>
      <c r="BP20" s="934"/>
      <c r="BQ20" s="870" t="s">
        <v>1849</v>
      </c>
      <c r="BR20" s="871"/>
      <c r="BS20" s="871"/>
      <c r="BT20" s="872"/>
      <c r="BU20" s="867" t="s">
        <v>2596</v>
      </c>
      <c r="BV20" s="868"/>
      <c r="BW20" s="868"/>
      <c r="BX20" s="869"/>
      <c r="BY20" s="870" t="s">
        <v>2609</v>
      </c>
      <c r="BZ20" s="871"/>
      <c r="CA20" s="871"/>
      <c r="CB20" s="872"/>
      <c r="CC20" s="27"/>
    </row>
    <row r="21" spans="1:81" s="656" customFormat="1" ht="40.35" customHeight="1" x14ac:dyDescent="0.3">
      <c r="A21" s="636">
        <v>15</v>
      </c>
      <c r="B21" s="657" t="s">
        <v>908</v>
      </c>
      <c r="C21" s="658" t="s">
        <v>2955</v>
      </c>
      <c r="D21" s="659" t="s">
        <v>2956</v>
      </c>
      <c r="E21" s="451" t="s">
        <v>12</v>
      </c>
      <c r="F21" s="444">
        <v>12</v>
      </c>
      <c r="G21" s="640" t="s">
        <v>26</v>
      </c>
      <c r="H21" s="636" t="s">
        <v>30</v>
      </c>
      <c r="I21" s="636" t="s">
        <v>63</v>
      </c>
      <c r="J21" s="636" t="s">
        <v>29</v>
      </c>
      <c r="K21" s="636" t="s">
        <v>30</v>
      </c>
      <c r="L21" s="641" t="s">
        <v>30</v>
      </c>
      <c r="M21" s="642" t="s">
        <v>905</v>
      </c>
      <c r="N21" s="643" t="s">
        <v>498</v>
      </c>
      <c r="O21" s="643" t="s">
        <v>498</v>
      </c>
      <c r="P21" s="660" t="s">
        <v>2957</v>
      </c>
      <c r="Q21" s="642" t="s">
        <v>499</v>
      </c>
      <c r="R21" s="642">
        <v>2</v>
      </c>
      <c r="S21" s="642" t="s">
        <v>500</v>
      </c>
      <c r="T21" s="642" t="s">
        <v>524</v>
      </c>
      <c r="U21" s="661" t="s">
        <v>525</v>
      </c>
      <c r="V21" s="648" t="s">
        <v>526</v>
      </c>
      <c r="W21" s="642" t="s">
        <v>527</v>
      </c>
      <c r="X21" s="662" t="s">
        <v>906</v>
      </c>
      <c r="Y21" s="648" t="s">
        <v>907</v>
      </c>
      <c r="Z21" s="648" t="s">
        <v>2519</v>
      </c>
      <c r="AA21" s="642" t="s">
        <v>568</v>
      </c>
      <c r="AB21" s="642" t="s">
        <v>710</v>
      </c>
      <c r="AC21" s="649">
        <v>24126</v>
      </c>
      <c r="AD21" s="650">
        <f t="shared" si="1"/>
        <v>19</v>
      </c>
      <c r="AE21" s="650">
        <f t="shared" si="2"/>
        <v>1</v>
      </c>
      <c r="AF21" s="650">
        <f t="shared" si="3"/>
        <v>1966</v>
      </c>
      <c r="AG21" s="651">
        <f t="shared" si="0"/>
        <v>46041</v>
      </c>
      <c r="AH21" s="650">
        <f t="shared" ca="1" si="4"/>
        <v>0</v>
      </c>
      <c r="AI21" s="650">
        <f t="shared" ca="1" si="5"/>
        <v>1</v>
      </c>
      <c r="AJ21" s="650">
        <f t="shared" ca="1" si="6"/>
        <v>8</v>
      </c>
      <c r="AK21" s="650" t="str">
        <f t="shared" ca="1" si="7"/>
        <v>0year/1months/8Days</v>
      </c>
      <c r="AL21" s="663"/>
      <c r="AM21" s="664" t="s">
        <v>1590</v>
      </c>
      <c r="AN21" s="665">
        <v>181</v>
      </c>
      <c r="AO21" s="663"/>
      <c r="AP21" s="663"/>
      <c r="AQ21" s="663"/>
      <c r="AR21" s="663"/>
      <c r="AS21" s="663"/>
      <c r="AT21" s="663"/>
      <c r="AU21" s="663"/>
      <c r="AV21" s="663"/>
      <c r="AW21" s="663"/>
      <c r="AX21" s="663"/>
      <c r="AY21" s="642">
        <v>2025</v>
      </c>
      <c r="AZ21" s="645">
        <v>1</v>
      </c>
      <c r="BA21" s="642">
        <v>227</v>
      </c>
      <c r="BB21" s="642">
        <v>4</v>
      </c>
      <c r="BC21" s="652" t="s">
        <v>498</v>
      </c>
      <c r="BD21" s="642" t="s">
        <v>498</v>
      </c>
      <c r="BE21" s="642">
        <v>223</v>
      </c>
      <c r="BF21" s="653">
        <f t="shared" si="8"/>
        <v>98.23788546255507</v>
      </c>
      <c r="BG21" s="652" t="s">
        <v>498</v>
      </c>
      <c r="BH21" s="652" t="s">
        <v>498</v>
      </c>
      <c r="BI21" s="642">
        <v>227</v>
      </c>
      <c r="BJ21" s="652" t="s">
        <v>498</v>
      </c>
      <c r="BK21" s="652" t="s">
        <v>498</v>
      </c>
      <c r="BL21" s="654">
        <v>45987</v>
      </c>
      <c r="BM21" s="873" t="s">
        <v>1864</v>
      </c>
      <c r="BN21" s="874"/>
      <c r="BO21" s="874"/>
      <c r="BP21" s="875"/>
      <c r="BQ21" s="666"/>
      <c r="BR21" s="666"/>
      <c r="BS21" s="666"/>
      <c r="BT21" s="666"/>
      <c r="BU21" s="873" t="s">
        <v>2860</v>
      </c>
      <c r="BV21" s="874"/>
      <c r="BW21" s="874"/>
      <c r="BX21" s="875"/>
      <c r="BY21" s="873" t="s">
        <v>2889</v>
      </c>
      <c r="BZ21" s="874"/>
      <c r="CA21" s="874"/>
      <c r="CB21" s="875"/>
      <c r="CC21" s="655"/>
    </row>
    <row r="22" spans="1:81" s="8" customFormat="1" ht="40.35" customHeight="1" x14ac:dyDescent="0.3">
      <c r="A22" s="558">
        <v>16</v>
      </c>
      <c r="B22" s="183" t="s">
        <v>915</v>
      </c>
      <c r="C22" s="11" t="s">
        <v>65</v>
      </c>
      <c r="D22" s="3" t="s">
        <v>914</v>
      </c>
      <c r="E22" s="3" t="s">
        <v>12</v>
      </c>
      <c r="F22" s="3">
        <v>13</v>
      </c>
      <c r="G22" s="198" t="s">
        <v>66</v>
      </c>
      <c r="H22" s="9" t="s">
        <v>67</v>
      </c>
      <c r="I22" s="9" t="s">
        <v>68</v>
      </c>
      <c r="J22" s="9" t="s">
        <v>29</v>
      </c>
      <c r="K22" s="9" t="s">
        <v>26</v>
      </c>
      <c r="L22" s="215" t="s">
        <v>69</v>
      </c>
      <c r="M22" s="50" t="s">
        <v>916</v>
      </c>
      <c r="N22" s="69" t="s">
        <v>498</v>
      </c>
      <c r="O22" s="51" t="s">
        <v>2668</v>
      </c>
      <c r="P22" s="243" t="s">
        <v>2669</v>
      </c>
      <c r="Q22" s="50" t="s">
        <v>499</v>
      </c>
      <c r="R22" s="50">
        <v>2</v>
      </c>
      <c r="S22" s="50" t="s">
        <v>500</v>
      </c>
      <c r="T22" s="50" t="s">
        <v>524</v>
      </c>
      <c r="U22" s="97" t="s">
        <v>917</v>
      </c>
      <c r="V22" s="50" t="s">
        <v>503</v>
      </c>
      <c r="W22" s="50" t="s">
        <v>542</v>
      </c>
      <c r="X22" s="70" t="s">
        <v>1545</v>
      </c>
      <c r="Y22" s="78" t="s">
        <v>1544</v>
      </c>
      <c r="Z22" s="50" t="s">
        <v>2670</v>
      </c>
      <c r="AA22" s="50" t="s">
        <v>538</v>
      </c>
      <c r="AB22" s="50" t="s">
        <v>506</v>
      </c>
      <c r="AC22" s="55">
        <v>24345</v>
      </c>
      <c r="AD22" s="48">
        <f t="shared" si="1"/>
        <v>26</v>
      </c>
      <c r="AE22" s="48">
        <f t="shared" si="2"/>
        <v>8</v>
      </c>
      <c r="AF22" s="48">
        <f t="shared" si="3"/>
        <v>1966</v>
      </c>
      <c r="AG22" s="49">
        <f t="shared" si="0"/>
        <v>46260</v>
      </c>
      <c r="AH22" s="48">
        <f t="shared" ca="1" si="4"/>
        <v>0</v>
      </c>
      <c r="AI22" s="48">
        <f t="shared" ca="1" si="5"/>
        <v>8</v>
      </c>
      <c r="AJ22" s="48">
        <f t="shared" ca="1" si="6"/>
        <v>15</v>
      </c>
      <c r="AK22" s="48" t="str">
        <f t="shared" ca="1" si="7"/>
        <v>0year/8months/15Days</v>
      </c>
      <c r="AL22" s="116"/>
      <c r="AM22" s="50" t="s">
        <v>1591</v>
      </c>
      <c r="AN22" s="229">
        <v>2101</v>
      </c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>
        <v>2025</v>
      </c>
      <c r="AZ22" s="107">
        <v>1</v>
      </c>
      <c r="BA22" s="78">
        <v>93</v>
      </c>
      <c r="BB22" s="78">
        <v>10</v>
      </c>
      <c r="BC22" s="78" t="s">
        <v>498</v>
      </c>
      <c r="BD22" s="78" t="s">
        <v>498</v>
      </c>
      <c r="BE22" s="78">
        <v>83</v>
      </c>
      <c r="BF22" s="74">
        <f t="shared" si="8"/>
        <v>89.247311827956992</v>
      </c>
      <c r="BG22" s="78" t="s">
        <v>498</v>
      </c>
      <c r="BH22" s="78" t="s">
        <v>498</v>
      </c>
      <c r="BI22" s="78">
        <v>93</v>
      </c>
      <c r="BJ22" s="78" t="s">
        <v>498</v>
      </c>
      <c r="BK22" s="78" t="s">
        <v>498</v>
      </c>
      <c r="BL22" s="76">
        <v>45953</v>
      </c>
      <c r="BM22" s="379"/>
      <c r="BN22" s="379"/>
      <c r="BO22" s="379"/>
      <c r="BP22" s="379"/>
      <c r="BQ22" s="305"/>
      <c r="BR22" s="305"/>
      <c r="BS22" s="305"/>
      <c r="BT22" s="305"/>
      <c r="BU22" s="867" t="s">
        <v>2860</v>
      </c>
      <c r="BV22" s="868"/>
      <c r="BW22" s="868"/>
      <c r="BX22" s="869"/>
      <c r="BY22" s="870" t="s">
        <v>2878</v>
      </c>
      <c r="BZ22" s="871"/>
      <c r="CA22" s="871"/>
      <c r="CB22" s="872"/>
      <c r="CC22" s="27"/>
    </row>
    <row r="23" spans="1:81" s="656" customFormat="1" ht="40.35" customHeight="1" x14ac:dyDescent="0.3">
      <c r="A23" s="636">
        <v>17</v>
      </c>
      <c r="B23" s="657" t="s">
        <v>913</v>
      </c>
      <c r="C23" s="658" t="s">
        <v>71</v>
      </c>
      <c r="D23" s="659" t="s">
        <v>914</v>
      </c>
      <c r="E23" s="451" t="s">
        <v>12</v>
      </c>
      <c r="F23" s="444">
        <v>14</v>
      </c>
      <c r="G23" s="640" t="s">
        <v>66</v>
      </c>
      <c r="H23" s="636" t="s">
        <v>67</v>
      </c>
      <c r="I23" s="636" t="s">
        <v>68</v>
      </c>
      <c r="J23" s="636" t="s">
        <v>29</v>
      </c>
      <c r="K23" s="636" t="s">
        <v>26</v>
      </c>
      <c r="L23" s="641" t="s">
        <v>69</v>
      </c>
      <c r="M23" s="642" t="s">
        <v>909</v>
      </c>
      <c r="N23" s="643" t="s">
        <v>498</v>
      </c>
      <c r="O23" s="643" t="s">
        <v>498</v>
      </c>
      <c r="P23" s="644"/>
      <c r="Q23" s="642" t="s">
        <v>499</v>
      </c>
      <c r="R23" s="642">
        <v>3</v>
      </c>
      <c r="S23" s="642" t="s">
        <v>500</v>
      </c>
      <c r="T23" s="642" t="s">
        <v>524</v>
      </c>
      <c r="U23" s="661" t="s">
        <v>910</v>
      </c>
      <c r="V23" s="642" t="s">
        <v>503</v>
      </c>
      <c r="W23" s="642" t="s">
        <v>542</v>
      </c>
      <c r="X23" s="647" t="s">
        <v>911</v>
      </c>
      <c r="Y23" s="642" t="s">
        <v>912</v>
      </c>
      <c r="Z23" s="648" t="s">
        <v>2500</v>
      </c>
      <c r="AA23" s="642" t="s">
        <v>538</v>
      </c>
      <c r="AB23" s="642" t="s">
        <v>710</v>
      </c>
      <c r="AC23" s="649">
        <v>25725</v>
      </c>
      <c r="AD23" s="650">
        <f t="shared" si="1"/>
        <v>6</v>
      </c>
      <c r="AE23" s="650">
        <f t="shared" si="2"/>
        <v>6</v>
      </c>
      <c r="AF23" s="650">
        <f t="shared" si="3"/>
        <v>1970</v>
      </c>
      <c r="AG23" s="651">
        <f t="shared" si="0"/>
        <v>47640</v>
      </c>
      <c r="AH23" s="650">
        <f t="shared" ca="1" si="4"/>
        <v>4</v>
      </c>
      <c r="AI23" s="650">
        <f t="shared" ca="1" si="5"/>
        <v>5</v>
      </c>
      <c r="AJ23" s="650">
        <f t="shared" ca="1" si="6"/>
        <v>26</v>
      </c>
      <c r="AK23" s="650" t="str">
        <f t="shared" ca="1" si="7"/>
        <v>4year/5months/26Days</v>
      </c>
      <c r="AL23" s="663"/>
      <c r="AM23" s="664" t="s">
        <v>1592</v>
      </c>
      <c r="AN23" s="665">
        <v>2100</v>
      </c>
      <c r="AO23" s="663"/>
      <c r="AP23" s="663"/>
      <c r="AQ23" s="663"/>
      <c r="AR23" s="663"/>
      <c r="AS23" s="663"/>
      <c r="AT23" s="663"/>
      <c r="AU23" s="663"/>
      <c r="AV23" s="663"/>
      <c r="AW23" s="663"/>
      <c r="AX23" s="663"/>
      <c r="AY23" s="652">
        <v>2020</v>
      </c>
      <c r="AZ23" s="667">
        <v>1</v>
      </c>
      <c r="BA23" s="652">
        <v>156</v>
      </c>
      <c r="BB23" s="652">
        <v>35</v>
      </c>
      <c r="BC23" s="652" t="s">
        <v>498</v>
      </c>
      <c r="BD23" s="652" t="s">
        <v>498</v>
      </c>
      <c r="BE23" s="652">
        <v>121</v>
      </c>
      <c r="BF23" s="653">
        <f t="shared" si="8"/>
        <v>77.564102564102569</v>
      </c>
      <c r="BG23" s="652" t="s">
        <v>498</v>
      </c>
      <c r="BH23" s="652" t="s">
        <v>498</v>
      </c>
      <c r="BI23" s="652">
        <v>156</v>
      </c>
      <c r="BJ23" s="668"/>
      <c r="BK23" s="668"/>
      <c r="BL23" s="654">
        <v>44650</v>
      </c>
      <c r="BM23" s="669"/>
      <c r="BN23" s="669"/>
      <c r="BO23" s="669"/>
      <c r="BP23" s="669"/>
      <c r="BQ23" s="666"/>
      <c r="BR23" s="666"/>
      <c r="BS23" s="666"/>
      <c r="BT23" s="666"/>
      <c r="BU23" s="873" t="s">
        <v>2860</v>
      </c>
      <c r="BV23" s="874"/>
      <c r="BW23" s="874"/>
      <c r="BX23" s="875"/>
      <c r="BY23" s="873"/>
      <c r="BZ23" s="874"/>
      <c r="CA23" s="874"/>
      <c r="CB23" s="875"/>
      <c r="CC23" s="655"/>
    </row>
    <row r="24" spans="1:81" s="8" customFormat="1" ht="40.35" customHeight="1" x14ac:dyDescent="0.25">
      <c r="A24" s="561" t="s">
        <v>2838</v>
      </c>
      <c r="B24" s="118" t="s">
        <v>1394</v>
      </c>
      <c r="C24" s="13" t="s">
        <v>73</v>
      </c>
      <c r="D24" s="3" t="s">
        <v>924</v>
      </c>
      <c r="E24" s="3" t="s">
        <v>12</v>
      </c>
      <c r="F24" s="3">
        <v>15</v>
      </c>
      <c r="G24" s="198" t="s">
        <v>26</v>
      </c>
      <c r="H24" s="9" t="s">
        <v>31</v>
      </c>
      <c r="I24" s="9" t="s">
        <v>74</v>
      </c>
      <c r="J24" s="9" t="s">
        <v>29</v>
      </c>
      <c r="K24" s="9" t="s">
        <v>38</v>
      </c>
      <c r="L24" s="215" t="s">
        <v>39</v>
      </c>
      <c r="M24" s="103" t="s">
        <v>919</v>
      </c>
      <c r="N24" s="69" t="s">
        <v>498</v>
      </c>
      <c r="O24" s="51" t="s">
        <v>2710</v>
      </c>
      <c r="P24" s="247" t="s">
        <v>920</v>
      </c>
      <c r="Q24" s="50" t="s">
        <v>499</v>
      </c>
      <c r="R24" s="103">
        <v>3</v>
      </c>
      <c r="S24" s="50" t="s">
        <v>500</v>
      </c>
      <c r="T24" s="50" t="s">
        <v>524</v>
      </c>
      <c r="U24" s="120" t="s">
        <v>535</v>
      </c>
      <c r="V24" s="50" t="s">
        <v>503</v>
      </c>
      <c r="W24" s="365" t="s">
        <v>504</v>
      </c>
      <c r="X24" s="121" t="s">
        <v>922</v>
      </c>
      <c r="Y24" s="103" t="s">
        <v>923</v>
      </c>
      <c r="Z24" s="50" t="s">
        <v>2711</v>
      </c>
      <c r="AA24" s="50" t="s">
        <v>562</v>
      </c>
      <c r="AB24" s="50" t="s">
        <v>506</v>
      </c>
      <c r="AC24" s="55">
        <v>27222</v>
      </c>
      <c r="AD24" s="48">
        <f t="shared" si="1"/>
        <v>12</v>
      </c>
      <c r="AE24" s="48">
        <f t="shared" si="2"/>
        <v>7</v>
      </c>
      <c r="AF24" s="48">
        <f t="shared" si="3"/>
        <v>1974</v>
      </c>
      <c r="AG24" s="49">
        <f t="shared" si="0"/>
        <v>49137</v>
      </c>
      <c r="AH24" s="48">
        <f t="shared" ca="1" si="4"/>
        <v>8</v>
      </c>
      <c r="AI24" s="48">
        <f t="shared" ca="1" si="5"/>
        <v>7</v>
      </c>
      <c r="AJ24" s="48">
        <f t="shared" ca="1" si="6"/>
        <v>1</v>
      </c>
      <c r="AK24" s="48" t="str">
        <f t="shared" ca="1" si="7"/>
        <v>8year/7months/1Days</v>
      </c>
      <c r="AL24" s="96"/>
      <c r="AM24" s="104" t="s">
        <v>1593</v>
      </c>
      <c r="AN24" s="278" t="s">
        <v>1594</v>
      </c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>
        <v>2024</v>
      </c>
      <c r="AZ24" s="120">
        <v>2</v>
      </c>
      <c r="BA24" s="104">
        <v>391</v>
      </c>
      <c r="BB24" s="104">
        <v>262</v>
      </c>
      <c r="BC24" s="78" t="s">
        <v>498</v>
      </c>
      <c r="BD24" s="104" t="s">
        <v>498</v>
      </c>
      <c r="BE24" s="104">
        <v>129</v>
      </c>
      <c r="BF24" s="74">
        <f t="shared" si="8"/>
        <v>32.992327365728904</v>
      </c>
      <c r="BG24" s="78" t="s">
        <v>498</v>
      </c>
      <c r="BH24" s="78" t="s">
        <v>498</v>
      </c>
      <c r="BI24" s="104">
        <v>391</v>
      </c>
      <c r="BJ24" s="104" t="s">
        <v>498</v>
      </c>
      <c r="BK24" s="104" t="s">
        <v>498</v>
      </c>
      <c r="BL24" s="76">
        <v>45560</v>
      </c>
      <c r="BM24" s="867" t="s">
        <v>1864</v>
      </c>
      <c r="BN24" s="868"/>
      <c r="BO24" s="868"/>
      <c r="BP24" s="869"/>
      <c r="BQ24" s="379"/>
      <c r="BR24" s="379"/>
      <c r="BS24" s="379"/>
      <c r="BT24" s="379"/>
      <c r="BU24" s="867" t="s">
        <v>2605</v>
      </c>
      <c r="BV24" s="868"/>
      <c r="BW24" s="868"/>
      <c r="BX24" s="869"/>
      <c r="BY24" s="867" t="s">
        <v>2712</v>
      </c>
      <c r="BZ24" s="868"/>
      <c r="CA24" s="868"/>
      <c r="CB24" s="869"/>
      <c r="CC24" s="27"/>
    </row>
    <row r="25" spans="1:81" s="8" customFormat="1" ht="40.35" customHeight="1" x14ac:dyDescent="0.25">
      <c r="A25" s="58" t="s">
        <v>2850</v>
      </c>
      <c r="B25" s="183" t="s">
        <v>531</v>
      </c>
      <c r="C25" s="11" t="s">
        <v>547</v>
      </c>
      <c r="D25" s="7" t="s">
        <v>530</v>
      </c>
      <c r="E25" s="3" t="s">
        <v>12</v>
      </c>
      <c r="F25" s="381">
        <v>16</v>
      </c>
      <c r="G25" s="198" t="s">
        <v>13</v>
      </c>
      <c r="H25" s="9" t="s">
        <v>14</v>
      </c>
      <c r="I25" s="9" t="s">
        <v>15</v>
      </c>
      <c r="J25" s="9" t="s">
        <v>14</v>
      </c>
      <c r="K25" s="9" t="s">
        <v>14</v>
      </c>
      <c r="L25" s="215" t="s">
        <v>16</v>
      </c>
      <c r="M25" s="365" t="s">
        <v>522</v>
      </c>
      <c r="N25" s="69" t="s">
        <v>498</v>
      </c>
      <c r="O25" s="69" t="s">
        <v>498</v>
      </c>
      <c r="P25" s="247" t="s">
        <v>523</v>
      </c>
      <c r="Q25" s="50" t="s">
        <v>499</v>
      </c>
      <c r="R25" s="365">
        <v>2</v>
      </c>
      <c r="S25" s="50" t="s">
        <v>500</v>
      </c>
      <c r="T25" s="50" t="s">
        <v>524</v>
      </c>
      <c r="U25" s="45" t="s">
        <v>525</v>
      </c>
      <c r="V25" s="50" t="s">
        <v>503</v>
      </c>
      <c r="W25" s="365" t="s">
        <v>527</v>
      </c>
      <c r="X25" s="46" t="s">
        <v>528</v>
      </c>
      <c r="Y25" s="365" t="s">
        <v>529</v>
      </c>
      <c r="Z25" s="50" t="s">
        <v>633</v>
      </c>
      <c r="AA25" s="50" t="s">
        <v>538</v>
      </c>
      <c r="AB25" s="50" t="s">
        <v>506</v>
      </c>
      <c r="AC25" s="55">
        <v>26679</v>
      </c>
      <c r="AD25" s="48">
        <f t="shared" si="1"/>
        <v>15</v>
      </c>
      <c r="AE25" s="48">
        <f t="shared" si="2"/>
        <v>1</v>
      </c>
      <c r="AF25" s="48">
        <f t="shared" si="3"/>
        <v>1973</v>
      </c>
      <c r="AG25" s="49">
        <f t="shared" si="0"/>
        <v>48594</v>
      </c>
      <c r="AH25" s="48">
        <f t="shared" ca="1" si="4"/>
        <v>7</v>
      </c>
      <c r="AI25" s="48">
        <f t="shared" ca="1" si="5"/>
        <v>1</v>
      </c>
      <c r="AJ25" s="48">
        <f t="shared" ca="1" si="6"/>
        <v>4</v>
      </c>
      <c r="AK25" s="48" t="str">
        <f t="shared" ca="1" si="7"/>
        <v>7year/1months/4Days</v>
      </c>
      <c r="AL25" s="50"/>
      <c r="AM25" s="60" t="s">
        <v>1595</v>
      </c>
      <c r="AN25" s="275" t="s">
        <v>1596</v>
      </c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>
        <v>2023</v>
      </c>
      <c r="AZ25" s="341">
        <v>1</v>
      </c>
      <c r="BA25" s="78">
        <v>223</v>
      </c>
      <c r="BB25" s="78">
        <v>151</v>
      </c>
      <c r="BC25" s="78" t="s">
        <v>498</v>
      </c>
      <c r="BD25" s="78">
        <v>33</v>
      </c>
      <c r="BE25" s="78">
        <v>39</v>
      </c>
      <c r="BF25" s="74">
        <f t="shared" si="8"/>
        <v>17.488789237668161</v>
      </c>
      <c r="BG25" s="78" t="s">
        <v>498</v>
      </c>
      <c r="BH25" s="78" t="s">
        <v>498</v>
      </c>
      <c r="BI25" s="78">
        <v>223</v>
      </c>
      <c r="BJ25" s="85" t="s">
        <v>498</v>
      </c>
      <c r="BK25" s="85" t="s">
        <v>498</v>
      </c>
      <c r="BL25" s="151">
        <v>45275</v>
      </c>
      <c r="BM25" s="867" t="s">
        <v>1854</v>
      </c>
      <c r="BN25" s="868"/>
      <c r="BO25" s="868"/>
      <c r="BP25" s="869"/>
      <c r="BQ25" s="377" t="s">
        <v>1867</v>
      </c>
      <c r="BR25" s="308" t="s">
        <v>1899</v>
      </c>
      <c r="BS25" s="377" t="s">
        <v>1867</v>
      </c>
      <c r="BT25" s="308" t="s">
        <v>1867</v>
      </c>
      <c r="BU25" s="867" t="s">
        <v>2605</v>
      </c>
      <c r="BV25" s="868"/>
      <c r="BW25" s="868"/>
      <c r="BX25" s="869"/>
      <c r="BY25" s="308"/>
      <c r="BZ25" s="308"/>
      <c r="CA25" s="308"/>
      <c r="CB25" s="308"/>
      <c r="CC25" s="27"/>
    </row>
    <row r="26" spans="1:81" s="678" customFormat="1" ht="59.25" customHeight="1" x14ac:dyDescent="0.3">
      <c r="A26" s="639" t="s">
        <v>2854</v>
      </c>
      <c r="B26" s="670" t="s">
        <v>1395</v>
      </c>
      <c r="C26" s="670" t="s">
        <v>76</v>
      </c>
      <c r="D26" s="451" t="s">
        <v>927</v>
      </c>
      <c r="E26" s="451" t="s">
        <v>12</v>
      </c>
      <c r="F26" s="451">
        <v>17</v>
      </c>
      <c r="G26" s="640" t="s">
        <v>26</v>
      </c>
      <c r="H26" s="636" t="s">
        <v>27</v>
      </c>
      <c r="I26" s="636" t="s">
        <v>77</v>
      </c>
      <c r="J26" s="636" t="s">
        <v>29</v>
      </c>
      <c r="K26" s="636" t="s">
        <v>30</v>
      </c>
      <c r="L26" s="641" t="s">
        <v>30</v>
      </c>
      <c r="M26" s="671" t="s">
        <v>925</v>
      </c>
      <c r="N26" s="671" t="s">
        <v>925</v>
      </c>
      <c r="O26" s="672" t="s">
        <v>2802</v>
      </c>
      <c r="P26" s="673" t="s">
        <v>926</v>
      </c>
      <c r="Q26" s="642" t="s">
        <v>499</v>
      </c>
      <c r="R26" s="671" t="s">
        <v>560</v>
      </c>
      <c r="S26" s="642" t="s">
        <v>500</v>
      </c>
      <c r="T26" s="642" t="s">
        <v>524</v>
      </c>
      <c r="U26" s="674" t="s">
        <v>561</v>
      </c>
      <c r="V26" s="642" t="s">
        <v>503</v>
      </c>
      <c r="W26" s="671" t="s">
        <v>567</v>
      </c>
      <c r="X26" s="675" t="s">
        <v>2851</v>
      </c>
      <c r="Y26" s="676" t="s">
        <v>2852</v>
      </c>
      <c r="Z26" s="648" t="s">
        <v>2853</v>
      </c>
      <c r="AA26" s="642" t="s">
        <v>538</v>
      </c>
      <c r="AB26" s="642" t="s">
        <v>710</v>
      </c>
      <c r="AC26" s="677">
        <v>25315</v>
      </c>
      <c r="AD26" s="650">
        <f t="shared" ref="AD26" si="20">DAY(AC26)</f>
        <v>22</v>
      </c>
      <c r="AE26" s="650">
        <f t="shared" ref="AE26" si="21">MONTH(AC26)</f>
        <v>4</v>
      </c>
      <c r="AF26" s="650">
        <f t="shared" ref="AF26" si="22">YEAR(AC26)</f>
        <v>1969</v>
      </c>
      <c r="AG26" s="651">
        <f t="shared" ref="AG26" si="23">EDATE(AC26,12*60)</f>
        <v>47230</v>
      </c>
      <c r="AH26" s="650">
        <f t="shared" ref="AH26" ca="1" si="24">DATEDIF($A$4,AG26, "Y" )</f>
        <v>3</v>
      </c>
      <c r="AI26" s="650">
        <f t="shared" ref="AI26" ca="1" si="25">DATEDIF($A$4,AG26, "YM" )</f>
        <v>4</v>
      </c>
      <c r="AJ26" s="650">
        <f t="shared" ref="AJ26" ca="1" si="26">DATEDIF($A$4,AG26, "MD" )</f>
        <v>11</v>
      </c>
      <c r="AK26" s="650" t="str">
        <f t="shared" ref="AK26" ca="1" si="27">CONCATENATE(AH26,"year","/",AI26,"months","/",AJ26,"Days")</f>
        <v>3year/4months/11Days</v>
      </c>
      <c r="AL26" s="642"/>
      <c r="AM26" s="648" t="s">
        <v>1597</v>
      </c>
      <c r="AN26" s="639" t="s">
        <v>1598</v>
      </c>
      <c r="AO26" s="642"/>
      <c r="AP26" s="642"/>
      <c r="AQ26" s="642"/>
      <c r="AR26" s="642"/>
      <c r="AS26" s="642"/>
      <c r="AT26" s="642"/>
      <c r="AU26" s="642"/>
      <c r="AV26" s="642"/>
      <c r="AW26" s="642"/>
      <c r="AX26" s="642"/>
      <c r="AY26" s="642">
        <v>2024</v>
      </c>
      <c r="AZ26" s="667" t="s">
        <v>764</v>
      </c>
      <c r="BA26" s="652">
        <v>763</v>
      </c>
      <c r="BB26" s="652">
        <v>247</v>
      </c>
      <c r="BC26" s="652" t="s">
        <v>498</v>
      </c>
      <c r="BD26" s="652" t="s">
        <v>498</v>
      </c>
      <c r="BE26" s="652">
        <v>517</v>
      </c>
      <c r="BF26" s="653">
        <f t="shared" si="8"/>
        <v>67.758846657929226</v>
      </c>
      <c r="BG26" s="652" t="s">
        <v>498</v>
      </c>
      <c r="BH26" s="652" t="s">
        <v>498</v>
      </c>
      <c r="BI26" s="652">
        <v>763</v>
      </c>
      <c r="BJ26" s="652" t="s">
        <v>498</v>
      </c>
      <c r="BK26" s="652" t="s">
        <v>498</v>
      </c>
      <c r="BL26" s="654">
        <v>46000</v>
      </c>
      <c r="BM26" s="669"/>
      <c r="BN26" s="669"/>
      <c r="BO26" s="669"/>
      <c r="BP26" s="669"/>
      <c r="BQ26" s="669"/>
      <c r="BR26" s="669"/>
      <c r="BS26" s="669"/>
      <c r="BT26" s="669"/>
      <c r="BU26" s="873" t="s">
        <v>2860</v>
      </c>
      <c r="BV26" s="874"/>
      <c r="BW26" s="874"/>
      <c r="BX26" s="875"/>
      <c r="BY26" s="873"/>
      <c r="BZ26" s="874"/>
      <c r="CA26" s="874"/>
      <c r="CB26" s="875"/>
      <c r="CC26" s="655"/>
    </row>
    <row r="27" spans="1:81" s="656" customFormat="1" ht="45.75" customHeight="1" x14ac:dyDescent="0.25">
      <c r="A27" s="679" t="s">
        <v>2475</v>
      </c>
      <c r="B27" s="657" t="s">
        <v>2604</v>
      </c>
      <c r="C27" s="658" t="s">
        <v>79</v>
      </c>
      <c r="D27" s="451" t="s">
        <v>1396</v>
      </c>
      <c r="E27" s="451" t="s">
        <v>12</v>
      </c>
      <c r="F27" s="444">
        <v>18</v>
      </c>
      <c r="G27" s="640" t="s">
        <v>66</v>
      </c>
      <c r="H27" s="636" t="s">
        <v>80</v>
      </c>
      <c r="I27" s="636" t="s">
        <v>81</v>
      </c>
      <c r="J27" s="636" t="s">
        <v>29</v>
      </c>
      <c r="K27" s="636" t="s">
        <v>30</v>
      </c>
      <c r="L27" s="641" t="s">
        <v>69</v>
      </c>
      <c r="M27" s="676" t="s">
        <v>1829</v>
      </c>
      <c r="N27" s="643" t="s">
        <v>498</v>
      </c>
      <c r="O27" s="680" t="s">
        <v>1830</v>
      </c>
      <c r="P27" s="678"/>
      <c r="Q27" s="676" t="s">
        <v>499</v>
      </c>
      <c r="R27" s="676" t="s">
        <v>560</v>
      </c>
      <c r="S27" s="676" t="s">
        <v>500</v>
      </c>
      <c r="T27" s="676" t="s">
        <v>524</v>
      </c>
      <c r="U27" s="674" t="s">
        <v>561</v>
      </c>
      <c r="V27" s="676" t="s">
        <v>503</v>
      </c>
      <c r="W27" s="676" t="s">
        <v>527</v>
      </c>
      <c r="X27" s="647" t="s">
        <v>1881</v>
      </c>
      <c r="Y27" s="642" t="s">
        <v>1882</v>
      </c>
      <c r="Z27" s="648" t="s">
        <v>1883</v>
      </c>
      <c r="AA27" s="676" t="s">
        <v>538</v>
      </c>
      <c r="AB27" s="676" t="s">
        <v>563</v>
      </c>
      <c r="AC27" s="649">
        <v>25306</v>
      </c>
      <c r="AD27" s="650">
        <f>DAY(AC27)</f>
        <v>13</v>
      </c>
      <c r="AE27" s="650">
        <f>MONTH(AC27)</f>
        <v>4</v>
      </c>
      <c r="AF27" s="650">
        <f>YEAR(AC27)</f>
        <v>1969</v>
      </c>
      <c r="AG27" s="651">
        <f>EDATE(AC27,12*60)</f>
        <v>47221</v>
      </c>
      <c r="AH27" s="650">
        <f ca="1">DATEDIF($A$4,AG27, "Y" )</f>
        <v>3</v>
      </c>
      <c r="AI27" s="650">
        <f ca="1">DATEDIF($A$4,AG27, "YM" )</f>
        <v>4</v>
      </c>
      <c r="AJ27" s="650">
        <f ca="1">DATEDIF($A$4,AG27, "MD" )</f>
        <v>2</v>
      </c>
      <c r="AK27" s="650" t="str">
        <f ca="1">CONCATENATE(AH27,"year","/",AI27,"months","/",AJ27,"Days")</f>
        <v>3year/4months/2Days</v>
      </c>
      <c r="AL27" s="655"/>
      <c r="AM27" s="639" t="s">
        <v>1599</v>
      </c>
      <c r="AN27" s="639" t="s">
        <v>1600</v>
      </c>
      <c r="AO27" s="678"/>
      <c r="AP27" s="678"/>
      <c r="AQ27" s="678"/>
      <c r="AR27" s="678"/>
      <c r="AS27" s="678"/>
      <c r="AT27" s="678"/>
      <c r="AU27" s="678"/>
      <c r="AV27" s="678"/>
      <c r="AW27" s="678"/>
      <c r="AX27" s="678"/>
      <c r="AY27" s="678"/>
      <c r="AZ27" s="681"/>
      <c r="BA27" s="678"/>
      <c r="BB27" s="678"/>
      <c r="BC27" s="652" t="s">
        <v>498</v>
      </c>
      <c r="BD27" s="678"/>
      <c r="BE27" s="678"/>
      <c r="BF27" s="682"/>
      <c r="BG27" s="652" t="s">
        <v>498</v>
      </c>
      <c r="BH27" s="652" t="s">
        <v>498</v>
      </c>
      <c r="BI27" s="678"/>
      <c r="BJ27" s="678"/>
      <c r="BK27" s="678"/>
      <c r="BL27" s="683"/>
      <c r="BM27" s="684"/>
      <c r="BN27" s="685"/>
      <c r="BO27" s="684"/>
      <c r="BP27" s="684"/>
      <c r="BQ27" s="684"/>
      <c r="BR27" s="684"/>
      <c r="BS27" s="684"/>
      <c r="BT27" s="684"/>
      <c r="BU27" s="885" t="s">
        <v>2860</v>
      </c>
      <c r="BV27" s="886"/>
      <c r="BW27" s="886"/>
      <c r="BX27" s="887"/>
      <c r="BY27" s="684"/>
      <c r="BZ27" s="684"/>
      <c r="CA27" s="684"/>
      <c r="CB27" s="684"/>
      <c r="CC27" s="655"/>
    </row>
    <row r="28" spans="1:81" s="656" customFormat="1" ht="44.25" customHeight="1" x14ac:dyDescent="0.25">
      <c r="A28" s="679" t="s">
        <v>2476</v>
      </c>
      <c r="B28" s="637" t="s">
        <v>1397</v>
      </c>
      <c r="C28" s="638" t="s">
        <v>83</v>
      </c>
      <c r="D28" s="659" t="s">
        <v>656</v>
      </c>
      <c r="E28" s="451" t="s">
        <v>12</v>
      </c>
      <c r="F28" s="451">
        <v>19</v>
      </c>
      <c r="G28" s="640" t="s">
        <v>21</v>
      </c>
      <c r="H28" s="636" t="s">
        <v>84</v>
      </c>
      <c r="I28" s="636" t="s">
        <v>85</v>
      </c>
      <c r="J28" s="636" t="s">
        <v>21</v>
      </c>
      <c r="K28" s="636" t="s">
        <v>21</v>
      </c>
      <c r="L28" s="641" t="s">
        <v>85</v>
      </c>
      <c r="M28" s="671" t="s">
        <v>651</v>
      </c>
      <c r="N28" s="643" t="s">
        <v>498</v>
      </c>
      <c r="O28" s="672" t="s">
        <v>1963</v>
      </c>
      <c r="P28" s="673" t="s">
        <v>1487</v>
      </c>
      <c r="Q28" s="642" t="s">
        <v>499</v>
      </c>
      <c r="R28" s="671" t="s">
        <v>560</v>
      </c>
      <c r="S28" s="642" t="s">
        <v>500</v>
      </c>
      <c r="T28" s="642" t="s">
        <v>501</v>
      </c>
      <c r="U28" s="686" t="s">
        <v>653</v>
      </c>
      <c r="V28" s="642" t="s">
        <v>503</v>
      </c>
      <c r="W28" s="671" t="s">
        <v>654</v>
      </c>
      <c r="X28" s="675" t="s">
        <v>1964</v>
      </c>
      <c r="Y28" s="676" t="s">
        <v>2651</v>
      </c>
      <c r="Z28" s="648" t="s">
        <v>1965</v>
      </c>
      <c r="AA28" s="676" t="s">
        <v>538</v>
      </c>
      <c r="AB28" s="642" t="s">
        <v>1961</v>
      </c>
      <c r="AC28" s="649">
        <v>26297</v>
      </c>
      <c r="AD28" s="650">
        <f t="shared" si="1"/>
        <v>30</v>
      </c>
      <c r="AE28" s="650">
        <f t="shared" si="2"/>
        <v>12</v>
      </c>
      <c r="AF28" s="650">
        <f t="shared" si="3"/>
        <v>1971</v>
      </c>
      <c r="AG28" s="651">
        <f t="shared" si="0"/>
        <v>48212</v>
      </c>
      <c r="AH28" s="650">
        <f t="shared" ca="1" si="4"/>
        <v>6</v>
      </c>
      <c r="AI28" s="650">
        <f t="shared" ca="1" si="5"/>
        <v>0</v>
      </c>
      <c r="AJ28" s="650">
        <f t="shared" ca="1" si="6"/>
        <v>19</v>
      </c>
      <c r="AK28" s="650" t="str">
        <f t="shared" ca="1" si="7"/>
        <v>6year/0months/19Days</v>
      </c>
      <c r="AL28" s="671"/>
      <c r="AM28" s="671" t="s">
        <v>1601</v>
      </c>
      <c r="AN28" s="687">
        <v>2366</v>
      </c>
      <c r="AO28" s="671"/>
      <c r="AP28" s="671"/>
      <c r="AQ28" s="671"/>
      <c r="AR28" s="671"/>
      <c r="AS28" s="671"/>
      <c r="AT28" s="671"/>
      <c r="AU28" s="671"/>
      <c r="AV28" s="671"/>
      <c r="AW28" s="671"/>
      <c r="AX28" s="671"/>
      <c r="AY28" s="671">
        <v>2024</v>
      </c>
      <c r="AZ28" s="674" t="s">
        <v>1928</v>
      </c>
      <c r="BA28" s="671">
        <v>731</v>
      </c>
      <c r="BB28" s="671">
        <v>82</v>
      </c>
      <c r="BC28" s="652">
        <v>1</v>
      </c>
      <c r="BD28" s="671">
        <v>31</v>
      </c>
      <c r="BE28" s="671">
        <v>617</v>
      </c>
      <c r="BF28" s="653">
        <f t="shared" si="8"/>
        <v>84.404924760601915</v>
      </c>
      <c r="BG28" s="652" t="s">
        <v>498</v>
      </c>
      <c r="BH28" s="652" t="s">
        <v>498</v>
      </c>
      <c r="BI28" s="671">
        <v>713</v>
      </c>
      <c r="BJ28" s="688" t="s">
        <v>498</v>
      </c>
      <c r="BK28" s="671">
        <v>18</v>
      </c>
      <c r="BL28" s="654">
        <v>45553</v>
      </c>
      <c r="BM28" s="873">
        <v>37135</v>
      </c>
      <c r="BN28" s="874"/>
      <c r="BO28" s="874"/>
      <c r="BP28" s="875"/>
      <c r="BQ28" s="873">
        <v>45546</v>
      </c>
      <c r="BR28" s="874"/>
      <c r="BS28" s="874"/>
      <c r="BT28" s="875"/>
      <c r="BU28" s="873" t="s">
        <v>2605</v>
      </c>
      <c r="BV28" s="874"/>
      <c r="BW28" s="874"/>
      <c r="BX28" s="875"/>
      <c r="BY28" s="873" t="s">
        <v>2631</v>
      </c>
      <c r="BZ28" s="874"/>
      <c r="CA28" s="874"/>
      <c r="CB28" s="875"/>
      <c r="CC28" s="655"/>
    </row>
    <row r="29" spans="1:81" s="8" customFormat="1" ht="44.25" customHeight="1" x14ac:dyDescent="0.3">
      <c r="A29" s="9">
        <v>30</v>
      </c>
      <c r="B29" s="118" t="s">
        <v>1398</v>
      </c>
      <c r="C29" s="13" t="s">
        <v>87</v>
      </c>
      <c r="D29" s="31" t="s">
        <v>662</v>
      </c>
      <c r="E29" s="3" t="s">
        <v>12</v>
      </c>
      <c r="F29" s="381">
        <v>20</v>
      </c>
      <c r="G29" s="198" t="s">
        <v>21</v>
      </c>
      <c r="H29" s="9" t="s">
        <v>84</v>
      </c>
      <c r="I29" s="9" t="s">
        <v>85</v>
      </c>
      <c r="J29" s="9" t="s">
        <v>21</v>
      </c>
      <c r="K29" s="9" t="s">
        <v>21</v>
      </c>
      <c r="L29" s="215" t="s">
        <v>85</v>
      </c>
      <c r="M29" s="50" t="s">
        <v>657</v>
      </c>
      <c r="N29" s="69" t="s">
        <v>498</v>
      </c>
      <c r="O29" s="69" t="s">
        <v>498</v>
      </c>
      <c r="P29" s="243"/>
      <c r="Q29" s="50" t="s">
        <v>499</v>
      </c>
      <c r="R29" s="50">
        <v>3</v>
      </c>
      <c r="S29" s="50" t="s">
        <v>500</v>
      </c>
      <c r="T29" s="50" t="s">
        <v>524</v>
      </c>
      <c r="U29" s="52" t="s">
        <v>658</v>
      </c>
      <c r="V29" s="50" t="s">
        <v>503</v>
      </c>
      <c r="W29" s="50" t="s">
        <v>542</v>
      </c>
      <c r="X29" s="70" t="s">
        <v>659</v>
      </c>
      <c r="Y29" s="50" t="s">
        <v>657</v>
      </c>
      <c r="Z29" s="50" t="s">
        <v>633</v>
      </c>
      <c r="AA29" s="50" t="s">
        <v>538</v>
      </c>
      <c r="AB29" s="50" t="s">
        <v>615</v>
      </c>
      <c r="AC29" s="55">
        <v>26683</v>
      </c>
      <c r="AD29" s="48">
        <f t="shared" si="1"/>
        <v>19</v>
      </c>
      <c r="AE29" s="48">
        <f t="shared" si="2"/>
        <v>1</v>
      </c>
      <c r="AF29" s="48">
        <f t="shared" si="3"/>
        <v>1973</v>
      </c>
      <c r="AG29" s="49">
        <f t="shared" si="0"/>
        <v>48598</v>
      </c>
      <c r="AH29" s="48">
        <f t="shared" ca="1" si="4"/>
        <v>7</v>
      </c>
      <c r="AI29" s="48">
        <f t="shared" ca="1" si="5"/>
        <v>1</v>
      </c>
      <c r="AJ29" s="48">
        <f t="shared" ca="1" si="6"/>
        <v>8</v>
      </c>
      <c r="AK29" s="48" t="str">
        <f t="shared" ca="1" si="7"/>
        <v>7year/1months/8Days</v>
      </c>
      <c r="AL29" s="50"/>
      <c r="AM29" s="50" t="s">
        <v>1602</v>
      </c>
      <c r="AN29" s="229">
        <v>1545</v>
      </c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69">
        <v>2018</v>
      </c>
      <c r="AZ29" s="107" t="s">
        <v>661</v>
      </c>
      <c r="BA29" s="78">
        <v>196</v>
      </c>
      <c r="BB29" s="78" t="s">
        <v>498</v>
      </c>
      <c r="BC29" s="78" t="s">
        <v>498</v>
      </c>
      <c r="BD29" s="78">
        <v>11</v>
      </c>
      <c r="BE29" s="78">
        <v>23</v>
      </c>
      <c r="BF29" s="74">
        <f t="shared" si="8"/>
        <v>11.73469387755102</v>
      </c>
      <c r="BG29" s="78" t="s">
        <v>498</v>
      </c>
      <c r="BH29" s="78" t="s">
        <v>498</v>
      </c>
      <c r="BI29" s="78"/>
      <c r="BJ29" s="78">
        <v>196</v>
      </c>
      <c r="BK29" s="93"/>
      <c r="BL29" s="151"/>
      <c r="BM29" s="313"/>
      <c r="BN29" s="305"/>
      <c r="BO29" s="305"/>
      <c r="BP29" s="305"/>
      <c r="BQ29" s="305"/>
      <c r="BR29" s="305"/>
      <c r="BS29" s="305"/>
      <c r="BT29" s="305"/>
      <c r="BU29" s="891" t="s">
        <v>2589</v>
      </c>
      <c r="BV29" s="892"/>
      <c r="BW29" s="892"/>
      <c r="BX29" s="893"/>
      <c r="BY29" s="305"/>
      <c r="BZ29" s="305"/>
      <c r="CA29" s="305"/>
      <c r="CB29" s="305"/>
      <c r="CC29" s="27"/>
    </row>
    <row r="30" spans="1:81" s="8" customFormat="1" ht="40.35" customHeight="1" x14ac:dyDescent="0.3">
      <c r="A30" s="58" t="s">
        <v>2492</v>
      </c>
      <c r="B30" s="183" t="s">
        <v>932</v>
      </c>
      <c r="C30" s="11" t="s">
        <v>89</v>
      </c>
      <c r="D30" s="7" t="s">
        <v>93</v>
      </c>
      <c r="E30" s="3" t="s">
        <v>12</v>
      </c>
      <c r="F30" s="3">
        <v>21</v>
      </c>
      <c r="G30" s="198" t="s">
        <v>26</v>
      </c>
      <c r="H30" s="9" t="s">
        <v>29</v>
      </c>
      <c r="I30" s="9" t="s">
        <v>90</v>
      </c>
      <c r="J30" s="9" t="s">
        <v>29</v>
      </c>
      <c r="K30" s="9" t="s">
        <v>38</v>
      </c>
      <c r="L30" s="215" t="s">
        <v>38</v>
      </c>
      <c r="M30" s="365" t="s">
        <v>928</v>
      </c>
      <c r="N30" s="69" t="s">
        <v>498</v>
      </c>
      <c r="O30" s="69" t="s">
        <v>498</v>
      </c>
      <c r="P30" s="245"/>
      <c r="Q30" s="50" t="s">
        <v>499</v>
      </c>
      <c r="R30" s="365" t="s">
        <v>557</v>
      </c>
      <c r="S30" s="50" t="s">
        <v>500</v>
      </c>
      <c r="T30" s="50" t="s">
        <v>524</v>
      </c>
      <c r="U30" s="59" t="s">
        <v>583</v>
      </c>
      <c r="V30" s="50" t="s">
        <v>503</v>
      </c>
      <c r="W30" s="365" t="s">
        <v>542</v>
      </c>
      <c r="X30" s="46" t="s">
        <v>929</v>
      </c>
      <c r="Y30" s="371" t="s">
        <v>930</v>
      </c>
      <c r="Z30" s="50" t="s">
        <v>633</v>
      </c>
      <c r="AA30" s="50" t="s">
        <v>538</v>
      </c>
      <c r="AB30" s="50" t="s">
        <v>506</v>
      </c>
      <c r="AC30" s="55">
        <v>26684</v>
      </c>
      <c r="AD30" s="48">
        <f t="shared" si="1"/>
        <v>20</v>
      </c>
      <c r="AE30" s="48">
        <f t="shared" si="2"/>
        <v>1</v>
      </c>
      <c r="AF30" s="48">
        <f t="shared" si="3"/>
        <v>1973</v>
      </c>
      <c r="AG30" s="49">
        <f t="shared" si="0"/>
        <v>48599</v>
      </c>
      <c r="AH30" s="48">
        <f t="shared" ca="1" si="4"/>
        <v>7</v>
      </c>
      <c r="AI30" s="48">
        <f t="shared" ca="1" si="5"/>
        <v>1</v>
      </c>
      <c r="AJ30" s="48">
        <f t="shared" ca="1" si="6"/>
        <v>9</v>
      </c>
      <c r="AK30" s="48" t="str">
        <f t="shared" ca="1" si="7"/>
        <v>7year/1months/9Days</v>
      </c>
      <c r="AL30" s="371" t="s">
        <v>931</v>
      </c>
      <c r="AM30" s="371" t="s">
        <v>1603</v>
      </c>
      <c r="AN30" s="373" t="s">
        <v>1604</v>
      </c>
      <c r="AO30" s="371"/>
      <c r="AP30" s="371"/>
      <c r="AQ30" s="371"/>
      <c r="AR30" s="371"/>
      <c r="AS30" s="371"/>
      <c r="AT30" s="371"/>
      <c r="AU30" s="371"/>
      <c r="AV30" s="371"/>
      <c r="AW30" s="371"/>
      <c r="AX30" s="371"/>
      <c r="AY30" s="371">
        <v>2017</v>
      </c>
      <c r="AZ30" s="59">
        <v>4</v>
      </c>
      <c r="BA30" s="371">
        <v>1250</v>
      </c>
      <c r="BB30" s="371">
        <v>1107</v>
      </c>
      <c r="BC30" s="78" t="s">
        <v>498</v>
      </c>
      <c r="BD30" s="371">
        <v>31</v>
      </c>
      <c r="BE30" s="371">
        <v>117</v>
      </c>
      <c r="BF30" s="74">
        <f t="shared" si="8"/>
        <v>9.36</v>
      </c>
      <c r="BG30" s="78" t="s">
        <v>498</v>
      </c>
      <c r="BH30" s="78" t="s">
        <v>498</v>
      </c>
      <c r="BI30" s="371">
        <v>1250</v>
      </c>
      <c r="BJ30" s="371"/>
      <c r="BK30" s="371"/>
      <c r="BL30" s="151"/>
      <c r="BM30" s="379"/>
      <c r="BN30" s="379"/>
      <c r="BO30" s="379"/>
      <c r="BP30" s="379"/>
      <c r="BQ30" s="305"/>
      <c r="BR30" s="305"/>
      <c r="BS30" s="305"/>
      <c r="BT30" s="305"/>
      <c r="BU30" s="867" t="s">
        <v>2600</v>
      </c>
      <c r="BV30" s="868"/>
      <c r="BW30" s="868"/>
      <c r="BX30" s="869"/>
      <c r="BY30" s="305"/>
      <c r="BZ30" s="305"/>
      <c r="CA30" s="305"/>
      <c r="CB30" s="305"/>
      <c r="CC30" s="27"/>
    </row>
    <row r="31" spans="1:81" s="656" customFormat="1" ht="40.35" customHeight="1" x14ac:dyDescent="0.25">
      <c r="A31" s="636">
        <v>33</v>
      </c>
      <c r="B31" s="657" t="s">
        <v>936</v>
      </c>
      <c r="C31" s="658" t="s">
        <v>92</v>
      </c>
      <c r="D31" s="451" t="s">
        <v>937</v>
      </c>
      <c r="E31" s="451" t="s">
        <v>12</v>
      </c>
      <c r="F31" s="444">
        <v>22</v>
      </c>
      <c r="G31" s="640" t="s">
        <v>26</v>
      </c>
      <c r="H31" s="636" t="s">
        <v>27</v>
      </c>
      <c r="I31" s="636" t="s">
        <v>34</v>
      </c>
      <c r="J31" s="636" t="s">
        <v>29</v>
      </c>
      <c r="K31" s="636" t="s">
        <v>93</v>
      </c>
      <c r="L31" s="641" t="s">
        <v>39</v>
      </c>
      <c r="M31" s="671" t="s">
        <v>498</v>
      </c>
      <c r="N31" s="643" t="s">
        <v>498</v>
      </c>
      <c r="O31" s="643" t="s">
        <v>498</v>
      </c>
      <c r="P31" s="689" t="s">
        <v>933</v>
      </c>
      <c r="Q31" s="642" t="s">
        <v>499</v>
      </c>
      <c r="R31" s="671">
        <v>3</v>
      </c>
      <c r="S31" s="642" t="s">
        <v>500</v>
      </c>
      <c r="T31" s="642" t="s">
        <v>524</v>
      </c>
      <c r="U31" s="674" t="s">
        <v>535</v>
      </c>
      <c r="V31" s="642" t="s">
        <v>503</v>
      </c>
      <c r="W31" s="676" t="s">
        <v>567</v>
      </c>
      <c r="X31" s="690" t="s">
        <v>934</v>
      </c>
      <c r="Y31" s="676" t="s">
        <v>935</v>
      </c>
      <c r="Z31" s="646" t="s">
        <v>2504</v>
      </c>
      <c r="AA31" s="642" t="s">
        <v>538</v>
      </c>
      <c r="AB31" s="642" t="s">
        <v>710</v>
      </c>
      <c r="AC31" s="649">
        <v>30084</v>
      </c>
      <c r="AD31" s="650">
        <f t="shared" ref="AD31" si="28">DAY(AC31)</f>
        <v>13</v>
      </c>
      <c r="AE31" s="650">
        <f t="shared" ref="AE31" si="29">MONTH(AC31)</f>
        <v>5</v>
      </c>
      <c r="AF31" s="650">
        <f t="shared" ref="AF31" si="30">YEAR(AC31)</f>
        <v>1982</v>
      </c>
      <c r="AG31" s="651">
        <f t="shared" si="0"/>
        <v>51999</v>
      </c>
      <c r="AH31" s="650">
        <f t="shared" ref="AH31" ca="1" si="31">DATEDIF($A$4,AG31, "Y" )</f>
        <v>16</v>
      </c>
      <c r="AI31" s="650">
        <f t="shared" ref="AI31" ca="1" si="32">DATEDIF($A$4,AG31, "YM" )</f>
        <v>5</v>
      </c>
      <c r="AJ31" s="650">
        <f t="shared" ref="AJ31" ca="1" si="33">DATEDIF($A$4,AG31, "MD" )</f>
        <v>2</v>
      </c>
      <c r="AK31" s="650" t="str">
        <f t="shared" ca="1" si="7"/>
        <v>16year/5months/2Days</v>
      </c>
      <c r="AL31" s="642"/>
      <c r="AM31" s="642" t="s">
        <v>1605</v>
      </c>
      <c r="AN31" s="451">
        <v>1018</v>
      </c>
      <c r="AO31" s="642"/>
      <c r="AP31" s="642"/>
      <c r="AQ31" s="642"/>
      <c r="AR31" s="642"/>
      <c r="AS31" s="642"/>
      <c r="AT31" s="642"/>
      <c r="AU31" s="642"/>
      <c r="AV31" s="642"/>
      <c r="AW31" s="642"/>
      <c r="AX31" s="642"/>
      <c r="AY31" s="642">
        <v>2022</v>
      </c>
      <c r="AZ31" s="645">
        <v>1</v>
      </c>
      <c r="BA31" s="642">
        <v>82</v>
      </c>
      <c r="BB31" s="642">
        <v>68</v>
      </c>
      <c r="BC31" s="652" t="s">
        <v>498</v>
      </c>
      <c r="BD31" s="642" t="s">
        <v>498</v>
      </c>
      <c r="BE31" s="642">
        <v>12</v>
      </c>
      <c r="BF31" s="653">
        <f t="shared" si="8"/>
        <v>14.634146341463413</v>
      </c>
      <c r="BG31" s="652" t="s">
        <v>498</v>
      </c>
      <c r="BH31" s="652" t="s">
        <v>498</v>
      </c>
      <c r="BI31" s="642">
        <v>82</v>
      </c>
      <c r="BJ31" s="668"/>
      <c r="BK31" s="668"/>
      <c r="BL31" s="654">
        <v>44781</v>
      </c>
      <c r="BM31" s="669"/>
      <c r="BN31" s="669"/>
      <c r="BO31" s="669"/>
      <c r="BP31" s="669"/>
      <c r="BQ31" s="691"/>
      <c r="BR31" s="691"/>
      <c r="BS31" s="691"/>
      <c r="BT31" s="691"/>
      <c r="BU31" s="873" t="s">
        <v>2596</v>
      </c>
      <c r="BV31" s="874"/>
      <c r="BW31" s="874"/>
      <c r="BX31" s="875"/>
      <c r="BY31" s="691"/>
      <c r="BZ31" s="691"/>
      <c r="CA31" s="691"/>
      <c r="CB31" s="691"/>
      <c r="CC31" s="655"/>
    </row>
    <row r="32" spans="1:81" s="8" customFormat="1" ht="40.35" customHeight="1" x14ac:dyDescent="0.25">
      <c r="A32" s="58" t="s">
        <v>2493</v>
      </c>
      <c r="B32" s="183" t="s">
        <v>943</v>
      </c>
      <c r="C32" s="11" t="s">
        <v>101</v>
      </c>
      <c r="D32" s="3" t="s">
        <v>944</v>
      </c>
      <c r="E32" s="3" t="s">
        <v>12</v>
      </c>
      <c r="F32" s="381">
        <v>23</v>
      </c>
      <c r="G32" s="198" t="s">
        <v>26</v>
      </c>
      <c r="H32" s="9" t="s">
        <v>26</v>
      </c>
      <c r="I32" s="9" t="s">
        <v>102</v>
      </c>
      <c r="J32" s="9" t="s">
        <v>29</v>
      </c>
      <c r="K32" s="9" t="s">
        <v>26</v>
      </c>
      <c r="L32" s="215" t="s">
        <v>30</v>
      </c>
      <c r="M32" s="365" t="s">
        <v>938</v>
      </c>
      <c r="N32" s="69" t="s">
        <v>498</v>
      </c>
      <c r="O32" s="69" t="s">
        <v>498</v>
      </c>
      <c r="P32" s="245" t="s">
        <v>939</v>
      </c>
      <c r="Q32" s="50" t="s">
        <v>499</v>
      </c>
      <c r="R32" s="365" t="s">
        <v>560</v>
      </c>
      <c r="S32" s="50" t="s">
        <v>500</v>
      </c>
      <c r="T32" s="50" t="s">
        <v>524</v>
      </c>
      <c r="U32" s="45" t="s">
        <v>561</v>
      </c>
      <c r="V32" s="50" t="s">
        <v>503</v>
      </c>
      <c r="W32" s="365" t="s">
        <v>504</v>
      </c>
      <c r="X32" s="46" t="s">
        <v>940</v>
      </c>
      <c r="Y32" s="365" t="s">
        <v>941</v>
      </c>
      <c r="Z32" s="50" t="s">
        <v>2480</v>
      </c>
      <c r="AA32" s="50" t="s">
        <v>538</v>
      </c>
      <c r="AB32" s="50" t="s">
        <v>506</v>
      </c>
      <c r="AC32" s="55">
        <v>29625</v>
      </c>
      <c r="AD32" s="48">
        <f t="shared" si="1"/>
        <v>8</v>
      </c>
      <c r="AE32" s="48">
        <f t="shared" si="2"/>
        <v>2</v>
      </c>
      <c r="AF32" s="48">
        <f t="shared" si="3"/>
        <v>1981</v>
      </c>
      <c r="AG32" s="49">
        <f t="shared" si="0"/>
        <v>51540</v>
      </c>
      <c r="AH32" s="48">
        <f t="shared" ca="1" si="4"/>
        <v>15</v>
      </c>
      <c r="AI32" s="48">
        <f t="shared" ca="1" si="5"/>
        <v>1</v>
      </c>
      <c r="AJ32" s="48">
        <f t="shared" ca="1" si="6"/>
        <v>28</v>
      </c>
      <c r="AK32" s="48" t="str">
        <f t="shared" ca="1" si="7"/>
        <v>15year/1months/28Days</v>
      </c>
      <c r="AL32" s="365"/>
      <c r="AM32" s="371" t="s">
        <v>1608</v>
      </c>
      <c r="AN32" s="373" t="s">
        <v>1609</v>
      </c>
      <c r="AO32" s="365"/>
      <c r="AP32" s="365"/>
      <c r="AQ32" s="365"/>
      <c r="AR32" s="365"/>
      <c r="AS32" s="365"/>
      <c r="AT32" s="365"/>
      <c r="AU32" s="365"/>
      <c r="AV32" s="365"/>
      <c r="AW32" s="365"/>
      <c r="AX32" s="365"/>
      <c r="AY32" s="365">
        <v>2023</v>
      </c>
      <c r="AZ32" s="45" t="s">
        <v>1917</v>
      </c>
      <c r="BA32" s="365">
        <v>334</v>
      </c>
      <c r="BB32" s="365">
        <v>43</v>
      </c>
      <c r="BC32" s="78">
        <v>1</v>
      </c>
      <c r="BD32" s="365">
        <v>73</v>
      </c>
      <c r="BE32" s="365">
        <v>178</v>
      </c>
      <c r="BF32" s="74">
        <f t="shared" si="8"/>
        <v>53.293413173652695</v>
      </c>
      <c r="BG32" s="78">
        <v>39</v>
      </c>
      <c r="BH32" s="78" t="s">
        <v>498</v>
      </c>
      <c r="BI32" s="365">
        <v>334</v>
      </c>
      <c r="BJ32" s="78" t="s">
        <v>498</v>
      </c>
      <c r="BK32" s="78" t="s">
        <v>498</v>
      </c>
      <c r="BL32" s="76">
        <v>45407</v>
      </c>
      <c r="BM32" s="867" t="s">
        <v>1860</v>
      </c>
      <c r="BN32" s="868"/>
      <c r="BO32" s="868"/>
      <c r="BP32" s="869"/>
      <c r="BQ32" s="947" t="s">
        <v>2481</v>
      </c>
      <c r="BR32" s="948"/>
      <c r="BS32" s="948"/>
      <c r="BT32" s="949"/>
      <c r="BU32" s="867" t="s">
        <v>2889</v>
      </c>
      <c r="BV32" s="868"/>
      <c r="BW32" s="868"/>
      <c r="BX32" s="869"/>
      <c r="BY32" s="477"/>
      <c r="BZ32" s="477"/>
      <c r="CA32" s="477"/>
      <c r="CB32" s="477"/>
      <c r="CC32" s="27"/>
    </row>
    <row r="33" spans="1:81" s="656" customFormat="1" ht="40.35" customHeight="1" x14ac:dyDescent="0.25">
      <c r="A33" s="679" t="s">
        <v>2901</v>
      </c>
      <c r="B33" s="657" t="s">
        <v>1399</v>
      </c>
      <c r="C33" s="658" t="s">
        <v>95</v>
      </c>
      <c r="D33" s="659" t="s">
        <v>949</v>
      </c>
      <c r="E33" s="451" t="s">
        <v>12</v>
      </c>
      <c r="F33" s="451">
        <v>24</v>
      </c>
      <c r="G33" s="640" t="s">
        <v>66</v>
      </c>
      <c r="H33" s="636" t="s">
        <v>96</v>
      </c>
      <c r="I33" s="636" t="s">
        <v>97</v>
      </c>
      <c r="J33" s="636" t="s">
        <v>29</v>
      </c>
      <c r="K33" s="636" t="s">
        <v>98</v>
      </c>
      <c r="L33" s="641" t="s">
        <v>99</v>
      </c>
      <c r="M33" s="671" t="s">
        <v>945</v>
      </c>
      <c r="N33" s="643" t="s">
        <v>498</v>
      </c>
      <c r="O33" s="672" t="s">
        <v>2751</v>
      </c>
      <c r="P33" s="689" t="s">
        <v>946</v>
      </c>
      <c r="Q33" s="642" t="s">
        <v>499</v>
      </c>
      <c r="R33" s="671" t="s">
        <v>560</v>
      </c>
      <c r="S33" s="642" t="s">
        <v>500</v>
      </c>
      <c r="T33" s="642" t="s">
        <v>524</v>
      </c>
      <c r="U33" s="686" t="s">
        <v>561</v>
      </c>
      <c r="V33" s="642" t="s">
        <v>503</v>
      </c>
      <c r="W33" s="671" t="s">
        <v>527</v>
      </c>
      <c r="X33" s="675" t="s">
        <v>947</v>
      </c>
      <c r="Y33" s="671" t="s">
        <v>948</v>
      </c>
      <c r="Z33" s="646" t="s">
        <v>2505</v>
      </c>
      <c r="AA33" s="642" t="s">
        <v>709</v>
      </c>
      <c r="AB33" s="642" t="s">
        <v>710</v>
      </c>
      <c r="AC33" s="649">
        <v>24590</v>
      </c>
      <c r="AD33" s="650">
        <f t="shared" ref="AD33" si="34">DAY(AC33)</f>
        <v>28</v>
      </c>
      <c r="AE33" s="650">
        <f t="shared" ref="AE33" si="35">MONTH(AC33)</f>
        <v>4</v>
      </c>
      <c r="AF33" s="650">
        <f t="shared" ref="AF33" si="36">YEAR(AC33)</f>
        <v>1967</v>
      </c>
      <c r="AG33" s="651">
        <f t="shared" si="0"/>
        <v>46505</v>
      </c>
      <c r="AH33" s="650">
        <f t="shared" ref="AH33" ca="1" si="37">DATEDIF($A$4,AG33, "Y" )</f>
        <v>1</v>
      </c>
      <c r="AI33" s="650">
        <f t="shared" ref="AI33" ca="1" si="38">DATEDIF($A$4,AG33, "YM" )</f>
        <v>4</v>
      </c>
      <c r="AJ33" s="650">
        <f t="shared" ref="AJ33" ca="1" si="39">DATEDIF($A$4,AG33, "MD" )</f>
        <v>17</v>
      </c>
      <c r="AK33" s="650" t="str">
        <f t="shared" ca="1" si="7"/>
        <v>1year/4months/17Days</v>
      </c>
      <c r="AL33" s="671"/>
      <c r="AM33" s="676" t="s">
        <v>1606</v>
      </c>
      <c r="AN33" s="692" t="s">
        <v>1607</v>
      </c>
      <c r="AO33" s="671"/>
      <c r="AP33" s="671"/>
      <c r="AQ33" s="671"/>
      <c r="AR33" s="671"/>
      <c r="AS33" s="671"/>
      <c r="AT33" s="671"/>
      <c r="AU33" s="671"/>
      <c r="AV33" s="671"/>
      <c r="AW33" s="671"/>
      <c r="AX33" s="671"/>
      <c r="AY33" s="671">
        <v>2024</v>
      </c>
      <c r="AZ33" s="674" t="s">
        <v>2752</v>
      </c>
      <c r="BA33" s="671">
        <v>872</v>
      </c>
      <c r="BB33" s="671">
        <v>654</v>
      </c>
      <c r="BC33" s="652" t="s">
        <v>498</v>
      </c>
      <c r="BD33" s="671" t="s">
        <v>498</v>
      </c>
      <c r="BE33" s="671">
        <v>218</v>
      </c>
      <c r="BF33" s="653">
        <f t="shared" si="8"/>
        <v>25</v>
      </c>
      <c r="BG33" s="652" t="s">
        <v>498</v>
      </c>
      <c r="BH33" s="652" t="s">
        <v>498</v>
      </c>
      <c r="BI33" s="671">
        <v>872</v>
      </c>
      <c r="BJ33" s="671"/>
      <c r="BK33" s="671"/>
      <c r="BL33" s="654">
        <v>45600</v>
      </c>
      <c r="BM33" s="873" t="s">
        <v>1792</v>
      </c>
      <c r="BN33" s="874"/>
      <c r="BO33" s="874"/>
      <c r="BP33" s="875"/>
      <c r="BQ33" s="873" t="s">
        <v>1838</v>
      </c>
      <c r="BR33" s="874"/>
      <c r="BS33" s="874"/>
      <c r="BT33" s="875"/>
      <c r="BU33" s="873" t="s">
        <v>2605</v>
      </c>
      <c r="BV33" s="874"/>
      <c r="BW33" s="874"/>
      <c r="BX33" s="875"/>
      <c r="BY33" s="873" t="s">
        <v>2753</v>
      </c>
      <c r="BZ33" s="874"/>
      <c r="CA33" s="874"/>
      <c r="CB33" s="875"/>
      <c r="CC33" s="655"/>
    </row>
    <row r="34" spans="1:81" s="8" customFormat="1" ht="40.35" customHeight="1" x14ac:dyDescent="0.3">
      <c r="A34" s="558">
        <v>38</v>
      </c>
      <c r="B34" s="118" t="s">
        <v>663</v>
      </c>
      <c r="C34" s="13" t="s">
        <v>104</v>
      </c>
      <c r="D34" s="7" t="s">
        <v>664</v>
      </c>
      <c r="E34" s="3" t="s">
        <v>12</v>
      </c>
      <c r="F34" s="3">
        <v>25</v>
      </c>
      <c r="G34" s="198" t="s">
        <v>21</v>
      </c>
      <c r="H34" s="9" t="s">
        <v>42</v>
      </c>
      <c r="I34" s="9" t="s">
        <v>105</v>
      </c>
      <c r="J34" s="9" t="s">
        <v>21</v>
      </c>
      <c r="K34" s="9" t="s">
        <v>44</v>
      </c>
      <c r="L34" s="215" t="s">
        <v>106</v>
      </c>
      <c r="M34" s="50" t="s">
        <v>2658</v>
      </c>
      <c r="N34" s="69" t="s">
        <v>498</v>
      </c>
      <c r="O34" s="51" t="s">
        <v>2660</v>
      </c>
      <c r="P34" s="243" t="s">
        <v>2659</v>
      </c>
      <c r="Q34" s="50" t="s">
        <v>499</v>
      </c>
      <c r="R34" s="556">
        <v>3</v>
      </c>
      <c r="S34" s="50" t="s">
        <v>500</v>
      </c>
      <c r="T34" s="50" t="s">
        <v>524</v>
      </c>
      <c r="U34" s="52" t="s">
        <v>535</v>
      </c>
      <c r="V34" s="50" t="s">
        <v>503</v>
      </c>
      <c r="W34" s="69"/>
      <c r="X34" s="557" t="s">
        <v>2661</v>
      </c>
      <c r="Y34" s="50" t="s">
        <v>2662</v>
      </c>
      <c r="Z34" s="50" t="s">
        <v>2663</v>
      </c>
      <c r="AA34" s="50" t="s">
        <v>538</v>
      </c>
      <c r="AB34" s="50" t="s">
        <v>506</v>
      </c>
      <c r="AC34" s="55">
        <v>26412</v>
      </c>
      <c r="AD34" s="48">
        <f t="shared" si="1"/>
        <v>23</v>
      </c>
      <c r="AE34" s="48">
        <f t="shared" si="2"/>
        <v>4</v>
      </c>
      <c r="AF34" s="48">
        <f t="shared" si="3"/>
        <v>1972</v>
      </c>
      <c r="AG34" s="49">
        <f t="shared" si="0"/>
        <v>48327</v>
      </c>
      <c r="AH34" s="48">
        <f t="shared" ca="1" si="4"/>
        <v>6</v>
      </c>
      <c r="AI34" s="48">
        <f t="shared" ca="1" si="5"/>
        <v>4</v>
      </c>
      <c r="AJ34" s="48">
        <f t="shared" ca="1" si="6"/>
        <v>12</v>
      </c>
      <c r="AK34" s="48" t="str">
        <f t="shared" ca="1" si="7"/>
        <v>6year/4months/12Days</v>
      </c>
      <c r="AL34" s="50"/>
      <c r="AM34" s="50" t="s">
        <v>1610</v>
      </c>
      <c r="AN34" s="229">
        <v>1223</v>
      </c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78">
        <v>2024</v>
      </c>
      <c r="AZ34" s="107" t="s">
        <v>1917</v>
      </c>
      <c r="BA34" s="78">
        <v>105</v>
      </c>
      <c r="BB34" s="78">
        <v>93</v>
      </c>
      <c r="BC34" s="78">
        <v>2</v>
      </c>
      <c r="BD34" s="78">
        <v>1</v>
      </c>
      <c r="BE34" s="78">
        <v>9</v>
      </c>
      <c r="BF34" s="74">
        <f t="shared" si="8"/>
        <v>8.5714285714285712</v>
      </c>
      <c r="BG34" s="78" t="s">
        <v>498</v>
      </c>
      <c r="BH34" s="78" t="s">
        <v>498</v>
      </c>
      <c r="BI34" s="78">
        <v>105</v>
      </c>
      <c r="BJ34" s="78" t="s">
        <v>498</v>
      </c>
      <c r="BK34" s="78" t="s">
        <v>498</v>
      </c>
      <c r="BL34" s="76">
        <v>45553</v>
      </c>
      <c r="BM34" s="313"/>
      <c r="BN34" s="305"/>
      <c r="BO34" s="305"/>
      <c r="BP34" s="305"/>
      <c r="BQ34" s="305"/>
      <c r="BR34" s="305"/>
      <c r="BS34" s="305"/>
      <c r="BT34" s="305"/>
      <c r="BU34" s="867" t="s">
        <v>2605</v>
      </c>
      <c r="BV34" s="868"/>
      <c r="BW34" s="868"/>
      <c r="BX34" s="869"/>
      <c r="BY34" s="870" t="s">
        <v>2632</v>
      </c>
      <c r="BZ34" s="871"/>
      <c r="CA34" s="871"/>
      <c r="CB34" s="872"/>
      <c r="CC34" s="27"/>
    </row>
    <row r="35" spans="1:81" s="656" customFormat="1" ht="49.5" customHeight="1" x14ac:dyDescent="0.3">
      <c r="A35" s="636">
        <v>39</v>
      </c>
      <c r="B35" s="638" t="s">
        <v>669</v>
      </c>
      <c r="C35" s="638" t="s">
        <v>108</v>
      </c>
      <c r="D35" s="451" t="s">
        <v>1966</v>
      </c>
      <c r="E35" s="451" t="s">
        <v>12</v>
      </c>
      <c r="F35" s="444">
        <v>26</v>
      </c>
      <c r="G35" s="640" t="s">
        <v>21</v>
      </c>
      <c r="H35" s="636" t="s">
        <v>49</v>
      </c>
      <c r="I35" s="636" t="s">
        <v>109</v>
      </c>
      <c r="J35" s="636" t="s">
        <v>110</v>
      </c>
      <c r="K35" s="636" t="s">
        <v>44</v>
      </c>
      <c r="L35" s="641" t="s">
        <v>109</v>
      </c>
      <c r="M35" s="642" t="s">
        <v>665</v>
      </c>
      <c r="N35" s="643" t="s">
        <v>498</v>
      </c>
      <c r="O35" s="672" t="s">
        <v>1967</v>
      </c>
      <c r="P35" s="693" t="s">
        <v>666</v>
      </c>
      <c r="Q35" s="642" t="s">
        <v>499</v>
      </c>
      <c r="R35" s="642" t="s">
        <v>557</v>
      </c>
      <c r="S35" s="642" t="s">
        <v>500</v>
      </c>
      <c r="T35" s="642" t="s">
        <v>501</v>
      </c>
      <c r="U35" s="645" t="s">
        <v>667</v>
      </c>
      <c r="V35" s="642" t="s">
        <v>503</v>
      </c>
      <c r="W35" s="671" t="s">
        <v>654</v>
      </c>
      <c r="X35" s="647" t="s">
        <v>2841</v>
      </c>
      <c r="Y35" s="648" t="s">
        <v>2842</v>
      </c>
      <c r="Z35" s="642" t="s">
        <v>1968</v>
      </c>
      <c r="AA35" s="642" t="s">
        <v>562</v>
      </c>
      <c r="AB35" s="642" t="s">
        <v>1969</v>
      </c>
      <c r="AC35" s="649">
        <v>25259</v>
      </c>
      <c r="AD35" s="650">
        <f t="shared" si="1"/>
        <v>25</v>
      </c>
      <c r="AE35" s="650">
        <f t="shared" si="2"/>
        <v>2</v>
      </c>
      <c r="AF35" s="650">
        <f t="shared" si="3"/>
        <v>1969</v>
      </c>
      <c r="AG35" s="651">
        <f t="shared" si="0"/>
        <v>47174</v>
      </c>
      <c r="AH35" s="650">
        <f t="shared" ca="1" si="4"/>
        <v>3</v>
      </c>
      <c r="AI35" s="650">
        <f t="shared" ca="1" si="5"/>
        <v>2</v>
      </c>
      <c r="AJ35" s="650">
        <f t="shared" ca="1" si="6"/>
        <v>14</v>
      </c>
      <c r="AK35" s="650" t="str">
        <f t="shared" ca="1" si="7"/>
        <v>3year/2months/14Days</v>
      </c>
      <c r="AL35" s="642"/>
      <c r="AM35" s="642" t="s">
        <v>1611</v>
      </c>
      <c r="AN35" s="451">
        <v>595</v>
      </c>
      <c r="AO35" s="694">
        <v>12876</v>
      </c>
      <c r="AP35" s="642" t="s">
        <v>2047</v>
      </c>
      <c r="AQ35" s="642" t="s">
        <v>2048</v>
      </c>
      <c r="AR35" s="642">
        <v>1960</v>
      </c>
      <c r="AS35" s="642">
        <v>905</v>
      </c>
      <c r="AT35" s="642">
        <v>795</v>
      </c>
      <c r="AU35" s="642">
        <v>87.84</v>
      </c>
      <c r="AV35" s="642">
        <v>1018</v>
      </c>
      <c r="AW35" s="642">
        <v>898</v>
      </c>
      <c r="AX35" s="642">
        <v>88.21</v>
      </c>
      <c r="AY35" s="642">
        <v>2024</v>
      </c>
      <c r="AZ35" s="695" t="s">
        <v>1970</v>
      </c>
      <c r="BA35" s="652">
        <v>1137</v>
      </c>
      <c r="BB35" s="652">
        <v>482</v>
      </c>
      <c r="BC35" s="652" t="s">
        <v>498</v>
      </c>
      <c r="BD35" s="652">
        <v>33</v>
      </c>
      <c r="BE35" s="652">
        <v>512</v>
      </c>
      <c r="BF35" s="653">
        <f t="shared" si="8"/>
        <v>45.030782761653477</v>
      </c>
      <c r="BG35" s="652">
        <v>65</v>
      </c>
      <c r="BH35" s="652" t="s">
        <v>498</v>
      </c>
      <c r="BI35" s="652">
        <v>1013</v>
      </c>
      <c r="BJ35" s="652" t="s">
        <v>498</v>
      </c>
      <c r="BK35" s="652">
        <v>118</v>
      </c>
      <c r="BL35" s="654">
        <v>45596</v>
      </c>
      <c r="BM35" s="873" t="s">
        <v>1792</v>
      </c>
      <c r="BN35" s="874"/>
      <c r="BO35" s="874"/>
      <c r="BP35" s="875"/>
      <c r="BQ35" s="900">
        <v>45540</v>
      </c>
      <c r="BR35" s="901"/>
      <c r="BS35" s="901"/>
      <c r="BT35" s="902"/>
      <c r="BU35" s="873" t="s">
        <v>2605</v>
      </c>
      <c r="BV35" s="874"/>
      <c r="BW35" s="874"/>
      <c r="BX35" s="875"/>
      <c r="BY35" s="900" t="s">
        <v>2734</v>
      </c>
      <c r="BZ35" s="901"/>
      <c r="CA35" s="901"/>
      <c r="CB35" s="902"/>
      <c r="CC35" s="655"/>
    </row>
    <row r="36" spans="1:81" s="656" customFormat="1" ht="40.35" customHeight="1" x14ac:dyDescent="0.25">
      <c r="A36" s="636">
        <v>40</v>
      </c>
      <c r="B36" s="637" t="s">
        <v>674</v>
      </c>
      <c r="C36" s="638" t="s">
        <v>112</v>
      </c>
      <c r="D36" s="659" t="s">
        <v>1912</v>
      </c>
      <c r="E36" s="451" t="s">
        <v>12</v>
      </c>
      <c r="F36" s="451">
        <v>27</v>
      </c>
      <c r="G36" s="640" t="s">
        <v>21</v>
      </c>
      <c r="H36" s="636" t="s">
        <v>49</v>
      </c>
      <c r="I36" s="636" t="s">
        <v>109</v>
      </c>
      <c r="J36" s="636" t="s">
        <v>110</v>
      </c>
      <c r="K36" s="636" t="s">
        <v>44</v>
      </c>
      <c r="L36" s="641" t="s">
        <v>109</v>
      </c>
      <c r="M36" s="642" t="s">
        <v>670</v>
      </c>
      <c r="N36" s="643" t="s">
        <v>498</v>
      </c>
      <c r="O36" s="643" t="s">
        <v>498</v>
      </c>
      <c r="P36" s="644" t="s">
        <v>1913</v>
      </c>
      <c r="Q36" s="642" t="s">
        <v>499</v>
      </c>
      <c r="R36" s="642">
        <v>2</v>
      </c>
      <c r="S36" s="642" t="s">
        <v>500</v>
      </c>
      <c r="T36" s="642" t="s">
        <v>524</v>
      </c>
      <c r="U36" s="645" t="s">
        <v>672</v>
      </c>
      <c r="V36" s="642" t="s">
        <v>503</v>
      </c>
      <c r="W36" s="642" t="s">
        <v>585</v>
      </c>
      <c r="X36" s="647" t="s">
        <v>673</v>
      </c>
      <c r="Y36" s="648" t="s">
        <v>1914</v>
      </c>
      <c r="Z36" s="642" t="s">
        <v>2013</v>
      </c>
      <c r="AA36" s="642" t="s">
        <v>538</v>
      </c>
      <c r="AB36" s="642" t="s">
        <v>710</v>
      </c>
      <c r="AC36" s="649">
        <v>26459</v>
      </c>
      <c r="AD36" s="650">
        <f t="shared" si="1"/>
        <v>9</v>
      </c>
      <c r="AE36" s="650">
        <f t="shared" si="2"/>
        <v>6</v>
      </c>
      <c r="AF36" s="650">
        <f t="shared" si="3"/>
        <v>1972</v>
      </c>
      <c r="AG36" s="651">
        <f t="shared" si="0"/>
        <v>48374</v>
      </c>
      <c r="AH36" s="650">
        <f t="shared" ca="1" si="4"/>
        <v>6</v>
      </c>
      <c r="AI36" s="650">
        <f t="shared" ca="1" si="5"/>
        <v>5</v>
      </c>
      <c r="AJ36" s="650">
        <f t="shared" ca="1" si="6"/>
        <v>29</v>
      </c>
      <c r="AK36" s="650" t="str">
        <f t="shared" ca="1" si="7"/>
        <v>6year/5months/29Days</v>
      </c>
      <c r="AL36" s="642"/>
      <c r="AM36" s="642" t="s">
        <v>1612</v>
      </c>
      <c r="AN36" s="451">
        <v>773</v>
      </c>
      <c r="AO36" s="694">
        <v>12943</v>
      </c>
      <c r="AP36" s="642" t="s">
        <v>2049</v>
      </c>
      <c r="AQ36" s="642" t="s">
        <v>2048</v>
      </c>
      <c r="AR36" s="642">
        <v>1960</v>
      </c>
      <c r="AS36" s="642">
        <v>560</v>
      </c>
      <c r="AT36" s="642">
        <v>382</v>
      </c>
      <c r="AU36" s="642">
        <v>68.209999999999994</v>
      </c>
      <c r="AV36" s="642">
        <v>168</v>
      </c>
      <c r="AW36" s="642">
        <v>123</v>
      </c>
      <c r="AX36" s="642">
        <v>73.209999999999994</v>
      </c>
      <c r="AY36" s="642">
        <v>2023</v>
      </c>
      <c r="AZ36" s="667"/>
      <c r="BA36" s="652">
        <v>249</v>
      </c>
      <c r="BB36" s="652">
        <v>53</v>
      </c>
      <c r="BC36" s="652" t="s">
        <v>498</v>
      </c>
      <c r="BD36" s="652">
        <v>97</v>
      </c>
      <c r="BE36" s="652">
        <v>63</v>
      </c>
      <c r="BF36" s="653">
        <f t="shared" si="8"/>
        <v>25.301204819277107</v>
      </c>
      <c r="BG36" s="652" t="s">
        <v>498</v>
      </c>
      <c r="BH36" s="652" t="s">
        <v>498</v>
      </c>
      <c r="BI36" s="652">
        <v>249</v>
      </c>
      <c r="BJ36" s="652" t="s">
        <v>498</v>
      </c>
      <c r="BK36" s="652" t="s">
        <v>498</v>
      </c>
      <c r="BL36" s="654">
        <v>45314</v>
      </c>
      <c r="BM36" s="873" t="s">
        <v>1799</v>
      </c>
      <c r="BN36" s="874"/>
      <c r="BO36" s="874"/>
      <c r="BP36" s="875"/>
      <c r="BQ36" s="873" t="s">
        <v>1860</v>
      </c>
      <c r="BR36" s="874"/>
      <c r="BS36" s="874"/>
      <c r="BT36" s="875"/>
      <c r="BU36" s="873" t="s">
        <v>2605</v>
      </c>
      <c r="BV36" s="874"/>
      <c r="BW36" s="874"/>
      <c r="BX36" s="875"/>
      <c r="BY36" s="696"/>
      <c r="BZ36" s="696"/>
      <c r="CA36" s="696"/>
      <c r="CB36" s="696"/>
      <c r="CC36" s="655"/>
    </row>
    <row r="37" spans="1:81" s="8" customFormat="1" ht="40.35" customHeight="1" x14ac:dyDescent="0.25">
      <c r="A37" s="58" t="s">
        <v>2494</v>
      </c>
      <c r="B37" s="183" t="s">
        <v>953</v>
      </c>
      <c r="C37" s="11" t="s">
        <v>114</v>
      </c>
      <c r="D37" s="3" t="s">
        <v>952</v>
      </c>
      <c r="E37" s="3" t="s">
        <v>12</v>
      </c>
      <c r="F37" s="381">
        <v>28</v>
      </c>
      <c r="G37" s="198" t="s">
        <v>66</v>
      </c>
      <c r="H37" s="9" t="s">
        <v>80</v>
      </c>
      <c r="I37" s="9" t="s">
        <v>115</v>
      </c>
      <c r="J37" s="9" t="s">
        <v>29</v>
      </c>
      <c r="K37" s="9" t="s">
        <v>26</v>
      </c>
      <c r="L37" s="215" t="s">
        <v>69</v>
      </c>
      <c r="M37" s="50" t="s">
        <v>950</v>
      </c>
      <c r="N37" s="69" t="s">
        <v>498</v>
      </c>
      <c r="O37" s="69" t="s">
        <v>498</v>
      </c>
      <c r="P37" s="251" t="s">
        <v>951</v>
      </c>
      <c r="Q37" s="50" t="s">
        <v>499</v>
      </c>
      <c r="R37" s="50">
        <v>2</v>
      </c>
      <c r="S37" s="50" t="s">
        <v>500</v>
      </c>
      <c r="T37" s="50" t="s">
        <v>524</v>
      </c>
      <c r="U37" s="97" t="s">
        <v>502</v>
      </c>
      <c r="V37" s="50" t="s">
        <v>503</v>
      </c>
      <c r="W37" s="365" t="s">
        <v>542</v>
      </c>
      <c r="X37" s="46" t="s">
        <v>2900</v>
      </c>
      <c r="Y37" s="60" t="s">
        <v>2899</v>
      </c>
      <c r="Z37" s="50"/>
      <c r="AA37" s="623" t="s">
        <v>538</v>
      </c>
      <c r="AB37" s="623" t="s">
        <v>506</v>
      </c>
      <c r="AC37" s="55"/>
      <c r="AD37" s="48"/>
      <c r="AE37" s="48"/>
      <c r="AF37" s="48"/>
      <c r="AG37" s="49"/>
      <c r="AH37" s="48"/>
      <c r="AI37" s="48"/>
      <c r="AJ37" s="48"/>
      <c r="AK37" s="48"/>
      <c r="AL37" s="123"/>
      <c r="AM37" s="123" t="s">
        <v>1613</v>
      </c>
      <c r="AN37" s="279" t="s">
        <v>1614</v>
      </c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371">
        <v>2023</v>
      </c>
      <c r="AZ37" s="59">
        <v>1</v>
      </c>
      <c r="BA37" s="371">
        <v>150</v>
      </c>
      <c r="BB37" s="371">
        <v>38</v>
      </c>
      <c r="BC37" s="78" t="s">
        <v>498</v>
      </c>
      <c r="BD37" s="371" t="s">
        <v>498</v>
      </c>
      <c r="BE37" s="371">
        <v>111</v>
      </c>
      <c r="BF37" s="74">
        <f t="shared" si="8"/>
        <v>74</v>
      </c>
      <c r="BG37" s="78" t="s">
        <v>498</v>
      </c>
      <c r="BH37" s="78" t="s">
        <v>498</v>
      </c>
      <c r="BI37" s="371">
        <v>150</v>
      </c>
      <c r="BJ37" s="371" t="s">
        <v>498</v>
      </c>
      <c r="BK37" s="371" t="s">
        <v>498</v>
      </c>
      <c r="BL37" s="76">
        <v>45317</v>
      </c>
      <c r="BM37" s="882" t="s">
        <v>1855</v>
      </c>
      <c r="BN37" s="883"/>
      <c r="BO37" s="883"/>
      <c r="BP37" s="884"/>
      <c r="BQ37" s="888" t="s">
        <v>1863</v>
      </c>
      <c r="BR37" s="889"/>
      <c r="BS37" s="889"/>
      <c r="BT37" s="890"/>
      <c r="BU37" s="882" t="s">
        <v>2889</v>
      </c>
      <c r="BV37" s="883"/>
      <c r="BW37" s="883"/>
      <c r="BX37" s="884"/>
      <c r="BY37" s="475"/>
      <c r="BZ37" s="475"/>
      <c r="CA37" s="475"/>
      <c r="CB37" s="475"/>
      <c r="CC37" s="27"/>
    </row>
    <row r="38" spans="1:81" s="656" customFormat="1" ht="40.35" customHeight="1" x14ac:dyDescent="0.25">
      <c r="A38" s="679" t="s">
        <v>2495</v>
      </c>
      <c r="B38" s="637" t="s">
        <v>2863</v>
      </c>
      <c r="C38" s="638" t="s">
        <v>2864</v>
      </c>
      <c r="D38" s="659" t="s">
        <v>959</v>
      </c>
      <c r="E38" s="451" t="s">
        <v>12</v>
      </c>
      <c r="F38" s="451">
        <v>29</v>
      </c>
      <c r="G38" s="640" t="s">
        <v>66</v>
      </c>
      <c r="H38" s="636" t="s">
        <v>80</v>
      </c>
      <c r="I38" s="636" t="s">
        <v>117</v>
      </c>
      <c r="J38" s="636" t="s">
        <v>29</v>
      </c>
      <c r="K38" s="636" t="s">
        <v>26</v>
      </c>
      <c r="L38" s="641" t="s">
        <v>69</v>
      </c>
      <c r="M38" s="671" t="s">
        <v>954</v>
      </c>
      <c r="N38" s="643" t="s">
        <v>498</v>
      </c>
      <c r="O38" s="643" t="s">
        <v>498</v>
      </c>
      <c r="P38" s="697" t="s">
        <v>955</v>
      </c>
      <c r="Q38" s="642" t="s">
        <v>499</v>
      </c>
      <c r="R38" s="671">
        <v>2</v>
      </c>
      <c r="S38" s="642" t="s">
        <v>500</v>
      </c>
      <c r="T38" s="642" t="s">
        <v>524</v>
      </c>
      <c r="U38" s="674" t="s">
        <v>502</v>
      </c>
      <c r="V38" s="642" t="s">
        <v>503</v>
      </c>
      <c r="W38" s="642" t="s">
        <v>567</v>
      </c>
      <c r="X38" s="646" t="s">
        <v>956</v>
      </c>
      <c r="Y38" s="647" t="s">
        <v>957</v>
      </c>
      <c r="Z38" s="646" t="s">
        <v>2501</v>
      </c>
      <c r="AA38" s="642" t="s">
        <v>538</v>
      </c>
      <c r="AB38" s="642" t="s">
        <v>710</v>
      </c>
      <c r="AC38" s="649">
        <v>30949</v>
      </c>
      <c r="AD38" s="650">
        <f t="shared" si="1"/>
        <v>24</v>
      </c>
      <c r="AE38" s="650">
        <f t="shared" si="2"/>
        <v>9</v>
      </c>
      <c r="AF38" s="650">
        <f t="shared" si="3"/>
        <v>1984</v>
      </c>
      <c r="AG38" s="651">
        <f t="shared" si="0"/>
        <v>52864</v>
      </c>
      <c r="AH38" s="650">
        <f t="shared" ca="1" si="4"/>
        <v>18</v>
      </c>
      <c r="AI38" s="650">
        <f t="shared" ca="1" si="5"/>
        <v>9</v>
      </c>
      <c r="AJ38" s="650">
        <f t="shared" ca="1" si="6"/>
        <v>13</v>
      </c>
      <c r="AK38" s="650" t="str">
        <f t="shared" ca="1" si="7"/>
        <v>18year/9months/13Days</v>
      </c>
      <c r="AL38" s="671"/>
      <c r="AM38" s="676" t="s">
        <v>1615</v>
      </c>
      <c r="AN38" s="692" t="s">
        <v>1616</v>
      </c>
      <c r="AO38" s="671"/>
      <c r="AP38" s="671"/>
      <c r="AQ38" s="671"/>
      <c r="AR38" s="671"/>
      <c r="AS38" s="671"/>
      <c r="AT38" s="671"/>
      <c r="AU38" s="671"/>
      <c r="AV38" s="671"/>
      <c r="AW38" s="671"/>
      <c r="AX38" s="671"/>
      <c r="AY38" s="698">
        <v>2025</v>
      </c>
      <c r="AZ38" s="699">
        <v>1</v>
      </c>
      <c r="BA38" s="698">
        <v>181</v>
      </c>
      <c r="BB38" s="698">
        <v>20</v>
      </c>
      <c r="BC38" s="652" t="s">
        <v>498</v>
      </c>
      <c r="BD38" s="698" t="s">
        <v>498</v>
      </c>
      <c r="BE38" s="698">
        <v>161</v>
      </c>
      <c r="BF38" s="653">
        <f t="shared" si="8"/>
        <v>88.950276243093924</v>
      </c>
      <c r="BG38" s="652" t="s">
        <v>498</v>
      </c>
      <c r="BH38" s="652" t="s">
        <v>498</v>
      </c>
      <c r="BI38" s="698">
        <v>181</v>
      </c>
      <c r="BJ38" s="652" t="s">
        <v>498</v>
      </c>
      <c r="BK38" s="652" t="s">
        <v>498</v>
      </c>
      <c r="BL38" s="654">
        <v>45950</v>
      </c>
      <c r="BM38" s="669"/>
      <c r="BN38" s="669"/>
      <c r="BO38" s="669"/>
      <c r="BP38" s="669"/>
      <c r="BQ38" s="691"/>
      <c r="BR38" s="691"/>
      <c r="BS38" s="691"/>
      <c r="BT38" s="691"/>
      <c r="BU38" s="873" t="s">
        <v>2860</v>
      </c>
      <c r="BV38" s="874"/>
      <c r="BW38" s="874"/>
      <c r="BX38" s="875"/>
      <c r="BY38" s="900" t="s">
        <v>2865</v>
      </c>
      <c r="BZ38" s="901"/>
      <c r="CA38" s="901"/>
      <c r="CB38" s="902"/>
      <c r="CC38" s="655"/>
    </row>
    <row r="39" spans="1:81" s="8" customFormat="1" ht="40.35" customHeight="1" x14ac:dyDescent="0.25">
      <c r="A39" s="9">
        <v>45</v>
      </c>
      <c r="B39" s="118" t="s">
        <v>677</v>
      </c>
      <c r="C39" s="13" t="s">
        <v>122</v>
      </c>
      <c r="D39" s="7" t="s">
        <v>676</v>
      </c>
      <c r="E39" s="3" t="s">
        <v>12</v>
      </c>
      <c r="F39" s="3">
        <v>30</v>
      </c>
      <c r="G39" s="198" t="s">
        <v>21</v>
      </c>
      <c r="H39" s="9" t="s">
        <v>84</v>
      </c>
      <c r="I39" s="9" t="s">
        <v>120</v>
      </c>
      <c r="J39" s="9" t="s">
        <v>110</v>
      </c>
      <c r="K39" s="9" t="s">
        <v>21</v>
      </c>
      <c r="L39" s="215" t="s">
        <v>85</v>
      </c>
      <c r="M39" s="50" t="s">
        <v>675</v>
      </c>
      <c r="N39" s="69" t="s">
        <v>498</v>
      </c>
      <c r="O39" s="69" t="s">
        <v>498</v>
      </c>
      <c r="P39" s="243"/>
      <c r="Q39" s="50" t="s">
        <v>499</v>
      </c>
      <c r="R39" s="50" t="s">
        <v>560</v>
      </c>
      <c r="S39" s="50" t="s">
        <v>500</v>
      </c>
      <c r="T39" s="50" t="s">
        <v>524</v>
      </c>
      <c r="U39" s="52" t="s">
        <v>653</v>
      </c>
      <c r="V39" s="50" t="s">
        <v>503</v>
      </c>
      <c r="W39" s="50" t="s">
        <v>527</v>
      </c>
      <c r="X39" s="70" t="s">
        <v>1929</v>
      </c>
      <c r="Y39" s="50" t="s">
        <v>1930</v>
      </c>
      <c r="Z39" s="50" t="s">
        <v>633</v>
      </c>
      <c r="AA39" s="50" t="s">
        <v>816</v>
      </c>
      <c r="AB39" s="50" t="s">
        <v>615</v>
      </c>
      <c r="AC39" s="55">
        <v>26693</v>
      </c>
      <c r="AD39" s="48">
        <f t="shared" si="1"/>
        <v>29</v>
      </c>
      <c r="AE39" s="48">
        <f t="shared" si="2"/>
        <v>1</v>
      </c>
      <c r="AF39" s="48">
        <f t="shared" si="3"/>
        <v>1973</v>
      </c>
      <c r="AG39" s="49">
        <f t="shared" si="0"/>
        <v>48608</v>
      </c>
      <c r="AH39" s="48">
        <f t="shared" ca="1" si="4"/>
        <v>7</v>
      </c>
      <c r="AI39" s="48">
        <f t="shared" ca="1" si="5"/>
        <v>1</v>
      </c>
      <c r="AJ39" s="48">
        <f t="shared" ca="1" si="6"/>
        <v>18</v>
      </c>
      <c r="AK39" s="48" t="str">
        <f t="shared" ca="1" si="7"/>
        <v>7year/1months/18Days</v>
      </c>
      <c r="AL39" s="60" t="s">
        <v>1931</v>
      </c>
      <c r="AM39" s="60" t="s">
        <v>1618</v>
      </c>
      <c r="AN39" s="275">
        <v>2474</v>
      </c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50">
        <v>2023</v>
      </c>
      <c r="AZ39" s="225" t="s">
        <v>1932</v>
      </c>
      <c r="BA39" s="78">
        <v>1227</v>
      </c>
      <c r="BB39" s="78">
        <v>37</v>
      </c>
      <c r="BC39" s="78">
        <v>34</v>
      </c>
      <c r="BD39" s="78">
        <v>1099</v>
      </c>
      <c r="BE39" s="78">
        <v>57</v>
      </c>
      <c r="BF39" s="74">
        <f t="shared" si="8"/>
        <v>4.6454767726161368</v>
      </c>
      <c r="BG39" s="78" t="s">
        <v>498</v>
      </c>
      <c r="BH39" s="78" t="s">
        <v>498</v>
      </c>
      <c r="BI39" s="78">
        <v>1227</v>
      </c>
      <c r="BJ39" s="78"/>
      <c r="BK39" s="95"/>
      <c r="BL39" s="151">
        <v>45320</v>
      </c>
      <c r="BM39" s="867" t="s">
        <v>1799</v>
      </c>
      <c r="BN39" s="868"/>
      <c r="BO39" s="868"/>
      <c r="BP39" s="869"/>
      <c r="BQ39" s="870" t="s">
        <v>1852</v>
      </c>
      <c r="BR39" s="871"/>
      <c r="BS39" s="871"/>
      <c r="BT39" s="872"/>
      <c r="BU39" s="867" t="s">
        <v>2605</v>
      </c>
      <c r="BV39" s="868"/>
      <c r="BW39" s="868"/>
      <c r="BX39" s="869"/>
      <c r="BY39" s="476"/>
      <c r="BZ39" s="476"/>
      <c r="CA39" s="476"/>
      <c r="CB39" s="476"/>
      <c r="CC39" s="27"/>
    </row>
    <row r="40" spans="1:81" s="656" customFormat="1" ht="40.35" customHeight="1" x14ac:dyDescent="0.3">
      <c r="A40" s="636">
        <v>46</v>
      </c>
      <c r="B40" s="637" t="s">
        <v>684</v>
      </c>
      <c r="C40" s="638" t="s">
        <v>119</v>
      </c>
      <c r="D40" s="451" t="s">
        <v>676</v>
      </c>
      <c r="E40" s="451" t="s">
        <v>12</v>
      </c>
      <c r="F40" s="444">
        <v>31</v>
      </c>
      <c r="G40" s="640" t="s">
        <v>21</v>
      </c>
      <c r="H40" s="636" t="s">
        <v>84</v>
      </c>
      <c r="I40" s="636" t="s">
        <v>120</v>
      </c>
      <c r="J40" s="636" t="s">
        <v>110</v>
      </c>
      <c r="K40" s="636" t="s">
        <v>21</v>
      </c>
      <c r="L40" s="641" t="s">
        <v>85</v>
      </c>
      <c r="M40" s="642" t="s">
        <v>678</v>
      </c>
      <c r="N40" s="643" t="s">
        <v>498</v>
      </c>
      <c r="O40" s="648" t="s">
        <v>679</v>
      </c>
      <c r="P40" s="700"/>
      <c r="Q40" s="642" t="s">
        <v>499</v>
      </c>
      <c r="R40" s="642" t="s">
        <v>680</v>
      </c>
      <c r="S40" s="642" t="s">
        <v>500</v>
      </c>
      <c r="T40" s="642" t="s">
        <v>524</v>
      </c>
      <c r="U40" s="645" t="s">
        <v>653</v>
      </c>
      <c r="V40" s="642" t="s">
        <v>503</v>
      </c>
      <c r="W40" s="642" t="s">
        <v>654</v>
      </c>
      <c r="X40" s="647" t="s">
        <v>1336</v>
      </c>
      <c r="Y40" s="701" t="s">
        <v>1337</v>
      </c>
      <c r="Z40" s="648" t="s">
        <v>683</v>
      </c>
      <c r="AA40" s="642" t="s">
        <v>538</v>
      </c>
      <c r="AB40" s="642" t="s">
        <v>2073</v>
      </c>
      <c r="AC40" s="649">
        <v>28454</v>
      </c>
      <c r="AD40" s="650">
        <f t="shared" si="1"/>
        <v>25</v>
      </c>
      <c r="AE40" s="650">
        <f t="shared" si="2"/>
        <v>11</v>
      </c>
      <c r="AF40" s="650">
        <f t="shared" si="3"/>
        <v>1977</v>
      </c>
      <c r="AG40" s="651">
        <f t="shared" si="0"/>
        <v>50369</v>
      </c>
      <c r="AH40" s="650">
        <f t="shared" ca="1" si="4"/>
        <v>11</v>
      </c>
      <c r="AI40" s="650">
        <f t="shared" ca="1" si="5"/>
        <v>11</v>
      </c>
      <c r="AJ40" s="650">
        <f t="shared" ca="1" si="6"/>
        <v>14</v>
      </c>
      <c r="AK40" s="650" t="str">
        <f t="shared" ca="1" si="7"/>
        <v>11year/11months/14Days</v>
      </c>
      <c r="AL40" s="702"/>
      <c r="AM40" s="702" t="s">
        <v>1617</v>
      </c>
      <c r="AN40" s="703">
        <v>1910</v>
      </c>
      <c r="AO40" s="702"/>
      <c r="AP40" s="702"/>
      <c r="AQ40" s="702"/>
      <c r="AR40" s="702"/>
      <c r="AS40" s="702"/>
      <c r="AT40" s="702"/>
      <c r="AU40" s="702"/>
      <c r="AV40" s="702"/>
      <c r="AW40" s="702"/>
      <c r="AX40" s="702"/>
      <c r="AY40" s="642">
        <v>2020</v>
      </c>
      <c r="AZ40" s="667">
        <v>2</v>
      </c>
      <c r="BA40" s="652">
        <v>736</v>
      </c>
      <c r="BB40" s="652">
        <v>212</v>
      </c>
      <c r="BC40" s="652" t="s">
        <v>498</v>
      </c>
      <c r="BD40" s="652">
        <v>327</v>
      </c>
      <c r="BE40" s="652">
        <v>111</v>
      </c>
      <c r="BF40" s="653">
        <f t="shared" si="8"/>
        <v>15.081521739130435</v>
      </c>
      <c r="BG40" s="652" t="s">
        <v>498</v>
      </c>
      <c r="BH40" s="652" t="s">
        <v>498</v>
      </c>
      <c r="BI40" s="652">
        <v>736</v>
      </c>
      <c r="BJ40" s="668"/>
      <c r="BK40" s="668"/>
      <c r="BL40" s="654" t="s">
        <v>1526</v>
      </c>
      <c r="BM40" s="873" t="s">
        <v>1792</v>
      </c>
      <c r="BN40" s="874"/>
      <c r="BO40" s="874"/>
      <c r="BP40" s="875"/>
      <c r="BQ40" s="666"/>
      <c r="BR40" s="666"/>
      <c r="BS40" s="666"/>
      <c r="BT40" s="666"/>
      <c r="BU40" s="873" t="s">
        <v>2605</v>
      </c>
      <c r="BV40" s="874"/>
      <c r="BW40" s="874"/>
      <c r="BX40" s="875"/>
      <c r="BY40" s="666"/>
      <c r="BZ40" s="666"/>
      <c r="CA40" s="666"/>
      <c r="CB40" s="666"/>
      <c r="CC40" s="655"/>
    </row>
    <row r="41" spans="1:81" s="8" customFormat="1" ht="40.35" customHeight="1" x14ac:dyDescent="0.25">
      <c r="A41" s="558">
        <v>47</v>
      </c>
      <c r="B41" s="183" t="s">
        <v>2664</v>
      </c>
      <c r="C41" s="11" t="s">
        <v>124</v>
      </c>
      <c r="D41" s="3" t="s">
        <v>1869</v>
      </c>
      <c r="E41" s="3" t="s">
        <v>12</v>
      </c>
      <c r="F41" s="381">
        <v>32</v>
      </c>
      <c r="G41" s="198" t="s">
        <v>66</v>
      </c>
      <c r="H41" s="9" t="s">
        <v>125</v>
      </c>
      <c r="I41" s="9" t="s">
        <v>126</v>
      </c>
      <c r="J41" s="9" t="s">
        <v>29</v>
      </c>
      <c r="K41" s="9" t="s">
        <v>98</v>
      </c>
      <c r="L41" s="215" t="s">
        <v>125</v>
      </c>
      <c r="M41" s="50" t="s">
        <v>960</v>
      </c>
      <c r="N41" s="69" t="s">
        <v>498</v>
      </c>
      <c r="O41" s="51" t="s">
        <v>961</v>
      </c>
      <c r="P41" s="244" t="s">
        <v>1979</v>
      </c>
      <c r="Q41" s="50" t="s">
        <v>499</v>
      </c>
      <c r="R41" s="50">
        <v>2</v>
      </c>
      <c r="S41" s="50" t="s">
        <v>500</v>
      </c>
      <c r="T41" s="50" t="s">
        <v>524</v>
      </c>
      <c r="U41" s="52" t="s">
        <v>502</v>
      </c>
      <c r="V41" s="50" t="s">
        <v>503</v>
      </c>
      <c r="W41" s="50" t="s">
        <v>567</v>
      </c>
      <c r="X41" s="70" t="s">
        <v>2665</v>
      </c>
      <c r="Y41" s="60" t="s">
        <v>498</v>
      </c>
      <c r="Z41" s="60" t="s">
        <v>498</v>
      </c>
      <c r="AA41" s="50" t="s">
        <v>660</v>
      </c>
      <c r="AB41" s="50" t="s">
        <v>506</v>
      </c>
      <c r="AC41" s="55"/>
      <c r="AD41" s="48"/>
      <c r="AE41" s="48"/>
      <c r="AF41" s="48"/>
      <c r="AG41" s="49"/>
      <c r="AH41" s="48"/>
      <c r="AI41" s="48"/>
      <c r="AJ41" s="48"/>
      <c r="AK41" s="48"/>
      <c r="AL41" s="106"/>
      <c r="AM41" s="384" t="s">
        <v>1619</v>
      </c>
      <c r="AN41" s="276">
        <v>2230</v>
      </c>
      <c r="AO41" s="384"/>
      <c r="AP41" s="384"/>
      <c r="AQ41" s="384"/>
      <c r="AR41" s="384"/>
      <c r="AS41" s="384"/>
      <c r="AT41" s="384"/>
      <c r="AU41" s="384"/>
      <c r="AV41" s="384"/>
      <c r="AW41" s="384"/>
      <c r="AX41" s="384"/>
      <c r="AY41" s="50">
        <v>2024</v>
      </c>
      <c r="AZ41" s="107">
        <v>1</v>
      </c>
      <c r="BA41" s="78">
        <v>220</v>
      </c>
      <c r="BB41" s="78">
        <v>78</v>
      </c>
      <c r="BC41" s="78" t="s">
        <v>498</v>
      </c>
      <c r="BD41" s="78" t="s">
        <v>498</v>
      </c>
      <c r="BE41" s="78">
        <v>142</v>
      </c>
      <c r="BF41" s="74">
        <f t="shared" si="8"/>
        <v>64.545454545454547</v>
      </c>
      <c r="BG41" s="78" t="s">
        <v>498</v>
      </c>
      <c r="BH41" s="78" t="s">
        <v>498</v>
      </c>
      <c r="BI41" s="78">
        <v>220</v>
      </c>
      <c r="BJ41" s="78" t="s">
        <v>498</v>
      </c>
      <c r="BK41" s="78" t="s">
        <v>498</v>
      </c>
      <c r="BL41" s="76">
        <v>45554</v>
      </c>
      <c r="BM41" s="867" t="s">
        <v>1855</v>
      </c>
      <c r="BN41" s="868"/>
      <c r="BO41" s="868"/>
      <c r="BP41" s="869"/>
      <c r="BQ41" s="870" t="s">
        <v>1870</v>
      </c>
      <c r="BR41" s="871"/>
      <c r="BS41" s="871"/>
      <c r="BT41" s="872"/>
      <c r="BU41" s="867" t="s">
        <v>2605</v>
      </c>
      <c r="BV41" s="868"/>
      <c r="BW41" s="868"/>
      <c r="BX41" s="869"/>
      <c r="BY41" s="870" t="s">
        <v>2632</v>
      </c>
      <c r="BZ41" s="871"/>
      <c r="CA41" s="871"/>
      <c r="CB41" s="872"/>
      <c r="CC41" s="27"/>
    </row>
    <row r="42" spans="1:81" s="8" customFormat="1" ht="40.35" customHeight="1" x14ac:dyDescent="0.3">
      <c r="A42" s="9">
        <v>48</v>
      </c>
      <c r="B42" s="183" t="s">
        <v>965</v>
      </c>
      <c r="C42" s="11" t="s">
        <v>128</v>
      </c>
      <c r="D42" s="7" t="s">
        <v>966</v>
      </c>
      <c r="E42" s="3" t="s">
        <v>12</v>
      </c>
      <c r="F42" s="3">
        <v>33</v>
      </c>
      <c r="G42" s="198" t="s">
        <v>69</v>
      </c>
      <c r="H42" s="9" t="s">
        <v>96</v>
      </c>
      <c r="I42" s="9" t="s">
        <v>97</v>
      </c>
      <c r="J42" s="9" t="s">
        <v>29</v>
      </c>
      <c r="K42" s="9" t="s">
        <v>98</v>
      </c>
      <c r="L42" s="215" t="s">
        <v>98</v>
      </c>
      <c r="M42" s="50" t="s">
        <v>962</v>
      </c>
      <c r="N42" s="69" t="s">
        <v>498</v>
      </c>
      <c r="O42" s="50"/>
      <c r="P42" s="243"/>
      <c r="Q42" s="50" t="s">
        <v>499</v>
      </c>
      <c r="R42" s="50">
        <v>3</v>
      </c>
      <c r="S42" s="50" t="s">
        <v>500</v>
      </c>
      <c r="T42" s="50" t="s">
        <v>524</v>
      </c>
      <c r="U42" s="52" t="s">
        <v>535</v>
      </c>
      <c r="V42" s="50" t="s">
        <v>503</v>
      </c>
      <c r="W42" s="50" t="s">
        <v>527</v>
      </c>
      <c r="X42" s="70" t="s">
        <v>963</v>
      </c>
      <c r="Y42" s="50" t="s">
        <v>964</v>
      </c>
      <c r="Z42" s="50"/>
      <c r="AA42" s="50" t="s">
        <v>538</v>
      </c>
      <c r="AB42" s="50" t="s">
        <v>506</v>
      </c>
      <c r="AC42" s="55">
        <v>26696</v>
      </c>
      <c r="AD42" s="48">
        <f t="shared" si="1"/>
        <v>1</v>
      </c>
      <c r="AE42" s="48">
        <f t="shared" si="2"/>
        <v>2</v>
      </c>
      <c r="AF42" s="48">
        <f t="shared" si="3"/>
        <v>1973</v>
      </c>
      <c r="AG42" s="49">
        <f t="shared" si="0"/>
        <v>48611</v>
      </c>
      <c r="AH42" s="48">
        <f t="shared" ca="1" si="4"/>
        <v>7</v>
      </c>
      <c r="AI42" s="48">
        <f t="shared" ca="1" si="5"/>
        <v>1</v>
      </c>
      <c r="AJ42" s="48">
        <f t="shared" ca="1" si="6"/>
        <v>21</v>
      </c>
      <c r="AK42" s="48" t="str">
        <f t="shared" ca="1" si="7"/>
        <v>7year/1months/21Days</v>
      </c>
      <c r="AL42" s="384"/>
      <c r="AM42" s="384" t="s">
        <v>1620</v>
      </c>
      <c r="AN42" s="276">
        <v>1157</v>
      </c>
      <c r="AO42" s="384"/>
      <c r="AP42" s="384"/>
      <c r="AQ42" s="384"/>
      <c r="AR42" s="384"/>
      <c r="AS42" s="384"/>
      <c r="AT42" s="384"/>
      <c r="AU42" s="384"/>
      <c r="AV42" s="384"/>
      <c r="AW42" s="384"/>
      <c r="AX42" s="384"/>
      <c r="AY42" s="50"/>
      <c r="AZ42" s="340"/>
      <c r="BA42" s="95"/>
      <c r="BB42" s="95"/>
      <c r="BC42" s="78" t="s">
        <v>498</v>
      </c>
      <c r="BD42" s="95"/>
      <c r="BE42" s="95"/>
      <c r="BF42" s="74" t="e">
        <f t="shared" si="8"/>
        <v>#DIV/0!</v>
      </c>
      <c r="BG42" s="78" t="s">
        <v>498</v>
      </c>
      <c r="BH42" s="78" t="s">
        <v>498</v>
      </c>
      <c r="BI42" s="95"/>
      <c r="BJ42" s="95"/>
      <c r="BK42" s="95"/>
      <c r="BL42" s="151"/>
      <c r="BM42" s="379"/>
      <c r="BN42" s="379"/>
      <c r="BO42" s="379"/>
      <c r="BP42" s="379"/>
      <c r="BQ42" s="305"/>
      <c r="BR42" s="305"/>
      <c r="BS42" s="305"/>
      <c r="BT42" s="305"/>
      <c r="BU42" s="867" t="s">
        <v>2593</v>
      </c>
      <c r="BV42" s="868"/>
      <c r="BW42" s="868"/>
      <c r="BX42" s="869"/>
      <c r="BY42" s="305"/>
      <c r="BZ42" s="305"/>
      <c r="CA42" s="305"/>
      <c r="CB42" s="305"/>
      <c r="CC42" s="27"/>
    </row>
    <row r="43" spans="1:81" s="8" customFormat="1" ht="40.35" customHeight="1" x14ac:dyDescent="0.3">
      <c r="A43" s="58" t="s">
        <v>2496</v>
      </c>
      <c r="B43" s="118" t="s">
        <v>544</v>
      </c>
      <c r="C43" s="13" t="s">
        <v>129</v>
      </c>
      <c r="D43" s="3" t="s">
        <v>539</v>
      </c>
      <c r="E43" s="3" t="s">
        <v>12</v>
      </c>
      <c r="F43" s="381">
        <v>34</v>
      </c>
      <c r="G43" s="198" t="s">
        <v>13</v>
      </c>
      <c r="H43" s="9" t="s">
        <v>14</v>
      </c>
      <c r="I43" s="9" t="s">
        <v>130</v>
      </c>
      <c r="J43" s="9" t="s">
        <v>14</v>
      </c>
      <c r="K43" s="9" t="s">
        <v>14</v>
      </c>
      <c r="L43" s="215" t="s">
        <v>16</v>
      </c>
      <c r="M43" s="368" t="s">
        <v>541</v>
      </c>
      <c r="N43" s="69" t="s">
        <v>498</v>
      </c>
      <c r="O43" s="368"/>
      <c r="P43" s="252"/>
      <c r="Q43" s="50" t="s">
        <v>499</v>
      </c>
      <c r="R43" s="368"/>
      <c r="S43" s="50" t="s">
        <v>500</v>
      </c>
      <c r="T43" s="50" t="s">
        <v>524</v>
      </c>
      <c r="U43" s="56"/>
      <c r="V43" s="50" t="s">
        <v>503</v>
      </c>
      <c r="W43" s="368" t="s">
        <v>542</v>
      </c>
      <c r="X43" s="57" t="s">
        <v>543</v>
      </c>
      <c r="Y43" s="368"/>
      <c r="Z43" s="368"/>
      <c r="AA43" s="50" t="s">
        <v>538</v>
      </c>
      <c r="AB43" s="50" t="s">
        <v>506</v>
      </c>
      <c r="AC43" s="55">
        <v>26697</v>
      </c>
      <c r="AD43" s="48">
        <f t="shared" si="1"/>
        <v>2</v>
      </c>
      <c r="AE43" s="48">
        <f t="shared" si="2"/>
        <v>2</v>
      </c>
      <c r="AF43" s="48">
        <f t="shared" si="3"/>
        <v>1973</v>
      </c>
      <c r="AG43" s="49">
        <f t="shared" si="0"/>
        <v>48612</v>
      </c>
      <c r="AH43" s="48">
        <f t="shared" ca="1" si="4"/>
        <v>7</v>
      </c>
      <c r="AI43" s="48">
        <f t="shared" ca="1" si="5"/>
        <v>1</v>
      </c>
      <c r="AJ43" s="48">
        <f t="shared" ca="1" si="6"/>
        <v>22</v>
      </c>
      <c r="AK43" s="48" t="str">
        <f t="shared" ca="1" si="7"/>
        <v>7year/1months/22Days</v>
      </c>
      <c r="AL43" s="368"/>
      <c r="AM43" s="369" t="s">
        <v>1622</v>
      </c>
      <c r="AN43" s="280" t="s">
        <v>1623</v>
      </c>
      <c r="AO43" s="368"/>
      <c r="AP43" s="368"/>
      <c r="AQ43" s="368"/>
      <c r="AR43" s="368"/>
      <c r="AS43" s="368"/>
      <c r="AT43" s="368"/>
      <c r="AU43" s="368"/>
      <c r="AV43" s="368"/>
      <c r="AW43" s="368"/>
      <c r="AX43" s="368"/>
      <c r="AY43" s="368"/>
      <c r="AZ43" s="56"/>
      <c r="BA43" s="368"/>
      <c r="BB43" s="368"/>
      <c r="BC43" s="78" t="s">
        <v>498</v>
      </c>
      <c r="BD43" s="368"/>
      <c r="BE43" s="368"/>
      <c r="BF43" s="74" t="e">
        <f t="shared" si="8"/>
        <v>#DIV/0!</v>
      </c>
      <c r="BG43" s="78" t="s">
        <v>498</v>
      </c>
      <c r="BH43" s="78" t="s">
        <v>498</v>
      </c>
      <c r="BI43" s="368"/>
      <c r="BJ43" s="368"/>
      <c r="BK43" s="368"/>
      <c r="BL43" s="351"/>
      <c r="BM43" s="313"/>
      <c r="BN43" s="304"/>
      <c r="BO43" s="304"/>
      <c r="BP43" s="304"/>
      <c r="BQ43" s="304"/>
      <c r="BR43" s="304"/>
      <c r="BS43" s="304"/>
      <c r="BT43" s="304"/>
      <c r="BU43" s="867" t="s">
        <v>2635</v>
      </c>
      <c r="BV43" s="868"/>
      <c r="BW43" s="868"/>
      <c r="BX43" s="869"/>
      <c r="BY43" s="304"/>
      <c r="BZ43" s="304"/>
      <c r="CA43" s="304"/>
      <c r="CB43" s="304"/>
      <c r="CC43" s="27"/>
    </row>
    <row r="44" spans="1:81" s="8" customFormat="1" ht="40.35" customHeight="1" x14ac:dyDescent="0.25">
      <c r="A44" s="58">
        <v>51</v>
      </c>
      <c r="B44" s="118" t="s">
        <v>540</v>
      </c>
      <c r="C44" s="13" t="s">
        <v>546</v>
      </c>
      <c r="D44" s="7" t="s">
        <v>539</v>
      </c>
      <c r="E44" s="3" t="s">
        <v>12</v>
      </c>
      <c r="F44" s="3">
        <v>35</v>
      </c>
      <c r="G44" s="198" t="s">
        <v>13</v>
      </c>
      <c r="H44" s="9" t="s">
        <v>14</v>
      </c>
      <c r="I44" s="9" t="s">
        <v>130</v>
      </c>
      <c r="J44" s="9" t="s">
        <v>14</v>
      </c>
      <c r="K44" s="9" t="s">
        <v>14</v>
      </c>
      <c r="L44" s="215" t="s">
        <v>16</v>
      </c>
      <c r="M44" s="50" t="s">
        <v>532</v>
      </c>
      <c r="N44" s="69" t="s">
        <v>498</v>
      </c>
      <c r="O44" s="51" t="s">
        <v>533</v>
      </c>
      <c r="P44" s="243" t="s">
        <v>534</v>
      </c>
      <c r="Q44" s="50" t="s">
        <v>499</v>
      </c>
      <c r="R44" s="50">
        <v>3</v>
      </c>
      <c r="S44" s="50" t="s">
        <v>500</v>
      </c>
      <c r="T44" s="50" t="s">
        <v>524</v>
      </c>
      <c r="U44" s="52" t="s">
        <v>535</v>
      </c>
      <c r="V44" s="50" t="s">
        <v>503</v>
      </c>
      <c r="W44" s="50" t="s">
        <v>527</v>
      </c>
      <c r="X44" s="53" t="s">
        <v>536</v>
      </c>
      <c r="Y44" s="54" t="s">
        <v>532</v>
      </c>
      <c r="Z44" s="53" t="s">
        <v>537</v>
      </c>
      <c r="AA44" s="50" t="s">
        <v>538</v>
      </c>
      <c r="AB44" s="50" t="s">
        <v>506</v>
      </c>
      <c r="AC44" s="55">
        <v>26698</v>
      </c>
      <c r="AD44" s="48">
        <f t="shared" si="1"/>
        <v>3</v>
      </c>
      <c r="AE44" s="48">
        <f t="shared" si="2"/>
        <v>2</v>
      </c>
      <c r="AF44" s="48">
        <f t="shared" si="3"/>
        <v>1973</v>
      </c>
      <c r="AG44" s="49">
        <f t="shared" si="0"/>
        <v>48613</v>
      </c>
      <c r="AH44" s="48">
        <f t="shared" ca="1" si="4"/>
        <v>7</v>
      </c>
      <c r="AI44" s="48">
        <f t="shared" ca="1" si="5"/>
        <v>1</v>
      </c>
      <c r="AJ44" s="48">
        <f t="shared" ca="1" si="6"/>
        <v>23</v>
      </c>
      <c r="AK44" s="48" t="str">
        <f t="shared" ca="1" si="7"/>
        <v>7year/1months/23Days</v>
      </c>
      <c r="AL44" s="54"/>
      <c r="AM44" s="50" t="s">
        <v>1621</v>
      </c>
      <c r="AN44" s="229">
        <v>1576</v>
      </c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0">
        <v>2022</v>
      </c>
      <c r="AZ44" s="342">
        <v>1</v>
      </c>
      <c r="BA44" s="78">
        <v>70</v>
      </c>
      <c r="BB44" s="85">
        <v>34</v>
      </c>
      <c r="BC44" s="78" t="s">
        <v>498</v>
      </c>
      <c r="BD44" s="85" t="s">
        <v>498</v>
      </c>
      <c r="BE44" s="78">
        <v>36</v>
      </c>
      <c r="BF44" s="74">
        <f t="shared" si="8"/>
        <v>51.428571428571423</v>
      </c>
      <c r="BG44" s="78" t="s">
        <v>498</v>
      </c>
      <c r="BH44" s="78" t="s">
        <v>498</v>
      </c>
      <c r="BI44" s="85">
        <v>70</v>
      </c>
      <c r="BJ44" s="85" t="s">
        <v>498</v>
      </c>
      <c r="BK44" s="85" t="s">
        <v>498</v>
      </c>
      <c r="BL44" s="151">
        <v>44834</v>
      </c>
      <c r="BM44" s="867" t="s">
        <v>1864</v>
      </c>
      <c r="BN44" s="868"/>
      <c r="BO44" s="868"/>
      <c r="BP44" s="869"/>
      <c r="BQ44" s="318"/>
      <c r="BR44" s="318"/>
      <c r="BS44" s="318"/>
      <c r="BT44" s="318"/>
      <c r="BU44" s="867" t="s">
        <v>2605</v>
      </c>
      <c r="BV44" s="868"/>
      <c r="BW44" s="868"/>
      <c r="BX44" s="869"/>
      <c r="BY44" s="318"/>
      <c r="BZ44" s="318"/>
      <c r="CA44" s="318"/>
      <c r="CB44" s="318"/>
      <c r="CC44" s="27"/>
    </row>
    <row r="45" spans="1:81" s="656" customFormat="1" ht="40.35" customHeight="1" x14ac:dyDescent="0.3">
      <c r="A45" s="679">
        <v>52</v>
      </c>
      <c r="B45" s="657" t="s">
        <v>2858</v>
      </c>
      <c r="C45" s="658" t="s">
        <v>2859</v>
      </c>
      <c r="D45" s="639" t="s">
        <v>967</v>
      </c>
      <c r="E45" s="451" t="s">
        <v>12</v>
      </c>
      <c r="F45" s="444">
        <v>36</v>
      </c>
      <c r="G45" s="640" t="s">
        <v>69</v>
      </c>
      <c r="H45" s="636" t="s">
        <v>80</v>
      </c>
      <c r="I45" s="636" t="s">
        <v>133</v>
      </c>
      <c r="J45" s="636" t="s">
        <v>29</v>
      </c>
      <c r="K45" s="636" t="s">
        <v>30</v>
      </c>
      <c r="L45" s="641" t="s">
        <v>30</v>
      </c>
      <c r="M45" s="642" t="s">
        <v>2745</v>
      </c>
      <c r="N45" s="643" t="s">
        <v>498</v>
      </c>
      <c r="O45" s="642" t="s">
        <v>498</v>
      </c>
      <c r="P45" s="660" t="s">
        <v>2746</v>
      </c>
      <c r="Q45" s="642" t="s">
        <v>499</v>
      </c>
      <c r="R45" s="642">
        <v>2</v>
      </c>
      <c r="S45" s="642" t="s">
        <v>500</v>
      </c>
      <c r="T45" s="642" t="s">
        <v>524</v>
      </c>
      <c r="U45" s="661" t="s">
        <v>502</v>
      </c>
      <c r="V45" s="642" t="s">
        <v>503</v>
      </c>
      <c r="W45" s="648" t="s">
        <v>567</v>
      </c>
      <c r="X45" s="662" t="s">
        <v>2747</v>
      </c>
      <c r="Y45" s="648" t="s">
        <v>2862</v>
      </c>
      <c r="Z45" s="648" t="s">
        <v>2074</v>
      </c>
      <c r="AA45" s="642" t="s">
        <v>538</v>
      </c>
      <c r="AB45" s="642" t="s">
        <v>710</v>
      </c>
      <c r="AC45" s="649">
        <v>29765</v>
      </c>
      <c r="AD45" s="650">
        <f t="shared" si="1"/>
        <v>28</v>
      </c>
      <c r="AE45" s="650">
        <f t="shared" si="2"/>
        <v>6</v>
      </c>
      <c r="AF45" s="650">
        <f t="shared" si="3"/>
        <v>1981</v>
      </c>
      <c r="AG45" s="651">
        <f t="shared" si="0"/>
        <v>51680</v>
      </c>
      <c r="AH45" s="650">
        <f t="shared" ca="1" si="4"/>
        <v>15</v>
      </c>
      <c r="AI45" s="650">
        <f t="shared" ca="1" si="5"/>
        <v>6</v>
      </c>
      <c r="AJ45" s="650">
        <f t="shared" ca="1" si="6"/>
        <v>17</v>
      </c>
      <c r="AK45" s="650" t="str">
        <f t="shared" ca="1" si="7"/>
        <v>15year/6months/17Days</v>
      </c>
      <c r="AL45" s="663"/>
      <c r="AM45" s="702" t="s">
        <v>1624</v>
      </c>
      <c r="AN45" s="703">
        <v>306</v>
      </c>
      <c r="AO45" s="663"/>
      <c r="AP45" s="663"/>
      <c r="AQ45" s="663"/>
      <c r="AR45" s="663"/>
      <c r="AS45" s="663"/>
      <c r="AT45" s="663"/>
      <c r="AU45" s="663"/>
      <c r="AV45" s="663"/>
      <c r="AW45" s="663"/>
      <c r="AX45" s="663"/>
      <c r="AY45" s="652">
        <v>2025</v>
      </c>
      <c r="AZ45" s="704" t="s">
        <v>1917</v>
      </c>
      <c r="BA45" s="705">
        <v>95</v>
      </c>
      <c r="BB45" s="652">
        <v>5</v>
      </c>
      <c r="BC45" s="652">
        <v>2</v>
      </c>
      <c r="BD45" s="652" t="s">
        <v>498</v>
      </c>
      <c r="BE45" s="652">
        <v>88</v>
      </c>
      <c r="BF45" s="653">
        <f t="shared" si="8"/>
        <v>92.631578947368425</v>
      </c>
      <c r="BG45" s="652" t="s">
        <v>498</v>
      </c>
      <c r="BH45" s="652" t="s">
        <v>498</v>
      </c>
      <c r="BI45" s="652">
        <v>95</v>
      </c>
      <c r="BJ45" s="706" t="s">
        <v>498</v>
      </c>
      <c r="BK45" s="706" t="s">
        <v>498</v>
      </c>
      <c r="BL45" s="654">
        <v>45945</v>
      </c>
      <c r="BM45" s="669"/>
      <c r="BN45" s="669"/>
      <c r="BO45" s="669"/>
      <c r="BP45" s="669"/>
      <c r="BQ45" s="666"/>
      <c r="BR45" s="666"/>
      <c r="BS45" s="666"/>
      <c r="BT45" s="666"/>
      <c r="BU45" s="873" t="s">
        <v>2860</v>
      </c>
      <c r="BV45" s="874"/>
      <c r="BW45" s="874"/>
      <c r="BX45" s="875"/>
      <c r="BY45" s="873" t="s">
        <v>2861</v>
      </c>
      <c r="BZ45" s="874"/>
      <c r="CA45" s="874"/>
      <c r="CB45" s="875"/>
      <c r="CC45" s="655"/>
    </row>
    <row r="46" spans="1:81" s="656" customFormat="1" ht="40.35" customHeight="1" x14ac:dyDescent="0.3">
      <c r="A46" s="679" t="s">
        <v>2497</v>
      </c>
      <c r="B46" s="657" t="s">
        <v>969</v>
      </c>
      <c r="C46" s="658" t="s">
        <v>135</v>
      </c>
      <c r="D46" s="659" t="s">
        <v>970</v>
      </c>
      <c r="E46" s="451" t="s">
        <v>12</v>
      </c>
      <c r="F46" s="451">
        <v>37</v>
      </c>
      <c r="G46" s="640" t="s">
        <v>26</v>
      </c>
      <c r="H46" s="636" t="s">
        <v>30</v>
      </c>
      <c r="I46" s="636" t="s">
        <v>136</v>
      </c>
      <c r="J46" s="636" t="s">
        <v>29</v>
      </c>
      <c r="K46" s="636" t="s">
        <v>30</v>
      </c>
      <c r="L46" s="641" t="s">
        <v>30</v>
      </c>
      <c r="M46" s="671" t="s">
        <v>968</v>
      </c>
      <c r="N46" s="643" t="s">
        <v>498</v>
      </c>
      <c r="O46" s="671"/>
      <c r="P46" s="697" t="s">
        <v>2881</v>
      </c>
      <c r="Q46" s="642" t="s">
        <v>499</v>
      </c>
      <c r="R46" s="671">
        <v>2</v>
      </c>
      <c r="S46" s="642" t="s">
        <v>500</v>
      </c>
      <c r="T46" s="642" t="s">
        <v>524</v>
      </c>
      <c r="U46" s="674" t="s">
        <v>502</v>
      </c>
      <c r="V46" s="642" t="s">
        <v>503</v>
      </c>
      <c r="W46" s="676" t="s">
        <v>504</v>
      </c>
      <c r="X46" s="707" t="s">
        <v>2070</v>
      </c>
      <c r="Y46" s="671" t="s">
        <v>2071</v>
      </c>
      <c r="Z46" s="671" t="s">
        <v>2072</v>
      </c>
      <c r="AA46" s="642" t="s">
        <v>538</v>
      </c>
      <c r="AB46" s="642" t="s">
        <v>710</v>
      </c>
      <c r="AC46" s="649">
        <v>28317</v>
      </c>
      <c r="AD46" s="650">
        <f t="shared" si="1"/>
        <v>11</v>
      </c>
      <c r="AE46" s="650">
        <f t="shared" si="2"/>
        <v>7</v>
      </c>
      <c r="AF46" s="650">
        <f t="shared" si="3"/>
        <v>1977</v>
      </c>
      <c r="AG46" s="651">
        <f t="shared" si="0"/>
        <v>50232</v>
      </c>
      <c r="AH46" s="650">
        <f t="shared" ca="1" si="4"/>
        <v>11</v>
      </c>
      <c r="AI46" s="650">
        <f t="shared" ca="1" si="5"/>
        <v>7</v>
      </c>
      <c r="AJ46" s="650">
        <f t="shared" ca="1" si="6"/>
        <v>0</v>
      </c>
      <c r="AK46" s="650" t="str">
        <f t="shared" ca="1" si="7"/>
        <v>11year/7months/0Days</v>
      </c>
      <c r="AL46" s="708"/>
      <c r="AM46" s="676" t="s">
        <v>1625</v>
      </c>
      <c r="AN46" s="692" t="s">
        <v>1626</v>
      </c>
      <c r="AO46" s="708"/>
      <c r="AP46" s="708"/>
      <c r="AQ46" s="708"/>
      <c r="AR46" s="708"/>
      <c r="AS46" s="708"/>
      <c r="AT46" s="708"/>
      <c r="AU46" s="708"/>
      <c r="AV46" s="708"/>
      <c r="AW46" s="708"/>
      <c r="AX46" s="708"/>
      <c r="AY46" s="698">
        <v>2025</v>
      </c>
      <c r="AZ46" s="699">
        <v>1</v>
      </c>
      <c r="BA46" s="698">
        <v>182</v>
      </c>
      <c r="BB46" s="698" t="s">
        <v>498</v>
      </c>
      <c r="BC46" s="652" t="s">
        <v>498</v>
      </c>
      <c r="BD46" s="698" t="s">
        <v>498</v>
      </c>
      <c r="BE46" s="698">
        <v>182</v>
      </c>
      <c r="BF46" s="653">
        <f t="shared" si="8"/>
        <v>100</v>
      </c>
      <c r="BG46" s="652" t="s">
        <v>498</v>
      </c>
      <c r="BH46" s="652" t="s">
        <v>498</v>
      </c>
      <c r="BI46" s="698">
        <v>182</v>
      </c>
      <c r="BJ46" s="706" t="s">
        <v>498</v>
      </c>
      <c r="BK46" s="706" t="s">
        <v>498</v>
      </c>
      <c r="BL46" s="654">
        <v>45954</v>
      </c>
      <c r="BM46" s="873" t="s">
        <v>1864</v>
      </c>
      <c r="BN46" s="874"/>
      <c r="BO46" s="874"/>
      <c r="BP46" s="875"/>
      <c r="BQ46" s="666"/>
      <c r="BR46" s="666"/>
      <c r="BS46" s="666"/>
      <c r="BT46" s="666"/>
      <c r="BU46" s="873" t="s">
        <v>2860</v>
      </c>
      <c r="BV46" s="874"/>
      <c r="BW46" s="874"/>
      <c r="BX46" s="875"/>
      <c r="BY46" s="873" t="s">
        <v>2882</v>
      </c>
      <c r="BZ46" s="874"/>
      <c r="CA46" s="874"/>
      <c r="CB46" s="875"/>
      <c r="CC46" s="655"/>
    </row>
    <row r="47" spans="1:81" s="656" customFormat="1" ht="40.35" customHeight="1" x14ac:dyDescent="0.3">
      <c r="A47" s="679">
        <v>55</v>
      </c>
      <c r="B47" s="657" t="s">
        <v>974</v>
      </c>
      <c r="C47" s="658" t="s">
        <v>138</v>
      </c>
      <c r="D47" s="451" t="s">
        <v>975</v>
      </c>
      <c r="E47" s="451" t="s">
        <v>12</v>
      </c>
      <c r="F47" s="444">
        <v>38</v>
      </c>
      <c r="G47" s="640" t="s">
        <v>26</v>
      </c>
      <c r="H47" s="636" t="s">
        <v>30</v>
      </c>
      <c r="I47" s="636" t="s">
        <v>139</v>
      </c>
      <c r="J47" s="636" t="s">
        <v>29</v>
      </c>
      <c r="K47" s="636" t="s">
        <v>30</v>
      </c>
      <c r="L47" s="641" t="s">
        <v>30</v>
      </c>
      <c r="M47" s="642" t="s">
        <v>971</v>
      </c>
      <c r="N47" s="643" t="s">
        <v>498</v>
      </c>
      <c r="O47" s="642"/>
      <c r="P47" s="660"/>
      <c r="Q47" s="642" t="s">
        <v>499</v>
      </c>
      <c r="R47" s="642">
        <v>3</v>
      </c>
      <c r="S47" s="642" t="s">
        <v>500</v>
      </c>
      <c r="T47" s="642" t="s">
        <v>524</v>
      </c>
      <c r="U47" s="661" t="s">
        <v>535</v>
      </c>
      <c r="V47" s="642" t="s">
        <v>503</v>
      </c>
      <c r="W47" s="642" t="s">
        <v>542</v>
      </c>
      <c r="X47" s="662" t="s">
        <v>972</v>
      </c>
      <c r="Y47" s="648" t="s">
        <v>2588</v>
      </c>
      <c r="Z47" s="648" t="s">
        <v>973</v>
      </c>
      <c r="AA47" s="642" t="s">
        <v>538</v>
      </c>
      <c r="AB47" s="642" t="s">
        <v>710</v>
      </c>
      <c r="AC47" s="649">
        <v>25102</v>
      </c>
      <c r="AD47" s="650">
        <f t="shared" si="1"/>
        <v>21</v>
      </c>
      <c r="AE47" s="650">
        <f t="shared" si="2"/>
        <v>9</v>
      </c>
      <c r="AF47" s="650">
        <f t="shared" si="3"/>
        <v>1968</v>
      </c>
      <c r="AG47" s="651">
        <f t="shared" si="0"/>
        <v>47017</v>
      </c>
      <c r="AH47" s="650">
        <f t="shared" ca="1" si="4"/>
        <v>2</v>
      </c>
      <c r="AI47" s="650">
        <f t="shared" ca="1" si="5"/>
        <v>9</v>
      </c>
      <c r="AJ47" s="650">
        <f t="shared" ca="1" si="6"/>
        <v>10</v>
      </c>
      <c r="AK47" s="650" t="str">
        <f t="shared" ca="1" si="7"/>
        <v>2year/9months/10Days</v>
      </c>
      <c r="AL47" s="702"/>
      <c r="AM47" s="702" t="s">
        <v>1627</v>
      </c>
      <c r="AN47" s="703">
        <v>1879</v>
      </c>
      <c r="AO47" s="702"/>
      <c r="AP47" s="702"/>
      <c r="AQ47" s="702"/>
      <c r="AR47" s="702"/>
      <c r="AS47" s="702"/>
      <c r="AT47" s="702"/>
      <c r="AU47" s="702"/>
      <c r="AV47" s="702"/>
      <c r="AW47" s="702"/>
      <c r="AX47" s="702"/>
      <c r="AY47" s="642">
        <v>2019</v>
      </c>
      <c r="AZ47" s="667">
        <v>1</v>
      </c>
      <c r="BA47" s="652">
        <v>43</v>
      </c>
      <c r="BB47" s="652">
        <v>2</v>
      </c>
      <c r="BC47" s="652" t="s">
        <v>498</v>
      </c>
      <c r="BD47" s="652">
        <v>3</v>
      </c>
      <c r="BE47" s="652">
        <v>38</v>
      </c>
      <c r="BF47" s="653">
        <f t="shared" si="8"/>
        <v>88.372093023255815</v>
      </c>
      <c r="BG47" s="652" t="s">
        <v>498</v>
      </c>
      <c r="BH47" s="652" t="s">
        <v>498</v>
      </c>
      <c r="BI47" s="652">
        <v>43</v>
      </c>
      <c r="BJ47" s="668"/>
      <c r="BK47" s="668"/>
      <c r="BL47" s="654">
        <v>44650</v>
      </c>
      <c r="BM47" s="669"/>
      <c r="BN47" s="669"/>
      <c r="BO47" s="669"/>
      <c r="BP47" s="669"/>
      <c r="BQ47" s="666"/>
      <c r="BR47" s="666"/>
      <c r="BS47" s="666"/>
      <c r="BT47" s="666"/>
      <c r="BU47" s="873" t="s">
        <v>2600</v>
      </c>
      <c r="BV47" s="874"/>
      <c r="BW47" s="874"/>
      <c r="BX47" s="875"/>
      <c r="BY47" s="666"/>
      <c r="BZ47" s="666"/>
      <c r="CA47" s="666"/>
      <c r="CB47" s="666"/>
      <c r="CC47" s="655"/>
    </row>
    <row r="48" spans="1:81" s="656" customFormat="1" ht="40.35" customHeight="1" x14ac:dyDescent="0.25">
      <c r="A48" s="636">
        <v>56</v>
      </c>
      <c r="B48" s="657" t="s">
        <v>982</v>
      </c>
      <c r="C48" s="658" t="s">
        <v>141</v>
      </c>
      <c r="D48" s="659" t="s">
        <v>981</v>
      </c>
      <c r="E48" s="451" t="s">
        <v>12</v>
      </c>
      <c r="F48" s="451">
        <v>39</v>
      </c>
      <c r="G48" s="640" t="s">
        <v>69</v>
      </c>
      <c r="H48" s="636" t="s">
        <v>125</v>
      </c>
      <c r="I48" s="636" t="s">
        <v>142</v>
      </c>
      <c r="J48" s="636" t="s">
        <v>29</v>
      </c>
      <c r="K48" s="636" t="s">
        <v>98</v>
      </c>
      <c r="L48" s="641" t="s">
        <v>143</v>
      </c>
      <c r="M48" s="701" t="s">
        <v>976</v>
      </c>
      <c r="N48" s="643" t="s">
        <v>498</v>
      </c>
      <c r="O48" s="709" t="s">
        <v>2655</v>
      </c>
      <c r="P48" s="710" t="s">
        <v>977</v>
      </c>
      <c r="Q48" s="642" t="s">
        <v>499</v>
      </c>
      <c r="R48" s="701" t="s">
        <v>560</v>
      </c>
      <c r="S48" s="642" t="s">
        <v>500</v>
      </c>
      <c r="T48" s="642" t="s">
        <v>524</v>
      </c>
      <c r="U48" s="711" t="s">
        <v>978</v>
      </c>
      <c r="V48" s="642" t="s">
        <v>503</v>
      </c>
      <c r="W48" s="642" t="s">
        <v>527</v>
      </c>
      <c r="X48" s="712" t="s">
        <v>979</v>
      </c>
      <c r="Y48" s="713" t="s">
        <v>2656</v>
      </c>
      <c r="Z48" s="713" t="s">
        <v>980</v>
      </c>
      <c r="AA48" s="642" t="s">
        <v>709</v>
      </c>
      <c r="AB48" s="642" t="s">
        <v>710</v>
      </c>
      <c r="AC48" s="649">
        <v>24710</v>
      </c>
      <c r="AD48" s="650">
        <f t="shared" si="1"/>
        <v>26</v>
      </c>
      <c r="AE48" s="650">
        <f t="shared" si="2"/>
        <v>8</v>
      </c>
      <c r="AF48" s="650">
        <f t="shared" si="3"/>
        <v>1967</v>
      </c>
      <c r="AG48" s="651">
        <f t="shared" si="0"/>
        <v>46625</v>
      </c>
      <c r="AH48" s="650">
        <f t="shared" ca="1" si="4"/>
        <v>1</v>
      </c>
      <c r="AI48" s="650">
        <f t="shared" ca="1" si="5"/>
        <v>8</v>
      </c>
      <c r="AJ48" s="650">
        <f t="shared" ca="1" si="6"/>
        <v>15</v>
      </c>
      <c r="AK48" s="650" t="str">
        <f t="shared" ca="1" si="7"/>
        <v>1year/8months/15Days</v>
      </c>
      <c r="AL48" s="714"/>
      <c r="AM48" s="714" t="s">
        <v>1628</v>
      </c>
      <c r="AN48" s="659">
        <v>2001</v>
      </c>
      <c r="AO48" s="714"/>
      <c r="AP48" s="714"/>
      <c r="AQ48" s="714"/>
      <c r="AR48" s="714"/>
      <c r="AS48" s="714"/>
      <c r="AT48" s="714"/>
      <c r="AU48" s="714"/>
      <c r="AV48" s="714"/>
      <c r="AW48" s="714"/>
      <c r="AX48" s="714"/>
      <c r="AY48" s="642">
        <v>2024</v>
      </c>
      <c r="AZ48" s="704" t="s">
        <v>1932</v>
      </c>
      <c r="BA48" s="652">
        <v>1052</v>
      </c>
      <c r="BB48" s="652">
        <v>327</v>
      </c>
      <c r="BC48" s="652" t="s">
        <v>498</v>
      </c>
      <c r="BD48" s="652">
        <v>415</v>
      </c>
      <c r="BE48" s="652">
        <v>282</v>
      </c>
      <c r="BF48" s="653">
        <f t="shared" si="8"/>
        <v>26.806083650190114</v>
      </c>
      <c r="BG48" s="652">
        <v>28</v>
      </c>
      <c r="BH48" s="652" t="s">
        <v>498</v>
      </c>
      <c r="BI48" s="652">
        <v>1052</v>
      </c>
      <c r="BJ48" s="652" t="s">
        <v>498</v>
      </c>
      <c r="BK48" s="652" t="s">
        <v>498</v>
      </c>
      <c r="BL48" s="654">
        <v>45553</v>
      </c>
      <c r="BM48" s="873" t="s">
        <v>1799</v>
      </c>
      <c r="BN48" s="874"/>
      <c r="BO48" s="874"/>
      <c r="BP48" s="875"/>
      <c r="BQ48" s="900" t="s">
        <v>1847</v>
      </c>
      <c r="BR48" s="901"/>
      <c r="BS48" s="901"/>
      <c r="BT48" s="902"/>
      <c r="BU48" s="873" t="s">
        <v>2605</v>
      </c>
      <c r="BV48" s="874"/>
      <c r="BW48" s="874"/>
      <c r="BX48" s="875"/>
      <c r="BY48" s="900" t="s">
        <v>2657</v>
      </c>
      <c r="BZ48" s="901"/>
      <c r="CA48" s="901"/>
      <c r="CB48" s="902"/>
      <c r="CC48" s="655"/>
    </row>
    <row r="49" spans="1:81" s="656" customFormat="1" ht="40.35" customHeight="1" x14ac:dyDescent="0.25">
      <c r="A49" s="636">
        <v>57</v>
      </c>
      <c r="B49" s="637" t="s">
        <v>988</v>
      </c>
      <c r="C49" s="638" t="s">
        <v>145</v>
      </c>
      <c r="D49" s="451" t="s">
        <v>989</v>
      </c>
      <c r="E49" s="451" t="s">
        <v>12</v>
      </c>
      <c r="F49" s="444">
        <v>40</v>
      </c>
      <c r="G49" s="640" t="s">
        <v>26</v>
      </c>
      <c r="H49" s="636" t="s">
        <v>31</v>
      </c>
      <c r="I49" s="636" t="s">
        <v>146</v>
      </c>
      <c r="J49" s="636" t="s">
        <v>29</v>
      </c>
      <c r="K49" s="636" t="s">
        <v>30</v>
      </c>
      <c r="L49" s="641" t="s">
        <v>31</v>
      </c>
      <c r="M49" s="642" t="s">
        <v>983</v>
      </c>
      <c r="N49" s="643" t="s">
        <v>498</v>
      </c>
      <c r="O49" s="672" t="s">
        <v>2676</v>
      </c>
      <c r="P49" s="693" t="s">
        <v>984</v>
      </c>
      <c r="Q49" s="642" t="s">
        <v>499</v>
      </c>
      <c r="R49" s="642">
        <v>2</v>
      </c>
      <c r="S49" s="642" t="s">
        <v>500</v>
      </c>
      <c r="T49" s="642" t="s">
        <v>524</v>
      </c>
      <c r="U49" s="661" t="s">
        <v>502</v>
      </c>
      <c r="V49" s="642" t="s">
        <v>503</v>
      </c>
      <c r="W49" s="642" t="s">
        <v>542</v>
      </c>
      <c r="X49" s="662" t="s">
        <v>985</v>
      </c>
      <c r="Y49" s="642" t="s">
        <v>986</v>
      </c>
      <c r="Z49" s="648" t="s">
        <v>987</v>
      </c>
      <c r="AA49" s="642" t="s">
        <v>562</v>
      </c>
      <c r="AB49" s="642" t="s">
        <v>710</v>
      </c>
      <c r="AC49" s="649">
        <v>25924</v>
      </c>
      <c r="AD49" s="650">
        <f t="shared" si="1"/>
        <v>22</v>
      </c>
      <c r="AE49" s="650">
        <f t="shared" si="2"/>
        <v>12</v>
      </c>
      <c r="AF49" s="650">
        <f t="shared" si="3"/>
        <v>1970</v>
      </c>
      <c r="AG49" s="651">
        <f t="shared" si="0"/>
        <v>47839</v>
      </c>
      <c r="AH49" s="650">
        <f t="shared" ca="1" si="4"/>
        <v>5</v>
      </c>
      <c r="AI49" s="650">
        <f t="shared" ca="1" si="5"/>
        <v>0</v>
      </c>
      <c r="AJ49" s="650">
        <f t="shared" ca="1" si="6"/>
        <v>11</v>
      </c>
      <c r="AK49" s="650" t="str">
        <f t="shared" ca="1" si="7"/>
        <v>5year/0months/11Days</v>
      </c>
      <c r="AL49" s="663"/>
      <c r="AM49" s="702" t="s">
        <v>1629</v>
      </c>
      <c r="AN49" s="703">
        <v>640</v>
      </c>
      <c r="AO49" s="663"/>
      <c r="AP49" s="663"/>
      <c r="AQ49" s="663"/>
      <c r="AR49" s="663"/>
      <c r="AS49" s="663"/>
      <c r="AT49" s="663"/>
      <c r="AU49" s="663"/>
      <c r="AV49" s="663"/>
      <c r="AW49" s="663"/>
      <c r="AX49" s="663"/>
      <c r="AY49" s="652">
        <v>2025</v>
      </c>
      <c r="AZ49" s="667">
        <v>1</v>
      </c>
      <c r="BA49" s="652">
        <v>164</v>
      </c>
      <c r="BB49" s="652">
        <v>49</v>
      </c>
      <c r="BC49" s="652" t="s">
        <v>498</v>
      </c>
      <c r="BD49" s="652" t="s">
        <v>498</v>
      </c>
      <c r="BE49" s="652">
        <v>115</v>
      </c>
      <c r="BF49" s="653">
        <f t="shared" si="8"/>
        <v>70.121951219512198</v>
      </c>
      <c r="BG49" s="652" t="s">
        <v>498</v>
      </c>
      <c r="BH49" s="652" t="s">
        <v>498</v>
      </c>
      <c r="BI49" s="652">
        <v>164</v>
      </c>
      <c r="BJ49" s="652" t="s">
        <v>498</v>
      </c>
      <c r="BK49" s="652" t="s">
        <v>498</v>
      </c>
      <c r="BL49" s="654">
        <v>45953</v>
      </c>
      <c r="BM49" s="669"/>
      <c r="BN49" s="669"/>
      <c r="BO49" s="669"/>
      <c r="BP49" s="669"/>
      <c r="BQ49" s="715"/>
      <c r="BR49" s="715"/>
      <c r="BS49" s="715"/>
      <c r="BT49" s="715"/>
      <c r="BU49" s="873" t="s">
        <v>2860</v>
      </c>
      <c r="BV49" s="874"/>
      <c r="BW49" s="874"/>
      <c r="BX49" s="875"/>
      <c r="BY49" s="900" t="s">
        <v>2878</v>
      </c>
      <c r="BZ49" s="901"/>
      <c r="CA49" s="901"/>
      <c r="CB49" s="902"/>
      <c r="CC49" s="655"/>
    </row>
    <row r="50" spans="1:81" s="8" customFormat="1" ht="40.35" customHeight="1" thickBot="1" x14ac:dyDescent="0.3">
      <c r="A50" s="9">
        <v>58</v>
      </c>
      <c r="B50" s="183" t="s">
        <v>992</v>
      </c>
      <c r="C50" s="11" t="s">
        <v>147</v>
      </c>
      <c r="D50" s="7" t="s">
        <v>993</v>
      </c>
      <c r="E50" s="3" t="s">
        <v>12</v>
      </c>
      <c r="F50" s="3">
        <v>41</v>
      </c>
      <c r="G50" s="198" t="s">
        <v>26</v>
      </c>
      <c r="H50" s="9" t="s">
        <v>30</v>
      </c>
      <c r="I50" s="9" t="s">
        <v>148</v>
      </c>
      <c r="J50" s="9" t="s">
        <v>29</v>
      </c>
      <c r="K50" s="9" t="s">
        <v>30</v>
      </c>
      <c r="L50" s="215" t="s">
        <v>31</v>
      </c>
      <c r="M50" s="365" t="s">
        <v>990</v>
      </c>
      <c r="N50" s="69" t="s">
        <v>498</v>
      </c>
      <c r="O50" s="44" t="s">
        <v>991</v>
      </c>
      <c r="P50" s="249" t="s">
        <v>2866</v>
      </c>
      <c r="Q50" s="50" t="s">
        <v>499</v>
      </c>
      <c r="R50" s="365">
        <v>2</v>
      </c>
      <c r="S50" s="50" t="s">
        <v>500</v>
      </c>
      <c r="T50" s="50" t="s">
        <v>524</v>
      </c>
      <c r="U50" s="97" t="s">
        <v>525</v>
      </c>
      <c r="V50" s="50" t="s">
        <v>503</v>
      </c>
      <c r="W50" s="50" t="s">
        <v>527</v>
      </c>
      <c r="X50" s="113" t="s">
        <v>2868</v>
      </c>
      <c r="Y50" s="50" t="s">
        <v>2869</v>
      </c>
      <c r="Z50" s="60"/>
      <c r="AA50" s="50" t="s">
        <v>538</v>
      </c>
      <c r="AB50" s="613" t="s">
        <v>506</v>
      </c>
      <c r="AC50" s="55"/>
      <c r="AD50" s="48"/>
      <c r="AE50" s="48"/>
      <c r="AF50" s="48"/>
      <c r="AG50" s="49"/>
      <c r="AH50" s="48"/>
      <c r="AI50" s="48"/>
      <c r="AJ50" s="48"/>
      <c r="AK50" s="48"/>
      <c r="AL50" s="119"/>
      <c r="AM50" s="384" t="s">
        <v>1630</v>
      </c>
      <c r="AN50" s="276">
        <v>1880</v>
      </c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78">
        <v>2025</v>
      </c>
      <c r="AZ50" s="107">
        <v>1</v>
      </c>
      <c r="BA50" s="78">
        <v>68</v>
      </c>
      <c r="BB50" s="78">
        <v>10</v>
      </c>
      <c r="BC50" s="78">
        <v>1</v>
      </c>
      <c r="BD50" s="78">
        <v>1</v>
      </c>
      <c r="BE50" s="78">
        <v>56</v>
      </c>
      <c r="BF50" s="74">
        <f t="shared" si="8"/>
        <v>82.35294117647058</v>
      </c>
      <c r="BG50" s="78" t="s">
        <v>498</v>
      </c>
      <c r="BH50" s="78" t="s">
        <v>498</v>
      </c>
      <c r="BI50" s="78">
        <v>68</v>
      </c>
      <c r="BJ50" s="78" t="s">
        <v>498</v>
      </c>
      <c r="BK50" s="78" t="s">
        <v>498</v>
      </c>
      <c r="BL50" s="76">
        <v>45950</v>
      </c>
      <c r="BM50" s="941" t="s">
        <v>1860</v>
      </c>
      <c r="BN50" s="942"/>
      <c r="BO50" s="942"/>
      <c r="BP50" s="943"/>
      <c r="BQ50" s="318"/>
      <c r="BR50" s="318"/>
      <c r="BS50" s="318"/>
      <c r="BT50" s="318"/>
      <c r="BU50" s="867" t="s">
        <v>2860</v>
      </c>
      <c r="BV50" s="868"/>
      <c r="BW50" s="868"/>
      <c r="BX50" s="869"/>
      <c r="BY50" s="888" t="s">
        <v>2865</v>
      </c>
      <c r="BZ50" s="877"/>
      <c r="CA50" s="877"/>
      <c r="CB50" s="878"/>
      <c r="CC50" s="27"/>
    </row>
    <row r="51" spans="1:81" s="8" customFormat="1" ht="40.35" customHeight="1" x14ac:dyDescent="0.3">
      <c r="A51" s="266" t="s">
        <v>2340</v>
      </c>
      <c r="B51" s="118" t="s">
        <v>685</v>
      </c>
      <c r="C51" s="13" t="s">
        <v>150</v>
      </c>
      <c r="D51" s="3" t="s">
        <v>686</v>
      </c>
      <c r="E51" s="3" t="s">
        <v>12</v>
      </c>
      <c r="F51" s="381">
        <v>42</v>
      </c>
      <c r="G51" s="198" t="s">
        <v>21</v>
      </c>
      <c r="H51" s="9" t="s">
        <v>49</v>
      </c>
      <c r="I51" s="9" t="s">
        <v>151</v>
      </c>
      <c r="J51" s="9" t="s">
        <v>21</v>
      </c>
      <c r="K51" s="9" t="s">
        <v>44</v>
      </c>
      <c r="L51" s="215" t="s">
        <v>109</v>
      </c>
      <c r="M51" s="365"/>
      <c r="N51" s="69" t="s">
        <v>498</v>
      </c>
      <c r="O51" s="365"/>
      <c r="P51" s="245"/>
      <c r="Q51" s="50" t="s">
        <v>499</v>
      </c>
      <c r="R51" s="365">
        <v>2</v>
      </c>
      <c r="S51" s="50" t="s">
        <v>500</v>
      </c>
      <c r="T51" s="50" t="s">
        <v>524</v>
      </c>
      <c r="U51" s="365"/>
      <c r="V51" s="50" t="s">
        <v>503</v>
      </c>
      <c r="W51" s="365"/>
      <c r="X51" s="365"/>
      <c r="Y51" s="365"/>
      <c r="Z51" s="365"/>
      <c r="AA51" s="50" t="s">
        <v>538</v>
      </c>
      <c r="AB51" s="50" t="s">
        <v>506</v>
      </c>
      <c r="AC51" s="55">
        <v>26705</v>
      </c>
      <c r="AD51" s="48">
        <f t="shared" si="1"/>
        <v>10</v>
      </c>
      <c r="AE51" s="48">
        <f t="shared" si="2"/>
        <v>2</v>
      </c>
      <c r="AF51" s="48">
        <f t="shared" si="3"/>
        <v>1973</v>
      </c>
      <c r="AG51" s="49">
        <f t="shared" si="0"/>
        <v>48620</v>
      </c>
      <c r="AH51" s="48">
        <f t="shared" ca="1" si="4"/>
        <v>7</v>
      </c>
      <c r="AI51" s="48">
        <f t="shared" ca="1" si="5"/>
        <v>1</v>
      </c>
      <c r="AJ51" s="48">
        <f t="shared" ca="1" si="6"/>
        <v>30</v>
      </c>
      <c r="AK51" s="48" t="str">
        <f t="shared" ca="1" si="7"/>
        <v>7year/1months/30Days</v>
      </c>
      <c r="AL51" s="365"/>
      <c r="AM51" s="365" t="s">
        <v>1631</v>
      </c>
      <c r="AN51" s="374">
        <v>1555</v>
      </c>
      <c r="AO51" s="370">
        <v>13225</v>
      </c>
      <c r="AP51" s="365" t="s">
        <v>2050</v>
      </c>
      <c r="AQ51" s="50" t="s">
        <v>2048</v>
      </c>
      <c r="AR51" s="365">
        <v>1960</v>
      </c>
      <c r="AS51" s="365">
        <v>267</v>
      </c>
      <c r="AT51" s="365">
        <v>236</v>
      </c>
      <c r="AU51" s="365">
        <v>88.38</v>
      </c>
      <c r="AV51" s="365" t="s">
        <v>498</v>
      </c>
      <c r="AW51" s="365" t="s">
        <v>498</v>
      </c>
      <c r="AX51" s="365" t="s">
        <v>498</v>
      </c>
      <c r="AY51" s="365"/>
      <c r="AZ51" s="45"/>
      <c r="BA51" s="365"/>
      <c r="BB51" s="365"/>
      <c r="BC51" s="78" t="s">
        <v>498</v>
      </c>
      <c r="BD51" s="365"/>
      <c r="BE51" s="365"/>
      <c r="BF51" s="74" t="e">
        <f t="shared" si="8"/>
        <v>#DIV/0!</v>
      </c>
      <c r="BG51" s="78" t="s">
        <v>498</v>
      </c>
      <c r="BH51" s="78" t="s">
        <v>498</v>
      </c>
      <c r="BI51" s="365"/>
      <c r="BJ51" s="365"/>
      <c r="BK51" s="365"/>
      <c r="BL51" s="151"/>
      <c r="BM51" s="912" t="s">
        <v>1846</v>
      </c>
      <c r="BN51" s="913"/>
      <c r="BO51" s="913"/>
      <c r="BP51" s="914"/>
      <c r="BQ51" s="305"/>
      <c r="BR51" s="305"/>
      <c r="BS51" s="305"/>
      <c r="BT51" s="305"/>
      <c r="BU51" s="867" t="s">
        <v>2605</v>
      </c>
      <c r="BV51" s="868"/>
      <c r="BW51" s="868"/>
      <c r="BX51" s="869"/>
      <c r="BY51" s="305"/>
      <c r="BZ51" s="305"/>
      <c r="CA51" s="305"/>
      <c r="CB51" s="305"/>
      <c r="CC51" s="27"/>
    </row>
    <row r="52" spans="1:81" s="8" customFormat="1" ht="40.35" customHeight="1" x14ac:dyDescent="0.3">
      <c r="A52" s="9">
        <v>62</v>
      </c>
      <c r="B52" s="183" t="s">
        <v>995</v>
      </c>
      <c r="C52" s="11" t="s">
        <v>153</v>
      </c>
      <c r="D52" s="7" t="s">
        <v>38</v>
      </c>
      <c r="E52" s="3" t="s">
        <v>12</v>
      </c>
      <c r="F52" s="3">
        <v>45</v>
      </c>
      <c r="G52" s="198" t="s">
        <v>13</v>
      </c>
      <c r="H52" s="9" t="s">
        <v>29</v>
      </c>
      <c r="I52" s="212" t="s">
        <v>154</v>
      </c>
      <c r="J52" s="9" t="s">
        <v>29</v>
      </c>
      <c r="K52" s="9" t="s">
        <v>38</v>
      </c>
      <c r="L52" s="215" t="s">
        <v>38</v>
      </c>
      <c r="M52" s="50" t="s">
        <v>994</v>
      </c>
      <c r="N52" s="69" t="s">
        <v>498</v>
      </c>
      <c r="O52" s="50"/>
      <c r="P52" s="243"/>
      <c r="Q52" s="50" t="s">
        <v>499</v>
      </c>
      <c r="R52" s="50">
        <v>3</v>
      </c>
      <c r="S52" s="50" t="s">
        <v>500</v>
      </c>
      <c r="T52" s="50" t="s">
        <v>524</v>
      </c>
      <c r="U52" s="97" t="s">
        <v>535</v>
      </c>
      <c r="V52" s="50" t="s">
        <v>503</v>
      </c>
      <c r="W52" s="50" t="s">
        <v>542</v>
      </c>
      <c r="X52" s="113"/>
      <c r="Y52" s="50"/>
      <c r="Z52" s="50"/>
      <c r="AA52" s="50" t="s">
        <v>538</v>
      </c>
      <c r="AB52" s="50" t="s">
        <v>506</v>
      </c>
      <c r="AC52" s="55">
        <v>26706</v>
      </c>
      <c r="AD52" s="48">
        <f t="shared" si="1"/>
        <v>11</v>
      </c>
      <c r="AE52" s="48">
        <f t="shared" si="2"/>
        <v>2</v>
      </c>
      <c r="AF52" s="48">
        <f t="shared" si="3"/>
        <v>1973</v>
      </c>
      <c r="AG52" s="49">
        <f t="shared" si="0"/>
        <v>48621</v>
      </c>
      <c r="AH52" s="48">
        <f t="shared" ca="1" si="4"/>
        <v>7</v>
      </c>
      <c r="AI52" s="48">
        <f t="shared" ca="1" si="5"/>
        <v>2</v>
      </c>
      <c r="AJ52" s="48">
        <f t="shared" ca="1" si="6"/>
        <v>0</v>
      </c>
      <c r="AK52" s="48" t="str">
        <f t="shared" ca="1" si="7"/>
        <v>7year/2months/0Days</v>
      </c>
      <c r="AL52" s="119"/>
      <c r="AM52" s="384" t="s">
        <v>1632</v>
      </c>
      <c r="AN52" s="276">
        <v>1341</v>
      </c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95"/>
      <c r="AZ52" s="340"/>
      <c r="BA52" s="95"/>
      <c r="BB52" s="95"/>
      <c r="BC52" s="78" t="s">
        <v>498</v>
      </c>
      <c r="BD52" s="95"/>
      <c r="BE52" s="95"/>
      <c r="BF52" s="74" t="e">
        <f t="shared" si="8"/>
        <v>#DIV/0!</v>
      </c>
      <c r="BG52" s="78" t="s">
        <v>498</v>
      </c>
      <c r="BH52" s="78" t="s">
        <v>498</v>
      </c>
      <c r="BI52" s="95"/>
      <c r="BJ52" s="95"/>
      <c r="BK52" s="95"/>
      <c r="BL52" s="151"/>
      <c r="BM52" s="379"/>
      <c r="BN52" s="379"/>
      <c r="BO52" s="379"/>
      <c r="BP52" s="379"/>
      <c r="BQ52" s="305"/>
      <c r="BR52" s="305"/>
      <c r="BS52" s="305"/>
      <c r="BT52" s="305"/>
      <c r="BU52" s="867" t="s">
        <v>2600</v>
      </c>
      <c r="BV52" s="868"/>
      <c r="BW52" s="868"/>
      <c r="BX52" s="869"/>
      <c r="BY52" s="305"/>
      <c r="BZ52" s="305"/>
      <c r="CA52" s="305"/>
      <c r="CB52" s="305"/>
      <c r="CC52" s="27"/>
    </row>
    <row r="53" spans="1:81" s="8" customFormat="1" ht="40.35" customHeight="1" x14ac:dyDescent="0.3">
      <c r="A53" s="9">
        <v>63</v>
      </c>
      <c r="B53" s="118" t="s">
        <v>1000</v>
      </c>
      <c r="C53" s="13" t="s">
        <v>156</v>
      </c>
      <c r="D53" s="3" t="s">
        <v>999</v>
      </c>
      <c r="E53" s="3" t="s">
        <v>12</v>
      </c>
      <c r="F53" s="381">
        <v>46</v>
      </c>
      <c r="G53" s="198" t="s">
        <v>26</v>
      </c>
      <c r="H53" s="9" t="s">
        <v>31</v>
      </c>
      <c r="I53" s="213" t="s">
        <v>157</v>
      </c>
      <c r="J53" s="9" t="s">
        <v>29</v>
      </c>
      <c r="K53" s="9" t="s">
        <v>93</v>
      </c>
      <c r="L53" s="215" t="s">
        <v>39</v>
      </c>
      <c r="M53" s="50" t="s">
        <v>996</v>
      </c>
      <c r="N53" s="69" t="s">
        <v>498</v>
      </c>
      <c r="O53" s="50"/>
      <c r="P53" s="243"/>
      <c r="Q53" s="50" t="s">
        <v>499</v>
      </c>
      <c r="R53" s="50" t="s">
        <v>560</v>
      </c>
      <c r="S53" s="50" t="s">
        <v>500</v>
      </c>
      <c r="T53" s="50" t="s">
        <v>524</v>
      </c>
      <c r="U53" s="97"/>
      <c r="V53" s="50" t="s">
        <v>503</v>
      </c>
      <c r="W53" s="50" t="s">
        <v>527</v>
      </c>
      <c r="X53" s="113" t="s">
        <v>997</v>
      </c>
      <c r="Y53" s="50" t="s">
        <v>998</v>
      </c>
      <c r="Z53" s="50"/>
      <c r="AA53" s="50" t="s">
        <v>538</v>
      </c>
      <c r="AB53" s="50" t="s">
        <v>506</v>
      </c>
      <c r="AC53" s="55">
        <v>26707</v>
      </c>
      <c r="AD53" s="48">
        <f t="shared" si="1"/>
        <v>12</v>
      </c>
      <c r="AE53" s="48">
        <f t="shared" si="2"/>
        <v>2</v>
      </c>
      <c r="AF53" s="48">
        <f t="shared" si="3"/>
        <v>1973</v>
      </c>
      <c r="AG53" s="49">
        <f t="shared" si="0"/>
        <v>48622</v>
      </c>
      <c r="AH53" s="48">
        <f t="shared" ca="1" si="4"/>
        <v>7</v>
      </c>
      <c r="AI53" s="48">
        <f t="shared" ca="1" si="5"/>
        <v>2</v>
      </c>
      <c r="AJ53" s="48">
        <f t="shared" ca="1" si="6"/>
        <v>1</v>
      </c>
      <c r="AK53" s="48" t="str">
        <f t="shared" ca="1" si="7"/>
        <v>7year/2months/1Days</v>
      </c>
      <c r="AL53" s="135"/>
      <c r="AM53" s="99" t="s">
        <v>1633</v>
      </c>
      <c r="AN53" s="281">
        <v>1534</v>
      </c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80"/>
      <c r="AZ53" s="343"/>
      <c r="BA53" s="180"/>
      <c r="BB53" s="180"/>
      <c r="BC53" s="78" t="s">
        <v>498</v>
      </c>
      <c r="BD53" s="180"/>
      <c r="BE53" s="180"/>
      <c r="BF53" s="74" t="e">
        <f t="shared" si="8"/>
        <v>#DIV/0!</v>
      </c>
      <c r="BG53" s="78" t="s">
        <v>498</v>
      </c>
      <c r="BH53" s="78" t="s">
        <v>498</v>
      </c>
      <c r="BI53" s="180"/>
      <c r="BJ53" s="180"/>
      <c r="BK53" s="180"/>
      <c r="BL53" s="353"/>
      <c r="BM53" s="314"/>
      <c r="BN53" s="307"/>
      <c r="BO53" s="307"/>
      <c r="BP53" s="307"/>
      <c r="BQ53" s="307"/>
      <c r="BR53" s="307"/>
      <c r="BS53" s="307"/>
      <c r="BT53" s="307"/>
      <c r="BU53" s="867" t="s">
        <v>498</v>
      </c>
      <c r="BV53" s="868"/>
      <c r="BW53" s="868"/>
      <c r="BX53" s="869"/>
      <c r="BY53" s="305"/>
      <c r="BZ53" s="305"/>
      <c r="CA53" s="305"/>
      <c r="CB53" s="305"/>
      <c r="CC53" s="27"/>
    </row>
    <row r="54" spans="1:81" s="8" customFormat="1" ht="40.35" customHeight="1" x14ac:dyDescent="0.25">
      <c r="A54" s="9">
        <v>64</v>
      </c>
      <c r="B54" s="183" t="s">
        <v>1400</v>
      </c>
      <c r="C54" s="11" t="s">
        <v>159</v>
      </c>
      <c r="D54" s="7" t="s">
        <v>1401</v>
      </c>
      <c r="E54" s="3" t="s">
        <v>12</v>
      </c>
      <c r="F54" s="3">
        <v>47</v>
      </c>
      <c r="G54" s="198" t="s">
        <v>13</v>
      </c>
      <c r="H54" s="9" t="s">
        <v>29</v>
      </c>
      <c r="I54" s="9" t="s">
        <v>160</v>
      </c>
      <c r="J54" s="9" t="s">
        <v>29</v>
      </c>
      <c r="K54" s="9" t="s">
        <v>29</v>
      </c>
      <c r="L54" s="215" t="s">
        <v>161</v>
      </c>
      <c r="M54" s="1"/>
      <c r="N54" s="69" t="s">
        <v>498</v>
      </c>
      <c r="O54" s="1"/>
      <c r="P54" s="1"/>
      <c r="Q54" s="50" t="s">
        <v>499</v>
      </c>
      <c r="R54" s="1"/>
      <c r="S54" s="50" t="s">
        <v>500</v>
      </c>
      <c r="T54" s="50" t="s">
        <v>524</v>
      </c>
      <c r="U54" s="1"/>
      <c r="V54" s="50" t="s">
        <v>503</v>
      </c>
      <c r="W54" s="1"/>
      <c r="X54" s="1"/>
      <c r="Y54" s="1"/>
      <c r="Z54" s="1"/>
      <c r="AA54" s="50" t="s">
        <v>538</v>
      </c>
      <c r="AB54" s="50" t="s">
        <v>506</v>
      </c>
      <c r="AC54" s="55">
        <v>26708</v>
      </c>
      <c r="AD54" s="48">
        <f t="shared" si="1"/>
        <v>13</v>
      </c>
      <c r="AE54" s="48">
        <f t="shared" si="2"/>
        <v>2</v>
      </c>
      <c r="AF54" s="48">
        <f t="shared" si="3"/>
        <v>1973</v>
      </c>
      <c r="AG54" s="49">
        <f t="shared" si="0"/>
        <v>48623</v>
      </c>
      <c r="AH54" s="48">
        <f t="shared" ca="1" si="4"/>
        <v>7</v>
      </c>
      <c r="AI54" s="48">
        <f t="shared" ca="1" si="5"/>
        <v>2</v>
      </c>
      <c r="AJ54" s="48">
        <f t="shared" ca="1" si="6"/>
        <v>2</v>
      </c>
      <c r="AK54" s="48" t="str">
        <f t="shared" ca="1" si="7"/>
        <v>7year/2months/2Days</v>
      </c>
      <c r="AL54" s="1"/>
      <c r="AM54" s="3" t="s">
        <v>1634</v>
      </c>
      <c r="AN54" s="3">
        <v>1332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344"/>
      <c r="BA54" s="1"/>
      <c r="BB54" s="1"/>
      <c r="BC54" s="78" t="s">
        <v>498</v>
      </c>
      <c r="BD54" s="1"/>
      <c r="BE54" s="1"/>
      <c r="BF54" s="74" t="e">
        <f t="shared" si="8"/>
        <v>#DIV/0!</v>
      </c>
      <c r="BG54" s="78" t="s">
        <v>498</v>
      </c>
      <c r="BH54" s="78" t="s">
        <v>498</v>
      </c>
      <c r="BI54" s="1"/>
      <c r="BJ54" s="1"/>
      <c r="BK54" s="1"/>
      <c r="BL54" s="352"/>
      <c r="BM54" s="306"/>
      <c r="BN54" s="306"/>
      <c r="BO54" s="306"/>
      <c r="BP54" s="306"/>
      <c r="BQ54" s="306"/>
      <c r="BR54" s="306"/>
      <c r="BS54" s="306"/>
      <c r="BT54" s="306"/>
      <c r="BU54" s="879" t="s">
        <v>498</v>
      </c>
      <c r="BV54" s="880"/>
      <c r="BW54" s="880"/>
      <c r="BX54" s="881"/>
      <c r="BY54" s="306"/>
      <c r="BZ54" s="306"/>
      <c r="CA54" s="306"/>
      <c r="CB54" s="306"/>
      <c r="CC54" s="27"/>
    </row>
    <row r="55" spans="1:81" s="728" customFormat="1" ht="40.35" customHeight="1" x14ac:dyDescent="0.25">
      <c r="A55" s="735" t="s">
        <v>1074</v>
      </c>
      <c r="B55" s="736" t="s">
        <v>700</v>
      </c>
      <c r="C55" s="737" t="s">
        <v>163</v>
      </c>
      <c r="D55" s="22" t="s">
        <v>165</v>
      </c>
      <c r="E55" s="22" t="s">
        <v>12</v>
      </c>
      <c r="F55" s="235">
        <v>48</v>
      </c>
      <c r="G55" s="207" t="s">
        <v>21</v>
      </c>
      <c r="H55" s="20" t="s">
        <v>164</v>
      </c>
      <c r="I55" s="20" t="s">
        <v>165</v>
      </c>
      <c r="J55" s="20" t="s">
        <v>21</v>
      </c>
      <c r="K55" s="20" t="s">
        <v>21</v>
      </c>
      <c r="L55" s="219" t="s">
        <v>164</v>
      </c>
      <c r="M55" s="103" t="s">
        <v>695</v>
      </c>
      <c r="N55" s="85" t="s">
        <v>498</v>
      </c>
      <c r="O55" s="140" t="s">
        <v>696</v>
      </c>
      <c r="P55" s="738"/>
      <c r="Q55" s="78" t="s">
        <v>499</v>
      </c>
      <c r="R55" s="103" t="s">
        <v>560</v>
      </c>
      <c r="S55" s="78" t="s">
        <v>500</v>
      </c>
      <c r="T55" s="78" t="s">
        <v>524</v>
      </c>
      <c r="U55" s="102" t="s">
        <v>689</v>
      </c>
      <c r="V55" s="96" t="s">
        <v>526</v>
      </c>
      <c r="W55" s="103" t="s">
        <v>567</v>
      </c>
      <c r="X55" s="121" t="s">
        <v>2964</v>
      </c>
      <c r="Y55" s="124"/>
      <c r="Z55" s="718"/>
      <c r="AA55" s="75"/>
      <c r="AB55" s="75"/>
      <c r="AC55" s="719"/>
      <c r="AD55" s="720"/>
      <c r="AE55" s="720"/>
      <c r="AF55" s="720"/>
      <c r="AG55" s="721"/>
      <c r="AH55" s="720"/>
      <c r="AI55" s="720"/>
      <c r="AJ55" s="720"/>
      <c r="AK55" s="720"/>
      <c r="AL55" s="75"/>
      <c r="AM55" s="922" t="s">
        <v>2022</v>
      </c>
      <c r="AN55" s="924">
        <v>2291</v>
      </c>
      <c r="AO55" s="922">
        <v>13429</v>
      </c>
      <c r="AP55" s="922" t="s">
        <v>2023</v>
      </c>
      <c r="AQ55" s="922" t="s">
        <v>623</v>
      </c>
      <c r="AR55" s="124">
        <v>1960</v>
      </c>
      <c r="AS55" s="718" t="s">
        <v>2025</v>
      </c>
      <c r="AT55" s="718" t="s">
        <v>2026</v>
      </c>
      <c r="AU55" s="718" t="s">
        <v>2027</v>
      </c>
      <c r="AV55" s="722" t="s">
        <v>498</v>
      </c>
      <c r="AW55" s="722" t="s">
        <v>498</v>
      </c>
      <c r="AX55" s="722" t="s">
        <v>498</v>
      </c>
      <c r="AY55" s="124">
        <v>2020</v>
      </c>
      <c r="AZ55" s="723" t="s">
        <v>699</v>
      </c>
      <c r="BA55" s="124">
        <v>1307</v>
      </c>
      <c r="BB55" s="124">
        <v>454</v>
      </c>
      <c r="BC55" s="75" t="s">
        <v>498</v>
      </c>
      <c r="BD55" s="124">
        <v>176</v>
      </c>
      <c r="BE55" s="124">
        <v>676</v>
      </c>
      <c r="BF55" s="724">
        <f t="shared" si="8"/>
        <v>51.721499617444536</v>
      </c>
      <c r="BG55" s="75" t="s">
        <v>498</v>
      </c>
      <c r="BH55" s="75" t="s">
        <v>498</v>
      </c>
      <c r="BI55" s="124">
        <v>1307</v>
      </c>
      <c r="BJ55" s="124"/>
      <c r="BK55" s="124"/>
      <c r="BL55" s="725">
        <v>44631</v>
      </c>
      <c r="BM55" s="876" t="s">
        <v>1792</v>
      </c>
      <c r="BN55" s="877"/>
      <c r="BO55" s="877"/>
      <c r="BP55" s="878"/>
      <c r="BQ55" s="944" t="s">
        <v>2066</v>
      </c>
      <c r="BR55" s="945"/>
      <c r="BS55" s="945"/>
      <c r="BT55" s="946"/>
      <c r="BU55" s="876" t="s">
        <v>2609</v>
      </c>
      <c r="BV55" s="877"/>
      <c r="BW55" s="877"/>
      <c r="BX55" s="878"/>
      <c r="BY55" s="726"/>
      <c r="BZ55" s="726"/>
      <c r="CA55" s="726"/>
      <c r="CB55" s="726"/>
      <c r="CC55" s="727"/>
    </row>
    <row r="56" spans="1:81" s="656" customFormat="1" ht="40.35" customHeight="1" x14ac:dyDescent="0.25">
      <c r="A56" s="636">
        <v>67</v>
      </c>
      <c r="B56" s="637" t="s">
        <v>694</v>
      </c>
      <c r="C56" s="638" t="s">
        <v>167</v>
      </c>
      <c r="D56" s="659" t="s">
        <v>2042</v>
      </c>
      <c r="E56" s="451" t="s">
        <v>12</v>
      </c>
      <c r="F56" s="451">
        <v>49</v>
      </c>
      <c r="G56" s="640" t="s">
        <v>21</v>
      </c>
      <c r="H56" s="636" t="s">
        <v>164</v>
      </c>
      <c r="I56" s="636" t="s">
        <v>165</v>
      </c>
      <c r="J56" s="636" t="s">
        <v>21</v>
      </c>
      <c r="K56" s="636" t="s">
        <v>21</v>
      </c>
      <c r="L56" s="641" t="s">
        <v>2041</v>
      </c>
      <c r="M56" s="671" t="s">
        <v>687</v>
      </c>
      <c r="N56" s="643" t="s">
        <v>498</v>
      </c>
      <c r="O56" s="672" t="s">
        <v>688</v>
      </c>
      <c r="P56" s="644" t="s">
        <v>2043</v>
      </c>
      <c r="Q56" s="642" t="s">
        <v>499</v>
      </c>
      <c r="R56" s="671" t="s">
        <v>560</v>
      </c>
      <c r="S56" s="642" t="s">
        <v>500</v>
      </c>
      <c r="T56" s="642" t="s">
        <v>671</v>
      </c>
      <c r="U56" s="686" t="s">
        <v>689</v>
      </c>
      <c r="V56" s="642" t="s">
        <v>503</v>
      </c>
      <c r="W56" s="642" t="s">
        <v>527</v>
      </c>
      <c r="X56" s="646" t="s">
        <v>691</v>
      </c>
      <c r="Y56" s="671" t="s">
        <v>692</v>
      </c>
      <c r="Z56" s="729" t="s">
        <v>693</v>
      </c>
      <c r="AA56" s="642" t="s">
        <v>538</v>
      </c>
      <c r="AB56" s="642" t="s">
        <v>710</v>
      </c>
      <c r="AC56" s="649">
        <v>28071</v>
      </c>
      <c r="AD56" s="650">
        <f t="shared" si="1"/>
        <v>7</v>
      </c>
      <c r="AE56" s="650">
        <f t="shared" si="2"/>
        <v>11</v>
      </c>
      <c r="AF56" s="650">
        <f t="shared" si="3"/>
        <v>1976</v>
      </c>
      <c r="AG56" s="651">
        <f t="shared" si="0"/>
        <v>49986</v>
      </c>
      <c r="AH56" s="650">
        <f t="shared" ca="1" si="4"/>
        <v>10</v>
      </c>
      <c r="AI56" s="650">
        <f t="shared" ca="1" si="5"/>
        <v>10</v>
      </c>
      <c r="AJ56" s="650">
        <f t="shared" ca="1" si="6"/>
        <v>27</v>
      </c>
      <c r="AK56" s="650" t="str">
        <f t="shared" ca="1" si="7"/>
        <v>10year/10months/27Days</v>
      </c>
      <c r="AL56" s="642"/>
      <c r="AM56" s="923"/>
      <c r="AN56" s="925"/>
      <c r="AO56" s="923"/>
      <c r="AP56" s="923"/>
      <c r="AQ56" s="923"/>
      <c r="AR56" s="642">
        <v>1960</v>
      </c>
      <c r="AS56" s="642">
        <v>504</v>
      </c>
      <c r="AT56" s="642">
        <v>387</v>
      </c>
      <c r="AU56" s="642">
        <v>76.78</v>
      </c>
      <c r="AV56" s="642" t="s">
        <v>498</v>
      </c>
      <c r="AW56" s="642" t="s">
        <v>498</v>
      </c>
      <c r="AX56" s="642" t="s">
        <v>498</v>
      </c>
      <c r="AY56" s="642">
        <v>2023</v>
      </c>
      <c r="AZ56" s="667">
        <v>2</v>
      </c>
      <c r="BA56" s="652">
        <v>1018</v>
      </c>
      <c r="BB56" s="652">
        <v>206</v>
      </c>
      <c r="BC56" s="652">
        <v>41</v>
      </c>
      <c r="BD56" s="652">
        <v>193</v>
      </c>
      <c r="BE56" s="652">
        <v>512</v>
      </c>
      <c r="BF56" s="653">
        <f t="shared" si="8"/>
        <v>50.29469548133595</v>
      </c>
      <c r="BG56" s="652">
        <v>65</v>
      </c>
      <c r="BH56" s="652" t="s">
        <v>498</v>
      </c>
      <c r="BI56" s="652">
        <v>1018</v>
      </c>
      <c r="BJ56" s="652" t="s">
        <v>498</v>
      </c>
      <c r="BK56" s="652" t="s">
        <v>498</v>
      </c>
      <c r="BL56" s="654">
        <v>45349</v>
      </c>
      <c r="BM56" s="873" t="s">
        <v>1840</v>
      </c>
      <c r="BN56" s="874"/>
      <c r="BO56" s="874"/>
      <c r="BP56" s="875"/>
      <c r="BQ56" s="873" t="s">
        <v>2044</v>
      </c>
      <c r="BR56" s="874"/>
      <c r="BS56" s="874"/>
      <c r="BT56" s="875"/>
      <c r="BU56" s="873" t="s">
        <v>2609</v>
      </c>
      <c r="BV56" s="874"/>
      <c r="BW56" s="874"/>
      <c r="BX56" s="875"/>
      <c r="BY56" s="696"/>
      <c r="BZ56" s="696"/>
      <c r="CA56" s="696"/>
      <c r="CB56" s="696"/>
      <c r="CC56" s="655"/>
    </row>
    <row r="57" spans="1:81" s="8" customFormat="1" ht="40.35" customHeight="1" x14ac:dyDescent="0.25">
      <c r="A57" s="9">
        <v>68</v>
      </c>
      <c r="B57" s="118" t="s">
        <v>1402</v>
      </c>
      <c r="C57" s="13" t="s">
        <v>169</v>
      </c>
      <c r="D57" s="3" t="s">
        <v>1403</v>
      </c>
      <c r="E57" s="3" t="s">
        <v>12</v>
      </c>
      <c r="F57" s="381">
        <v>50</v>
      </c>
      <c r="G57" s="198" t="s">
        <v>13</v>
      </c>
      <c r="H57" s="9" t="s">
        <v>14</v>
      </c>
      <c r="I57" s="9" t="s">
        <v>130</v>
      </c>
      <c r="J57" s="9" t="s">
        <v>14</v>
      </c>
      <c r="K57" s="9" t="s">
        <v>14</v>
      </c>
      <c r="L57" s="215" t="s">
        <v>16</v>
      </c>
      <c r="M57" s="1"/>
      <c r="N57" s="69" t="s">
        <v>498</v>
      </c>
      <c r="O57" s="1"/>
      <c r="P57" s="1"/>
      <c r="Q57" s="50" t="s">
        <v>499</v>
      </c>
      <c r="R57" s="1"/>
      <c r="S57" s="50" t="s">
        <v>500</v>
      </c>
      <c r="T57" s="50" t="s">
        <v>524</v>
      </c>
      <c r="U57" s="1"/>
      <c r="V57" s="50" t="s">
        <v>503</v>
      </c>
      <c r="W57" s="1"/>
      <c r="X57" s="1"/>
      <c r="Y57" s="1"/>
      <c r="Z57" s="1"/>
      <c r="AA57" s="50" t="s">
        <v>538</v>
      </c>
      <c r="AB57" s="50" t="s">
        <v>506</v>
      </c>
      <c r="AC57" s="55">
        <v>26711</v>
      </c>
      <c r="AD57" s="48">
        <f t="shared" si="1"/>
        <v>16</v>
      </c>
      <c r="AE57" s="48">
        <f t="shared" si="2"/>
        <v>2</v>
      </c>
      <c r="AF57" s="48">
        <f t="shared" si="3"/>
        <v>1973</v>
      </c>
      <c r="AG57" s="49">
        <f t="shared" si="0"/>
        <v>48626</v>
      </c>
      <c r="AH57" s="48">
        <f t="shared" ca="1" si="4"/>
        <v>7</v>
      </c>
      <c r="AI57" s="48">
        <f t="shared" ca="1" si="5"/>
        <v>2</v>
      </c>
      <c r="AJ57" s="48">
        <f t="shared" ca="1" si="6"/>
        <v>5</v>
      </c>
      <c r="AK57" s="48" t="str">
        <f t="shared" ca="1" si="7"/>
        <v>7year/2months/5Days</v>
      </c>
      <c r="AL57" s="1"/>
      <c r="AM57" s="3" t="s">
        <v>1635</v>
      </c>
      <c r="AN57" s="3">
        <v>1016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344"/>
      <c r="BA57" s="1"/>
      <c r="BB57" s="1"/>
      <c r="BC57" s="78" t="s">
        <v>498</v>
      </c>
      <c r="BD57" s="1"/>
      <c r="BE57" s="1"/>
      <c r="BF57" s="74" t="e">
        <f t="shared" si="8"/>
        <v>#DIV/0!</v>
      </c>
      <c r="BG57" s="78" t="s">
        <v>498</v>
      </c>
      <c r="BH57" s="78" t="s">
        <v>498</v>
      </c>
      <c r="BI57" s="1"/>
      <c r="BJ57" s="1"/>
      <c r="BK57" s="1"/>
      <c r="BL57" s="352"/>
      <c r="BM57" s="306"/>
      <c r="BN57" s="306"/>
      <c r="BO57" s="306"/>
      <c r="BP57" s="306"/>
      <c r="BQ57" s="306"/>
      <c r="BR57" s="306"/>
      <c r="BS57" s="306"/>
      <c r="BT57" s="306"/>
      <c r="BU57" s="879" t="s">
        <v>498</v>
      </c>
      <c r="BV57" s="880"/>
      <c r="BW57" s="880"/>
      <c r="BX57" s="881"/>
      <c r="BY57" s="306"/>
      <c r="BZ57" s="306"/>
      <c r="CA57" s="306"/>
      <c r="CB57" s="306"/>
      <c r="CC57" s="27"/>
    </row>
    <row r="58" spans="1:81" s="656" customFormat="1" ht="40.35" customHeight="1" x14ac:dyDescent="0.25">
      <c r="A58" s="636">
        <v>69</v>
      </c>
      <c r="B58" s="657" t="s">
        <v>1005</v>
      </c>
      <c r="C58" s="658" t="s">
        <v>171</v>
      </c>
      <c r="D58" s="659" t="s">
        <v>1004</v>
      </c>
      <c r="E58" s="451" t="s">
        <v>12</v>
      </c>
      <c r="F58" s="451">
        <v>51</v>
      </c>
      <c r="G58" s="640" t="s">
        <v>69</v>
      </c>
      <c r="H58" s="636" t="s">
        <v>67</v>
      </c>
      <c r="I58" s="636" t="s">
        <v>172</v>
      </c>
      <c r="J58" s="636" t="s">
        <v>29</v>
      </c>
      <c r="K58" s="636" t="s">
        <v>30</v>
      </c>
      <c r="L58" s="641" t="s">
        <v>69</v>
      </c>
      <c r="M58" s="642" t="s">
        <v>1001</v>
      </c>
      <c r="N58" s="643" t="s">
        <v>498</v>
      </c>
      <c r="O58" s="672" t="s">
        <v>1895</v>
      </c>
      <c r="P58" s="660" t="s">
        <v>1896</v>
      </c>
      <c r="Q58" s="642" t="s">
        <v>499</v>
      </c>
      <c r="R58" s="642">
        <v>2</v>
      </c>
      <c r="S58" s="642" t="s">
        <v>500</v>
      </c>
      <c r="T58" s="642" t="s">
        <v>524</v>
      </c>
      <c r="U58" s="645" t="s">
        <v>667</v>
      </c>
      <c r="V58" s="642" t="s">
        <v>503</v>
      </c>
      <c r="W58" s="642" t="s">
        <v>542</v>
      </c>
      <c r="X58" s="647" t="s">
        <v>1897</v>
      </c>
      <c r="Y58" s="642" t="s">
        <v>1002</v>
      </c>
      <c r="Z58" s="648" t="s">
        <v>1003</v>
      </c>
      <c r="AA58" s="642" t="s">
        <v>562</v>
      </c>
      <c r="AB58" s="642" t="s">
        <v>710</v>
      </c>
      <c r="AC58" s="649">
        <v>25794</v>
      </c>
      <c r="AD58" s="650">
        <f t="shared" si="1"/>
        <v>14</v>
      </c>
      <c r="AE58" s="650">
        <f t="shared" si="2"/>
        <v>8</v>
      </c>
      <c r="AF58" s="650">
        <f t="shared" si="3"/>
        <v>1970</v>
      </c>
      <c r="AG58" s="651">
        <f t="shared" si="0"/>
        <v>47709</v>
      </c>
      <c r="AH58" s="650">
        <f t="shared" ca="1" si="4"/>
        <v>4</v>
      </c>
      <c r="AI58" s="650">
        <f t="shared" ca="1" si="5"/>
        <v>8</v>
      </c>
      <c r="AJ58" s="650">
        <f t="shared" ca="1" si="6"/>
        <v>3</v>
      </c>
      <c r="AK58" s="650" t="str">
        <f t="shared" ca="1" si="7"/>
        <v>4year/8months/3Days</v>
      </c>
      <c r="AL58" s="702"/>
      <c r="AM58" s="702" t="s">
        <v>1636</v>
      </c>
      <c r="AN58" s="703">
        <v>2071</v>
      </c>
      <c r="AO58" s="702"/>
      <c r="AP58" s="702"/>
      <c r="AQ58" s="702"/>
      <c r="AR58" s="702"/>
      <c r="AS58" s="702"/>
      <c r="AT58" s="702"/>
      <c r="AU58" s="702"/>
      <c r="AV58" s="702"/>
      <c r="AW58" s="702"/>
      <c r="AX58" s="702"/>
      <c r="AY58" s="642">
        <v>2024</v>
      </c>
      <c r="AZ58" s="667">
        <v>2</v>
      </c>
      <c r="BA58" s="652">
        <v>440</v>
      </c>
      <c r="BB58" s="652">
        <v>75</v>
      </c>
      <c r="BC58" s="652" t="s">
        <v>498</v>
      </c>
      <c r="BD58" s="652">
        <v>1</v>
      </c>
      <c r="BE58" s="652">
        <v>358</v>
      </c>
      <c r="BF58" s="653">
        <f t="shared" si="8"/>
        <v>81.36363636363636</v>
      </c>
      <c r="BG58" s="652">
        <v>6</v>
      </c>
      <c r="BH58" s="652" t="s">
        <v>498</v>
      </c>
      <c r="BI58" s="652">
        <v>430</v>
      </c>
      <c r="BJ58" s="652">
        <v>10</v>
      </c>
      <c r="BK58" s="652" t="s">
        <v>498</v>
      </c>
      <c r="BL58" s="654">
        <v>45559</v>
      </c>
      <c r="BM58" s="873" t="s">
        <v>1864</v>
      </c>
      <c r="BN58" s="874"/>
      <c r="BO58" s="874"/>
      <c r="BP58" s="875"/>
      <c r="BQ58" s="873" t="s">
        <v>1898</v>
      </c>
      <c r="BR58" s="874"/>
      <c r="BS58" s="874"/>
      <c r="BT58" s="875"/>
      <c r="BU58" s="873" t="s">
        <v>2609</v>
      </c>
      <c r="BV58" s="874"/>
      <c r="BW58" s="874"/>
      <c r="BX58" s="875"/>
      <c r="BY58" s="873" t="s">
        <v>2657</v>
      </c>
      <c r="BZ58" s="874"/>
      <c r="CA58" s="874"/>
      <c r="CB58" s="875"/>
      <c r="CC58" s="655"/>
    </row>
    <row r="59" spans="1:81" s="656" customFormat="1" ht="40.35" customHeight="1" x14ac:dyDescent="0.3">
      <c r="A59" s="636">
        <v>70</v>
      </c>
      <c r="B59" s="730" t="s">
        <v>1470</v>
      </c>
      <c r="C59" s="658"/>
      <c r="D59" s="713" t="s">
        <v>1471</v>
      </c>
      <c r="E59" s="451" t="s">
        <v>1439</v>
      </c>
      <c r="F59" s="444">
        <v>1</v>
      </c>
      <c r="G59" s="636" t="s">
        <v>13</v>
      </c>
      <c r="H59" s="636" t="s">
        <v>1467</v>
      </c>
      <c r="I59" s="636" t="s">
        <v>1468</v>
      </c>
      <c r="J59" s="636" t="s">
        <v>110</v>
      </c>
      <c r="K59" s="636" t="s">
        <v>22</v>
      </c>
      <c r="L59" s="636" t="s">
        <v>1469</v>
      </c>
      <c r="M59" s="701" t="s">
        <v>1472</v>
      </c>
      <c r="N59" s="642" t="s">
        <v>498</v>
      </c>
      <c r="O59" s="642" t="s">
        <v>1473</v>
      </c>
      <c r="P59" s="660" t="s">
        <v>1977</v>
      </c>
      <c r="Q59" s="642" t="s">
        <v>499</v>
      </c>
      <c r="R59" s="642" t="s">
        <v>560</v>
      </c>
      <c r="S59" s="642" t="s">
        <v>500</v>
      </c>
      <c r="T59" s="642" t="s">
        <v>524</v>
      </c>
      <c r="U59" s="645" t="s">
        <v>653</v>
      </c>
      <c r="V59" s="642" t="s">
        <v>503</v>
      </c>
      <c r="W59" s="671" t="s">
        <v>527</v>
      </c>
      <c r="X59" s="675" t="s">
        <v>1474</v>
      </c>
      <c r="Y59" s="671" t="s">
        <v>1475</v>
      </c>
      <c r="Z59" s="671" t="s">
        <v>1978</v>
      </c>
      <c r="AA59" s="642" t="s">
        <v>562</v>
      </c>
      <c r="AB59" s="642" t="s">
        <v>710</v>
      </c>
      <c r="AC59" s="649">
        <v>27642</v>
      </c>
      <c r="AD59" s="650">
        <f t="shared" si="1"/>
        <v>5</v>
      </c>
      <c r="AE59" s="650">
        <f t="shared" si="2"/>
        <v>9</v>
      </c>
      <c r="AF59" s="650">
        <f t="shared" si="3"/>
        <v>1975</v>
      </c>
      <c r="AG59" s="651">
        <f t="shared" si="0"/>
        <v>49557</v>
      </c>
      <c r="AH59" s="650">
        <f t="shared" ca="1" si="4"/>
        <v>9</v>
      </c>
      <c r="AI59" s="650">
        <f t="shared" ca="1" si="5"/>
        <v>8</v>
      </c>
      <c r="AJ59" s="650">
        <f t="shared" ca="1" si="6"/>
        <v>25</v>
      </c>
      <c r="AK59" s="650" t="str">
        <f t="shared" ca="1" si="7"/>
        <v>9year/8months/25Days</v>
      </c>
      <c r="AL59" s="714"/>
      <c r="AM59" s="714" t="s">
        <v>1637</v>
      </c>
      <c r="AN59" s="659">
        <v>2610</v>
      </c>
      <c r="AO59" s="714"/>
      <c r="AP59" s="714"/>
      <c r="AQ59" s="714"/>
      <c r="AR59" s="714"/>
      <c r="AS59" s="714"/>
      <c r="AT59" s="714"/>
      <c r="AU59" s="714"/>
      <c r="AV59" s="714"/>
      <c r="AW59" s="714"/>
      <c r="AX59" s="714"/>
      <c r="AY59" s="642">
        <v>2024</v>
      </c>
      <c r="AZ59" s="667">
        <v>3</v>
      </c>
      <c r="BA59" s="652">
        <v>1287</v>
      </c>
      <c r="BB59" s="652">
        <v>1039</v>
      </c>
      <c r="BC59" s="652" t="s">
        <v>498</v>
      </c>
      <c r="BD59" s="652" t="s">
        <v>498</v>
      </c>
      <c r="BE59" s="652">
        <v>248</v>
      </c>
      <c r="BF59" s="653">
        <f t="shared" si="8"/>
        <v>19.26961926961927</v>
      </c>
      <c r="BG59" s="652" t="s">
        <v>498</v>
      </c>
      <c r="BH59" s="652" t="s">
        <v>498</v>
      </c>
      <c r="BI59" s="652">
        <v>1287</v>
      </c>
      <c r="BJ59" s="652" t="s">
        <v>498</v>
      </c>
      <c r="BK59" s="652" t="s">
        <v>498</v>
      </c>
      <c r="BL59" s="654">
        <v>45596</v>
      </c>
      <c r="BM59" s="873" t="s">
        <v>1799</v>
      </c>
      <c r="BN59" s="874"/>
      <c r="BO59" s="874"/>
      <c r="BP59" s="875"/>
      <c r="BQ59" s="873" t="s">
        <v>1873</v>
      </c>
      <c r="BR59" s="874"/>
      <c r="BS59" s="874"/>
      <c r="BT59" s="875"/>
      <c r="BU59" s="873" t="s">
        <v>2609</v>
      </c>
      <c r="BV59" s="874"/>
      <c r="BW59" s="874"/>
      <c r="BX59" s="875"/>
      <c r="BY59" s="873" t="s">
        <v>2731</v>
      </c>
      <c r="BZ59" s="874"/>
      <c r="CA59" s="874"/>
      <c r="CB59" s="875"/>
      <c r="CC59" s="655"/>
    </row>
    <row r="60" spans="1:81" s="8" customFormat="1" ht="40.35" customHeight="1" x14ac:dyDescent="0.25">
      <c r="A60" s="9">
        <v>71</v>
      </c>
      <c r="B60" s="118" t="s">
        <v>1404</v>
      </c>
      <c r="C60" s="13" t="s">
        <v>174</v>
      </c>
      <c r="D60" s="3" t="s">
        <v>707</v>
      </c>
      <c r="E60" s="3" t="s">
        <v>12</v>
      </c>
      <c r="F60" s="381">
        <v>52</v>
      </c>
      <c r="G60" s="198" t="s">
        <v>21</v>
      </c>
      <c r="H60" s="9" t="s">
        <v>164</v>
      </c>
      <c r="I60" s="214" t="s">
        <v>175</v>
      </c>
      <c r="J60" s="9" t="s">
        <v>21</v>
      </c>
      <c r="K60" s="9" t="s">
        <v>21</v>
      </c>
      <c r="L60" s="215" t="s">
        <v>84</v>
      </c>
      <c r="M60" s="50" t="s">
        <v>701</v>
      </c>
      <c r="N60" s="50" t="s">
        <v>498</v>
      </c>
      <c r="O60" s="51" t="s">
        <v>702</v>
      </c>
      <c r="P60" s="243" t="s">
        <v>703</v>
      </c>
      <c r="Q60" s="50" t="s">
        <v>499</v>
      </c>
      <c r="R60" s="50">
        <v>2</v>
      </c>
      <c r="S60" s="50" t="s">
        <v>500</v>
      </c>
      <c r="T60" s="50" t="s">
        <v>524</v>
      </c>
      <c r="U60" s="52" t="s">
        <v>502</v>
      </c>
      <c r="V60" s="50" t="s">
        <v>503</v>
      </c>
      <c r="W60" s="365" t="s">
        <v>704</v>
      </c>
      <c r="X60" s="53" t="s">
        <v>705</v>
      </c>
      <c r="Y60" s="50" t="s">
        <v>701</v>
      </c>
      <c r="Z60" s="50" t="s">
        <v>706</v>
      </c>
      <c r="AA60" s="50" t="s">
        <v>538</v>
      </c>
      <c r="AB60" s="50" t="s">
        <v>506</v>
      </c>
      <c r="AC60" s="55"/>
      <c r="AD60" s="48"/>
      <c r="AE60" s="48"/>
      <c r="AF60" s="48"/>
      <c r="AG60" s="49"/>
      <c r="AH60" s="48"/>
      <c r="AI60" s="48"/>
      <c r="AJ60" s="48"/>
      <c r="AK60" s="48"/>
      <c r="AL60" s="384"/>
      <c r="AM60" s="922" t="s">
        <v>1638</v>
      </c>
      <c r="AN60" s="924">
        <v>2206</v>
      </c>
      <c r="AO60" s="926">
        <v>13398</v>
      </c>
      <c r="AP60" s="922" t="s">
        <v>2028</v>
      </c>
      <c r="AQ60" s="384" t="s">
        <v>621</v>
      </c>
      <c r="AR60" s="384">
        <v>1960</v>
      </c>
      <c r="AS60" s="384">
        <v>424</v>
      </c>
      <c r="AT60" s="384">
        <v>214</v>
      </c>
      <c r="AU60" s="384">
        <v>50.47</v>
      </c>
      <c r="AV60" s="384">
        <v>376</v>
      </c>
      <c r="AW60" s="384">
        <v>226</v>
      </c>
      <c r="AX60" s="384">
        <v>60.1</v>
      </c>
      <c r="AY60" s="50">
        <v>2022</v>
      </c>
      <c r="AZ60" s="107">
        <v>1</v>
      </c>
      <c r="BA60" s="78">
        <v>138</v>
      </c>
      <c r="BB60" s="78">
        <v>11</v>
      </c>
      <c r="BC60" s="78" t="s">
        <v>498</v>
      </c>
      <c r="BD60" s="78">
        <v>81</v>
      </c>
      <c r="BE60" s="78">
        <v>20</v>
      </c>
      <c r="BF60" s="74">
        <f t="shared" si="8"/>
        <v>14.492753623188406</v>
      </c>
      <c r="BG60" s="78" t="s">
        <v>498</v>
      </c>
      <c r="BH60" s="78" t="s">
        <v>498</v>
      </c>
      <c r="BI60" s="78">
        <v>138</v>
      </c>
      <c r="BJ60" s="78" t="s">
        <v>498</v>
      </c>
      <c r="BK60" s="78" t="s">
        <v>498</v>
      </c>
      <c r="BL60" s="76">
        <v>44825</v>
      </c>
      <c r="BM60" s="888" t="s">
        <v>1799</v>
      </c>
      <c r="BN60" s="889"/>
      <c r="BO60" s="889"/>
      <c r="BP60" s="890"/>
      <c r="BQ60" s="318"/>
      <c r="BR60" s="318"/>
      <c r="BS60" s="318"/>
      <c r="BT60" s="318"/>
      <c r="BU60" s="888" t="s">
        <v>2609</v>
      </c>
      <c r="BV60" s="889"/>
      <c r="BW60" s="889"/>
      <c r="BX60" s="890"/>
      <c r="BY60" s="318"/>
      <c r="BZ60" s="318"/>
      <c r="CA60" s="318"/>
      <c r="CB60" s="318"/>
      <c r="CC60" s="27"/>
    </row>
    <row r="61" spans="1:81" s="656" customFormat="1" ht="47.25" customHeight="1" x14ac:dyDescent="0.3">
      <c r="A61" s="636">
        <v>72</v>
      </c>
      <c r="B61" s="637" t="s">
        <v>711</v>
      </c>
      <c r="C61" s="638" t="s">
        <v>177</v>
      </c>
      <c r="D61" s="659" t="s">
        <v>2644</v>
      </c>
      <c r="E61" s="451" t="s">
        <v>12</v>
      </c>
      <c r="F61" s="451">
        <v>53</v>
      </c>
      <c r="G61" s="640" t="s">
        <v>21</v>
      </c>
      <c r="H61" s="636" t="s">
        <v>164</v>
      </c>
      <c r="I61" s="731" t="s">
        <v>175</v>
      </c>
      <c r="J61" s="636" t="s">
        <v>21</v>
      </c>
      <c r="K61" s="636" t="s">
        <v>21</v>
      </c>
      <c r="L61" s="641" t="s">
        <v>84</v>
      </c>
      <c r="M61" s="642" t="s">
        <v>708</v>
      </c>
      <c r="N61" s="642" t="s">
        <v>498</v>
      </c>
      <c r="O61" s="672" t="s">
        <v>2645</v>
      </c>
      <c r="P61" s="660" t="s">
        <v>2646</v>
      </c>
      <c r="Q61" s="642" t="s">
        <v>499</v>
      </c>
      <c r="R61" s="642" t="s">
        <v>560</v>
      </c>
      <c r="S61" s="642" t="s">
        <v>500</v>
      </c>
      <c r="T61" s="642" t="s">
        <v>671</v>
      </c>
      <c r="U61" s="645" t="s">
        <v>653</v>
      </c>
      <c r="V61" s="648" t="s">
        <v>503</v>
      </c>
      <c r="W61" s="648" t="s">
        <v>1046</v>
      </c>
      <c r="X61" s="647" t="s">
        <v>2960</v>
      </c>
      <c r="Y61" s="648" t="s">
        <v>2961</v>
      </c>
      <c r="Z61" s="648" t="s">
        <v>2962</v>
      </c>
      <c r="AA61" s="642" t="s">
        <v>562</v>
      </c>
      <c r="AB61" s="648" t="s">
        <v>2963</v>
      </c>
      <c r="AC61" s="649">
        <v>28088</v>
      </c>
      <c r="AD61" s="650">
        <f t="shared" ref="AD61" si="40">DAY(AC61)</f>
        <v>24</v>
      </c>
      <c r="AE61" s="650">
        <f t="shared" ref="AE61" si="41">MONTH(AC61)</f>
        <v>11</v>
      </c>
      <c r="AF61" s="650">
        <f t="shared" ref="AF61" si="42">YEAR(AC61)</f>
        <v>1976</v>
      </c>
      <c r="AG61" s="651">
        <f t="shared" ref="AG61" si="43">EDATE(AC61,12*60)</f>
        <v>50003</v>
      </c>
      <c r="AH61" s="650">
        <f t="shared" ref="AH61" ca="1" si="44">DATEDIF($A$4,AG61, "Y" )</f>
        <v>10</v>
      </c>
      <c r="AI61" s="650">
        <f t="shared" ref="AI61" ca="1" si="45">DATEDIF($A$4,AG61, "YM" )</f>
        <v>11</v>
      </c>
      <c r="AJ61" s="650">
        <f t="shared" ref="AJ61" ca="1" si="46">DATEDIF($A$4,AG61, "MD" )</f>
        <v>13</v>
      </c>
      <c r="AK61" s="650" t="str">
        <f t="shared" ref="AK61" ca="1" si="47">CONCATENATE(AH61,"year","/",AI61,"months","/",AJ61,"Days")</f>
        <v>10year/11months/13Days</v>
      </c>
      <c r="AL61" s="702"/>
      <c r="AM61" s="939"/>
      <c r="AN61" s="940"/>
      <c r="AO61" s="939"/>
      <c r="AP61" s="939"/>
      <c r="AQ61" s="702" t="s">
        <v>2017</v>
      </c>
      <c r="AR61" s="702">
        <v>1960</v>
      </c>
      <c r="AS61" s="702">
        <v>905</v>
      </c>
      <c r="AT61" s="702">
        <v>856</v>
      </c>
      <c r="AU61" s="702">
        <v>94.58</v>
      </c>
      <c r="AV61" s="702">
        <v>882</v>
      </c>
      <c r="AW61" s="702">
        <v>840</v>
      </c>
      <c r="AX61" s="702">
        <v>95.2</v>
      </c>
      <c r="AY61" s="642">
        <v>2024</v>
      </c>
      <c r="AZ61" s="667">
        <v>2</v>
      </c>
      <c r="BA61" s="652">
        <v>870</v>
      </c>
      <c r="BB61" s="652" t="s">
        <v>498</v>
      </c>
      <c r="BC61" s="652">
        <v>365</v>
      </c>
      <c r="BD61" s="652" t="s">
        <v>498</v>
      </c>
      <c r="BE61" s="652">
        <v>505</v>
      </c>
      <c r="BF61" s="653">
        <f t="shared" si="8"/>
        <v>58.045977011494251</v>
      </c>
      <c r="BG61" s="652" t="s">
        <v>498</v>
      </c>
      <c r="BH61" s="652" t="s">
        <v>498</v>
      </c>
      <c r="BI61" s="652" t="s">
        <v>498</v>
      </c>
      <c r="BJ61" s="652">
        <v>870</v>
      </c>
      <c r="BK61" s="652" t="s">
        <v>498</v>
      </c>
      <c r="BL61" s="654">
        <v>45547</v>
      </c>
      <c r="BM61" s="873" t="s">
        <v>2067</v>
      </c>
      <c r="BN61" s="874"/>
      <c r="BO61" s="874"/>
      <c r="BP61" s="875"/>
      <c r="BQ61" s="666"/>
      <c r="BR61" s="666"/>
      <c r="BS61" s="666"/>
      <c r="BT61" s="666"/>
      <c r="BU61" s="906">
        <v>45511</v>
      </c>
      <c r="BV61" s="907"/>
      <c r="BW61" s="907"/>
      <c r="BX61" s="908"/>
      <c r="BY61" s="873" t="s">
        <v>2610</v>
      </c>
      <c r="BZ61" s="874"/>
      <c r="CA61" s="874"/>
      <c r="CB61" s="875"/>
      <c r="CC61" s="655"/>
    </row>
    <row r="62" spans="1:81" s="656" customFormat="1" ht="40.35" customHeight="1" x14ac:dyDescent="0.25">
      <c r="A62" s="636">
        <v>73</v>
      </c>
      <c r="B62" s="657" t="s">
        <v>717</v>
      </c>
      <c r="C62" s="658" t="s">
        <v>179</v>
      </c>
      <c r="D62" s="639" t="s">
        <v>2488</v>
      </c>
      <c r="E62" s="451" t="s">
        <v>12</v>
      </c>
      <c r="F62" s="444">
        <v>54</v>
      </c>
      <c r="G62" s="640" t="s">
        <v>21</v>
      </c>
      <c r="H62" s="636" t="s">
        <v>164</v>
      </c>
      <c r="I62" s="731" t="s">
        <v>175</v>
      </c>
      <c r="J62" s="636" t="s">
        <v>21</v>
      </c>
      <c r="K62" s="636" t="s">
        <v>21</v>
      </c>
      <c r="L62" s="641" t="s">
        <v>84</v>
      </c>
      <c r="M62" s="642" t="s">
        <v>712</v>
      </c>
      <c r="N62" s="642" t="s">
        <v>498</v>
      </c>
      <c r="O62" s="732" t="s">
        <v>713</v>
      </c>
      <c r="P62" s="693" t="s">
        <v>714</v>
      </c>
      <c r="Q62" s="642" t="s">
        <v>499</v>
      </c>
      <c r="R62" s="642" t="s">
        <v>560</v>
      </c>
      <c r="S62" s="642" t="s">
        <v>645</v>
      </c>
      <c r="T62" s="642" t="s">
        <v>501</v>
      </c>
      <c r="U62" s="645" t="s">
        <v>653</v>
      </c>
      <c r="V62" s="642" t="s">
        <v>503</v>
      </c>
      <c r="W62" s="671" t="s">
        <v>654</v>
      </c>
      <c r="X62" s="646" t="s">
        <v>2489</v>
      </c>
      <c r="Y62" s="642" t="s">
        <v>715</v>
      </c>
      <c r="Z62" s="648" t="s">
        <v>2490</v>
      </c>
      <c r="AA62" s="642" t="s">
        <v>538</v>
      </c>
      <c r="AB62" s="642" t="s">
        <v>655</v>
      </c>
      <c r="AC62" s="649">
        <v>28525</v>
      </c>
      <c r="AD62" s="650">
        <f t="shared" si="1"/>
        <v>4</v>
      </c>
      <c r="AE62" s="650">
        <f t="shared" si="2"/>
        <v>2</v>
      </c>
      <c r="AF62" s="650">
        <f t="shared" si="3"/>
        <v>1978</v>
      </c>
      <c r="AG62" s="651">
        <f t="shared" si="0"/>
        <v>50440</v>
      </c>
      <c r="AH62" s="650">
        <f t="shared" ca="1" si="4"/>
        <v>12</v>
      </c>
      <c r="AI62" s="650">
        <f t="shared" ca="1" si="5"/>
        <v>1</v>
      </c>
      <c r="AJ62" s="650">
        <f t="shared" ca="1" si="6"/>
        <v>24</v>
      </c>
      <c r="AK62" s="650" t="str">
        <f t="shared" ca="1" si="7"/>
        <v>12year/1months/24Days</v>
      </c>
      <c r="AL62" s="733"/>
      <c r="AM62" s="923"/>
      <c r="AN62" s="925"/>
      <c r="AO62" s="923"/>
      <c r="AP62" s="923"/>
      <c r="AQ62" s="702" t="s">
        <v>2017</v>
      </c>
      <c r="AR62" s="702">
        <v>1960</v>
      </c>
      <c r="AS62" s="702">
        <v>869</v>
      </c>
      <c r="AT62" s="702">
        <v>852</v>
      </c>
      <c r="AU62" s="702">
        <v>98.04</v>
      </c>
      <c r="AV62" s="702">
        <v>940</v>
      </c>
      <c r="AW62" s="702">
        <v>940</v>
      </c>
      <c r="AX62" s="702">
        <v>100</v>
      </c>
      <c r="AY62" s="642">
        <v>2023</v>
      </c>
      <c r="AZ62" s="667">
        <v>2</v>
      </c>
      <c r="BA62" s="652">
        <v>726</v>
      </c>
      <c r="BB62" s="652" t="s">
        <v>498</v>
      </c>
      <c r="BC62" s="652">
        <v>255</v>
      </c>
      <c r="BD62" s="652" t="s">
        <v>498</v>
      </c>
      <c r="BE62" s="652">
        <v>471</v>
      </c>
      <c r="BF62" s="653">
        <f t="shared" si="8"/>
        <v>64.876033057851231</v>
      </c>
      <c r="BG62" s="652" t="s">
        <v>498</v>
      </c>
      <c r="BH62" s="652" t="s">
        <v>498</v>
      </c>
      <c r="BI62" s="652" t="s">
        <v>498</v>
      </c>
      <c r="BJ62" s="652">
        <v>726</v>
      </c>
      <c r="BK62" s="652" t="s">
        <v>498</v>
      </c>
      <c r="BL62" s="654">
        <v>45408</v>
      </c>
      <c r="BM62" s="873" t="s">
        <v>1792</v>
      </c>
      <c r="BN62" s="874"/>
      <c r="BO62" s="874"/>
      <c r="BP62" s="875"/>
      <c r="BQ62" s="873" t="s">
        <v>2491</v>
      </c>
      <c r="BR62" s="874"/>
      <c r="BS62" s="874"/>
      <c r="BT62" s="875"/>
      <c r="BU62" s="873" t="s">
        <v>2609</v>
      </c>
      <c r="BV62" s="874"/>
      <c r="BW62" s="874"/>
      <c r="BX62" s="875"/>
      <c r="BY62" s="696"/>
      <c r="BZ62" s="696"/>
      <c r="CA62" s="696"/>
      <c r="CB62" s="696"/>
      <c r="CC62" s="655"/>
    </row>
    <row r="63" spans="1:81" s="8" customFormat="1" ht="40.35" customHeight="1" x14ac:dyDescent="0.3">
      <c r="A63" s="558">
        <v>74</v>
      </c>
      <c r="B63" s="183" t="s">
        <v>1007</v>
      </c>
      <c r="C63" s="11" t="s">
        <v>181</v>
      </c>
      <c r="D63" s="7" t="s">
        <v>1008</v>
      </c>
      <c r="E63" s="3" t="s">
        <v>12</v>
      </c>
      <c r="F63" s="3">
        <v>55</v>
      </c>
      <c r="G63" s="198" t="s">
        <v>13</v>
      </c>
      <c r="H63" s="9" t="s">
        <v>29</v>
      </c>
      <c r="I63" s="9" t="s">
        <v>160</v>
      </c>
      <c r="J63" s="9" t="s">
        <v>29</v>
      </c>
      <c r="K63" s="9" t="s">
        <v>29</v>
      </c>
      <c r="L63" s="215" t="s">
        <v>161</v>
      </c>
      <c r="M63" s="365" t="s">
        <v>1006</v>
      </c>
      <c r="N63" s="365" t="s">
        <v>498</v>
      </c>
      <c r="O63" s="44" t="s">
        <v>2723</v>
      </c>
      <c r="P63" s="245" t="s">
        <v>2724</v>
      </c>
      <c r="Q63" s="50" t="s">
        <v>499</v>
      </c>
      <c r="R63" s="365">
        <v>3</v>
      </c>
      <c r="S63" s="50" t="s">
        <v>500</v>
      </c>
      <c r="T63" s="50" t="s">
        <v>524</v>
      </c>
      <c r="U63" s="59" t="s">
        <v>535</v>
      </c>
      <c r="V63" s="50" t="s">
        <v>503</v>
      </c>
      <c r="W63" s="50" t="s">
        <v>527</v>
      </c>
      <c r="X63" s="122" t="s">
        <v>2725</v>
      </c>
      <c r="Y63" s="365" t="s">
        <v>2726</v>
      </c>
      <c r="Z63" s="577" t="s">
        <v>2727</v>
      </c>
      <c r="AA63" s="50" t="s">
        <v>709</v>
      </c>
      <c r="AB63" s="50" t="s">
        <v>506</v>
      </c>
      <c r="AC63" s="55">
        <v>25368</v>
      </c>
      <c r="AD63" s="48">
        <f t="shared" si="1"/>
        <v>14</v>
      </c>
      <c r="AE63" s="48">
        <f t="shared" si="2"/>
        <v>6</v>
      </c>
      <c r="AF63" s="48">
        <f t="shared" si="3"/>
        <v>1969</v>
      </c>
      <c r="AG63" s="49">
        <f t="shared" si="0"/>
        <v>47283</v>
      </c>
      <c r="AH63" s="48">
        <f t="shared" ca="1" si="4"/>
        <v>3</v>
      </c>
      <c r="AI63" s="48">
        <f t="shared" ca="1" si="5"/>
        <v>6</v>
      </c>
      <c r="AJ63" s="48">
        <f t="shared" ca="1" si="6"/>
        <v>3</v>
      </c>
      <c r="AK63" s="48" t="str">
        <f t="shared" ca="1" si="7"/>
        <v>3year/6months/3Days</v>
      </c>
      <c r="AL63" s="135"/>
      <c r="AM63" s="99" t="s">
        <v>1639</v>
      </c>
      <c r="AN63" s="281">
        <v>2174</v>
      </c>
      <c r="AO63" s="135"/>
      <c r="AP63" s="135"/>
      <c r="AQ63" s="135"/>
      <c r="AR63" s="135"/>
      <c r="AS63" s="135"/>
      <c r="AT63" s="135"/>
      <c r="AU63" s="135"/>
      <c r="AV63" s="135"/>
      <c r="AW63" s="135"/>
      <c r="AX63" s="135"/>
      <c r="AY63" s="50">
        <v>2024</v>
      </c>
      <c r="AZ63" s="52" t="s">
        <v>1932</v>
      </c>
      <c r="BA63" s="50">
        <v>529</v>
      </c>
      <c r="BB63" s="50">
        <v>505</v>
      </c>
      <c r="BC63" s="50" t="s">
        <v>498</v>
      </c>
      <c r="BD63" s="50" t="s">
        <v>498</v>
      </c>
      <c r="BE63" s="50">
        <v>24</v>
      </c>
      <c r="BF63" s="579">
        <f t="shared" si="8"/>
        <v>4.536862003780719</v>
      </c>
      <c r="BG63" s="50" t="s">
        <v>498</v>
      </c>
      <c r="BH63" s="50" t="s">
        <v>498</v>
      </c>
      <c r="BI63" s="50">
        <v>529</v>
      </c>
      <c r="BJ63" s="50" t="s">
        <v>498</v>
      </c>
      <c r="BK63" s="50" t="s">
        <v>498</v>
      </c>
      <c r="BL63" s="76">
        <v>45596</v>
      </c>
      <c r="BM63" s="379"/>
      <c r="BN63" s="379"/>
      <c r="BO63" s="379"/>
      <c r="BP63" s="379"/>
      <c r="BQ63" s="305"/>
      <c r="BR63" s="305"/>
      <c r="BS63" s="305"/>
      <c r="BT63" s="305"/>
      <c r="BU63" s="867" t="s">
        <v>2600</v>
      </c>
      <c r="BV63" s="868"/>
      <c r="BW63" s="868"/>
      <c r="BX63" s="869"/>
      <c r="BY63" s="867" t="s">
        <v>2722</v>
      </c>
      <c r="BZ63" s="868"/>
      <c r="CA63" s="868"/>
      <c r="CB63" s="869"/>
      <c r="CC63" s="27"/>
    </row>
    <row r="64" spans="1:81" s="8" customFormat="1" ht="39" customHeight="1" x14ac:dyDescent="0.25">
      <c r="A64" s="9">
        <v>75</v>
      </c>
      <c r="B64" s="118" t="s">
        <v>719</v>
      </c>
      <c r="C64" s="13" t="s">
        <v>183</v>
      </c>
      <c r="D64" s="3" t="s">
        <v>1922</v>
      </c>
      <c r="E64" s="3" t="s">
        <v>12</v>
      </c>
      <c r="F64" s="381">
        <v>56</v>
      </c>
      <c r="G64" s="198" t="s">
        <v>21</v>
      </c>
      <c r="H64" s="9" t="s">
        <v>84</v>
      </c>
      <c r="I64" s="9" t="s">
        <v>184</v>
      </c>
      <c r="J64" s="9" t="s">
        <v>21</v>
      </c>
      <c r="K64" s="9" t="s">
        <v>21</v>
      </c>
      <c r="L64" s="215" t="s">
        <v>84</v>
      </c>
      <c r="M64" s="50" t="s">
        <v>718</v>
      </c>
      <c r="N64" s="50" t="s">
        <v>498</v>
      </c>
      <c r="O64" s="51" t="s">
        <v>1923</v>
      </c>
      <c r="P64" s="243" t="s">
        <v>1924</v>
      </c>
      <c r="Q64" s="50" t="s">
        <v>499</v>
      </c>
      <c r="R64" s="50">
        <v>3</v>
      </c>
      <c r="S64" s="50" t="s">
        <v>500</v>
      </c>
      <c r="T64" s="50" t="s">
        <v>524</v>
      </c>
      <c r="U64" s="52" t="s">
        <v>535</v>
      </c>
      <c r="V64" s="50" t="s">
        <v>503</v>
      </c>
      <c r="W64" s="50" t="s">
        <v>542</v>
      </c>
      <c r="X64" s="70" t="s">
        <v>1925</v>
      </c>
      <c r="Y64" s="50" t="s">
        <v>1926</v>
      </c>
      <c r="Z64" s="50" t="s">
        <v>1927</v>
      </c>
      <c r="AA64" s="50" t="s">
        <v>562</v>
      </c>
      <c r="AB64" s="50" t="s">
        <v>616</v>
      </c>
      <c r="AC64" s="55">
        <v>25847</v>
      </c>
      <c r="AD64" s="48">
        <f t="shared" si="1"/>
        <v>6</v>
      </c>
      <c r="AE64" s="48">
        <f t="shared" si="2"/>
        <v>10</v>
      </c>
      <c r="AF64" s="48">
        <f t="shared" si="3"/>
        <v>1970</v>
      </c>
      <c r="AG64" s="49">
        <f t="shared" si="0"/>
        <v>47762</v>
      </c>
      <c r="AH64" s="48">
        <f t="shared" ca="1" si="4"/>
        <v>4</v>
      </c>
      <c r="AI64" s="48">
        <f t="shared" ca="1" si="5"/>
        <v>9</v>
      </c>
      <c r="AJ64" s="48">
        <f t="shared" ca="1" si="6"/>
        <v>25</v>
      </c>
      <c r="AK64" s="48" t="str">
        <f t="shared" ca="1" si="7"/>
        <v>4year/9months/25Days</v>
      </c>
      <c r="AL64" s="384"/>
      <c r="AM64" s="922" t="s">
        <v>1640</v>
      </c>
      <c r="AN64" s="924">
        <v>1863</v>
      </c>
      <c r="AO64" s="384"/>
      <c r="AP64" s="384"/>
      <c r="AQ64" s="384"/>
      <c r="AR64" s="384"/>
      <c r="AS64" s="384"/>
      <c r="AT64" s="384"/>
      <c r="AU64" s="384"/>
      <c r="AV64" s="384"/>
      <c r="AW64" s="384"/>
      <c r="AX64" s="384"/>
      <c r="AY64" s="50">
        <v>2023</v>
      </c>
      <c r="AZ64" s="107" t="s">
        <v>1928</v>
      </c>
      <c r="BA64" s="78">
        <v>321</v>
      </c>
      <c r="BB64" s="78" t="s">
        <v>498</v>
      </c>
      <c r="BC64" s="78" t="s">
        <v>498</v>
      </c>
      <c r="BD64" s="78">
        <v>321</v>
      </c>
      <c r="BE64" s="78" t="s">
        <v>498</v>
      </c>
      <c r="BF64" s="74" t="e">
        <f t="shared" si="8"/>
        <v>#VALUE!</v>
      </c>
      <c r="BG64" s="78" t="s">
        <v>498</v>
      </c>
      <c r="BH64" s="78" t="s">
        <v>498</v>
      </c>
      <c r="BI64" s="78">
        <v>321</v>
      </c>
      <c r="BJ64" s="78" t="s">
        <v>498</v>
      </c>
      <c r="BK64" s="78" t="s">
        <v>498</v>
      </c>
      <c r="BL64" s="151">
        <v>45320</v>
      </c>
      <c r="BM64" s="867" t="s">
        <v>1843</v>
      </c>
      <c r="BN64" s="868"/>
      <c r="BO64" s="868"/>
      <c r="BP64" s="869"/>
      <c r="BQ64" s="870" t="s">
        <v>1857</v>
      </c>
      <c r="BR64" s="871"/>
      <c r="BS64" s="871"/>
      <c r="BT64" s="872"/>
      <c r="BU64" s="867" t="s">
        <v>2596</v>
      </c>
      <c r="BV64" s="868"/>
      <c r="BW64" s="868"/>
      <c r="BX64" s="869"/>
      <c r="BY64" s="476"/>
      <c r="BZ64" s="476"/>
      <c r="CA64" s="476"/>
      <c r="CB64" s="476"/>
      <c r="CC64" s="27"/>
    </row>
    <row r="65" spans="1:81" s="8" customFormat="1" ht="48" customHeight="1" x14ac:dyDescent="0.3">
      <c r="A65" s="9">
        <v>76</v>
      </c>
      <c r="B65" s="118" t="s">
        <v>723</v>
      </c>
      <c r="C65" s="13" t="s">
        <v>186</v>
      </c>
      <c r="D65" s="7" t="s">
        <v>722</v>
      </c>
      <c r="E65" s="3" t="s">
        <v>12</v>
      </c>
      <c r="F65" s="3">
        <v>57</v>
      </c>
      <c r="G65" s="198" t="s">
        <v>21</v>
      </c>
      <c r="H65" s="9" t="s">
        <v>84</v>
      </c>
      <c r="I65" s="9" t="s">
        <v>184</v>
      </c>
      <c r="J65" s="9" t="s">
        <v>21</v>
      </c>
      <c r="K65" s="9" t="s">
        <v>21</v>
      </c>
      <c r="L65" s="215" t="s">
        <v>84</v>
      </c>
      <c r="M65" s="50" t="s">
        <v>720</v>
      </c>
      <c r="N65" s="50"/>
      <c r="O65" s="50"/>
      <c r="P65" s="243"/>
      <c r="Q65" s="50" t="s">
        <v>499</v>
      </c>
      <c r="R65" s="50">
        <v>2</v>
      </c>
      <c r="S65" s="50" t="s">
        <v>500</v>
      </c>
      <c r="T65" s="50" t="s">
        <v>524</v>
      </c>
      <c r="U65" s="102" t="s">
        <v>502</v>
      </c>
      <c r="V65" s="50" t="s">
        <v>503</v>
      </c>
      <c r="W65" s="50" t="s">
        <v>527</v>
      </c>
      <c r="X65" s="70" t="s">
        <v>721</v>
      </c>
      <c r="Y65" s="50"/>
      <c r="Z65" s="50"/>
      <c r="AA65" s="50"/>
      <c r="AB65" s="50" t="s">
        <v>506</v>
      </c>
      <c r="AC65" s="55">
        <v>26719</v>
      </c>
      <c r="AD65" s="48">
        <f t="shared" si="1"/>
        <v>24</v>
      </c>
      <c r="AE65" s="48">
        <f t="shared" si="2"/>
        <v>2</v>
      </c>
      <c r="AF65" s="48">
        <f t="shared" si="3"/>
        <v>1973</v>
      </c>
      <c r="AG65" s="49">
        <f t="shared" si="0"/>
        <v>48634</v>
      </c>
      <c r="AH65" s="48">
        <f t="shared" ca="1" si="4"/>
        <v>7</v>
      </c>
      <c r="AI65" s="48">
        <f t="shared" ca="1" si="5"/>
        <v>2</v>
      </c>
      <c r="AJ65" s="48">
        <f t="shared" ca="1" si="6"/>
        <v>13</v>
      </c>
      <c r="AK65" s="48" t="str">
        <f t="shared" ca="1" si="7"/>
        <v>7year/2months/13Days</v>
      </c>
      <c r="AL65" s="384"/>
      <c r="AM65" s="923"/>
      <c r="AN65" s="925"/>
      <c r="AO65" s="384"/>
      <c r="AP65" s="384"/>
      <c r="AQ65" s="384"/>
      <c r="AR65" s="384"/>
      <c r="AS65" s="384"/>
      <c r="AT65" s="384"/>
      <c r="AU65" s="384"/>
      <c r="AV65" s="384"/>
      <c r="AW65" s="384"/>
      <c r="AX65" s="384"/>
      <c r="AY65" s="50"/>
      <c r="AZ65" s="340"/>
      <c r="BA65" s="95"/>
      <c r="BB65" s="95"/>
      <c r="BC65" s="95"/>
      <c r="BD65" s="95"/>
      <c r="BE65" s="95"/>
      <c r="BF65" s="74" t="e">
        <f t="shared" si="8"/>
        <v>#DIV/0!</v>
      </c>
      <c r="BG65" s="78" t="s">
        <v>498</v>
      </c>
      <c r="BH65" s="78" t="s">
        <v>498</v>
      </c>
      <c r="BI65" s="95"/>
      <c r="BJ65" s="95"/>
      <c r="BK65" s="95"/>
      <c r="BL65" s="151"/>
      <c r="BM65" s="313"/>
      <c r="BN65" s="305"/>
      <c r="BO65" s="305"/>
      <c r="BP65" s="305"/>
      <c r="BQ65" s="305"/>
      <c r="BR65" s="305"/>
      <c r="BS65" s="305"/>
      <c r="BT65" s="305"/>
      <c r="BU65" s="891">
        <v>45511</v>
      </c>
      <c r="BV65" s="892"/>
      <c r="BW65" s="892"/>
      <c r="BX65" s="893"/>
      <c r="BY65" s="305"/>
      <c r="BZ65" s="305"/>
      <c r="CA65" s="305"/>
      <c r="CB65" s="305"/>
      <c r="CC65" s="27"/>
    </row>
    <row r="66" spans="1:81" s="656" customFormat="1" ht="40.35" customHeight="1" x14ac:dyDescent="0.3">
      <c r="A66" s="636">
        <v>77</v>
      </c>
      <c r="B66" s="657" t="s">
        <v>1013</v>
      </c>
      <c r="C66" s="658" t="s">
        <v>188</v>
      </c>
      <c r="D66" s="451" t="s">
        <v>69</v>
      </c>
      <c r="E66" s="451" t="s">
        <v>12</v>
      </c>
      <c r="F66" s="444">
        <v>58</v>
      </c>
      <c r="G66" s="640" t="s">
        <v>69</v>
      </c>
      <c r="H66" s="636" t="s">
        <v>80</v>
      </c>
      <c r="I66" s="636" t="s">
        <v>69</v>
      </c>
      <c r="J66" s="636" t="s">
        <v>29</v>
      </c>
      <c r="K66" s="636" t="s">
        <v>30</v>
      </c>
      <c r="L66" s="641" t="s">
        <v>69</v>
      </c>
      <c r="M66" s="642" t="s">
        <v>1009</v>
      </c>
      <c r="N66" s="642" t="s">
        <v>1009</v>
      </c>
      <c r="O66" s="672" t="s">
        <v>1010</v>
      </c>
      <c r="P66" s="644" t="s">
        <v>2782</v>
      </c>
      <c r="Q66" s="642" t="s">
        <v>499</v>
      </c>
      <c r="R66" s="642" t="s">
        <v>560</v>
      </c>
      <c r="S66" s="642" t="s">
        <v>500</v>
      </c>
      <c r="T66" s="642" t="s">
        <v>524</v>
      </c>
      <c r="U66" s="645" t="s">
        <v>667</v>
      </c>
      <c r="V66" s="642" t="s">
        <v>503</v>
      </c>
      <c r="W66" s="671" t="s">
        <v>567</v>
      </c>
      <c r="X66" s="647" t="s">
        <v>1011</v>
      </c>
      <c r="Y66" s="642" t="s">
        <v>1012</v>
      </c>
      <c r="Z66" s="648" t="s">
        <v>1865</v>
      </c>
      <c r="AA66" s="642" t="s">
        <v>709</v>
      </c>
      <c r="AB66" s="642" t="s">
        <v>563</v>
      </c>
      <c r="AC66" s="734">
        <v>24890</v>
      </c>
      <c r="AD66" s="650">
        <f t="shared" si="1"/>
        <v>22</v>
      </c>
      <c r="AE66" s="650">
        <f t="shared" si="2"/>
        <v>2</v>
      </c>
      <c r="AF66" s="650">
        <f t="shared" si="3"/>
        <v>1968</v>
      </c>
      <c r="AG66" s="651">
        <f t="shared" si="0"/>
        <v>46805</v>
      </c>
      <c r="AH66" s="650">
        <f t="shared" ca="1" si="4"/>
        <v>2</v>
      </c>
      <c r="AI66" s="650">
        <f t="shared" ca="1" si="5"/>
        <v>2</v>
      </c>
      <c r="AJ66" s="650">
        <f t="shared" ca="1" si="6"/>
        <v>11</v>
      </c>
      <c r="AK66" s="650" t="str">
        <f t="shared" ca="1" si="7"/>
        <v>2year/2months/11Days</v>
      </c>
      <c r="AL66" s="733"/>
      <c r="AM66" s="702" t="s">
        <v>1641</v>
      </c>
      <c r="AN66" s="703">
        <v>1224</v>
      </c>
      <c r="AO66" s="733"/>
      <c r="AP66" s="733"/>
      <c r="AQ66" s="733"/>
      <c r="AR66" s="733"/>
      <c r="AS66" s="733"/>
      <c r="AT66" s="733"/>
      <c r="AU66" s="733"/>
      <c r="AV66" s="733"/>
      <c r="AW66" s="733"/>
      <c r="AX66" s="733"/>
      <c r="AY66" s="642">
        <v>2025</v>
      </c>
      <c r="AZ66" s="667" t="s">
        <v>1917</v>
      </c>
      <c r="BA66" s="652">
        <v>309</v>
      </c>
      <c r="BB66" s="652">
        <v>70</v>
      </c>
      <c r="BC66" s="652" t="s">
        <v>498</v>
      </c>
      <c r="BD66" s="652" t="s">
        <v>498</v>
      </c>
      <c r="BE66" s="652">
        <v>239</v>
      </c>
      <c r="BF66" s="653">
        <f t="shared" si="8"/>
        <v>77.346278317152112</v>
      </c>
      <c r="BG66" s="652" t="s">
        <v>498</v>
      </c>
      <c r="BH66" s="652" t="s">
        <v>498</v>
      </c>
      <c r="BI66" s="652">
        <v>309</v>
      </c>
      <c r="BJ66" s="652" t="s">
        <v>498</v>
      </c>
      <c r="BK66" s="652" t="s">
        <v>498</v>
      </c>
      <c r="BL66" s="654">
        <v>45954</v>
      </c>
      <c r="BM66" s="873" t="s">
        <v>1864</v>
      </c>
      <c r="BN66" s="874"/>
      <c r="BO66" s="874"/>
      <c r="BP66" s="875"/>
      <c r="BQ66" s="666"/>
      <c r="BR66" s="666"/>
      <c r="BS66" s="666"/>
      <c r="BT66" s="666"/>
      <c r="BU66" s="873" t="s">
        <v>2860</v>
      </c>
      <c r="BV66" s="874"/>
      <c r="BW66" s="874"/>
      <c r="BX66" s="875"/>
      <c r="BY66" s="873" t="s">
        <v>2880</v>
      </c>
      <c r="BZ66" s="874"/>
      <c r="CA66" s="874"/>
      <c r="CB66" s="875"/>
      <c r="CC66" s="655"/>
    </row>
    <row r="67" spans="1:81" s="232" customFormat="1" ht="40.35" customHeight="1" x14ac:dyDescent="0.25">
      <c r="A67" s="555" t="s">
        <v>1560</v>
      </c>
      <c r="B67" s="267" t="s">
        <v>728</v>
      </c>
      <c r="C67" s="268" t="s">
        <v>190</v>
      </c>
      <c r="D67" s="269" t="s">
        <v>727</v>
      </c>
      <c r="E67" s="229" t="s">
        <v>12</v>
      </c>
      <c r="F67" s="229">
        <v>59</v>
      </c>
      <c r="G67" s="230" t="s">
        <v>21</v>
      </c>
      <c r="H67" s="226" t="s">
        <v>42</v>
      </c>
      <c r="I67" s="226" t="s">
        <v>191</v>
      </c>
      <c r="J67" s="226" t="s">
        <v>21</v>
      </c>
      <c r="K67" s="226" t="s">
        <v>44</v>
      </c>
      <c r="L67" s="270" t="s">
        <v>43</v>
      </c>
      <c r="M67" s="365" t="s">
        <v>724</v>
      </c>
      <c r="N67" s="365" t="s">
        <v>498</v>
      </c>
      <c r="O67" s="44" t="s">
        <v>725</v>
      </c>
      <c r="P67" s="247" t="s">
        <v>726</v>
      </c>
      <c r="Q67" s="50" t="s">
        <v>499</v>
      </c>
      <c r="R67" s="103">
        <v>2</v>
      </c>
      <c r="S67" s="50" t="s">
        <v>500</v>
      </c>
      <c r="T67" s="50" t="s">
        <v>524</v>
      </c>
      <c r="U67" s="102" t="s">
        <v>502</v>
      </c>
      <c r="V67" s="50" t="s">
        <v>503</v>
      </c>
      <c r="W67" s="365" t="s">
        <v>542</v>
      </c>
      <c r="X67" s="46" t="s">
        <v>1788</v>
      </c>
      <c r="Y67" s="365" t="s">
        <v>1789</v>
      </c>
      <c r="Z67" s="104" t="s">
        <v>2666</v>
      </c>
      <c r="AA67" s="365" t="s">
        <v>538</v>
      </c>
      <c r="AB67" s="50" t="s">
        <v>506</v>
      </c>
      <c r="AC67" s="55">
        <v>27475</v>
      </c>
      <c r="AD67" s="48">
        <f t="shared" si="1"/>
        <v>22</v>
      </c>
      <c r="AE67" s="48">
        <f t="shared" si="2"/>
        <v>3</v>
      </c>
      <c r="AF67" s="48">
        <f t="shared" si="3"/>
        <v>1975</v>
      </c>
      <c r="AG67" s="49">
        <f t="shared" si="0"/>
        <v>49390</v>
      </c>
      <c r="AH67" s="48">
        <f t="shared" ca="1" si="4"/>
        <v>9</v>
      </c>
      <c r="AI67" s="48">
        <f t="shared" ca="1" si="5"/>
        <v>3</v>
      </c>
      <c r="AJ67" s="48">
        <f t="shared" ca="1" si="6"/>
        <v>11</v>
      </c>
      <c r="AK67" s="48" t="str">
        <f t="shared" ca="1" si="7"/>
        <v>9year/3months/11Days</v>
      </c>
      <c r="AL67" s="271"/>
      <c r="AM67" s="104" t="s">
        <v>1643</v>
      </c>
      <c r="AN67" s="278" t="s">
        <v>1644</v>
      </c>
      <c r="AO67" s="271"/>
      <c r="AP67" s="271"/>
      <c r="AQ67" s="271"/>
      <c r="AR67" s="271"/>
      <c r="AS67" s="271"/>
      <c r="AT67" s="271"/>
      <c r="AU67" s="271"/>
      <c r="AV67" s="271"/>
      <c r="AW67" s="271"/>
      <c r="AX67" s="271"/>
      <c r="AY67" s="103">
        <v>2024</v>
      </c>
      <c r="AZ67" s="102">
        <v>1</v>
      </c>
      <c r="BA67" s="103">
        <v>155</v>
      </c>
      <c r="BB67" s="103">
        <v>36</v>
      </c>
      <c r="BC67" s="103" t="s">
        <v>498</v>
      </c>
      <c r="BD67" s="103" t="s">
        <v>498</v>
      </c>
      <c r="BE67" s="103">
        <v>96</v>
      </c>
      <c r="BF67" s="74">
        <f t="shared" si="8"/>
        <v>61.935483870967744</v>
      </c>
      <c r="BG67" s="78">
        <v>23</v>
      </c>
      <c r="BH67" s="78" t="s">
        <v>498</v>
      </c>
      <c r="BI67" s="103">
        <v>149</v>
      </c>
      <c r="BJ67" s="365">
        <v>6</v>
      </c>
      <c r="BK67" s="103" t="s">
        <v>498</v>
      </c>
      <c r="BL67" s="117">
        <v>45555</v>
      </c>
      <c r="BM67" s="936" t="s">
        <v>1864</v>
      </c>
      <c r="BN67" s="937"/>
      <c r="BO67" s="937"/>
      <c r="BP67" s="938"/>
      <c r="BQ67" s="379"/>
      <c r="BR67" s="379"/>
      <c r="BS67" s="379"/>
      <c r="BT67" s="379"/>
      <c r="BU67" s="936" t="s">
        <v>2609</v>
      </c>
      <c r="BV67" s="937"/>
      <c r="BW67" s="937"/>
      <c r="BX67" s="938"/>
      <c r="BY67" s="867" t="s">
        <v>2657</v>
      </c>
      <c r="BZ67" s="868"/>
      <c r="CA67" s="868"/>
      <c r="CB67" s="869"/>
      <c r="CC67" s="231"/>
    </row>
    <row r="68" spans="1:81" s="8" customFormat="1" ht="40.35" customHeight="1" x14ac:dyDescent="0.3">
      <c r="A68" s="58">
        <v>80</v>
      </c>
      <c r="B68" s="183" t="s">
        <v>1017</v>
      </c>
      <c r="C68" s="11" t="s">
        <v>193</v>
      </c>
      <c r="D68" s="3" t="s">
        <v>194</v>
      </c>
      <c r="E68" s="3" t="s">
        <v>12</v>
      </c>
      <c r="F68" s="381">
        <v>60</v>
      </c>
      <c r="G68" s="198" t="s">
        <v>69</v>
      </c>
      <c r="H68" s="9" t="s">
        <v>96</v>
      </c>
      <c r="I68" s="9" t="s">
        <v>194</v>
      </c>
      <c r="J68" s="9" t="s">
        <v>29</v>
      </c>
      <c r="K68" s="9" t="s">
        <v>98</v>
      </c>
      <c r="L68" s="215" t="s">
        <v>143</v>
      </c>
      <c r="M68" s="365" t="s">
        <v>1014</v>
      </c>
      <c r="N68" s="365"/>
      <c r="O68" s="365"/>
      <c r="P68" s="245"/>
      <c r="Q68" s="50" t="s">
        <v>499</v>
      </c>
      <c r="R68" s="365">
        <v>2</v>
      </c>
      <c r="S68" s="50" t="s">
        <v>500</v>
      </c>
      <c r="T68" s="50" t="s">
        <v>524</v>
      </c>
      <c r="U68" s="45"/>
      <c r="V68" s="50" t="s">
        <v>503</v>
      </c>
      <c r="W68" s="365" t="s">
        <v>542</v>
      </c>
      <c r="X68" s="46" t="s">
        <v>1015</v>
      </c>
      <c r="Y68" s="365" t="s">
        <v>1016</v>
      </c>
      <c r="Z68" s="365"/>
      <c r="AA68" s="365"/>
      <c r="AB68" s="50" t="s">
        <v>506</v>
      </c>
      <c r="AC68" s="55">
        <v>26722</v>
      </c>
      <c r="AD68" s="48">
        <f t="shared" si="1"/>
        <v>27</v>
      </c>
      <c r="AE68" s="48">
        <f t="shared" si="2"/>
        <v>2</v>
      </c>
      <c r="AF68" s="48">
        <f t="shared" si="3"/>
        <v>1973</v>
      </c>
      <c r="AG68" s="49">
        <f t="shared" si="0"/>
        <v>48637</v>
      </c>
      <c r="AH68" s="48">
        <f t="shared" ca="1" si="4"/>
        <v>7</v>
      </c>
      <c r="AI68" s="48">
        <f t="shared" ca="1" si="5"/>
        <v>2</v>
      </c>
      <c r="AJ68" s="48">
        <f t="shared" ca="1" si="6"/>
        <v>16</v>
      </c>
      <c r="AK68" s="48" t="str">
        <f t="shared" ca="1" si="7"/>
        <v>7year/2months/16Days</v>
      </c>
      <c r="AL68" s="365"/>
      <c r="AM68" s="365" t="s">
        <v>1642</v>
      </c>
      <c r="AN68" s="374">
        <v>2027</v>
      </c>
      <c r="AO68" s="365"/>
      <c r="AP68" s="365"/>
      <c r="AQ68" s="365"/>
      <c r="AR68" s="365"/>
      <c r="AS68" s="365"/>
      <c r="AT68" s="365"/>
      <c r="AU68" s="365"/>
      <c r="AV68" s="365"/>
      <c r="AW68" s="365"/>
      <c r="AX68" s="365"/>
      <c r="AY68" s="365"/>
      <c r="AZ68" s="45"/>
      <c r="BA68" s="365"/>
      <c r="BB68" s="365"/>
      <c r="BC68" s="365"/>
      <c r="BD68" s="365"/>
      <c r="BE68" s="365"/>
      <c r="BF68" s="74" t="e">
        <f t="shared" si="8"/>
        <v>#DIV/0!</v>
      </c>
      <c r="BG68" s="78" t="s">
        <v>498</v>
      </c>
      <c r="BH68" s="78" t="s">
        <v>498</v>
      </c>
      <c r="BI68" s="365"/>
      <c r="BJ68" s="365"/>
      <c r="BK68" s="365"/>
      <c r="BL68" s="151"/>
      <c r="BM68" s="379"/>
      <c r="BN68" s="379"/>
      <c r="BO68" s="379"/>
      <c r="BP68" s="379"/>
      <c r="BQ68" s="305"/>
      <c r="BR68" s="305"/>
      <c r="BS68" s="305"/>
      <c r="BT68" s="305"/>
      <c r="BU68" s="867" t="s">
        <v>2593</v>
      </c>
      <c r="BV68" s="868"/>
      <c r="BW68" s="868"/>
      <c r="BX68" s="869"/>
      <c r="BY68" s="305"/>
      <c r="BZ68" s="305"/>
      <c r="CA68" s="305"/>
      <c r="CB68" s="305"/>
      <c r="CC68" s="27"/>
    </row>
    <row r="69" spans="1:81" s="232" customFormat="1" ht="40.35" customHeight="1" x14ac:dyDescent="0.3">
      <c r="A69" s="226">
        <v>81</v>
      </c>
      <c r="B69" s="227" t="s">
        <v>1020</v>
      </c>
      <c r="C69" s="228" t="s">
        <v>196</v>
      </c>
      <c r="D69" s="269" t="s">
        <v>1021</v>
      </c>
      <c r="E69" s="229" t="s">
        <v>12</v>
      </c>
      <c r="F69" s="229">
        <v>61</v>
      </c>
      <c r="G69" s="230" t="s">
        <v>69</v>
      </c>
      <c r="H69" s="226" t="s">
        <v>67</v>
      </c>
      <c r="I69" s="226" t="s">
        <v>197</v>
      </c>
      <c r="J69" s="226" t="s">
        <v>29</v>
      </c>
      <c r="K69" s="226" t="s">
        <v>30</v>
      </c>
      <c r="L69" s="270" t="s">
        <v>69</v>
      </c>
      <c r="M69" s="50" t="s">
        <v>1018</v>
      </c>
      <c r="N69" s="50" t="s">
        <v>498</v>
      </c>
      <c r="O69" s="50" t="s">
        <v>2945</v>
      </c>
      <c r="P69" s="243" t="s">
        <v>2946</v>
      </c>
      <c r="Q69" s="50" t="s">
        <v>499</v>
      </c>
      <c r="R69" s="50">
        <v>3</v>
      </c>
      <c r="S69" s="50" t="s">
        <v>500</v>
      </c>
      <c r="T69" s="50" t="s">
        <v>524</v>
      </c>
      <c r="U69" s="52" t="s">
        <v>535</v>
      </c>
      <c r="V69" s="60" t="s">
        <v>526</v>
      </c>
      <c r="W69" s="50" t="s">
        <v>585</v>
      </c>
      <c r="X69" s="53" t="s">
        <v>2958</v>
      </c>
      <c r="Y69" s="50" t="s">
        <v>2886</v>
      </c>
      <c r="Z69" s="60" t="s">
        <v>2947</v>
      </c>
      <c r="AA69" s="50" t="s">
        <v>568</v>
      </c>
      <c r="AB69" s="614" t="s">
        <v>506</v>
      </c>
      <c r="AC69" s="55">
        <v>26647</v>
      </c>
      <c r="AD69" s="48">
        <f t="shared" ref="AD69" si="48">DAY(AC69)</f>
        <v>14</v>
      </c>
      <c r="AE69" s="48">
        <f t="shared" ref="AE69" si="49">MONTH(AC69)</f>
        <v>12</v>
      </c>
      <c r="AF69" s="48">
        <f t="shared" ref="AF69" si="50">YEAR(AC69)</f>
        <v>1972</v>
      </c>
      <c r="AG69" s="49">
        <f t="shared" ref="AG69" si="51">EDATE(AC69,12*60)</f>
        <v>48562</v>
      </c>
      <c r="AH69" s="48">
        <f t="shared" ref="AH69" ca="1" si="52">DATEDIF($A$4,AG69, "Y" )</f>
        <v>7</v>
      </c>
      <c r="AI69" s="48">
        <f t="shared" ref="AI69" ca="1" si="53">DATEDIF($A$4,AG69, "YM" )</f>
        <v>0</v>
      </c>
      <c r="AJ69" s="48">
        <f t="shared" ref="AJ69" ca="1" si="54">DATEDIF($A$4,AG69, "MD" )</f>
        <v>3</v>
      </c>
      <c r="AK69" s="48" t="str">
        <f t="shared" ref="AK69" ca="1" si="55">CONCATENATE(AH69,"year","/",AI69,"months","/",AJ69,"Days")</f>
        <v>7year/0months/3Days</v>
      </c>
      <c r="AL69" s="384"/>
      <c r="AM69" s="384" t="s">
        <v>1645</v>
      </c>
      <c r="AN69" s="276">
        <v>1527</v>
      </c>
      <c r="AO69" s="384"/>
      <c r="AP69" s="384"/>
      <c r="AQ69" s="384"/>
      <c r="AR69" s="384"/>
      <c r="AS69" s="384"/>
      <c r="AT69" s="384"/>
      <c r="AU69" s="384"/>
      <c r="AV69" s="384"/>
      <c r="AW69" s="384"/>
      <c r="AX69" s="384"/>
      <c r="AY69" s="50">
        <v>2025</v>
      </c>
      <c r="AZ69" s="52"/>
      <c r="BA69" s="50">
        <v>81</v>
      </c>
      <c r="BB69" s="50">
        <v>15</v>
      </c>
      <c r="BC69" s="50" t="s">
        <v>498</v>
      </c>
      <c r="BD69" s="50" t="s">
        <v>498</v>
      </c>
      <c r="BE69" s="50">
        <v>64</v>
      </c>
      <c r="BF69" s="74">
        <f t="shared" si="8"/>
        <v>79.012345679012341</v>
      </c>
      <c r="BG69" s="78">
        <v>2</v>
      </c>
      <c r="BH69" s="78" t="s">
        <v>498</v>
      </c>
      <c r="BI69" s="78">
        <v>74</v>
      </c>
      <c r="BJ69" s="78">
        <v>3</v>
      </c>
      <c r="BK69" s="78">
        <v>4</v>
      </c>
      <c r="BL69" s="117">
        <v>45975</v>
      </c>
      <c r="BM69" s="867" t="s">
        <v>1860</v>
      </c>
      <c r="BN69" s="868"/>
      <c r="BO69" s="868"/>
      <c r="BP69" s="869"/>
      <c r="BQ69" s="320"/>
      <c r="BR69" s="320"/>
      <c r="BS69" s="320"/>
      <c r="BT69" s="320"/>
      <c r="BU69" s="867" t="s">
        <v>2860</v>
      </c>
      <c r="BV69" s="868"/>
      <c r="BW69" s="868"/>
      <c r="BX69" s="869"/>
      <c r="BY69" s="867" t="s">
        <v>2948</v>
      </c>
      <c r="BZ69" s="868"/>
      <c r="CA69" s="868"/>
      <c r="CB69" s="869"/>
      <c r="CC69" s="231"/>
    </row>
    <row r="70" spans="1:81" s="8" customFormat="1" ht="40.35" customHeight="1" x14ac:dyDescent="0.3">
      <c r="A70" s="9">
        <v>82</v>
      </c>
      <c r="B70" s="183" t="s">
        <v>1023</v>
      </c>
      <c r="C70" s="11" t="s">
        <v>199</v>
      </c>
      <c r="D70" s="3" t="s">
        <v>1024</v>
      </c>
      <c r="E70" s="3" t="s">
        <v>12</v>
      </c>
      <c r="F70" s="381">
        <v>62</v>
      </c>
      <c r="G70" s="198" t="s">
        <v>13</v>
      </c>
      <c r="H70" s="9" t="s">
        <v>29</v>
      </c>
      <c r="I70" s="9" t="s">
        <v>154</v>
      </c>
      <c r="J70" s="9" t="s">
        <v>29</v>
      </c>
      <c r="K70" s="9" t="s">
        <v>38</v>
      </c>
      <c r="L70" s="215" t="s">
        <v>38</v>
      </c>
      <c r="M70" s="50" t="s">
        <v>1022</v>
      </c>
      <c r="N70" s="50"/>
      <c r="O70" s="50"/>
      <c r="P70" s="245"/>
      <c r="Q70" s="50" t="s">
        <v>499</v>
      </c>
      <c r="R70" s="50">
        <v>2</v>
      </c>
      <c r="S70" s="50" t="s">
        <v>500</v>
      </c>
      <c r="T70" s="50" t="s">
        <v>524</v>
      </c>
      <c r="U70" s="97"/>
      <c r="V70" s="50" t="s">
        <v>503</v>
      </c>
      <c r="W70" s="60"/>
      <c r="X70" s="70"/>
      <c r="Y70" s="60"/>
      <c r="Z70" s="60"/>
      <c r="AA70" s="50"/>
      <c r="AB70" s="50" t="s">
        <v>506</v>
      </c>
      <c r="AC70" s="55">
        <v>26724</v>
      </c>
      <c r="AD70" s="48">
        <f t="shared" si="1"/>
        <v>1</v>
      </c>
      <c r="AE70" s="48">
        <f t="shared" si="2"/>
        <v>3</v>
      </c>
      <c r="AF70" s="48">
        <f t="shared" si="3"/>
        <v>1973</v>
      </c>
      <c r="AG70" s="49">
        <f t="shared" si="0"/>
        <v>48639</v>
      </c>
      <c r="AH70" s="48">
        <f t="shared" ca="1" si="4"/>
        <v>7</v>
      </c>
      <c r="AI70" s="48">
        <f t="shared" ca="1" si="5"/>
        <v>2</v>
      </c>
      <c r="AJ70" s="48">
        <f t="shared" ca="1" si="6"/>
        <v>18</v>
      </c>
      <c r="AK70" s="48" t="str">
        <f t="shared" ca="1" si="7"/>
        <v>7year/2months/18Days</v>
      </c>
      <c r="AL70" s="136"/>
      <c r="AM70" s="384" t="s">
        <v>1646</v>
      </c>
      <c r="AN70" s="276">
        <v>2108</v>
      </c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50"/>
      <c r="AZ70" s="52"/>
      <c r="BA70" s="50"/>
      <c r="BB70" s="50"/>
      <c r="BC70" s="50"/>
      <c r="BD70" s="50"/>
      <c r="BE70" s="50"/>
      <c r="BF70" s="74" t="e">
        <f t="shared" si="8"/>
        <v>#DIV/0!</v>
      </c>
      <c r="BG70" s="78" t="s">
        <v>498</v>
      </c>
      <c r="BH70" s="78" t="s">
        <v>498</v>
      </c>
      <c r="BI70" s="50"/>
      <c r="BJ70" s="95"/>
      <c r="BK70" s="95"/>
      <c r="BL70" s="151"/>
      <c r="BM70" s="313"/>
      <c r="BN70" s="305"/>
      <c r="BO70" s="305"/>
      <c r="BP70" s="305"/>
      <c r="BQ70" s="305"/>
      <c r="BR70" s="305"/>
      <c r="BS70" s="305"/>
      <c r="BT70" s="305"/>
      <c r="BU70" s="867" t="s">
        <v>498</v>
      </c>
      <c r="BV70" s="868"/>
      <c r="BW70" s="868"/>
      <c r="BX70" s="869"/>
      <c r="BY70" s="305"/>
      <c r="BZ70" s="305"/>
      <c r="CA70" s="305"/>
      <c r="CB70" s="305"/>
      <c r="CC70" s="27"/>
    </row>
    <row r="71" spans="1:81" s="8" customFormat="1" ht="40.35" customHeight="1" x14ac:dyDescent="0.3">
      <c r="A71" s="58" t="s">
        <v>1075</v>
      </c>
      <c r="B71" s="118" t="s">
        <v>554</v>
      </c>
      <c r="C71" s="13" t="s">
        <v>200</v>
      </c>
      <c r="D71" s="7" t="s">
        <v>555</v>
      </c>
      <c r="E71" s="3" t="s">
        <v>12</v>
      </c>
      <c r="F71" s="3">
        <v>63</v>
      </c>
      <c r="G71" s="198" t="s">
        <v>13</v>
      </c>
      <c r="H71" s="9" t="s">
        <v>14</v>
      </c>
      <c r="I71" s="9" t="s">
        <v>201</v>
      </c>
      <c r="J71" s="9" t="s">
        <v>14</v>
      </c>
      <c r="K71" s="9" t="s">
        <v>14</v>
      </c>
      <c r="L71" s="215" t="s">
        <v>14</v>
      </c>
      <c r="M71" s="371" t="s">
        <v>550</v>
      </c>
      <c r="N71" s="371" t="s">
        <v>498</v>
      </c>
      <c r="O71" s="371" t="s">
        <v>498</v>
      </c>
      <c r="P71" s="253"/>
      <c r="Q71" s="50" t="s">
        <v>499</v>
      </c>
      <c r="R71" s="371">
        <v>2</v>
      </c>
      <c r="S71" s="50" t="s">
        <v>500</v>
      </c>
      <c r="T71" s="50" t="s">
        <v>524</v>
      </c>
      <c r="U71" s="59" t="s">
        <v>502</v>
      </c>
      <c r="V71" s="50" t="s">
        <v>503</v>
      </c>
      <c r="W71" s="365" t="s">
        <v>527</v>
      </c>
      <c r="X71" s="46" t="s">
        <v>551</v>
      </c>
      <c r="Y71" s="371" t="s">
        <v>552</v>
      </c>
      <c r="Z71" s="371" t="s">
        <v>553</v>
      </c>
      <c r="AA71" s="60" t="s">
        <v>538</v>
      </c>
      <c r="AB71" s="50" t="s">
        <v>506</v>
      </c>
      <c r="AC71" s="55">
        <v>26725</v>
      </c>
      <c r="AD71" s="48">
        <f t="shared" si="1"/>
        <v>2</v>
      </c>
      <c r="AE71" s="48">
        <f t="shared" si="2"/>
        <v>3</v>
      </c>
      <c r="AF71" s="48">
        <f t="shared" si="3"/>
        <v>1973</v>
      </c>
      <c r="AG71" s="49">
        <f t="shared" si="0"/>
        <v>48640</v>
      </c>
      <c r="AH71" s="48">
        <f t="shared" ca="1" si="4"/>
        <v>7</v>
      </c>
      <c r="AI71" s="48">
        <f t="shared" ca="1" si="5"/>
        <v>2</v>
      </c>
      <c r="AJ71" s="48">
        <f t="shared" ca="1" si="6"/>
        <v>19</v>
      </c>
      <c r="AK71" s="48" t="str">
        <f t="shared" ca="1" si="7"/>
        <v>7year/2months/19Days</v>
      </c>
      <c r="AL71" s="365"/>
      <c r="AM71" s="371" t="s">
        <v>1647</v>
      </c>
      <c r="AN71" s="373" t="s">
        <v>1648</v>
      </c>
      <c r="AO71" s="365"/>
      <c r="AP71" s="365"/>
      <c r="AQ71" s="365"/>
      <c r="AR71" s="365"/>
      <c r="AS71" s="365"/>
      <c r="AT71" s="365"/>
      <c r="AU71" s="365"/>
      <c r="AV71" s="365"/>
      <c r="AW71" s="365"/>
      <c r="AX71" s="365"/>
      <c r="AY71" s="371">
        <v>2020</v>
      </c>
      <c r="AZ71" s="59"/>
      <c r="BA71" s="371">
        <v>51</v>
      </c>
      <c r="BB71" s="371">
        <v>20</v>
      </c>
      <c r="BC71" s="371" t="s">
        <v>498</v>
      </c>
      <c r="BD71" s="371" t="s">
        <v>498</v>
      </c>
      <c r="BE71" s="371">
        <v>31</v>
      </c>
      <c r="BF71" s="74">
        <f t="shared" si="8"/>
        <v>60.784313725490193</v>
      </c>
      <c r="BG71" s="78" t="s">
        <v>498</v>
      </c>
      <c r="BH71" s="78" t="s">
        <v>498</v>
      </c>
      <c r="BI71" s="371">
        <v>51</v>
      </c>
      <c r="BJ71" s="371"/>
      <c r="BK71" s="371"/>
      <c r="BL71" s="151">
        <v>44277</v>
      </c>
      <c r="BM71" s="867" t="s">
        <v>1864</v>
      </c>
      <c r="BN71" s="868"/>
      <c r="BO71" s="868"/>
      <c r="BP71" s="869"/>
      <c r="BQ71" s="305"/>
      <c r="BR71" s="305"/>
      <c r="BS71" s="305"/>
      <c r="BT71" s="305"/>
      <c r="BU71" s="867" t="s">
        <v>2631</v>
      </c>
      <c r="BV71" s="868"/>
      <c r="BW71" s="868"/>
      <c r="BX71" s="869"/>
      <c r="BY71" s="305"/>
      <c r="BZ71" s="305"/>
      <c r="CA71" s="305"/>
      <c r="CB71" s="305"/>
      <c r="CC71" s="27"/>
    </row>
    <row r="72" spans="1:81" s="8" customFormat="1" ht="40.35" customHeight="1" x14ac:dyDescent="0.25">
      <c r="A72" s="58" t="s">
        <v>1076</v>
      </c>
      <c r="B72" s="118" t="s">
        <v>1028</v>
      </c>
      <c r="C72" s="13" t="s">
        <v>204</v>
      </c>
      <c r="D72" s="7" t="s">
        <v>1029</v>
      </c>
      <c r="E72" s="3" t="s">
        <v>12</v>
      </c>
      <c r="F72" s="3">
        <v>65</v>
      </c>
      <c r="G72" s="198" t="s">
        <v>26</v>
      </c>
      <c r="H72" s="9" t="s">
        <v>31</v>
      </c>
      <c r="I72" s="9" t="s">
        <v>205</v>
      </c>
      <c r="J72" s="9" t="s">
        <v>29</v>
      </c>
      <c r="K72" s="9" t="s">
        <v>26</v>
      </c>
      <c r="L72" s="215" t="s">
        <v>31</v>
      </c>
      <c r="M72" s="50" t="s">
        <v>1025</v>
      </c>
      <c r="N72" s="50" t="s">
        <v>498</v>
      </c>
      <c r="O72" s="51" t="s">
        <v>1026</v>
      </c>
      <c r="P72" s="250" t="s">
        <v>1027</v>
      </c>
      <c r="Q72" s="50" t="s">
        <v>499</v>
      </c>
      <c r="R72" s="50">
        <v>3</v>
      </c>
      <c r="S72" s="50" t="s">
        <v>500</v>
      </c>
      <c r="T72" s="50" t="s">
        <v>524</v>
      </c>
      <c r="U72" s="97" t="s">
        <v>535</v>
      </c>
      <c r="V72" s="50" t="s">
        <v>503</v>
      </c>
      <c r="W72" s="365"/>
      <c r="X72" s="53"/>
      <c r="Y72" s="60"/>
      <c r="Z72" s="60"/>
      <c r="AA72" s="50"/>
      <c r="AB72" s="50"/>
      <c r="AC72" s="55"/>
      <c r="AD72" s="48"/>
      <c r="AE72" s="48"/>
      <c r="AF72" s="48"/>
      <c r="AG72" s="49"/>
      <c r="AH72" s="48"/>
      <c r="AI72" s="48">
        <v>4</v>
      </c>
      <c r="AJ72" s="48">
        <v>17</v>
      </c>
      <c r="AK72" s="48" t="str">
        <f t="shared" si="7"/>
        <v>year/4months/17Days</v>
      </c>
      <c r="AL72" s="110"/>
      <c r="AM72" s="60" t="s">
        <v>1649</v>
      </c>
      <c r="AN72" s="275" t="s">
        <v>1650</v>
      </c>
      <c r="AO72" s="110"/>
      <c r="AP72" s="110"/>
      <c r="AQ72" s="110"/>
      <c r="AR72" s="110"/>
      <c r="AS72" s="110"/>
      <c r="AT72" s="110"/>
      <c r="AU72" s="110"/>
      <c r="AV72" s="110"/>
      <c r="AW72" s="110"/>
      <c r="AX72" s="110"/>
      <c r="AY72" s="50">
        <v>2022</v>
      </c>
      <c r="AZ72" s="52">
        <v>1</v>
      </c>
      <c r="BA72" s="50">
        <v>20</v>
      </c>
      <c r="BB72" s="50">
        <v>15</v>
      </c>
      <c r="BC72" s="50" t="s">
        <v>498</v>
      </c>
      <c r="BD72" s="50" t="s">
        <v>498</v>
      </c>
      <c r="BE72" s="50">
        <v>5</v>
      </c>
      <c r="BF72" s="74">
        <f t="shared" si="8"/>
        <v>25</v>
      </c>
      <c r="BG72" s="78" t="s">
        <v>498</v>
      </c>
      <c r="BH72" s="78" t="s">
        <v>498</v>
      </c>
      <c r="BI72" s="50">
        <v>20</v>
      </c>
      <c r="BJ72" s="78" t="s">
        <v>498</v>
      </c>
      <c r="BK72" s="78" t="s">
        <v>498</v>
      </c>
      <c r="BL72" s="76">
        <v>44826</v>
      </c>
      <c r="BM72" s="867" t="s">
        <v>1861</v>
      </c>
      <c r="BN72" s="868"/>
      <c r="BO72" s="868"/>
      <c r="BP72" s="869"/>
      <c r="BQ72" s="379"/>
      <c r="BR72" s="379"/>
      <c r="BS72" s="379"/>
      <c r="BT72" s="379"/>
      <c r="BU72" s="867" t="s">
        <v>2609</v>
      </c>
      <c r="BV72" s="868"/>
      <c r="BW72" s="868"/>
      <c r="BX72" s="869"/>
      <c r="BY72" s="472"/>
      <c r="BZ72" s="472"/>
      <c r="CA72" s="472"/>
      <c r="CB72" s="472"/>
      <c r="CC72" s="27"/>
    </row>
    <row r="73" spans="1:81" s="8" customFormat="1" ht="40.35" customHeight="1" x14ac:dyDescent="0.25">
      <c r="A73" s="9">
        <v>88</v>
      </c>
      <c r="B73" s="183" t="s">
        <v>1036</v>
      </c>
      <c r="C73" s="11" t="s">
        <v>207</v>
      </c>
      <c r="D73" s="3" t="s">
        <v>1037</v>
      </c>
      <c r="E73" s="3" t="s">
        <v>12</v>
      </c>
      <c r="F73" s="381">
        <v>66</v>
      </c>
      <c r="G73" s="198" t="s">
        <v>13</v>
      </c>
      <c r="H73" s="9" t="s">
        <v>29</v>
      </c>
      <c r="I73" s="9" t="s">
        <v>208</v>
      </c>
      <c r="J73" s="9" t="s">
        <v>29</v>
      </c>
      <c r="K73" s="9" t="s">
        <v>38</v>
      </c>
      <c r="L73" s="215" t="s">
        <v>38</v>
      </c>
      <c r="M73" s="50" t="s">
        <v>1030</v>
      </c>
      <c r="N73" s="50" t="s">
        <v>498</v>
      </c>
      <c r="O73" s="51" t="s">
        <v>1031</v>
      </c>
      <c r="P73" s="243" t="s">
        <v>1032</v>
      </c>
      <c r="Q73" s="50" t="s">
        <v>499</v>
      </c>
      <c r="R73" s="50">
        <v>2</v>
      </c>
      <c r="S73" s="50" t="s">
        <v>500</v>
      </c>
      <c r="T73" s="50" t="s">
        <v>524</v>
      </c>
      <c r="U73" s="97" t="s">
        <v>502</v>
      </c>
      <c r="V73" s="50" t="s">
        <v>503</v>
      </c>
      <c r="W73" s="50" t="s">
        <v>542</v>
      </c>
      <c r="X73" s="113" t="s">
        <v>1033</v>
      </c>
      <c r="Y73" s="50" t="s">
        <v>1034</v>
      </c>
      <c r="Z73" s="372" t="s">
        <v>1035</v>
      </c>
      <c r="AA73" s="137" t="s">
        <v>538</v>
      </c>
      <c r="AB73" s="50" t="s">
        <v>506</v>
      </c>
      <c r="AC73" s="55">
        <v>26728</v>
      </c>
      <c r="AD73" s="48">
        <f t="shared" ref="AD73:AD136" si="56">DAY(AC73)</f>
        <v>5</v>
      </c>
      <c r="AE73" s="48">
        <f t="shared" ref="AE73:AE136" si="57">MONTH(AC73)</f>
        <v>3</v>
      </c>
      <c r="AF73" s="48">
        <f t="shared" ref="AF73:AF136" si="58">YEAR(AC73)</f>
        <v>1973</v>
      </c>
      <c r="AG73" s="49">
        <f t="shared" ref="AG73:AG136" si="59">EDATE(AC73,12*60)</f>
        <v>48643</v>
      </c>
      <c r="AH73" s="48">
        <f t="shared" ref="AH73:AH136" ca="1" si="60">DATEDIF($A$4,AG73, "Y" )</f>
        <v>7</v>
      </c>
      <c r="AI73" s="48">
        <f t="shared" ref="AI73:AI136" ca="1" si="61">DATEDIF($A$4,AG73, "YM" )</f>
        <v>2</v>
      </c>
      <c r="AJ73" s="48">
        <f t="shared" ref="AJ73:AJ136" ca="1" si="62">DATEDIF($A$4,AG73, "MD" )</f>
        <v>22</v>
      </c>
      <c r="AK73" s="48" t="str">
        <f t="shared" ref="AK73:AK136" ca="1" si="63">CONCATENATE(AH73,"year","/",AI73,"months","/",AJ73,"Days")</f>
        <v>7year/2months/22Days</v>
      </c>
      <c r="AL73" s="50"/>
      <c r="AM73" s="50" t="s">
        <v>1651</v>
      </c>
      <c r="AN73" s="229">
        <v>2495</v>
      </c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>
        <v>2022</v>
      </c>
      <c r="AZ73" s="52">
        <v>1</v>
      </c>
      <c r="BA73" s="50">
        <v>87</v>
      </c>
      <c r="BB73" s="50">
        <v>50</v>
      </c>
      <c r="BC73" s="50" t="s">
        <v>498</v>
      </c>
      <c r="BD73" s="50" t="s">
        <v>498</v>
      </c>
      <c r="BE73" s="50">
        <v>37</v>
      </c>
      <c r="BF73" s="74">
        <f t="shared" ref="BF73:BF129" si="64">BE73/BA73*100</f>
        <v>42.528735632183903</v>
      </c>
      <c r="BG73" s="78" t="s">
        <v>498</v>
      </c>
      <c r="BH73" s="78" t="s">
        <v>498</v>
      </c>
      <c r="BI73" s="50">
        <v>87</v>
      </c>
      <c r="BJ73" s="95"/>
      <c r="BK73" s="95"/>
      <c r="BL73" s="76">
        <v>44847</v>
      </c>
      <c r="BM73" s="867" t="s">
        <v>1864</v>
      </c>
      <c r="BN73" s="868"/>
      <c r="BO73" s="868"/>
      <c r="BP73" s="869"/>
      <c r="BQ73" s="318"/>
      <c r="BR73" s="318"/>
      <c r="BS73" s="318"/>
      <c r="BT73" s="318"/>
      <c r="BU73" s="867" t="s">
        <v>2609</v>
      </c>
      <c r="BV73" s="868"/>
      <c r="BW73" s="868"/>
      <c r="BX73" s="869"/>
      <c r="BY73" s="318"/>
      <c r="BZ73" s="318"/>
      <c r="CA73" s="318"/>
      <c r="CB73" s="318"/>
      <c r="CC73" s="27"/>
    </row>
    <row r="74" spans="1:81" s="656" customFormat="1" ht="40.35" customHeight="1" x14ac:dyDescent="0.25">
      <c r="A74" s="636">
        <v>89</v>
      </c>
      <c r="B74" s="657" t="s">
        <v>1407</v>
      </c>
      <c r="C74" s="658" t="s">
        <v>214</v>
      </c>
      <c r="D74" s="659" t="s">
        <v>67</v>
      </c>
      <c r="E74" s="451" t="s">
        <v>12</v>
      </c>
      <c r="F74" s="451">
        <v>69</v>
      </c>
      <c r="G74" s="640" t="s">
        <v>69</v>
      </c>
      <c r="H74" s="636" t="s">
        <v>67</v>
      </c>
      <c r="I74" s="636" t="s">
        <v>67</v>
      </c>
      <c r="J74" s="636" t="s">
        <v>29</v>
      </c>
      <c r="K74" s="636" t="s">
        <v>30</v>
      </c>
      <c r="L74" s="641" t="s">
        <v>69</v>
      </c>
      <c r="M74" s="698" t="s">
        <v>1041</v>
      </c>
      <c r="N74" s="698" t="s">
        <v>1041</v>
      </c>
      <c r="O74" s="739" t="s">
        <v>1042</v>
      </c>
      <c r="P74" s="740" t="s">
        <v>1043</v>
      </c>
      <c r="Q74" s="642" t="s">
        <v>499</v>
      </c>
      <c r="R74" s="698" t="s">
        <v>557</v>
      </c>
      <c r="S74" s="642" t="s">
        <v>500</v>
      </c>
      <c r="T74" s="642" t="s">
        <v>524</v>
      </c>
      <c r="U74" s="741" t="s">
        <v>583</v>
      </c>
      <c r="V74" s="642" t="s">
        <v>503</v>
      </c>
      <c r="W74" s="742" t="s">
        <v>542</v>
      </c>
      <c r="X74" s="743" t="s">
        <v>1546</v>
      </c>
      <c r="Y74" s="662" t="s">
        <v>1548</v>
      </c>
      <c r="Z74" s="646" t="s">
        <v>1547</v>
      </c>
      <c r="AA74" s="652" t="s">
        <v>1549</v>
      </c>
      <c r="AB74" s="642" t="s">
        <v>710</v>
      </c>
      <c r="AC74" s="649">
        <v>27713</v>
      </c>
      <c r="AD74" s="650">
        <f t="shared" si="56"/>
        <v>15</v>
      </c>
      <c r="AE74" s="650">
        <f t="shared" si="57"/>
        <v>11</v>
      </c>
      <c r="AF74" s="650">
        <f t="shared" si="58"/>
        <v>1975</v>
      </c>
      <c r="AG74" s="651">
        <f t="shared" si="59"/>
        <v>49628</v>
      </c>
      <c r="AH74" s="650">
        <f t="shared" ca="1" si="60"/>
        <v>9</v>
      </c>
      <c r="AI74" s="650">
        <f t="shared" ca="1" si="61"/>
        <v>11</v>
      </c>
      <c r="AJ74" s="650">
        <f t="shared" ca="1" si="62"/>
        <v>4</v>
      </c>
      <c r="AK74" s="650" t="str">
        <f t="shared" ca="1" si="63"/>
        <v>9year/11months/4Days</v>
      </c>
      <c r="AL74" s="664"/>
      <c r="AM74" s="664" t="s">
        <v>1654</v>
      </c>
      <c r="AN74" s="665">
        <v>596</v>
      </c>
      <c r="AO74" s="664"/>
      <c r="AP74" s="664"/>
      <c r="AQ74" s="664"/>
      <c r="AR74" s="664"/>
      <c r="AS74" s="664"/>
      <c r="AT74" s="664"/>
      <c r="AU74" s="664"/>
      <c r="AV74" s="664"/>
      <c r="AW74" s="664"/>
      <c r="AX74" s="664"/>
      <c r="AY74" s="652">
        <v>2022</v>
      </c>
      <c r="AZ74" s="667">
        <v>6</v>
      </c>
      <c r="BA74" s="652">
        <v>1855</v>
      </c>
      <c r="BB74" s="652">
        <v>235</v>
      </c>
      <c r="BC74" s="652" t="s">
        <v>498</v>
      </c>
      <c r="BD74" s="652" t="s">
        <v>498</v>
      </c>
      <c r="BE74" s="652">
        <v>1620</v>
      </c>
      <c r="BF74" s="653">
        <f t="shared" si="64"/>
        <v>87.331536388140165</v>
      </c>
      <c r="BG74" s="652" t="s">
        <v>498</v>
      </c>
      <c r="BH74" s="652" t="s">
        <v>498</v>
      </c>
      <c r="BI74" s="652">
        <v>1785</v>
      </c>
      <c r="BJ74" s="652" t="s">
        <v>498</v>
      </c>
      <c r="BK74" s="652">
        <v>70</v>
      </c>
      <c r="BL74" s="744">
        <v>44825</v>
      </c>
      <c r="BM74" s="900" t="s">
        <v>1861</v>
      </c>
      <c r="BN74" s="901"/>
      <c r="BO74" s="901"/>
      <c r="BP74" s="902"/>
      <c r="BQ74" s="745"/>
      <c r="BR74" s="745"/>
      <c r="BS74" s="745"/>
      <c r="BT74" s="745"/>
      <c r="BU74" s="900" t="s">
        <v>2609</v>
      </c>
      <c r="BV74" s="901"/>
      <c r="BW74" s="901"/>
      <c r="BX74" s="902"/>
      <c r="BY74" s="745"/>
      <c r="BZ74" s="745"/>
      <c r="CA74" s="745"/>
      <c r="CB74" s="745"/>
      <c r="CC74" s="655"/>
    </row>
    <row r="75" spans="1:81" s="656" customFormat="1" ht="40.35" customHeight="1" x14ac:dyDescent="0.3">
      <c r="A75" s="636">
        <v>90</v>
      </c>
      <c r="B75" s="657" t="s">
        <v>1405</v>
      </c>
      <c r="C75" s="658" t="s">
        <v>210</v>
      </c>
      <c r="D75" s="659" t="s">
        <v>483</v>
      </c>
      <c r="E75" s="451" t="s">
        <v>12</v>
      </c>
      <c r="F75" s="451">
        <v>67</v>
      </c>
      <c r="G75" s="640" t="s">
        <v>69</v>
      </c>
      <c r="H75" s="636" t="s">
        <v>67</v>
      </c>
      <c r="I75" s="636" t="s">
        <v>67</v>
      </c>
      <c r="J75" s="636" t="s">
        <v>29</v>
      </c>
      <c r="K75" s="636" t="s">
        <v>30</v>
      </c>
      <c r="L75" s="641" t="s">
        <v>69</v>
      </c>
      <c r="M75" s="642" t="s">
        <v>1044</v>
      </c>
      <c r="N75" s="642"/>
      <c r="O75" s="672" t="s">
        <v>1045</v>
      </c>
      <c r="P75" s="644"/>
      <c r="Q75" s="642" t="s">
        <v>499</v>
      </c>
      <c r="R75" s="642" t="s">
        <v>557</v>
      </c>
      <c r="S75" s="642" t="s">
        <v>500</v>
      </c>
      <c r="T75" s="642" t="s">
        <v>524</v>
      </c>
      <c r="U75" s="661" t="s">
        <v>667</v>
      </c>
      <c r="V75" s="642" t="s">
        <v>503</v>
      </c>
      <c r="W75" s="642" t="s">
        <v>1046</v>
      </c>
      <c r="X75" s="647" t="s">
        <v>1827</v>
      </c>
      <c r="Y75" s="648" t="s">
        <v>1828</v>
      </c>
      <c r="AA75" s="746" t="s">
        <v>538</v>
      </c>
      <c r="AB75" s="642" t="s">
        <v>2503</v>
      </c>
      <c r="AC75" s="649">
        <v>26533</v>
      </c>
      <c r="AD75" s="650">
        <f t="shared" ref="AD75" si="65">DAY(AC75)</f>
        <v>22</v>
      </c>
      <c r="AE75" s="650">
        <f t="shared" ref="AE75" si="66">MONTH(AC75)</f>
        <v>8</v>
      </c>
      <c r="AF75" s="650">
        <f t="shared" ref="AF75" si="67">YEAR(AC75)</f>
        <v>1972</v>
      </c>
      <c r="AG75" s="651">
        <f t="shared" ref="AG75" si="68">EDATE(AC75,12*60)</f>
        <v>48448</v>
      </c>
      <c r="AH75" s="650">
        <f t="shared" ref="AH75" ca="1" si="69">DATEDIF($A$4,AG75, "Y" )</f>
        <v>6</v>
      </c>
      <c r="AI75" s="650">
        <f t="shared" ref="AI75" ca="1" si="70">DATEDIF($A$4,AG75, "YM" )</f>
        <v>8</v>
      </c>
      <c r="AJ75" s="650">
        <f t="shared" ref="AJ75" ca="1" si="71">DATEDIF($A$4,AG75, "MD" )</f>
        <v>11</v>
      </c>
      <c r="AK75" s="650" t="str">
        <f t="shared" ref="AK75" ca="1" si="72">CONCATENATE(AH75,"year","/",AI75,"months","/",AJ75,"Days")</f>
        <v>6year/8months/11Days</v>
      </c>
      <c r="AL75" s="642"/>
      <c r="AM75" s="642" t="s">
        <v>1652</v>
      </c>
      <c r="AN75" s="451">
        <v>2133</v>
      </c>
      <c r="AO75" s="642"/>
      <c r="AP75" s="642"/>
      <c r="AQ75" s="642"/>
      <c r="AR75" s="642"/>
      <c r="AS75" s="642"/>
      <c r="AT75" s="642"/>
      <c r="AU75" s="642"/>
      <c r="AV75" s="642"/>
      <c r="AW75" s="642"/>
      <c r="AX75" s="642"/>
      <c r="AY75" s="642">
        <v>2021</v>
      </c>
      <c r="AZ75" s="645">
        <v>4</v>
      </c>
      <c r="BA75" s="642">
        <v>2027</v>
      </c>
      <c r="BB75" s="642">
        <v>273</v>
      </c>
      <c r="BC75" s="642"/>
      <c r="BD75" s="642">
        <v>7</v>
      </c>
      <c r="BE75" s="642">
        <v>1738</v>
      </c>
      <c r="BF75" s="653">
        <f t="shared" si="64"/>
        <v>85.742476566354213</v>
      </c>
      <c r="BG75" s="652" t="s">
        <v>498</v>
      </c>
      <c r="BH75" s="652" t="s">
        <v>498</v>
      </c>
      <c r="BI75" s="642">
        <v>2097</v>
      </c>
      <c r="BJ75" s="642"/>
      <c r="BK75" s="642">
        <v>35</v>
      </c>
      <c r="BL75" s="654">
        <v>44677</v>
      </c>
      <c r="BM75" s="669"/>
      <c r="BN75" s="669"/>
      <c r="BO75" s="669"/>
      <c r="BP75" s="669"/>
      <c r="BQ75" s="666"/>
      <c r="BR75" s="666"/>
      <c r="BS75" s="666"/>
      <c r="BT75" s="666"/>
      <c r="BU75" s="873" t="s">
        <v>2632</v>
      </c>
      <c r="BV75" s="874"/>
      <c r="BW75" s="874"/>
      <c r="BX75" s="875"/>
      <c r="BY75" s="666"/>
      <c r="BZ75" s="666"/>
      <c r="CA75" s="666"/>
      <c r="CB75" s="666"/>
      <c r="CC75" s="655"/>
    </row>
    <row r="76" spans="1:81" s="656" customFormat="1" ht="40.35" customHeight="1" x14ac:dyDescent="0.25">
      <c r="A76" s="636">
        <v>91</v>
      </c>
      <c r="B76" s="657" t="s">
        <v>1406</v>
      </c>
      <c r="C76" s="658" t="s">
        <v>212</v>
      </c>
      <c r="D76" s="451" t="s">
        <v>67</v>
      </c>
      <c r="E76" s="451" t="s">
        <v>12</v>
      </c>
      <c r="F76" s="444">
        <v>68</v>
      </c>
      <c r="G76" s="640" t="s">
        <v>69</v>
      </c>
      <c r="H76" s="636" t="s">
        <v>67</v>
      </c>
      <c r="I76" s="636" t="s">
        <v>67</v>
      </c>
      <c r="J76" s="636" t="s">
        <v>567</v>
      </c>
      <c r="K76" s="636" t="s">
        <v>30</v>
      </c>
      <c r="L76" s="641" t="s">
        <v>69</v>
      </c>
      <c r="M76" s="671" t="s">
        <v>1038</v>
      </c>
      <c r="N76" s="671" t="s">
        <v>498</v>
      </c>
      <c r="O76" s="747" t="s">
        <v>1039</v>
      </c>
      <c r="P76" s="673" t="s">
        <v>1040</v>
      </c>
      <c r="Q76" s="642" t="s">
        <v>499</v>
      </c>
      <c r="R76" s="671">
        <v>3</v>
      </c>
      <c r="S76" s="642" t="s">
        <v>500</v>
      </c>
      <c r="T76" s="642" t="s">
        <v>501</v>
      </c>
      <c r="U76" s="674" t="s">
        <v>535</v>
      </c>
      <c r="V76" s="642" t="s">
        <v>503</v>
      </c>
      <c r="W76" s="642" t="s">
        <v>567</v>
      </c>
      <c r="X76" s="748" t="s">
        <v>2874</v>
      </c>
      <c r="Y76" s="661" t="s">
        <v>2875</v>
      </c>
      <c r="Z76" s="676" t="s">
        <v>2876</v>
      </c>
      <c r="AA76" s="652" t="s">
        <v>538</v>
      </c>
      <c r="AB76" s="713" t="s">
        <v>710</v>
      </c>
      <c r="AC76" s="649">
        <v>26075</v>
      </c>
      <c r="AD76" s="650">
        <f t="shared" si="56"/>
        <v>22</v>
      </c>
      <c r="AE76" s="650">
        <f t="shared" si="57"/>
        <v>5</v>
      </c>
      <c r="AF76" s="650">
        <f t="shared" si="58"/>
        <v>1971</v>
      </c>
      <c r="AG76" s="651">
        <f t="shared" si="59"/>
        <v>47990</v>
      </c>
      <c r="AH76" s="650">
        <f t="shared" ca="1" si="60"/>
        <v>5</v>
      </c>
      <c r="AI76" s="650">
        <f t="shared" ca="1" si="61"/>
        <v>5</v>
      </c>
      <c r="AJ76" s="650">
        <f t="shared" ca="1" si="62"/>
        <v>11</v>
      </c>
      <c r="AK76" s="650" t="str">
        <f t="shared" ca="1" si="63"/>
        <v>5year/5months/11Days</v>
      </c>
      <c r="AL76" s="702"/>
      <c r="AM76" s="702" t="s">
        <v>1653</v>
      </c>
      <c r="AN76" s="703">
        <v>1007</v>
      </c>
      <c r="AO76" s="702"/>
      <c r="AP76" s="702"/>
      <c r="AQ76" s="702"/>
      <c r="AR76" s="702"/>
      <c r="AS76" s="702"/>
      <c r="AT76" s="702"/>
      <c r="AU76" s="702"/>
      <c r="AV76" s="702"/>
      <c r="AW76" s="702"/>
      <c r="AX76" s="702"/>
      <c r="AY76" s="642">
        <v>2025</v>
      </c>
      <c r="AZ76" s="645">
        <v>5</v>
      </c>
      <c r="BA76" s="642">
        <v>835</v>
      </c>
      <c r="BB76" s="642">
        <v>59</v>
      </c>
      <c r="BC76" s="642" t="s">
        <v>498</v>
      </c>
      <c r="BD76" s="642" t="s">
        <v>498</v>
      </c>
      <c r="BE76" s="642">
        <v>776</v>
      </c>
      <c r="BF76" s="653">
        <f t="shared" si="64"/>
        <v>92.93413173652695</v>
      </c>
      <c r="BG76" s="652" t="s">
        <v>498</v>
      </c>
      <c r="BH76" s="652" t="s">
        <v>498</v>
      </c>
      <c r="BI76" s="642">
        <v>804</v>
      </c>
      <c r="BJ76" s="642">
        <v>31</v>
      </c>
      <c r="BK76" s="652" t="s">
        <v>498</v>
      </c>
      <c r="BL76" s="654">
        <v>45953</v>
      </c>
      <c r="BM76" s="873" t="s">
        <v>1856</v>
      </c>
      <c r="BN76" s="874"/>
      <c r="BO76" s="874"/>
      <c r="BP76" s="875"/>
      <c r="BQ76" s="900" t="s">
        <v>1866</v>
      </c>
      <c r="BR76" s="901"/>
      <c r="BS76" s="901"/>
      <c r="BT76" s="902"/>
      <c r="BU76" s="873" t="s">
        <v>2860</v>
      </c>
      <c r="BV76" s="874"/>
      <c r="BW76" s="874"/>
      <c r="BX76" s="875"/>
      <c r="BY76" s="900" t="s">
        <v>2877</v>
      </c>
      <c r="BZ76" s="901"/>
      <c r="CA76" s="901"/>
      <c r="CB76" s="902"/>
      <c r="CC76" s="655"/>
    </row>
    <row r="77" spans="1:81" s="656" customFormat="1" ht="40.35" customHeight="1" x14ac:dyDescent="0.3">
      <c r="A77" s="679" t="s">
        <v>1077</v>
      </c>
      <c r="B77" s="637" t="s">
        <v>1051</v>
      </c>
      <c r="C77" s="638" t="s">
        <v>216</v>
      </c>
      <c r="D77" s="451" t="s">
        <v>1052</v>
      </c>
      <c r="E77" s="451" t="s">
        <v>12</v>
      </c>
      <c r="F77" s="444">
        <v>70</v>
      </c>
      <c r="G77" s="640" t="s">
        <v>26</v>
      </c>
      <c r="H77" s="636" t="s">
        <v>31</v>
      </c>
      <c r="I77" s="636" t="s">
        <v>217</v>
      </c>
      <c r="J77" s="636" t="s">
        <v>29</v>
      </c>
      <c r="K77" s="636" t="s">
        <v>30</v>
      </c>
      <c r="L77" s="641" t="s">
        <v>31</v>
      </c>
      <c r="M77" s="642" t="s">
        <v>1049</v>
      </c>
      <c r="N77" s="749"/>
      <c r="O77" s="749"/>
      <c r="P77" s="750"/>
      <c r="Q77" s="642" t="s">
        <v>499</v>
      </c>
      <c r="R77" s="642">
        <v>2</v>
      </c>
      <c r="S77" s="642" t="s">
        <v>500</v>
      </c>
      <c r="T77" s="642" t="s">
        <v>524</v>
      </c>
      <c r="U77" s="661" t="s">
        <v>502</v>
      </c>
      <c r="V77" s="642" t="s">
        <v>503</v>
      </c>
      <c r="W77" s="671" t="s">
        <v>542</v>
      </c>
      <c r="X77" s="743" t="s">
        <v>1536</v>
      </c>
      <c r="Y77" s="751" t="s">
        <v>1050</v>
      </c>
      <c r="Z77" s="648" t="s">
        <v>1535</v>
      </c>
      <c r="AA77" s="642" t="s">
        <v>568</v>
      </c>
      <c r="AB77" s="642" t="s">
        <v>710</v>
      </c>
      <c r="AC77" s="649">
        <v>26732</v>
      </c>
      <c r="AD77" s="650">
        <f t="shared" si="56"/>
        <v>9</v>
      </c>
      <c r="AE77" s="650">
        <f t="shared" si="57"/>
        <v>3</v>
      </c>
      <c r="AF77" s="650">
        <f t="shared" si="58"/>
        <v>1973</v>
      </c>
      <c r="AG77" s="651">
        <f t="shared" si="59"/>
        <v>48647</v>
      </c>
      <c r="AH77" s="650">
        <f t="shared" ca="1" si="60"/>
        <v>7</v>
      </c>
      <c r="AI77" s="650">
        <f t="shared" ca="1" si="61"/>
        <v>2</v>
      </c>
      <c r="AJ77" s="650">
        <f t="shared" ca="1" si="62"/>
        <v>26</v>
      </c>
      <c r="AK77" s="650" t="str">
        <f t="shared" ca="1" si="63"/>
        <v>7year/2months/26Days</v>
      </c>
      <c r="AL77" s="752"/>
      <c r="AM77" s="648" t="s">
        <v>1655</v>
      </c>
      <c r="AN77" s="639" t="s">
        <v>1656</v>
      </c>
      <c r="AO77" s="752"/>
      <c r="AP77" s="752"/>
      <c r="AQ77" s="752"/>
      <c r="AR77" s="752"/>
      <c r="AS77" s="752"/>
      <c r="AT77" s="752"/>
      <c r="AU77" s="752"/>
      <c r="AV77" s="752"/>
      <c r="AW77" s="752"/>
      <c r="AX77" s="752"/>
      <c r="AY77" s="642">
        <v>2018</v>
      </c>
      <c r="AZ77" s="645">
        <v>1</v>
      </c>
      <c r="BA77" s="642">
        <v>400</v>
      </c>
      <c r="BB77" s="642">
        <v>98</v>
      </c>
      <c r="BC77" s="642" t="s">
        <v>498</v>
      </c>
      <c r="BD77" s="642" t="s">
        <v>498</v>
      </c>
      <c r="BE77" s="642">
        <v>302</v>
      </c>
      <c r="BF77" s="653">
        <f t="shared" si="64"/>
        <v>75.5</v>
      </c>
      <c r="BG77" s="652" t="s">
        <v>498</v>
      </c>
      <c r="BH77" s="652" t="s">
        <v>498</v>
      </c>
      <c r="BI77" s="642">
        <v>400</v>
      </c>
      <c r="BJ77" s="752"/>
      <c r="BK77" s="752"/>
      <c r="BL77" s="744">
        <v>45056</v>
      </c>
      <c r="BM77" s="873" t="s">
        <v>1856</v>
      </c>
      <c r="BN77" s="874"/>
      <c r="BO77" s="874"/>
      <c r="BP77" s="875"/>
      <c r="BQ77" s="666"/>
      <c r="BR77" s="666"/>
      <c r="BS77" s="666"/>
      <c r="BT77" s="666"/>
      <c r="BU77" s="873" t="s">
        <v>2632</v>
      </c>
      <c r="BV77" s="874"/>
      <c r="BW77" s="874"/>
      <c r="BX77" s="875"/>
      <c r="BY77" s="873" t="s">
        <v>2791</v>
      </c>
      <c r="BZ77" s="874"/>
      <c r="CA77" s="874"/>
      <c r="CB77" s="875"/>
      <c r="CC77" s="655"/>
    </row>
    <row r="78" spans="1:81" s="8" customFormat="1" ht="40.35" customHeight="1" x14ac:dyDescent="0.3">
      <c r="A78" s="9">
        <v>94</v>
      </c>
      <c r="B78" s="183" t="s">
        <v>1055</v>
      </c>
      <c r="C78" s="11" t="s">
        <v>219</v>
      </c>
      <c r="D78" s="7" t="s">
        <v>1056</v>
      </c>
      <c r="E78" s="3" t="s">
        <v>12</v>
      </c>
      <c r="F78" s="3">
        <v>71</v>
      </c>
      <c r="G78" s="198" t="s">
        <v>69</v>
      </c>
      <c r="H78" s="9" t="s">
        <v>80</v>
      </c>
      <c r="I78" s="9" t="s">
        <v>220</v>
      </c>
      <c r="J78" s="9" t="s">
        <v>29</v>
      </c>
      <c r="K78" s="9" t="s">
        <v>30</v>
      </c>
      <c r="L78" s="215" t="s">
        <v>69</v>
      </c>
      <c r="M78" s="50" t="s">
        <v>1053</v>
      </c>
      <c r="N78" s="50"/>
      <c r="O78" s="51" t="s">
        <v>1054</v>
      </c>
      <c r="P78" s="244"/>
      <c r="Q78" s="50" t="s">
        <v>499</v>
      </c>
      <c r="R78" s="50">
        <v>2</v>
      </c>
      <c r="S78" s="50" t="s">
        <v>500</v>
      </c>
      <c r="T78" s="50" t="s">
        <v>524</v>
      </c>
      <c r="U78" s="97" t="s">
        <v>502</v>
      </c>
      <c r="V78" s="50" t="s">
        <v>503</v>
      </c>
      <c r="W78" s="50"/>
      <c r="X78" s="46"/>
      <c r="Y78" s="371"/>
      <c r="Z78" s="371"/>
      <c r="AA78" s="78"/>
      <c r="AB78" s="50"/>
      <c r="AC78" s="55"/>
      <c r="AD78" s="48"/>
      <c r="AE78" s="48"/>
      <c r="AF78" s="48"/>
      <c r="AG78" s="49"/>
      <c r="AH78" s="48"/>
      <c r="AI78" s="48"/>
      <c r="AJ78" s="48"/>
      <c r="AK78" s="48"/>
      <c r="AL78" s="384"/>
      <c r="AM78" s="384" t="s">
        <v>1657</v>
      </c>
      <c r="AN78" s="276">
        <v>1150</v>
      </c>
      <c r="AO78" s="384"/>
      <c r="AP78" s="384"/>
      <c r="AQ78" s="384"/>
      <c r="AR78" s="384"/>
      <c r="AS78" s="384"/>
      <c r="AT78" s="384"/>
      <c r="AU78" s="384"/>
      <c r="AV78" s="384"/>
      <c r="AW78" s="384"/>
      <c r="AX78" s="384"/>
      <c r="AY78" s="50">
        <v>2019</v>
      </c>
      <c r="AZ78" s="52">
        <v>1</v>
      </c>
      <c r="BA78" s="50">
        <v>250</v>
      </c>
      <c r="BB78" s="50">
        <v>125</v>
      </c>
      <c r="BC78" s="50" t="s">
        <v>498</v>
      </c>
      <c r="BD78" s="50" t="s">
        <v>498</v>
      </c>
      <c r="BE78" s="50">
        <v>125</v>
      </c>
      <c r="BF78" s="74">
        <f t="shared" si="64"/>
        <v>50</v>
      </c>
      <c r="BG78" s="78" t="s">
        <v>498</v>
      </c>
      <c r="BH78" s="78" t="s">
        <v>498</v>
      </c>
      <c r="BI78" s="50">
        <v>250</v>
      </c>
      <c r="BJ78" s="50"/>
      <c r="BK78" s="95"/>
      <c r="BL78" s="76">
        <v>44676</v>
      </c>
      <c r="BM78" s="379"/>
      <c r="BN78" s="379"/>
      <c r="BO78" s="379"/>
      <c r="BP78" s="379"/>
      <c r="BQ78" s="305"/>
      <c r="BR78" s="305"/>
      <c r="BS78" s="305"/>
      <c r="BT78" s="305"/>
      <c r="BU78" s="867" t="s">
        <v>2600</v>
      </c>
      <c r="BV78" s="868"/>
      <c r="BW78" s="868"/>
      <c r="BX78" s="869"/>
      <c r="BY78" s="305"/>
      <c r="BZ78" s="305"/>
      <c r="CA78" s="305"/>
      <c r="CB78" s="305"/>
      <c r="CC78" s="27"/>
    </row>
    <row r="79" spans="1:81" s="656" customFormat="1" ht="40.35" customHeight="1" x14ac:dyDescent="0.25">
      <c r="A79" s="636">
        <v>95</v>
      </c>
      <c r="B79" s="637" t="s">
        <v>2870</v>
      </c>
      <c r="C79" s="638" t="s">
        <v>2871</v>
      </c>
      <c r="D79" s="451" t="s">
        <v>31</v>
      </c>
      <c r="E79" s="451" t="s">
        <v>12</v>
      </c>
      <c r="F79" s="444">
        <v>72</v>
      </c>
      <c r="G79" s="640" t="s">
        <v>26</v>
      </c>
      <c r="H79" s="636" t="s">
        <v>31</v>
      </c>
      <c r="I79" s="636" t="s">
        <v>37</v>
      </c>
      <c r="J79" s="636" t="s">
        <v>29</v>
      </c>
      <c r="K79" s="636" t="s">
        <v>30</v>
      </c>
      <c r="L79" s="641" t="s">
        <v>31</v>
      </c>
      <c r="M79" s="642" t="s">
        <v>1057</v>
      </c>
      <c r="N79" s="642" t="s">
        <v>498</v>
      </c>
      <c r="O79" s="672" t="s">
        <v>1058</v>
      </c>
      <c r="P79" s="644" t="s">
        <v>1479</v>
      </c>
      <c r="Q79" s="642" t="s">
        <v>499</v>
      </c>
      <c r="R79" s="642">
        <v>2</v>
      </c>
      <c r="S79" s="642" t="s">
        <v>500</v>
      </c>
      <c r="T79" s="642" t="s">
        <v>524</v>
      </c>
      <c r="U79" s="661" t="s">
        <v>502</v>
      </c>
      <c r="V79" s="642" t="s">
        <v>503</v>
      </c>
      <c r="W79" s="642" t="s">
        <v>654</v>
      </c>
      <c r="X79" s="647" t="s">
        <v>2872</v>
      </c>
      <c r="Y79" s="648" t="s">
        <v>1480</v>
      </c>
      <c r="Z79" s="642" t="s">
        <v>1059</v>
      </c>
      <c r="AA79" s="642" t="s">
        <v>562</v>
      </c>
      <c r="AB79" s="642" t="s">
        <v>668</v>
      </c>
      <c r="AC79" s="649">
        <v>24539</v>
      </c>
      <c r="AD79" s="650">
        <f>DAY(AC79)</f>
        <v>8</v>
      </c>
      <c r="AE79" s="650">
        <f>MONTH(AC79)</f>
        <v>3</v>
      </c>
      <c r="AF79" s="650">
        <f>YEAR(AC79)</f>
        <v>1967</v>
      </c>
      <c r="AG79" s="651">
        <f t="shared" si="59"/>
        <v>46454</v>
      </c>
      <c r="AH79" s="650">
        <f t="shared" ca="1" si="60"/>
        <v>1</v>
      </c>
      <c r="AI79" s="650">
        <f t="shared" ca="1" si="61"/>
        <v>2</v>
      </c>
      <c r="AJ79" s="650">
        <f t="shared" ca="1" si="62"/>
        <v>25</v>
      </c>
      <c r="AK79" s="650" t="str">
        <f t="shared" ca="1" si="63"/>
        <v>1year/2months/25Days</v>
      </c>
      <c r="AL79" s="702"/>
      <c r="AM79" s="702" t="s">
        <v>1658</v>
      </c>
      <c r="AN79" s="703">
        <v>765</v>
      </c>
      <c r="AO79" s="702"/>
      <c r="AP79" s="702"/>
      <c r="AQ79" s="702"/>
      <c r="AR79" s="702"/>
      <c r="AS79" s="702"/>
      <c r="AT79" s="702"/>
      <c r="AU79" s="702"/>
      <c r="AV79" s="702"/>
      <c r="AW79" s="702"/>
      <c r="AX79" s="702"/>
      <c r="AY79" s="642">
        <v>2025</v>
      </c>
      <c r="AZ79" s="645">
        <v>2</v>
      </c>
      <c r="BA79" s="642">
        <v>658</v>
      </c>
      <c r="BB79" s="642">
        <v>209</v>
      </c>
      <c r="BC79" s="642" t="s">
        <v>498</v>
      </c>
      <c r="BD79" s="642" t="s">
        <v>498</v>
      </c>
      <c r="BE79" s="642">
        <v>448</v>
      </c>
      <c r="BF79" s="653">
        <f t="shared" si="64"/>
        <v>68.085106382978722</v>
      </c>
      <c r="BG79" s="652">
        <v>1</v>
      </c>
      <c r="BH79" s="652" t="s">
        <v>498</v>
      </c>
      <c r="BI79" s="642">
        <v>658</v>
      </c>
      <c r="BJ79" s="652" t="s">
        <v>498</v>
      </c>
      <c r="BK79" s="652" t="s">
        <v>498</v>
      </c>
      <c r="BL79" s="654">
        <v>45952</v>
      </c>
      <c r="BM79" s="669"/>
      <c r="BN79" s="669"/>
      <c r="BO79" s="669"/>
      <c r="BP79" s="669"/>
      <c r="BQ79" s="715"/>
      <c r="BR79" s="715"/>
      <c r="BS79" s="715"/>
      <c r="BT79" s="715"/>
      <c r="BU79" s="873" t="s">
        <v>2860</v>
      </c>
      <c r="BV79" s="874"/>
      <c r="BW79" s="874"/>
      <c r="BX79" s="875"/>
      <c r="BY79" s="900" t="s">
        <v>2873</v>
      </c>
      <c r="BZ79" s="901"/>
      <c r="CA79" s="901"/>
      <c r="CB79" s="902"/>
      <c r="CC79" s="655"/>
    </row>
    <row r="80" spans="1:81" s="8" customFormat="1" ht="40.35" customHeight="1" x14ac:dyDescent="0.25">
      <c r="A80" s="558">
        <v>96</v>
      </c>
      <c r="B80" s="118" t="s">
        <v>735</v>
      </c>
      <c r="C80" s="13" t="s">
        <v>223</v>
      </c>
      <c r="D80" s="7" t="s">
        <v>736</v>
      </c>
      <c r="E80" s="3" t="s">
        <v>12</v>
      </c>
      <c r="F80" s="3">
        <v>73</v>
      </c>
      <c r="G80" s="198" t="s">
        <v>21</v>
      </c>
      <c r="H80" s="9" t="s">
        <v>42</v>
      </c>
      <c r="I80" s="9" t="s">
        <v>224</v>
      </c>
      <c r="J80" s="9" t="s">
        <v>21</v>
      </c>
      <c r="K80" s="9" t="s">
        <v>44</v>
      </c>
      <c r="L80" s="215" t="s">
        <v>42</v>
      </c>
      <c r="M80" s="50" t="s">
        <v>729</v>
      </c>
      <c r="N80" s="105" t="s">
        <v>498</v>
      </c>
      <c r="O80" s="51" t="s">
        <v>1948</v>
      </c>
      <c r="P80" s="243" t="s">
        <v>730</v>
      </c>
      <c r="Q80" s="50" t="s">
        <v>499</v>
      </c>
      <c r="R80" s="50">
        <v>3</v>
      </c>
      <c r="S80" s="50" t="s">
        <v>500</v>
      </c>
      <c r="T80" s="50" t="s">
        <v>524</v>
      </c>
      <c r="U80" s="52" t="s">
        <v>535</v>
      </c>
      <c r="V80" s="50" t="s">
        <v>503</v>
      </c>
      <c r="W80" s="50"/>
      <c r="X80" s="70" t="s">
        <v>2713</v>
      </c>
      <c r="Y80" s="50" t="s">
        <v>2714</v>
      </c>
      <c r="Z80" s="60" t="s">
        <v>2715</v>
      </c>
      <c r="AA80" s="50" t="s">
        <v>538</v>
      </c>
      <c r="AB80" s="50" t="s">
        <v>506</v>
      </c>
      <c r="AC80" s="55">
        <v>28378</v>
      </c>
      <c r="AD80" s="48">
        <f>DAY(AC80)</f>
        <v>10</v>
      </c>
      <c r="AE80" s="48">
        <f>MONTH(AC80)</f>
        <v>9</v>
      </c>
      <c r="AF80" s="48">
        <f>YEAR(AC80)</f>
        <v>1977</v>
      </c>
      <c r="AG80" s="49">
        <f t="shared" si="59"/>
        <v>50293</v>
      </c>
      <c r="AH80" s="48">
        <f t="shared" ref="AH80" ca="1" si="73">DATEDIF($A$4,AG80, "Y" )</f>
        <v>11</v>
      </c>
      <c r="AI80" s="48">
        <f t="shared" ref="AI80" ca="1" si="74">DATEDIF($A$4,AG80, "YM" )</f>
        <v>8</v>
      </c>
      <c r="AJ80" s="48">
        <f t="shared" ref="AJ80" ca="1" si="75">DATEDIF($A$4,AG80, "MD" )</f>
        <v>30</v>
      </c>
      <c r="AK80" s="48" t="str">
        <f t="shared" ca="1" si="63"/>
        <v>11year/8months/30Days</v>
      </c>
      <c r="AL80" s="106" t="s">
        <v>734</v>
      </c>
      <c r="AM80" s="106" t="s">
        <v>1659</v>
      </c>
      <c r="AN80" s="282">
        <v>1442</v>
      </c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50">
        <v>2024</v>
      </c>
      <c r="AZ80" s="107">
        <v>1</v>
      </c>
      <c r="BA80" s="78">
        <v>106</v>
      </c>
      <c r="BB80" s="78">
        <v>84</v>
      </c>
      <c r="BC80" s="78" t="s">
        <v>498</v>
      </c>
      <c r="BD80" s="78" t="s">
        <v>498</v>
      </c>
      <c r="BE80" s="78">
        <v>22</v>
      </c>
      <c r="BF80" s="74">
        <f t="shared" si="64"/>
        <v>20.754716981132077</v>
      </c>
      <c r="BG80" s="78" t="s">
        <v>498</v>
      </c>
      <c r="BH80" s="78" t="s">
        <v>498</v>
      </c>
      <c r="BI80" s="78">
        <v>106</v>
      </c>
      <c r="BJ80" s="78" t="s">
        <v>498</v>
      </c>
      <c r="BK80" s="78" t="s">
        <v>498</v>
      </c>
      <c r="BL80" s="76">
        <v>45560</v>
      </c>
      <c r="BM80" s="867" t="s">
        <v>1799</v>
      </c>
      <c r="BN80" s="868"/>
      <c r="BO80" s="868"/>
      <c r="BP80" s="869"/>
      <c r="BQ80" s="867" t="s">
        <v>1844</v>
      </c>
      <c r="BR80" s="868"/>
      <c r="BS80" s="868"/>
      <c r="BT80" s="869"/>
      <c r="BU80" s="867" t="s">
        <v>2609</v>
      </c>
      <c r="BV80" s="868"/>
      <c r="BW80" s="868"/>
      <c r="BX80" s="869"/>
      <c r="BY80" s="867" t="s">
        <v>2716</v>
      </c>
      <c r="BZ80" s="868"/>
      <c r="CA80" s="868"/>
      <c r="CB80" s="869"/>
      <c r="CC80" s="27"/>
    </row>
    <row r="81" spans="1:81" s="656" customFormat="1" ht="40.35" customHeight="1" x14ac:dyDescent="0.25">
      <c r="A81" s="679" t="s">
        <v>1078</v>
      </c>
      <c r="B81" s="637" t="s">
        <v>564</v>
      </c>
      <c r="C81" s="638" t="s">
        <v>226</v>
      </c>
      <c r="D81" s="639" t="s">
        <v>1904</v>
      </c>
      <c r="E81" s="451" t="s">
        <v>12</v>
      </c>
      <c r="F81" s="444">
        <v>74</v>
      </c>
      <c r="G81" s="640" t="s">
        <v>13</v>
      </c>
      <c r="H81" s="636" t="s">
        <v>14</v>
      </c>
      <c r="I81" s="636" t="s">
        <v>201</v>
      </c>
      <c r="J81" s="636" t="s">
        <v>14</v>
      </c>
      <c r="K81" s="636" t="s">
        <v>14</v>
      </c>
      <c r="L81" s="753" t="s">
        <v>14</v>
      </c>
      <c r="M81" s="671" t="s">
        <v>1905</v>
      </c>
      <c r="N81" s="688" t="s">
        <v>498</v>
      </c>
      <c r="O81" s="747" t="s">
        <v>1906</v>
      </c>
      <c r="P81" s="697" t="s">
        <v>559</v>
      </c>
      <c r="Q81" s="642" t="s">
        <v>499</v>
      </c>
      <c r="R81" s="671" t="s">
        <v>560</v>
      </c>
      <c r="S81" s="642" t="s">
        <v>500</v>
      </c>
      <c r="T81" s="642" t="s">
        <v>524</v>
      </c>
      <c r="U81" s="686" t="s">
        <v>561</v>
      </c>
      <c r="V81" s="642" t="s">
        <v>503</v>
      </c>
      <c r="W81" s="642" t="s">
        <v>504</v>
      </c>
      <c r="X81" s="646" t="s">
        <v>2606</v>
      </c>
      <c r="Y81" s="642" t="s">
        <v>2607</v>
      </c>
      <c r="Z81" s="676" t="s">
        <v>2608</v>
      </c>
      <c r="AA81" s="671" t="s">
        <v>538</v>
      </c>
      <c r="AB81" s="642" t="s">
        <v>563</v>
      </c>
      <c r="AC81" s="649">
        <v>27131</v>
      </c>
      <c r="AD81" s="650">
        <f t="shared" ref="AD81" si="76">DAY(AC81)</f>
        <v>12</v>
      </c>
      <c r="AE81" s="650">
        <f t="shared" ref="AE81" si="77">MONTH(AC81)</f>
        <v>4</v>
      </c>
      <c r="AF81" s="650">
        <f t="shared" ref="AF81" si="78">YEAR(AC81)</f>
        <v>1974</v>
      </c>
      <c r="AG81" s="651">
        <f t="shared" si="59"/>
        <v>49046</v>
      </c>
      <c r="AH81" s="650">
        <f t="shared" ref="AH81" ca="1" si="79">DATEDIF($A$4,AG81, "Y" )</f>
        <v>8</v>
      </c>
      <c r="AI81" s="650">
        <f t="shared" ref="AI81" ca="1" si="80">DATEDIF($A$4,AG81, "YM" )</f>
        <v>4</v>
      </c>
      <c r="AJ81" s="650">
        <f t="shared" ref="AJ81" ca="1" si="81">DATEDIF($A$4,AG81, "MD" )</f>
        <v>1</v>
      </c>
      <c r="AK81" s="650" t="str">
        <f t="shared" ref="AK81" ca="1" si="82">CONCATENATE(AH81,"year","/",AI81,"months","/",AJ81,"Days")</f>
        <v>8year/4months/1Days</v>
      </c>
      <c r="AL81" s="671"/>
      <c r="AM81" s="676" t="s">
        <v>1660</v>
      </c>
      <c r="AN81" s="692" t="s">
        <v>1661</v>
      </c>
      <c r="AO81" s="671"/>
      <c r="AP81" s="671"/>
      <c r="AQ81" s="671"/>
      <c r="AR81" s="671"/>
      <c r="AS81" s="671"/>
      <c r="AT81" s="671"/>
      <c r="AU81" s="671"/>
      <c r="AV81" s="671"/>
      <c r="AW81" s="671"/>
      <c r="AX81" s="671"/>
      <c r="AY81" s="671">
        <v>2023</v>
      </c>
      <c r="AZ81" s="686">
        <v>2</v>
      </c>
      <c r="BA81" s="671">
        <v>613</v>
      </c>
      <c r="BB81" s="671">
        <v>227</v>
      </c>
      <c r="BC81" s="671">
        <v>21</v>
      </c>
      <c r="BD81" s="671">
        <v>15</v>
      </c>
      <c r="BE81" s="671">
        <v>347</v>
      </c>
      <c r="BF81" s="653">
        <f t="shared" si="64"/>
        <v>56.606851549755298</v>
      </c>
      <c r="BG81" s="652" t="s">
        <v>498</v>
      </c>
      <c r="BH81" s="652" t="s">
        <v>498</v>
      </c>
      <c r="BI81" s="671">
        <v>613</v>
      </c>
      <c r="BJ81" s="688" t="s">
        <v>498</v>
      </c>
      <c r="BK81" s="688" t="s">
        <v>498</v>
      </c>
      <c r="BL81" s="654">
        <v>45314</v>
      </c>
      <c r="BM81" s="873" t="s">
        <v>1792</v>
      </c>
      <c r="BN81" s="874"/>
      <c r="BO81" s="874"/>
      <c r="BP81" s="875"/>
      <c r="BQ81" s="873" t="s">
        <v>1853</v>
      </c>
      <c r="BR81" s="874"/>
      <c r="BS81" s="874"/>
      <c r="BT81" s="875"/>
      <c r="BU81" s="873" t="s">
        <v>2609</v>
      </c>
      <c r="BV81" s="874"/>
      <c r="BW81" s="874"/>
      <c r="BX81" s="875"/>
      <c r="BY81" s="696"/>
      <c r="BZ81" s="696"/>
      <c r="CA81" s="696"/>
      <c r="CB81" s="696"/>
      <c r="CC81" s="655"/>
    </row>
    <row r="82" spans="1:81" s="8" customFormat="1" ht="40.35" customHeight="1" x14ac:dyDescent="0.3">
      <c r="A82" s="58" t="s">
        <v>1079</v>
      </c>
      <c r="B82" s="183" t="s">
        <v>1062</v>
      </c>
      <c r="C82" s="11" t="s">
        <v>227</v>
      </c>
      <c r="D82" s="31" t="s">
        <v>228</v>
      </c>
      <c r="E82" s="3" t="s">
        <v>12</v>
      </c>
      <c r="F82" s="3">
        <v>75</v>
      </c>
      <c r="G82" s="198" t="s">
        <v>26</v>
      </c>
      <c r="H82" s="9" t="s">
        <v>27</v>
      </c>
      <c r="I82" s="9" t="s">
        <v>228</v>
      </c>
      <c r="J82" s="9" t="s">
        <v>29</v>
      </c>
      <c r="K82" s="215" t="s">
        <v>30</v>
      </c>
      <c r="L82" s="3" t="s">
        <v>31</v>
      </c>
      <c r="M82" s="139" t="s">
        <v>1060</v>
      </c>
      <c r="N82" s="50"/>
      <c r="O82" s="50"/>
      <c r="P82" s="243"/>
      <c r="Q82" s="50" t="s">
        <v>499</v>
      </c>
      <c r="R82" s="50" t="s">
        <v>560</v>
      </c>
      <c r="S82" s="50" t="s">
        <v>500</v>
      </c>
      <c r="T82" s="50" t="s">
        <v>524</v>
      </c>
      <c r="U82" s="97" t="s">
        <v>667</v>
      </c>
      <c r="V82" s="50" t="s">
        <v>503</v>
      </c>
      <c r="W82" s="50" t="s">
        <v>542</v>
      </c>
      <c r="X82" s="54" t="s">
        <v>1061</v>
      </c>
      <c r="Y82" s="50"/>
      <c r="Z82" s="50"/>
      <c r="AA82" s="50"/>
      <c r="AB82" s="50" t="s">
        <v>506</v>
      </c>
      <c r="AC82" s="55">
        <v>26737</v>
      </c>
      <c r="AD82" s="48">
        <f t="shared" si="56"/>
        <v>14</v>
      </c>
      <c r="AE82" s="48">
        <f t="shared" si="57"/>
        <v>3</v>
      </c>
      <c r="AF82" s="48">
        <f t="shared" si="58"/>
        <v>1973</v>
      </c>
      <c r="AG82" s="49">
        <f t="shared" si="59"/>
        <v>48652</v>
      </c>
      <c r="AH82" s="48">
        <f t="shared" ca="1" si="60"/>
        <v>7</v>
      </c>
      <c r="AI82" s="48">
        <f t="shared" ca="1" si="61"/>
        <v>3</v>
      </c>
      <c r="AJ82" s="48">
        <f t="shared" ca="1" si="62"/>
        <v>3</v>
      </c>
      <c r="AK82" s="48" t="str">
        <f t="shared" ca="1" si="63"/>
        <v>7year/3months/3Days</v>
      </c>
      <c r="AL82" s="50"/>
      <c r="AM82" s="60" t="s">
        <v>1662</v>
      </c>
      <c r="AN82" s="275" t="s">
        <v>1663</v>
      </c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>
        <v>2017</v>
      </c>
      <c r="AZ82" s="52">
        <v>2</v>
      </c>
      <c r="BA82" s="50">
        <v>713</v>
      </c>
      <c r="BB82" s="50">
        <v>385</v>
      </c>
      <c r="BC82" s="50" t="s">
        <v>498</v>
      </c>
      <c r="BD82" s="50">
        <v>1</v>
      </c>
      <c r="BE82" s="50">
        <v>255</v>
      </c>
      <c r="BF82" s="74">
        <f t="shared" si="64"/>
        <v>35.764375876577844</v>
      </c>
      <c r="BG82" s="78" t="s">
        <v>498</v>
      </c>
      <c r="BH82" s="78" t="s">
        <v>498</v>
      </c>
      <c r="BI82" s="50">
        <v>713</v>
      </c>
      <c r="BJ82" s="50"/>
      <c r="BK82" s="50"/>
      <c r="BL82" s="151"/>
      <c r="BM82" s="379"/>
      <c r="BN82" s="379"/>
      <c r="BO82" s="379"/>
      <c r="BP82" s="379"/>
      <c r="BQ82" s="305"/>
      <c r="BR82" s="305"/>
      <c r="BS82" s="305"/>
      <c r="BT82" s="305"/>
      <c r="BU82" s="867" t="s">
        <v>2600</v>
      </c>
      <c r="BV82" s="868"/>
      <c r="BW82" s="868"/>
      <c r="BX82" s="869"/>
      <c r="BY82" s="305"/>
      <c r="BZ82" s="305"/>
      <c r="CA82" s="305"/>
      <c r="CB82" s="305"/>
      <c r="CC82" s="27"/>
    </row>
    <row r="83" spans="1:81" s="656" customFormat="1" ht="40.35" customHeight="1" x14ac:dyDescent="0.25">
      <c r="A83" s="679" t="s">
        <v>1080</v>
      </c>
      <c r="B83" s="657" t="s">
        <v>1069</v>
      </c>
      <c r="C83" s="658" t="s">
        <v>230</v>
      </c>
      <c r="D83" s="451" t="s">
        <v>1070</v>
      </c>
      <c r="E83" s="451" t="s">
        <v>12</v>
      </c>
      <c r="F83" s="444">
        <v>76</v>
      </c>
      <c r="G83" s="640" t="s">
        <v>26</v>
      </c>
      <c r="H83" s="636" t="s">
        <v>27</v>
      </c>
      <c r="I83" s="636" t="s">
        <v>231</v>
      </c>
      <c r="J83" s="636" t="s">
        <v>29</v>
      </c>
      <c r="K83" s="636" t="s">
        <v>30</v>
      </c>
      <c r="L83" s="754" t="s">
        <v>31</v>
      </c>
      <c r="M83" s="671" t="s">
        <v>1063</v>
      </c>
      <c r="N83" s="671" t="s">
        <v>498</v>
      </c>
      <c r="O83" s="747" t="s">
        <v>1064</v>
      </c>
      <c r="P83" s="673" t="s">
        <v>1512</v>
      </c>
      <c r="Q83" s="642" t="s">
        <v>499</v>
      </c>
      <c r="R83" s="671">
        <v>2</v>
      </c>
      <c r="S83" s="642" t="s">
        <v>500</v>
      </c>
      <c r="T83" s="642" t="s">
        <v>524</v>
      </c>
      <c r="U83" s="674" t="s">
        <v>502</v>
      </c>
      <c r="V83" s="642" t="s">
        <v>503</v>
      </c>
      <c r="W83" s="671" t="s">
        <v>542</v>
      </c>
      <c r="X83" s="707" t="s">
        <v>1066</v>
      </c>
      <c r="Y83" s="648" t="s">
        <v>1067</v>
      </c>
      <c r="Z83" s="648" t="s">
        <v>1068</v>
      </c>
      <c r="AA83" s="652" t="s">
        <v>562</v>
      </c>
      <c r="AB83" s="642" t="s">
        <v>563</v>
      </c>
      <c r="AC83" s="649">
        <v>26859</v>
      </c>
      <c r="AD83" s="650">
        <f t="shared" si="56"/>
        <v>14</v>
      </c>
      <c r="AE83" s="650">
        <f t="shared" si="57"/>
        <v>7</v>
      </c>
      <c r="AF83" s="650">
        <f t="shared" si="58"/>
        <v>1973</v>
      </c>
      <c r="AG83" s="651">
        <f t="shared" si="59"/>
        <v>48774</v>
      </c>
      <c r="AH83" s="650">
        <f t="shared" ca="1" si="60"/>
        <v>7</v>
      </c>
      <c r="AI83" s="650">
        <f t="shared" ca="1" si="61"/>
        <v>7</v>
      </c>
      <c r="AJ83" s="650">
        <f t="shared" ca="1" si="62"/>
        <v>3</v>
      </c>
      <c r="AK83" s="650" t="str">
        <f t="shared" ca="1" si="63"/>
        <v>7year/7months/3Days</v>
      </c>
      <c r="AL83" s="671"/>
      <c r="AM83" s="671" t="s">
        <v>1664</v>
      </c>
      <c r="AN83" s="687">
        <v>2306</v>
      </c>
      <c r="AO83" s="671"/>
      <c r="AP83" s="671"/>
      <c r="AQ83" s="671"/>
      <c r="AR83" s="671"/>
      <c r="AS83" s="671"/>
      <c r="AT83" s="671"/>
      <c r="AU83" s="671"/>
      <c r="AV83" s="671"/>
      <c r="AW83" s="671"/>
      <c r="AX83" s="671"/>
      <c r="AY83" s="671">
        <v>2025</v>
      </c>
      <c r="AZ83" s="686">
        <v>1</v>
      </c>
      <c r="BA83" s="671">
        <v>252</v>
      </c>
      <c r="BB83" s="671">
        <v>144</v>
      </c>
      <c r="BC83" s="671" t="s">
        <v>498</v>
      </c>
      <c r="BD83" s="671">
        <v>1</v>
      </c>
      <c r="BE83" s="671">
        <v>107</v>
      </c>
      <c r="BF83" s="653">
        <f t="shared" si="64"/>
        <v>42.460317460317462</v>
      </c>
      <c r="BG83" s="652" t="s">
        <v>498</v>
      </c>
      <c r="BH83" s="652" t="s">
        <v>498</v>
      </c>
      <c r="BI83" s="671">
        <v>252</v>
      </c>
      <c r="BJ83" s="671" t="s">
        <v>498</v>
      </c>
      <c r="BK83" s="671" t="s">
        <v>498</v>
      </c>
      <c r="BL83" s="755">
        <v>45950</v>
      </c>
      <c r="BM83" s="756"/>
      <c r="BN83" s="756"/>
      <c r="BO83" s="756"/>
      <c r="BP83" s="756"/>
      <c r="BQ83" s="757"/>
      <c r="BR83" s="757"/>
      <c r="BS83" s="757"/>
      <c r="BT83" s="715"/>
      <c r="BU83" s="873" t="s">
        <v>2860</v>
      </c>
      <c r="BV83" s="874"/>
      <c r="BW83" s="874"/>
      <c r="BX83" s="875"/>
      <c r="BY83" s="900" t="s">
        <v>2865</v>
      </c>
      <c r="BZ83" s="903"/>
      <c r="CA83" s="903"/>
      <c r="CB83" s="904"/>
      <c r="CC83" s="655"/>
    </row>
    <row r="84" spans="1:81" s="8" customFormat="1" ht="40.35" customHeight="1" x14ac:dyDescent="0.25">
      <c r="A84" s="58">
        <v>103</v>
      </c>
      <c r="B84" s="183" t="s">
        <v>1408</v>
      </c>
      <c r="C84" s="11" t="s">
        <v>233</v>
      </c>
      <c r="D84" s="7" t="s">
        <v>1258</v>
      </c>
      <c r="E84" s="3" t="s">
        <v>12</v>
      </c>
      <c r="F84" s="3">
        <v>77</v>
      </c>
      <c r="G84" s="198" t="s">
        <v>69</v>
      </c>
      <c r="H84" s="9" t="s">
        <v>96</v>
      </c>
      <c r="I84" s="9" t="s">
        <v>99</v>
      </c>
      <c r="J84" s="9" t="s">
        <v>29</v>
      </c>
      <c r="K84" s="9" t="s">
        <v>98</v>
      </c>
      <c r="L84" s="215" t="s">
        <v>99</v>
      </c>
      <c r="M84" s="3" t="s">
        <v>2718</v>
      </c>
      <c r="N84" s="1"/>
      <c r="O84" s="1"/>
      <c r="P84" s="1"/>
      <c r="Q84" s="50" t="s">
        <v>499</v>
      </c>
      <c r="R84" s="1"/>
      <c r="S84" s="50" t="s">
        <v>500</v>
      </c>
      <c r="T84" s="50" t="s">
        <v>524</v>
      </c>
      <c r="U84" s="1"/>
      <c r="V84" s="50" t="s">
        <v>503</v>
      </c>
      <c r="W84" s="3" t="s">
        <v>504</v>
      </c>
      <c r="X84" s="1" t="s">
        <v>2719</v>
      </c>
      <c r="Y84" s="3" t="s">
        <v>2720</v>
      </c>
      <c r="Z84" s="1"/>
      <c r="AA84" s="1"/>
      <c r="AB84" s="50" t="s">
        <v>506</v>
      </c>
      <c r="AC84" s="55">
        <v>26739</v>
      </c>
      <c r="AD84" s="48">
        <f t="shared" si="56"/>
        <v>16</v>
      </c>
      <c r="AE84" s="48">
        <f t="shared" si="57"/>
        <v>3</v>
      </c>
      <c r="AF84" s="48">
        <f t="shared" si="58"/>
        <v>1973</v>
      </c>
      <c r="AG84" s="49">
        <f t="shared" si="59"/>
        <v>48654</v>
      </c>
      <c r="AH84" s="48">
        <f t="shared" ca="1" si="60"/>
        <v>7</v>
      </c>
      <c r="AI84" s="48">
        <f t="shared" ca="1" si="61"/>
        <v>3</v>
      </c>
      <c r="AJ84" s="48">
        <f t="shared" ca="1" si="62"/>
        <v>5</v>
      </c>
      <c r="AK84" s="48" t="str">
        <f t="shared" ca="1" si="63"/>
        <v>7year/3months/5Days</v>
      </c>
      <c r="AL84" s="1"/>
      <c r="AM84" s="3" t="s">
        <v>1665</v>
      </c>
      <c r="AN84" s="3">
        <v>2255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344"/>
      <c r="BA84" s="1"/>
      <c r="BB84" s="1"/>
      <c r="BC84" s="1"/>
      <c r="BD84" s="1"/>
      <c r="BE84" s="1"/>
      <c r="BF84" s="74" t="e">
        <f t="shared" si="64"/>
        <v>#DIV/0!</v>
      </c>
      <c r="BG84" s="78" t="s">
        <v>498</v>
      </c>
      <c r="BH84" s="78" t="s">
        <v>498</v>
      </c>
      <c r="BI84" s="1"/>
      <c r="BJ84" s="1"/>
      <c r="BK84" s="1"/>
      <c r="BL84" s="352"/>
      <c r="BM84" s="306"/>
      <c r="BN84" s="306"/>
      <c r="BO84" s="306"/>
      <c r="BP84" s="306"/>
      <c r="BQ84" s="306"/>
      <c r="BR84" s="306"/>
      <c r="BS84" s="306"/>
      <c r="BT84" s="306"/>
      <c r="BU84" s="879" t="s">
        <v>2632</v>
      </c>
      <c r="BV84" s="880"/>
      <c r="BW84" s="880"/>
      <c r="BX84" s="881"/>
      <c r="BY84" s="306"/>
      <c r="BZ84" s="306"/>
      <c r="CA84" s="306"/>
      <c r="CB84" s="306"/>
      <c r="CC84" s="27"/>
    </row>
    <row r="85" spans="1:81" s="656" customFormat="1" ht="40.35" customHeight="1" x14ac:dyDescent="0.3">
      <c r="A85" s="679" t="s">
        <v>1081</v>
      </c>
      <c r="B85" s="657" t="s">
        <v>2780</v>
      </c>
      <c r="C85" s="658" t="s">
        <v>2845</v>
      </c>
      <c r="D85" s="451" t="s">
        <v>1073</v>
      </c>
      <c r="E85" s="451" t="s">
        <v>12</v>
      </c>
      <c r="F85" s="444">
        <v>78</v>
      </c>
      <c r="G85" s="640" t="s">
        <v>69</v>
      </c>
      <c r="H85" s="636" t="s">
        <v>80</v>
      </c>
      <c r="I85" s="636" t="s">
        <v>133</v>
      </c>
      <c r="J85" s="636" t="s">
        <v>29</v>
      </c>
      <c r="K85" s="636" t="s">
        <v>30</v>
      </c>
      <c r="L85" s="641" t="s">
        <v>30</v>
      </c>
      <c r="M85" s="642" t="s">
        <v>1071</v>
      </c>
      <c r="N85" s="642" t="s">
        <v>498</v>
      </c>
      <c r="O85" s="672" t="s">
        <v>1072</v>
      </c>
      <c r="P85" s="644" t="s">
        <v>2781</v>
      </c>
      <c r="Q85" s="642" t="s">
        <v>499</v>
      </c>
      <c r="R85" s="642">
        <v>2</v>
      </c>
      <c r="S85" s="642" t="s">
        <v>500</v>
      </c>
      <c r="T85" s="642" t="s">
        <v>524</v>
      </c>
      <c r="U85" s="661" t="s">
        <v>502</v>
      </c>
      <c r="V85" s="642" t="s">
        <v>503</v>
      </c>
      <c r="W85" s="642" t="s">
        <v>504</v>
      </c>
      <c r="X85" s="646" t="s">
        <v>2884</v>
      </c>
      <c r="Y85" s="642" t="s">
        <v>2883</v>
      </c>
      <c r="Z85" s="648" t="s">
        <v>2885</v>
      </c>
      <c r="AA85" s="642" t="s">
        <v>538</v>
      </c>
      <c r="AB85" s="642" t="s">
        <v>563</v>
      </c>
      <c r="AC85" s="758">
        <v>28249</v>
      </c>
      <c r="AD85" s="650">
        <f t="shared" ref="AD85" si="83">DAY(AC85)</f>
        <v>4</v>
      </c>
      <c r="AE85" s="650">
        <f t="shared" ref="AE85" si="84">MONTH(AC85)</f>
        <v>5</v>
      </c>
      <c r="AF85" s="650">
        <f t="shared" ref="AF85" si="85">YEAR(AC85)</f>
        <v>1977</v>
      </c>
      <c r="AG85" s="651">
        <f t="shared" si="59"/>
        <v>50164</v>
      </c>
      <c r="AH85" s="650">
        <f t="shared" ref="AH85" ca="1" si="86">DATEDIF($A$4,AG85, "Y" )</f>
        <v>11</v>
      </c>
      <c r="AI85" s="650">
        <f t="shared" ref="AI85" ca="1" si="87">DATEDIF($A$4,AG85, "YM" )</f>
        <v>4</v>
      </c>
      <c r="AJ85" s="650">
        <f t="shared" ref="AJ85" ca="1" si="88">DATEDIF($A$4,AG85, "MD" )</f>
        <v>23</v>
      </c>
      <c r="AK85" s="650" t="str">
        <f t="shared" ref="AK85" ca="1" si="89">CONCATENATE(AH85,"year","/",AI85,"months","/",AJ85,"Days")</f>
        <v>11year/4months/23Days</v>
      </c>
      <c r="AL85" s="759"/>
      <c r="AM85" s="648" t="s">
        <v>1666</v>
      </c>
      <c r="AN85" s="639" t="s">
        <v>1667</v>
      </c>
      <c r="AO85" s="759"/>
      <c r="AP85" s="759"/>
      <c r="AQ85" s="759"/>
      <c r="AR85" s="759"/>
      <c r="AS85" s="759"/>
      <c r="AT85" s="759"/>
      <c r="AU85" s="759"/>
      <c r="AV85" s="759"/>
      <c r="AW85" s="759"/>
      <c r="AX85" s="759"/>
      <c r="AY85" s="705">
        <v>2024</v>
      </c>
      <c r="AZ85" s="667">
        <v>1</v>
      </c>
      <c r="BA85" s="652">
        <v>117</v>
      </c>
      <c r="BB85" s="652">
        <v>6</v>
      </c>
      <c r="BC85" s="652" t="s">
        <v>498</v>
      </c>
      <c r="BD85" s="652" t="s">
        <v>498</v>
      </c>
      <c r="BE85" s="652">
        <v>109</v>
      </c>
      <c r="BF85" s="653">
        <f t="shared" si="64"/>
        <v>93.162393162393158</v>
      </c>
      <c r="BG85" s="652" t="s">
        <v>498</v>
      </c>
      <c r="BH85" s="652" t="s">
        <v>498</v>
      </c>
      <c r="BI85" s="652">
        <v>109</v>
      </c>
      <c r="BJ85" s="652" t="s">
        <v>498</v>
      </c>
      <c r="BK85" s="652" t="s">
        <v>498</v>
      </c>
      <c r="BL85" s="654">
        <v>45602</v>
      </c>
      <c r="BM85" s="669"/>
      <c r="BN85" s="669"/>
      <c r="BO85" s="669"/>
      <c r="BP85" s="669"/>
      <c r="BQ85" s="666"/>
      <c r="BR85" s="666"/>
      <c r="BS85" s="666"/>
      <c r="BT85" s="666"/>
      <c r="BU85" s="873" t="s">
        <v>2600</v>
      </c>
      <c r="BV85" s="874"/>
      <c r="BW85" s="874"/>
      <c r="BX85" s="875"/>
      <c r="BY85" s="873" t="s">
        <v>2609</v>
      </c>
      <c r="BZ85" s="874"/>
      <c r="CA85" s="874"/>
      <c r="CB85" s="875"/>
      <c r="CC85" s="655"/>
    </row>
    <row r="86" spans="1:81" s="8" customFormat="1" ht="40.35" customHeight="1" x14ac:dyDescent="0.25">
      <c r="A86" s="558">
        <v>106</v>
      </c>
      <c r="B86" s="183" t="s">
        <v>1088</v>
      </c>
      <c r="C86" s="11" t="s">
        <v>236</v>
      </c>
      <c r="D86" s="7" t="s">
        <v>2765</v>
      </c>
      <c r="E86" s="3" t="s">
        <v>12</v>
      </c>
      <c r="F86" s="3">
        <v>79</v>
      </c>
      <c r="G86" s="198" t="s">
        <v>69</v>
      </c>
      <c r="H86" s="9" t="s">
        <v>125</v>
      </c>
      <c r="I86" s="9" t="s">
        <v>237</v>
      </c>
      <c r="J86" s="9" t="s">
        <v>29</v>
      </c>
      <c r="K86" s="9" t="s">
        <v>98</v>
      </c>
      <c r="L86" s="215" t="s">
        <v>125</v>
      </c>
      <c r="M86" s="376" t="s">
        <v>1083</v>
      </c>
      <c r="N86" s="376" t="s">
        <v>498</v>
      </c>
      <c r="O86" s="143" t="s">
        <v>1084</v>
      </c>
      <c r="P86" s="254" t="s">
        <v>1085</v>
      </c>
      <c r="Q86" s="50" t="s">
        <v>499</v>
      </c>
      <c r="R86" s="376">
        <v>3</v>
      </c>
      <c r="S86" s="50" t="s">
        <v>500</v>
      </c>
      <c r="T86" s="50" t="s">
        <v>524</v>
      </c>
      <c r="U86" s="144" t="s">
        <v>535</v>
      </c>
      <c r="V86" s="50" t="s">
        <v>503</v>
      </c>
      <c r="W86" s="366" t="s">
        <v>542</v>
      </c>
      <c r="X86" s="145" t="s">
        <v>1086</v>
      </c>
      <c r="Y86" s="376" t="s">
        <v>1087</v>
      </c>
      <c r="Z86" s="160" t="s">
        <v>2766</v>
      </c>
      <c r="AA86" s="50" t="s">
        <v>562</v>
      </c>
      <c r="AB86" s="50" t="s">
        <v>506</v>
      </c>
      <c r="AC86" s="55">
        <v>26907</v>
      </c>
      <c r="AD86" s="48">
        <f t="shared" si="56"/>
        <v>31</v>
      </c>
      <c r="AE86" s="48">
        <f t="shared" si="57"/>
        <v>8</v>
      </c>
      <c r="AF86" s="48">
        <f t="shared" si="58"/>
        <v>1973</v>
      </c>
      <c r="AG86" s="49">
        <f t="shared" si="59"/>
        <v>48822</v>
      </c>
      <c r="AH86" s="48">
        <f t="shared" ca="1" si="60"/>
        <v>7</v>
      </c>
      <c r="AI86" s="48">
        <f t="shared" ca="1" si="61"/>
        <v>8</v>
      </c>
      <c r="AJ86" s="48">
        <f t="shared" ca="1" si="62"/>
        <v>20</v>
      </c>
      <c r="AK86" s="48" t="str">
        <f t="shared" ca="1" si="63"/>
        <v>7year/8months/20Days</v>
      </c>
      <c r="AL86" s="126"/>
      <c r="AM86" s="126" t="s">
        <v>1668</v>
      </c>
      <c r="AN86" s="269">
        <v>1008</v>
      </c>
      <c r="AO86" s="126"/>
      <c r="AP86" s="126"/>
      <c r="AQ86" s="126"/>
      <c r="AR86" s="126"/>
      <c r="AS86" s="126"/>
      <c r="AT86" s="126"/>
      <c r="AU86" s="126"/>
      <c r="AV86" s="126"/>
      <c r="AW86" s="126"/>
      <c r="AX86" s="126"/>
      <c r="AY86" s="137">
        <v>2024</v>
      </c>
      <c r="AZ86" s="150">
        <v>1</v>
      </c>
      <c r="BA86" s="137">
        <v>88</v>
      </c>
      <c r="BB86" s="137">
        <v>17</v>
      </c>
      <c r="BC86" s="137">
        <v>17</v>
      </c>
      <c r="BD86" s="137">
        <v>1</v>
      </c>
      <c r="BE86" s="137">
        <v>34</v>
      </c>
      <c r="BF86" s="74">
        <f t="shared" si="64"/>
        <v>38.636363636363633</v>
      </c>
      <c r="BG86" s="78">
        <v>20</v>
      </c>
      <c r="BH86" s="78" t="s">
        <v>498</v>
      </c>
      <c r="BI86" s="137">
        <v>88</v>
      </c>
      <c r="BJ86" s="583" t="s">
        <v>498</v>
      </c>
      <c r="BK86" s="583" t="s">
        <v>498</v>
      </c>
      <c r="BL86" s="76">
        <v>45601</v>
      </c>
      <c r="BM86" s="379"/>
      <c r="BN86" s="379"/>
      <c r="BO86" s="379"/>
      <c r="BP86" s="379"/>
      <c r="BQ86" s="318"/>
      <c r="BR86" s="318"/>
      <c r="BS86" s="318"/>
      <c r="BT86" s="318"/>
      <c r="BU86" s="867" t="s">
        <v>2600</v>
      </c>
      <c r="BV86" s="868"/>
      <c r="BW86" s="868"/>
      <c r="BX86" s="869"/>
      <c r="BY86" s="867" t="s">
        <v>2767</v>
      </c>
      <c r="BZ86" s="868"/>
      <c r="CA86" s="868"/>
      <c r="CB86" s="869"/>
      <c r="CC86" s="27"/>
    </row>
    <row r="87" spans="1:81" s="8" customFormat="1" ht="40.35" customHeight="1" x14ac:dyDescent="0.25">
      <c r="A87" s="58" t="s">
        <v>1082</v>
      </c>
      <c r="B87" s="118" t="s">
        <v>1095</v>
      </c>
      <c r="C87" s="13" t="s">
        <v>238</v>
      </c>
      <c r="D87" s="3" t="s">
        <v>1096</v>
      </c>
      <c r="E87" s="3" t="s">
        <v>12</v>
      </c>
      <c r="F87" s="381">
        <v>80</v>
      </c>
      <c r="G87" s="198" t="s">
        <v>26</v>
      </c>
      <c r="H87" s="9" t="s">
        <v>31</v>
      </c>
      <c r="I87" s="9" t="s">
        <v>34</v>
      </c>
      <c r="J87" s="9" t="s">
        <v>29</v>
      </c>
      <c r="K87" s="9" t="s">
        <v>30</v>
      </c>
      <c r="L87" s="215" t="s">
        <v>31</v>
      </c>
      <c r="M87" s="50" t="s">
        <v>1089</v>
      </c>
      <c r="N87" s="50" t="s">
        <v>498</v>
      </c>
      <c r="O87" s="51" t="s">
        <v>1090</v>
      </c>
      <c r="P87" s="243" t="s">
        <v>1091</v>
      </c>
      <c r="Q87" s="50" t="s">
        <v>499</v>
      </c>
      <c r="R87" s="50">
        <v>3</v>
      </c>
      <c r="S87" s="50" t="s">
        <v>500</v>
      </c>
      <c r="T87" s="50" t="s">
        <v>524</v>
      </c>
      <c r="U87" s="97" t="s">
        <v>535</v>
      </c>
      <c r="V87" s="50" t="s">
        <v>503</v>
      </c>
      <c r="W87" s="99" t="s">
        <v>527</v>
      </c>
      <c r="X87" s="114" t="s">
        <v>1092</v>
      </c>
      <c r="Y87" s="50" t="s">
        <v>1093</v>
      </c>
      <c r="Z87" s="99" t="s">
        <v>1094</v>
      </c>
      <c r="AA87" s="99" t="s">
        <v>709</v>
      </c>
      <c r="AB87" s="50" t="s">
        <v>506</v>
      </c>
      <c r="AC87" s="55">
        <v>26742</v>
      </c>
      <c r="AD87" s="48">
        <f t="shared" si="56"/>
        <v>19</v>
      </c>
      <c r="AE87" s="48">
        <f t="shared" si="57"/>
        <v>3</v>
      </c>
      <c r="AF87" s="48">
        <f t="shared" si="58"/>
        <v>1973</v>
      </c>
      <c r="AG87" s="49">
        <f t="shared" si="59"/>
        <v>48657</v>
      </c>
      <c r="AH87" s="48">
        <f t="shared" ca="1" si="60"/>
        <v>7</v>
      </c>
      <c r="AI87" s="48">
        <f t="shared" ca="1" si="61"/>
        <v>3</v>
      </c>
      <c r="AJ87" s="48">
        <f t="shared" ca="1" si="62"/>
        <v>8</v>
      </c>
      <c r="AK87" s="48" t="str">
        <f t="shared" ca="1" si="63"/>
        <v>7year/3months/8Days</v>
      </c>
      <c r="AL87" s="99"/>
      <c r="AM87" s="165" t="s">
        <v>1669</v>
      </c>
      <c r="AN87" s="277" t="s">
        <v>1670</v>
      </c>
      <c r="AO87" s="99"/>
      <c r="AP87" s="99"/>
      <c r="AQ87" s="99"/>
      <c r="AR87" s="99"/>
      <c r="AS87" s="99"/>
      <c r="AT87" s="99"/>
      <c r="AU87" s="99"/>
      <c r="AV87" s="99"/>
      <c r="AW87" s="99"/>
      <c r="AX87" s="99"/>
      <c r="AY87" s="99">
        <v>2022</v>
      </c>
      <c r="AZ87" s="345">
        <v>2</v>
      </c>
      <c r="BA87" s="99">
        <v>357</v>
      </c>
      <c r="BB87" s="99">
        <v>180</v>
      </c>
      <c r="BC87" s="99" t="s">
        <v>498</v>
      </c>
      <c r="BD87" s="99" t="s">
        <v>498</v>
      </c>
      <c r="BE87" s="99">
        <v>177</v>
      </c>
      <c r="BF87" s="74">
        <f t="shared" si="64"/>
        <v>49.579831932773111</v>
      </c>
      <c r="BG87" s="78" t="s">
        <v>498</v>
      </c>
      <c r="BH87" s="78" t="s">
        <v>498</v>
      </c>
      <c r="BI87" s="99">
        <v>357</v>
      </c>
      <c r="BJ87" s="99"/>
      <c r="BK87" s="50"/>
      <c r="BL87" s="76">
        <v>44825</v>
      </c>
      <c r="BM87" s="379"/>
      <c r="BN87" s="379"/>
      <c r="BO87" s="379"/>
      <c r="BP87" s="379"/>
      <c r="BQ87" s="318"/>
      <c r="BR87" s="318"/>
      <c r="BS87" s="318"/>
      <c r="BT87" s="318"/>
      <c r="BU87" s="867" t="s">
        <v>2596</v>
      </c>
      <c r="BV87" s="868"/>
      <c r="BW87" s="868"/>
      <c r="BX87" s="869"/>
      <c r="BY87" s="318"/>
      <c r="BZ87" s="318"/>
      <c r="CA87" s="318"/>
      <c r="CB87" s="318"/>
      <c r="CC87" s="27"/>
    </row>
    <row r="88" spans="1:81" s="656" customFormat="1" ht="40.35" customHeight="1" x14ac:dyDescent="0.3">
      <c r="A88" s="636">
        <v>109</v>
      </c>
      <c r="B88" s="657" t="s">
        <v>2847</v>
      </c>
      <c r="C88" s="658" t="s">
        <v>2846</v>
      </c>
      <c r="D88" s="659" t="s">
        <v>1100</v>
      </c>
      <c r="E88" s="451" t="s">
        <v>12</v>
      </c>
      <c r="F88" s="451">
        <v>81</v>
      </c>
      <c r="G88" s="640" t="s">
        <v>69</v>
      </c>
      <c r="H88" s="636" t="s">
        <v>96</v>
      </c>
      <c r="I88" s="636" t="s">
        <v>240</v>
      </c>
      <c r="J88" s="636" t="s">
        <v>29</v>
      </c>
      <c r="K88" s="636" t="s">
        <v>98</v>
      </c>
      <c r="L88" s="641" t="s">
        <v>143</v>
      </c>
      <c r="M88" s="642" t="s">
        <v>1097</v>
      </c>
      <c r="N88" s="642"/>
      <c r="O88" s="642"/>
      <c r="P88" s="660"/>
      <c r="Q88" s="642" t="s">
        <v>499</v>
      </c>
      <c r="R88" s="642" t="s">
        <v>560</v>
      </c>
      <c r="S88" s="642" t="s">
        <v>500</v>
      </c>
      <c r="T88" s="642" t="s">
        <v>524</v>
      </c>
      <c r="U88" s="645" t="s">
        <v>561</v>
      </c>
      <c r="V88" s="642" t="s">
        <v>503</v>
      </c>
      <c r="W88" s="671" t="s">
        <v>654</v>
      </c>
      <c r="X88" s="647" t="s">
        <v>1098</v>
      </c>
      <c r="Y88" s="642" t="s">
        <v>2084</v>
      </c>
      <c r="Z88" s="648" t="s">
        <v>1099</v>
      </c>
      <c r="AA88" s="642" t="s">
        <v>538</v>
      </c>
      <c r="AB88" s="642" t="s">
        <v>668</v>
      </c>
      <c r="AC88" s="649">
        <v>28389</v>
      </c>
      <c r="AD88" s="650">
        <f t="shared" ref="AD88" si="90">DAY(AC88)</f>
        <v>21</v>
      </c>
      <c r="AE88" s="650">
        <f t="shared" ref="AE88" si="91">MONTH(AC88)</f>
        <v>9</v>
      </c>
      <c r="AF88" s="650">
        <f t="shared" ref="AF88" si="92">YEAR(AC88)</f>
        <v>1977</v>
      </c>
      <c r="AG88" s="651">
        <f t="shared" si="59"/>
        <v>50304</v>
      </c>
      <c r="AH88" s="650">
        <f t="shared" ref="AH88" ca="1" si="93">DATEDIF($A$4,AG88, "Y" )</f>
        <v>11</v>
      </c>
      <c r="AI88" s="650">
        <f t="shared" ref="AI88" ca="1" si="94">DATEDIF($A$4,AG88, "YM" )</f>
        <v>9</v>
      </c>
      <c r="AJ88" s="650">
        <f t="shared" ref="AJ88" ca="1" si="95">DATEDIF($A$4,AG88, "MD" )</f>
        <v>10</v>
      </c>
      <c r="AK88" s="650" t="str">
        <f t="shared" ca="1" si="63"/>
        <v>11year/9months/10Days</v>
      </c>
      <c r="AL88" s="702"/>
      <c r="AM88" s="702" t="s">
        <v>1671</v>
      </c>
      <c r="AN88" s="703">
        <v>2175</v>
      </c>
      <c r="AO88" s="702"/>
      <c r="AP88" s="702"/>
      <c r="AQ88" s="702"/>
      <c r="AR88" s="702"/>
      <c r="AS88" s="702"/>
      <c r="AT88" s="702"/>
      <c r="AU88" s="702"/>
      <c r="AV88" s="702"/>
      <c r="AW88" s="702"/>
      <c r="AX88" s="702"/>
      <c r="AY88" s="642"/>
      <c r="AZ88" s="760"/>
      <c r="BA88" s="761"/>
      <c r="BB88" s="761"/>
      <c r="BC88" s="761"/>
      <c r="BD88" s="761"/>
      <c r="BE88" s="761"/>
      <c r="BF88" s="653"/>
      <c r="BG88" s="652" t="s">
        <v>498</v>
      </c>
      <c r="BH88" s="652" t="s">
        <v>498</v>
      </c>
      <c r="BI88" s="761"/>
      <c r="BJ88" s="761"/>
      <c r="BK88" s="761"/>
      <c r="BL88" s="654">
        <v>44636</v>
      </c>
      <c r="BM88" s="873" t="s">
        <v>1799</v>
      </c>
      <c r="BN88" s="874"/>
      <c r="BO88" s="874"/>
      <c r="BP88" s="875"/>
      <c r="BQ88" s="666"/>
      <c r="BR88" s="666"/>
      <c r="BS88" s="666"/>
      <c r="BT88" s="666"/>
      <c r="BU88" s="873" t="s">
        <v>2632</v>
      </c>
      <c r="BV88" s="874"/>
      <c r="BW88" s="874"/>
      <c r="BX88" s="875"/>
      <c r="BY88" s="666"/>
      <c r="BZ88" s="666"/>
      <c r="CA88" s="666"/>
      <c r="CB88" s="666"/>
      <c r="CC88" s="655"/>
    </row>
    <row r="89" spans="1:81" s="8" customFormat="1" ht="40.35" customHeight="1" x14ac:dyDescent="0.3">
      <c r="A89" s="9">
        <v>110</v>
      </c>
      <c r="B89" s="11" t="s">
        <v>1410</v>
      </c>
      <c r="C89" s="11"/>
      <c r="D89" s="7" t="s">
        <v>1100</v>
      </c>
      <c r="E89" s="3" t="s">
        <v>12</v>
      </c>
      <c r="F89" s="381">
        <v>82</v>
      </c>
      <c r="G89" s="198" t="s">
        <v>69</v>
      </c>
      <c r="H89" s="9" t="s">
        <v>96</v>
      </c>
      <c r="I89" s="9" t="s">
        <v>240</v>
      </c>
      <c r="J89" s="9" t="s">
        <v>29</v>
      </c>
      <c r="K89" s="9" t="s">
        <v>98</v>
      </c>
      <c r="L89" s="215" t="s">
        <v>143</v>
      </c>
      <c r="M89" s="50" t="s">
        <v>1411</v>
      </c>
      <c r="N89" s="50"/>
      <c r="O89" s="51" t="s">
        <v>1412</v>
      </c>
      <c r="P89" s="244"/>
      <c r="Q89" s="50" t="s">
        <v>499</v>
      </c>
      <c r="R89" s="50">
        <v>2</v>
      </c>
      <c r="S89" s="50" t="s">
        <v>500</v>
      </c>
      <c r="T89" s="50" t="s">
        <v>524</v>
      </c>
      <c r="U89" s="97" t="s">
        <v>502</v>
      </c>
      <c r="V89" s="50" t="s">
        <v>503</v>
      </c>
      <c r="W89" s="50" t="s">
        <v>527</v>
      </c>
      <c r="X89" s="70" t="s">
        <v>1833</v>
      </c>
      <c r="Y89" s="50" t="s">
        <v>1413</v>
      </c>
      <c r="Z89" s="50" t="s">
        <v>1834</v>
      </c>
      <c r="AA89" s="50" t="s">
        <v>562</v>
      </c>
      <c r="AB89" s="50" t="s">
        <v>506</v>
      </c>
      <c r="AC89" s="55">
        <v>26744</v>
      </c>
      <c r="AD89" s="48">
        <f t="shared" si="56"/>
        <v>21</v>
      </c>
      <c r="AE89" s="48">
        <f t="shared" si="57"/>
        <v>3</v>
      </c>
      <c r="AF89" s="48">
        <f t="shared" si="58"/>
        <v>1973</v>
      </c>
      <c r="AG89" s="49">
        <f t="shared" si="59"/>
        <v>48659</v>
      </c>
      <c r="AH89" s="48">
        <f t="shared" ca="1" si="60"/>
        <v>7</v>
      </c>
      <c r="AI89" s="48">
        <f t="shared" ca="1" si="61"/>
        <v>3</v>
      </c>
      <c r="AJ89" s="48">
        <f t="shared" ca="1" si="62"/>
        <v>10</v>
      </c>
      <c r="AK89" s="48" t="str">
        <f t="shared" ca="1" si="63"/>
        <v>7year/3months/10Days</v>
      </c>
      <c r="AL89" s="50"/>
      <c r="AM89" s="50" t="s">
        <v>1672</v>
      </c>
      <c r="AN89" s="229">
        <v>1557</v>
      </c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>
        <v>2020</v>
      </c>
      <c r="AZ89" s="52">
        <v>1</v>
      </c>
      <c r="BA89" s="50">
        <v>110</v>
      </c>
      <c r="BB89" s="365">
        <v>63</v>
      </c>
      <c r="BC89" s="365" t="s">
        <v>498</v>
      </c>
      <c r="BD89" s="365" t="s">
        <v>498</v>
      </c>
      <c r="BE89" s="365">
        <v>47</v>
      </c>
      <c r="BF89" s="74">
        <f t="shared" si="64"/>
        <v>42.727272727272727</v>
      </c>
      <c r="BG89" s="103" t="s">
        <v>498</v>
      </c>
      <c r="BH89" s="103" t="s">
        <v>498</v>
      </c>
      <c r="BI89" s="365">
        <v>110</v>
      </c>
      <c r="BJ89" s="180"/>
      <c r="BK89" s="180"/>
      <c r="BL89" s="353">
        <v>44270</v>
      </c>
      <c r="BM89" s="934" t="s">
        <v>1841</v>
      </c>
      <c r="BN89" s="934"/>
      <c r="BO89" s="934"/>
      <c r="BP89" s="934"/>
      <c r="BQ89" s="307"/>
      <c r="BR89" s="307"/>
      <c r="BS89" s="307"/>
      <c r="BT89" s="305"/>
      <c r="BU89" s="867" t="s">
        <v>2610</v>
      </c>
      <c r="BV89" s="868"/>
      <c r="BW89" s="868"/>
      <c r="BX89" s="869"/>
      <c r="BY89" s="305"/>
      <c r="BZ89" s="305"/>
      <c r="CA89" s="305"/>
      <c r="CB89" s="305"/>
      <c r="CC89" s="27"/>
    </row>
    <row r="90" spans="1:81" s="656" customFormat="1" ht="37.5" customHeight="1" x14ac:dyDescent="0.3">
      <c r="A90" s="636">
        <v>111</v>
      </c>
      <c r="B90" s="658" t="s">
        <v>2520</v>
      </c>
      <c r="C90" s="658" t="s">
        <v>2523</v>
      </c>
      <c r="D90" s="659" t="s">
        <v>1104</v>
      </c>
      <c r="E90" s="451" t="s">
        <v>12</v>
      </c>
      <c r="F90" s="451">
        <v>84</v>
      </c>
      <c r="G90" s="640" t="s">
        <v>26</v>
      </c>
      <c r="H90" s="636" t="s">
        <v>26</v>
      </c>
      <c r="I90" s="636" t="s">
        <v>244</v>
      </c>
      <c r="J90" s="636" t="s">
        <v>29</v>
      </c>
      <c r="K90" s="636" t="s">
        <v>30</v>
      </c>
      <c r="L90" s="641" t="s">
        <v>30</v>
      </c>
      <c r="M90" s="701" t="s">
        <v>1101</v>
      </c>
      <c r="N90" s="701" t="s">
        <v>1101</v>
      </c>
      <c r="O90" s="709" t="s">
        <v>1102</v>
      </c>
      <c r="P90" s="710" t="s">
        <v>1103</v>
      </c>
      <c r="Q90" s="642" t="s">
        <v>499</v>
      </c>
      <c r="R90" s="701" t="s">
        <v>557</v>
      </c>
      <c r="S90" s="642" t="s">
        <v>500</v>
      </c>
      <c r="T90" s="642" t="s">
        <v>524</v>
      </c>
      <c r="U90" s="762" t="s">
        <v>583</v>
      </c>
      <c r="V90" s="642" t="s">
        <v>503</v>
      </c>
      <c r="W90" s="642" t="s">
        <v>527</v>
      </c>
      <c r="X90" s="763" t="s">
        <v>2590</v>
      </c>
      <c r="Y90" s="652" t="s">
        <v>2591</v>
      </c>
      <c r="Z90" s="705" t="s">
        <v>2592</v>
      </c>
      <c r="AA90" s="746" t="s">
        <v>562</v>
      </c>
      <c r="AB90" s="652" t="s">
        <v>710</v>
      </c>
      <c r="AC90" s="758">
        <v>25224</v>
      </c>
      <c r="AD90" s="650">
        <f t="shared" si="56"/>
        <v>21</v>
      </c>
      <c r="AE90" s="650">
        <f t="shared" si="57"/>
        <v>1</v>
      </c>
      <c r="AF90" s="650">
        <f t="shared" si="58"/>
        <v>1969</v>
      </c>
      <c r="AG90" s="651">
        <f t="shared" si="59"/>
        <v>47139</v>
      </c>
      <c r="AH90" s="650">
        <f t="shared" ca="1" si="60"/>
        <v>3</v>
      </c>
      <c r="AI90" s="650">
        <f t="shared" ca="1" si="61"/>
        <v>1</v>
      </c>
      <c r="AJ90" s="650">
        <f t="shared" ca="1" si="62"/>
        <v>10</v>
      </c>
      <c r="AK90" s="650" t="str">
        <f t="shared" ca="1" si="63"/>
        <v>3year/1months/10Days</v>
      </c>
      <c r="AL90" s="764"/>
      <c r="AM90" s="764" t="s">
        <v>1673</v>
      </c>
      <c r="AN90" s="765">
        <v>508</v>
      </c>
      <c r="AO90" s="764"/>
      <c r="AP90" s="764"/>
      <c r="AQ90" s="764"/>
      <c r="AR90" s="764"/>
      <c r="AS90" s="764"/>
      <c r="AT90" s="764"/>
      <c r="AU90" s="764"/>
      <c r="AV90" s="764"/>
      <c r="AW90" s="764"/>
      <c r="AX90" s="764"/>
      <c r="AY90" s="746">
        <v>2022</v>
      </c>
      <c r="AZ90" s="766" t="s">
        <v>764</v>
      </c>
      <c r="BA90" s="746">
        <v>501</v>
      </c>
      <c r="BB90" s="652">
        <v>63</v>
      </c>
      <c r="BC90" s="652">
        <v>6</v>
      </c>
      <c r="BD90" s="652">
        <v>19</v>
      </c>
      <c r="BE90" s="652">
        <v>404</v>
      </c>
      <c r="BF90" s="682">
        <f t="shared" si="64"/>
        <v>80.638722554890222</v>
      </c>
      <c r="BG90" s="652" t="s">
        <v>498</v>
      </c>
      <c r="BH90" s="652" t="s">
        <v>498</v>
      </c>
      <c r="BI90" s="652">
        <v>501</v>
      </c>
      <c r="BJ90" s="652" t="s">
        <v>498</v>
      </c>
      <c r="BK90" s="652" t="s">
        <v>498</v>
      </c>
      <c r="BL90" s="767">
        <v>44824</v>
      </c>
      <c r="BM90" s="768"/>
      <c r="BN90" s="768"/>
      <c r="BO90" s="768"/>
      <c r="BP90" s="768"/>
      <c r="BQ90" s="769"/>
      <c r="BR90" s="769"/>
      <c r="BS90" s="769"/>
      <c r="BT90" s="715"/>
      <c r="BU90" s="873" t="s">
        <v>2593</v>
      </c>
      <c r="BV90" s="874"/>
      <c r="BW90" s="874"/>
      <c r="BX90" s="875"/>
      <c r="BY90" s="715"/>
      <c r="BZ90" s="715"/>
      <c r="CA90" s="715"/>
      <c r="CB90" s="715"/>
      <c r="CC90" s="655"/>
    </row>
    <row r="91" spans="1:81" s="656" customFormat="1" ht="40.35" customHeight="1" x14ac:dyDescent="0.25">
      <c r="A91" s="636">
        <v>112</v>
      </c>
      <c r="B91" s="637" t="s">
        <v>741</v>
      </c>
      <c r="C91" s="638" t="s">
        <v>245</v>
      </c>
      <c r="D91" s="639" t="s">
        <v>1960</v>
      </c>
      <c r="E91" s="451" t="s">
        <v>12</v>
      </c>
      <c r="F91" s="444">
        <v>85</v>
      </c>
      <c r="G91" s="640" t="s">
        <v>21</v>
      </c>
      <c r="H91" s="636" t="s">
        <v>49</v>
      </c>
      <c r="I91" s="636" t="s">
        <v>246</v>
      </c>
      <c r="J91" s="636" t="s">
        <v>21</v>
      </c>
      <c r="K91" s="636" t="s">
        <v>21</v>
      </c>
      <c r="L91" s="641" t="s">
        <v>51</v>
      </c>
      <c r="M91" s="642" t="s">
        <v>737</v>
      </c>
      <c r="N91" s="642" t="s">
        <v>498</v>
      </c>
      <c r="O91" s="770" t="s">
        <v>738</v>
      </c>
      <c r="P91" s="689" t="s">
        <v>739</v>
      </c>
      <c r="Q91" s="642" t="s">
        <v>499</v>
      </c>
      <c r="R91" s="642" t="s">
        <v>560</v>
      </c>
      <c r="S91" s="642" t="s">
        <v>500</v>
      </c>
      <c r="T91" s="642" t="s">
        <v>501</v>
      </c>
      <c r="U91" s="771" t="s">
        <v>689</v>
      </c>
      <c r="V91" s="642" t="s">
        <v>503</v>
      </c>
      <c r="W91" s="671" t="s">
        <v>654</v>
      </c>
      <c r="X91" s="647" t="s">
        <v>2966</v>
      </c>
      <c r="Y91" s="648" t="s">
        <v>2965</v>
      </c>
      <c r="Z91" s="648" t="s">
        <v>2967</v>
      </c>
      <c r="AA91" s="642" t="s">
        <v>562</v>
      </c>
      <c r="AB91" s="648" t="s">
        <v>655</v>
      </c>
      <c r="AC91" s="649">
        <v>26889</v>
      </c>
      <c r="AD91" s="650">
        <f t="shared" ref="AD91" si="96">DAY(AC91)</f>
        <v>13</v>
      </c>
      <c r="AE91" s="650">
        <f t="shared" ref="AE91" si="97">MONTH(AC91)</f>
        <v>8</v>
      </c>
      <c r="AF91" s="650">
        <f t="shared" ref="AF91" si="98">YEAR(AC91)</f>
        <v>1973</v>
      </c>
      <c r="AG91" s="651">
        <f t="shared" ref="AG91" si="99">EDATE(AC91,12*60)</f>
        <v>48804</v>
      </c>
      <c r="AH91" s="650">
        <f t="shared" ca="1" si="60"/>
        <v>7</v>
      </c>
      <c r="AI91" s="650">
        <f t="shared" ca="1" si="61"/>
        <v>8</v>
      </c>
      <c r="AJ91" s="650">
        <f t="shared" ca="1" si="62"/>
        <v>2</v>
      </c>
      <c r="AK91" s="650" t="str">
        <f t="shared" ca="1" si="63"/>
        <v>7year/8months/2Days</v>
      </c>
      <c r="AL91" s="749"/>
      <c r="AM91" s="749" t="s">
        <v>1674</v>
      </c>
      <c r="AN91" s="772">
        <v>774</v>
      </c>
      <c r="AO91" s="926">
        <v>12943</v>
      </c>
      <c r="AP91" s="922" t="s">
        <v>2049</v>
      </c>
      <c r="AQ91" s="773" t="s">
        <v>2051</v>
      </c>
      <c r="AR91" s="773" t="s">
        <v>2052</v>
      </c>
      <c r="AS91" s="773" t="s">
        <v>2053</v>
      </c>
      <c r="AT91" s="773" t="s">
        <v>2054</v>
      </c>
      <c r="AU91" s="773" t="s">
        <v>2055</v>
      </c>
      <c r="AV91" s="773" t="s">
        <v>2056</v>
      </c>
      <c r="AW91" s="773" t="s">
        <v>2057</v>
      </c>
      <c r="AX91" s="773" t="s">
        <v>2058</v>
      </c>
      <c r="AY91" s="671">
        <v>2024</v>
      </c>
      <c r="AZ91" s="686">
        <v>1</v>
      </c>
      <c r="BA91" s="671">
        <v>555</v>
      </c>
      <c r="BB91" s="671">
        <v>69</v>
      </c>
      <c r="BC91" s="671">
        <v>116</v>
      </c>
      <c r="BD91" s="671">
        <v>66</v>
      </c>
      <c r="BE91" s="671">
        <v>217</v>
      </c>
      <c r="BF91" s="653">
        <f t="shared" si="64"/>
        <v>39.099099099099099</v>
      </c>
      <c r="BG91" s="652">
        <v>55</v>
      </c>
      <c r="BH91" s="652" t="s">
        <v>498</v>
      </c>
      <c r="BI91" s="671">
        <v>209</v>
      </c>
      <c r="BJ91" s="671">
        <v>314</v>
      </c>
      <c r="BK91" s="671">
        <v>32</v>
      </c>
      <c r="BL91" s="654">
        <v>45581</v>
      </c>
      <c r="BM91" s="873" t="s">
        <v>1792</v>
      </c>
      <c r="BN91" s="874"/>
      <c r="BO91" s="874"/>
      <c r="BP91" s="875"/>
      <c r="BQ91" s="873" t="s">
        <v>1962</v>
      </c>
      <c r="BR91" s="874"/>
      <c r="BS91" s="874"/>
      <c r="BT91" s="875"/>
      <c r="BU91" s="873" t="s">
        <v>2632</v>
      </c>
      <c r="BV91" s="874"/>
      <c r="BW91" s="874"/>
      <c r="BX91" s="875"/>
      <c r="BY91" s="873" t="s">
        <v>2717</v>
      </c>
      <c r="BZ91" s="874"/>
      <c r="CA91" s="874"/>
      <c r="CB91" s="875"/>
      <c r="CC91" s="655"/>
    </row>
    <row r="92" spans="1:81" s="8" customFormat="1" ht="44.25" customHeight="1" x14ac:dyDescent="0.3">
      <c r="A92" s="9">
        <v>113</v>
      </c>
      <c r="B92" s="118" t="s">
        <v>745</v>
      </c>
      <c r="C92" s="13" t="s">
        <v>248</v>
      </c>
      <c r="D92" s="7" t="s">
        <v>740</v>
      </c>
      <c r="E92" s="3" t="s">
        <v>12</v>
      </c>
      <c r="F92" s="381">
        <v>86</v>
      </c>
      <c r="G92" s="198" t="s">
        <v>21</v>
      </c>
      <c r="H92" s="9" t="s">
        <v>84</v>
      </c>
      <c r="I92" s="9" t="s">
        <v>249</v>
      </c>
      <c r="J92" s="9" t="s">
        <v>21</v>
      </c>
      <c r="K92" s="58" t="s">
        <v>250</v>
      </c>
      <c r="L92" s="215" t="s">
        <v>249</v>
      </c>
      <c r="M92" s="50" t="s">
        <v>742</v>
      </c>
      <c r="N92" s="50"/>
      <c r="O92" s="50"/>
      <c r="P92" s="243"/>
      <c r="Q92" s="50" t="s">
        <v>499</v>
      </c>
      <c r="R92" s="50">
        <v>2</v>
      </c>
      <c r="S92" s="50" t="s">
        <v>500</v>
      </c>
      <c r="T92" s="50" t="s">
        <v>524</v>
      </c>
      <c r="U92" s="52" t="s">
        <v>648</v>
      </c>
      <c r="V92" s="50" t="s">
        <v>503</v>
      </c>
      <c r="W92" s="365" t="s">
        <v>504</v>
      </c>
      <c r="X92" s="70" t="s">
        <v>743</v>
      </c>
      <c r="Y92" s="50"/>
      <c r="Z92" s="50"/>
      <c r="AA92" s="50"/>
      <c r="AB92" s="50" t="s">
        <v>506</v>
      </c>
      <c r="AC92" s="55">
        <v>26747</v>
      </c>
      <c r="AD92" s="48">
        <f t="shared" si="56"/>
        <v>24</v>
      </c>
      <c r="AE92" s="48">
        <f t="shared" si="57"/>
        <v>3</v>
      </c>
      <c r="AF92" s="48">
        <f t="shared" si="58"/>
        <v>1973</v>
      </c>
      <c r="AG92" s="49">
        <f t="shared" si="59"/>
        <v>48662</v>
      </c>
      <c r="AH92" s="48">
        <f t="shared" ca="1" si="60"/>
        <v>7</v>
      </c>
      <c r="AI92" s="48">
        <f t="shared" ca="1" si="61"/>
        <v>3</v>
      </c>
      <c r="AJ92" s="48">
        <f t="shared" ca="1" si="62"/>
        <v>13</v>
      </c>
      <c r="AK92" s="48" t="str">
        <f t="shared" ca="1" si="63"/>
        <v>7year/3months/13Days</v>
      </c>
      <c r="AL92" s="106" t="s">
        <v>744</v>
      </c>
      <c r="AM92" s="106" t="s">
        <v>1675</v>
      </c>
      <c r="AN92" s="282">
        <v>634</v>
      </c>
      <c r="AO92" s="935"/>
      <c r="AP92" s="923"/>
      <c r="AQ92" s="106"/>
      <c r="AR92" s="106"/>
      <c r="AS92" s="106"/>
      <c r="AT92" s="106"/>
      <c r="AU92" s="106"/>
      <c r="AV92" s="106"/>
      <c r="AW92" s="106"/>
      <c r="AX92" s="106"/>
      <c r="AY92" s="50">
        <v>2019</v>
      </c>
      <c r="AZ92" s="107">
        <v>1</v>
      </c>
      <c r="BA92" s="78">
        <v>351</v>
      </c>
      <c r="BB92" s="78">
        <v>128</v>
      </c>
      <c r="BC92" s="78">
        <v>30</v>
      </c>
      <c r="BD92" s="78">
        <v>138</v>
      </c>
      <c r="BE92" s="78">
        <v>55</v>
      </c>
      <c r="BF92" s="74">
        <f t="shared" si="64"/>
        <v>15.669515669515668</v>
      </c>
      <c r="BG92" s="78" t="s">
        <v>498</v>
      </c>
      <c r="BH92" s="78" t="s">
        <v>498</v>
      </c>
      <c r="BI92" s="78">
        <v>351</v>
      </c>
      <c r="BJ92" s="78"/>
      <c r="BK92" s="95"/>
      <c r="BL92" s="151"/>
      <c r="BM92" s="867" t="s">
        <v>1864</v>
      </c>
      <c r="BN92" s="868"/>
      <c r="BO92" s="868"/>
      <c r="BP92" s="869"/>
      <c r="BQ92" s="305"/>
      <c r="BR92" s="305"/>
      <c r="BS92" s="305"/>
      <c r="BT92" s="305"/>
      <c r="BU92" s="867" t="s">
        <v>2632</v>
      </c>
      <c r="BV92" s="868"/>
      <c r="BW92" s="868"/>
      <c r="BX92" s="869"/>
      <c r="BY92" s="305"/>
      <c r="BZ92" s="305"/>
      <c r="CA92" s="305"/>
      <c r="CB92" s="305"/>
      <c r="CC92" s="27"/>
    </row>
    <row r="93" spans="1:81" s="8" customFormat="1" ht="40.35" customHeight="1" x14ac:dyDescent="0.3">
      <c r="A93" s="226">
        <v>114</v>
      </c>
      <c r="B93" s="13" t="s">
        <v>2078</v>
      </c>
      <c r="C93" s="13"/>
      <c r="D93" s="7" t="s">
        <v>2079</v>
      </c>
      <c r="E93" s="3" t="s">
        <v>12</v>
      </c>
      <c r="F93" s="381"/>
      <c r="G93" s="198" t="s">
        <v>26</v>
      </c>
      <c r="H93" s="9" t="s">
        <v>31</v>
      </c>
      <c r="I93" s="9" t="s">
        <v>34</v>
      </c>
      <c r="J93" s="9" t="s">
        <v>29</v>
      </c>
      <c r="K93" s="9" t="s">
        <v>26</v>
      </c>
      <c r="L93" s="215" t="s">
        <v>31</v>
      </c>
      <c r="M93" s="50" t="s">
        <v>2080</v>
      </c>
      <c r="N93" s="50" t="s">
        <v>498</v>
      </c>
      <c r="O93" s="50"/>
      <c r="P93" s="243"/>
      <c r="Q93" s="50" t="s">
        <v>499</v>
      </c>
      <c r="R93" s="50"/>
      <c r="S93" s="50" t="s">
        <v>500</v>
      </c>
      <c r="T93" s="50"/>
      <c r="U93" s="41" t="s">
        <v>502</v>
      </c>
      <c r="V93" s="50" t="s">
        <v>503</v>
      </c>
      <c r="W93" s="365" t="s">
        <v>504</v>
      </c>
      <c r="X93" s="70" t="s">
        <v>2081</v>
      </c>
      <c r="Y93" s="50"/>
      <c r="Z93" s="50"/>
      <c r="AA93" s="365"/>
      <c r="AB93" s="50"/>
      <c r="AC93" s="55"/>
      <c r="AD93" s="48"/>
      <c r="AE93" s="48"/>
      <c r="AF93" s="48"/>
      <c r="AG93" s="49"/>
      <c r="AH93" s="48"/>
      <c r="AI93" s="48"/>
      <c r="AJ93" s="48"/>
      <c r="AK93" s="48"/>
      <c r="AL93" s="106"/>
      <c r="AM93" s="106" t="s">
        <v>1676</v>
      </c>
      <c r="AN93" s="282">
        <v>1585</v>
      </c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50">
        <v>2024</v>
      </c>
      <c r="AZ93" s="107"/>
      <c r="BA93" s="78">
        <v>195</v>
      </c>
      <c r="BB93" s="78"/>
      <c r="BC93" s="137"/>
      <c r="BD93" s="103"/>
      <c r="BE93" s="103">
        <v>70</v>
      </c>
      <c r="BF93" s="74">
        <f t="shared" si="64"/>
        <v>35.897435897435898</v>
      </c>
      <c r="BG93" s="78" t="s">
        <v>498</v>
      </c>
      <c r="BH93" s="78" t="s">
        <v>498</v>
      </c>
      <c r="BI93" s="103"/>
      <c r="BJ93" s="103"/>
      <c r="BK93" s="180"/>
      <c r="BL93" s="151"/>
      <c r="BM93" s="379"/>
      <c r="BN93" s="379"/>
      <c r="BO93" s="379"/>
      <c r="BP93" s="379"/>
      <c r="BQ93" s="305"/>
      <c r="BR93" s="305"/>
      <c r="BS93" s="305"/>
      <c r="BT93" s="305"/>
      <c r="BU93" s="867" t="s">
        <v>2632</v>
      </c>
      <c r="BV93" s="868"/>
      <c r="BW93" s="868"/>
      <c r="BX93" s="869"/>
      <c r="BY93" s="305"/>
      <c r="BZ93" s="305"/>
      <c r="CA93" s="305"/>
      <c r="CB93" s="305"/>
      <c r="CC93" s="27"/>
    </row>
    <row r="94" spans="1:81" s="656" customFormat="1" ht="40.35" customHeight="1" x14ac:dyDescent="0.25">
      <c r="A94" s="679" t="s">
        <v>1561</v>
      </c>
      <c r="B94" s="637" t="s">
        <v>747</v>
      </c>
      <c r="C94" s="638" t="s">
        <v>251</v>
      </c>
      <c r="D94" s="451" t="s">
        <v>1414</v>
      </c>
      <c r="E94" s="451" t="s">
        <v>12</v>
      </c>
      <c r="F94" s="444">
        <v>87</v>
      </c>
      <c r="G94" s="640" t="s">
        <v>26</v>
      </c>
      <c r="H94" s="636" t="s">
        <v>31</v>
      </c>
      <c r="I94" s="636" t="s">
        <v>252</v>
      </c>
      <c r="J94" s="636" t="s">
        <v>29</v>
      </c>
      <c r="K94" s="636" t="s">
        <v>38</v>
      </c>
      <c r="L94" s="641" t="s">
        <v>39</v>
      </c>
      <c r="M94" s="642" t="s">
        <v>2654</v>
      </c>
      <c r="N94" s="642" t="s">
        <v>498</v>
      </c>
      <c r="O94" s="672" t="s">
        <v>1105</v>
      </c>
      <c r="P94" s="693" t="s">
        <v>1106</v>
      </c>
      <c r="Q94" s="642" t="s">
        <v>499</v>
      </c>
      <c r="R94" s="642">
        <v>2</v>
      </c>
      <c r="S94" s="642" t="s">
        <v>500</v>
      </c>
      <c r="T94" s="642" t="s">
        <v>524</v>
      </c>
      <c r="U94" s="661" t="s">
        <v>502</v>
      </c>
      <c r="V94" s="648" t="s">
        <v>646</v>
      </c>
      <c r="W94" s="671" t="s">
        <v>504</v>
      </c>
      <c r="X94" s="646" t="s">
        <v>1107</v>
      </c>
      <c r="Y94" s="648" t="s">
        <v>1108</v>
      </c>
      <c r="Z94" s="648" t="s">
        <v>2518</v>
      </c>
      <c r="AA94" s="671" t="s">
        <v>1538</v>
      </c>
      <c r="AB94" s="642" t="s">
        <v>710</v>
      </c>
      <c r="AC94" s="649">
        <v>26076</v>
      </c>
      <c r="AD94" s="650">
        <f t="shared" si="56"/>
        <v>23</v>
      </c>
      <c r="AE94" s="650">
        <f t="shared" si="57"/>
        <v>5</v>
      </c>
      <c r="AF94" s="650">
        <f t="shared" si="58"/>
        <v>1971</v>
      </c>
      <c r="AG94" s="651">
        <f t="shared" si="59"/>
        <v>47991</v>
      </c>
      <c r="AH94" s="650">
        <f t="shared" ca="1" si="60"/>
        <v>5</v>
      </c>
      <c r="AI94" s="650">
        <f t="shared" ca="1" si="61"/>
        <v>5</v>
      </c>
      <c r="AJ94" s="650">
        <f t="shared" ca="1" si="62"/>
        <v>12</v>
      </c>
      <c r="AK94" s="650" t="str">
        <f t="shared" ca="1" si="63"/>
        <v>5year/5months/12Days</v>
      </c>
      <c r="AL94" s="642"/>
      <c r="AM94" s="648" t="s">
        <v>1677</v>
      </c>
      <c r="AN94" s="639" t="s">
        <v>1678</v>
      </c>
      <c r="AO94" s="642"/>
      <c r="AP94" s="642"/>
      <c r="AQ94" s="642"/>
      <c r="AR94" s="642"/>
      <c r="AS94" s="642"/>
      <c r="AT94" s="642"/>
      <c r="AU94" s="642"/>
      <c r="AV94" s="642"/>
      <c r="AW94" s="642"/>
      <c r="AX94" s="642"/>
      <c r="AY94" s="642">
        <v>2025</v>
      </c>
      <c r="AZ94" s="645">
        <v>1</v>
      </c>
      <c r="BA94" s="642">
        <v>196</v>
      </c>
      <c r="BB94" s="642">
        <v>44</v>
      </c>
      <c r="BC94" s="746" t="s">
        <v>498</v>
      </c>
      <c r="BD94" s="671" t="s">
        <v>498</v>
      </c>
      <c r="BE94" s="671">
        <v>152</v>
      </c>
      <c r="BF94" s="653">
        <f t="shared" si="64"/>
        <v>77.551020408163268</v>
      </c>
      <c r="BG94" s="652" t="s">
        <v>498</v>
      </c>
      <c r="BH94" s="652" t="s">
        <v>498</v>
      </c>
      <c r="BI94" s="671">
        <v>196</v>
      </c>
      <c r="BJ94" s="671" t="s">
        <v>498</v>
      </c>
      <c r="BK94" s="671" t="s">
        <v>498</v>
      </c>
      <c r="BL94" s="654">
        <v>45953</v>
      </c>
      <c r="BM94" s="669"/>
      <c r="BN94" s="669"/>
      <c r="BO94" s="669"/>
      <c r="BP94" s="669"/>
      <c r="BQ94" s="715"/>
      <c r="BR94" s="715"/>
      <c r="BS94" s="715"/>
      <c r="BT94" s="715"/>
      <c r="BU94" s="873" t="s">
        <v>2860</v>
      </c>
      <c r="BV94" s="874"/>
      <c r="BW94" s="874"/>
      <c r="BX94" s="875"/>
      <c r="BY94" s="900" t="s">
        <v>2878</v>
      </c>
      <c r="BZ94" s="901"/>
      <c r="CA94" s="901"/>
      <c r="CB94" s="902"/>
      <c r="CC94" s="655"/>
    </row>
    <row r="95" spans="1:81" s="8" customFormat="1" ht="40.35" customHeight="1" x14ac:dyDescent="0.25">
      <c r="A95" s="9">
        <v>117</v>
      </c>
      <c r="B95" s="118" t="s">
        <v>748</v>
      </c>
      <c r="C95" s="13" t="s">
        <v>254</v>
      </c>
      <c r="D95" s="7" t="s">
        <v>1942</v>
      </c>
      <c r="E95" s="3" t="s">
        <v>12</v>
      </c>
      <c r="F95" s="3">
        <v>88</v>
      </c>
      <c r="G95" s="198" t="s">
        <v>21</v>
      </c>
      <c r="H95" s="9" t="s">
        <v>42</v>
      </c>
      <c r="I95" s="9" t="s">
        <v>255</v>
      </c>
      <c r="J95" s="9" t="s">
        <v>21</v>
      </c>
      <c r="K95" s="9" t="s">
        <v>44</v>
      </c>
      <c r="L95" s="215" t="s">
        <v>42</v>
      </c>
      <c r="M95" s="60" t="s">
        <v>1943</v>
      </c>
      <c r="N95" s="50" t="s">
        <v>498</v>
      </c>
      <c r="O95" s="51" t="s">
        <v>1944</v>
      </c>
      <c r="P95" s="250" t="s">
        <v>746</v>
      </c>
      <c r="Q95" s="50" t="s">
        <v>499</v>
      </c>
      <c r="R95" s="50">
        <v>2</v>
      </c>
      <c r="S95" s="50" t="s">
        <v>500</v>
      </c>
      <c r="T95" s="50" t="s">
        <v>524</v>
      </c>
      <c r="U95" s="52" t="s">
        <v>648</v>
      </c>
      <c r="V95" s="60" t="s">
        <v>526</v>
      </c>
      <c r="W95" s="365"/>
      <c r="X95" s="70"/>
      <c r="Y95" s="60"/>
      <c r="Z95" s="60"/>
      <c r="AA95" s="50"/>
      <c r="AB95" s="50"/>
      <c r="AC95" s="55"/>
      <c r="AD95" s="48"/>
      <c r="AE95" s="48"/>
      <c r="AF95" s="48"/>
      <c r="AG95" s="49"/>
      <c r="AH95" s="48"/>
      <c r="AI95" s="48"/>
      <c r="AJ95" s="48"/>
      <c r="AK95" s="48"/>
      <c r="AL95" s="384"/>
      <c r="AM95" s="384" t="s">
        <v>1679</v>
      </c>
      <c r="AN95" s="276">
        <v>1648</v>
      </c>
      <c r="AO95" s="384"/>
      <c r="AP95" s="384"/>
      <c r="AQ95" s="384"/>
      <c r="AR95" s="384"/>
      <c r="AS95" s="384"/>
      <c r="AT95" s="384"/>
      <c r="AU95" s="384"/>
      <c r="AV95" s="384"/>
      <c r="AW95" s="384"/>
      <c r="AX95" s="384"/>
      <c r="AY95" s="50">
        <v>2023</v>
      </c>
      <c r="AZ95" s="107">
        <v>1</v>
      </c>
      <c r="BA95" s="78">
        <v>175</v>
      </c>
      <c r="BB95" s="78">
        <v>142</v>
      </c>
      <c r="BC95" s="78" t="s">
        <v>498</v>
      </c>
      <c r="BD95" s="78" t="s">
        <v>498</v>
      </c>
      <c r="BE95" s="78">
        <v>33</v>
      </c>
      <c r="BF95" s="74">
        <f t="shared" si="64"/>
        <v>18.857142857142858</v>
      </c>
      <c r="BG95" s="78" t="s">
        <v>498</v>
      </c>
      <c r="BH95" s="78" t="s">
        <v>498</v>
      </c>
      <c r="BI95" s="78">
        <v>175</v>
      </c>
      <c r="BJ95" s="78" t="s">
        <v>498</v>
      </c>
      <c r="BK95" s="78" t="s">
        <v>498</v>
      </c>
      <c r="BL95" s="76">
        <v>45321</v>
      </c>
      <c r="BM95" s="867" t="s">
        <v>1799</v>
      </c>
      <c r="BN95" s="868"/>
      <c r="BO95" s="868"/>
      <c r="BP95" s="869"/>
      <c r="BQ95" s="867" t="s">
        <v>1848</v>
      </c>
      <c r="BR95" s="868"/>
      <c r="BS95" s="868"/>
      <c r="BT95" s="869"/>
      <c r="BU95" s="867" t="s">
        <v>2632</v>
      </c>
      <c r="BV95" s="868"/>
      <c r="BW95" s="868"/>
      <c r="BX95" s="869"/>
      <c r="BY95" s="315"/>
      <c r="BZ95" s="315"/>
      <c r="CA95" s="315"/>
      <c r="CB95" s="315"/>
      <c r="CC95" s="27"/>
    </row>
    <row r="96" spans="1:81" s="656" customFormat="1" ht="40.35" customHeight="1" x14ac:dyDescent="0.25">
      <c r="A96" s="636">
        <v>118</v>
      </c>
      <c r="B96" s="637" t="s">
        <v>1550</v>
      </c>
      <c r="C96" s="638" t="s">
        <v>260</v>
      </c>
      <c r="D96" s="659" t="s">
        <v>258</v>
      </c>
      <c r="E96" s="451" t="s">
        <v>12</v>
      </c>
      <c r="F96" s="451">
        <v>90</v>
      </c>
      <c r="G96" s="640" t="s">
        <v>21</v>
      </c>
      <c r="H96" s="636" t="s">
        <v>164</v>
      </c>
      <c r="I96" s="636" t="s">
        <v>258</v>
      </c>
      <c r="J96" s="636" t="s">
        <v>21</v>
      </c>
      <c r="K96" s="636" t="s">
        <v>21</v>
      </c>
      <c r="L96" s="641" t="s">
        <v>1515</v>
      </c>
      <c r="M96" s="642" t="s">
        <v>749</v>
      </c>
      <c r="N96" s="642"/>
      <c r="O96" s="672" t="s">
        <v>750</v>
      </c>
      <c r="P96" s="644"/>
      <c r="Q96" s="642" t="s">
        <v>499</v>
      </c>
      <c r="R96" s="642">
        <v>2</v>
      </c>
      <c r="S96" s="642" t="s">
        <v>637</v>
      </c>
      <c r="T96" s="642" t="s">
        <v>524</v>
      </c>
      <c r="U96" s="645" t="s">
        <v>751</v>
      </c>
      <c r="V96" s="642" t="s">
        <v>503</v>
      </c>
      <c r="W96" s="642" t="s">
        <v>542</v>
      </c>
      <c r="X96" s="646" t="s">
        <v>752</v>
      </c>
      <c r="Y96" s="642" t="s">
        <v>753</v>
      </c>
      <c r="Z96" s="648" t="s">
        <v>754</v>
      </c>
      <c r="AA96" s="642" t="s">
        <v>538</v>
      </c>
      <c r="AB96" s="642" t="s">
        <v>710</v>
      </c>
      <c r="AC96" s="649">
        <v>27192</v>
      </c>
      <c r="AD96" s="650">
        <f t="shared" si="56"/>
        <v>12</v>
      </c>
      <c r="AE96" s="650">
        <f t="shared" si="57"/>
        <v>6</v>
      </c>
      <c r="AF96" s="650">
        <f t="shared" si="58"/>
        <v>1974</v>
      </c>
      <c r="AG96" s="651">
        <f t="shared" si="59"/>
        <v>49107</v>
      </c>
      <c r="AH96" s="650">
        <f t="shared" ca="1" si="60"/>
        <v>8</v>
      </c>
      <c r="AI96" s="650">
        <f t="shared" ca="1" si="61"/>
        <v>6</v>
      </c>
      <c r="AJ96" s="650">
        <f t="shared" ca="1" si="62"/>
        <v>1</v>
      </c>
      <c r="AK96" s="650" t="str">
        <f t="shared" ca="1" si="63"/>
        <v>8year/6months/1Days</v>
      </c>
      <c r="AL96" s="702"/>
      <c r="AM96" s="702" t="s">
        <v>1681</v>
      </c>
      <c r="AN96" s="703">
        <v>1969</v>
      </c>
      <c r="AO96" s="774">
        <v>13345</v>
      </c>
      <c r="AP96" s="702" t="s">
        <v>2014</v>
      </c>
      <c r="AQ96" s="702" t="s">
        <v>623</v>
      </c>
      <c r="AR96" s="702">
        <v>1960</v>
      </c>
      <c r="AS96" s="702">
        <v>555</v>
      </c>
      <c r="AT96" s="702">
        <v>456</v>
      </c>
      <c r="AU96" s="702">
        <v>82.16</v>
      </c>
      <c r="AV96" s="702">
        <v>555</v>
      </c>
      <c r="AW96" s="702">
        <v>462</v>
      </c>
      <c r="AX96" s="702">
        <v>83.24</v>
      </c>
      <c r="AY96" s="642">
        <v>2019</v>
      </c>
      <c r="AZ96" s="704" t="s">
        <v>755</v>
      </c>
      <c r="BA96" s="652">
        <v>777</v>
      </c>
      <c r="BB96" s="652">
        <v>78</v>
      </c>
      <c r="BC96" s="652">
        <v>112</v>
      </c>
      <c r="BD96" s="652">
        <v>64</v>
      </c>
      <c r="BE96" s="652">
        <v>446</v>
      </c>
      <c r="BF96" s="653">
        <f t="shared" si="64"/>
        <v>57.400257400257402</v>
      </c>
      <c r="BG96" s="652" t="s">
        <v>498</v>
      </c>
      <c r="BH96" s="652" t="s">
        <v>498</v>
      </c>
      <c r="BI96" s="652">
        <v>423</v>
      </c>
      <c r="BJ96" s="652">
        <v>354</v>
      </c>
      <c r="BK96" s="668"/>
      <c r="BL96" s="654">
        <v>44649</v>
      </c>
      <c r="BM96" s="873" t="s">
        <v>1792</v>
      </c>
      <c r="BN96" s="874"/>
      <c r="BO96" s="874"/>
      <c r="BP96" s="875"/>
      <c r="BQ96" s="873" t="s">
        <v>2066</v>
      </c>
      <c r="BR96" s="874"/>
      <c r="BS96" s="874"/>
      <c r="BT96" s="875"/>
      <c r="BU96" s="873" t="s">
        <v>2610</v>
      </c>
      <c r="BV96" s="874"/>
      <c r="BW96" s="874"/>
      <c r="BX96" s="875"/>
      <c r="BY96" s="696"/>
      <c r="BZ96" s="696"/>
      <c r="CA96" s="696"/>
      <c r="CB96" s="696"/>
      <c r="CC96" s="655"/>
    </row>
    <row r="97" spans="1:81" s="656" customFormat="1" ht="40.35" customHeight="1" x14ac:dyDescent="0.25">
      <c r="A97" s="636">
        <v>119</v>
      </c>
      <c r="B97" s="657" t="s">
        <v>760</v>
      </c>
      <c r="C97" s="658" t="s">
        <v>257</v>
      </c>
      <c r="D97" s="451" t="s">
        <v>1946</v>
      </c>
      <c r="E97" s="451" t="s">
        <v>12</v>
      </c>
      <c r="F97" s="444">
        <v>89</v>
      </c>
      <c r="G97" s="640" t="s">
        <v>21</v>
      </c>
      <c r="H97" s="636" t="s">
        <v>1515</v>
      </c>
      <c r="I97" s="636" t="s">
        <v>258</v>
      </c>
      <c r="J97" s="636" t="s">
        <v>21</v>
      </c>
      <c r="K97" s="636" t="s">
        <v>21</v>
      </c>
      <c r="L97" s="641" t="s">
        <v>1515</v>
      </c>
      <c r="M97" s="642" t="s">
        <v>756</v>
      </c>
      <c r="N97" s="642" t="s">
        <v>498</v>
      </c>
      <c r="O97" s="672" t="s">
        <v>757</v>
      </c>
      <c r="P97" s="644" t="s">
        <v>2483</v>
      </c>
      <c r="Q97" s="642" t="s">
        <v>499</v>
      </c>
      <c r="R97" s="642">
        <v>2</v>
      </c>
      <c r="S97" s="642" t="s">
        <v>500</v>
      </c>
      <c r="T97" s="642" t="s">
        <v>501</v>
      </c>
      <c r="U97" s="645" t="s">
        <v>672</v>
      </c>
      <c r="V97" s="642" t="s">
        <v>503</v>
      </c>
      <c r="W97" s="642" t="s">
        <v>542</v>
      </c>
      <c r="X97" s="646" t="s">
        <v>758</v>
      </c>
      <c r="Y97" s="648" t="s">
        <v>2484</v>
      </c>
      <c r="Z97" s="648" t="s">
        <v>759</v>
      </c>
      <c r="AA97" s="642" t="s">
        <v>562</v>
      </c>
      <c r="AB97" s="642" t="s">
        <v>710</v>
      </c>
      <c r="AC97" s="649">
        <v>26237</v>
      </c>
      <c r="AD97" s="650">
        <f t="shared" si="56"/>
        <v>31</v>
      </c>
      <c r="AE97" s="650">
        <f t="shared" si="57"/>
        <v>10</v>
      </c>
      <c r="AF97" s="650">
        <f t="shared" si="58"/>
        <v>1971</v>
      </c>
      <c r="AG97" s="651">
        <f t="shared" si="59"/>
        <v>48152</v>
      </c>
      <c r="AH97" s="650">
        <f t="shared" ca="1" si="60"/>
        <v>5</v>
      </c>
      <c r="AI97" s="650">
        <f t="shared" ca="1" si="61"/>
        <v>10</v>
      </c>
      <c r="AJ97" s="650">
        <f t="shared" ca="1" si="62"/>
        <v>20</v>
      </c>
      <c r="AK97" s="650" t="str">
        <f t="shared" ca="1" si="63"/>
        <v>5year/10months/20Days</v>
      </c>
      <c r="AL97" s="702"/>
      <c r="AM97" s="702" t="s">
        <v>1680</v>
      </c>
      <c r="AN97" s="703">
        <v>2029</v>
      </c>
      <c r="AO97" s="774">
        <v>13363</v>
      </c>
      <c r="AP97" s="702" t="s">
        <v>2015</v>
      </c>
      <c r="AQ97" s="702" t="s">
        <v>621</v>
      </c>
      <c r="AR97" s="702">
        <v>1960</v>
      </c>
      <c r="AS97" s="702">
        <v>337</v>
      </c>
      <c r="AT97" s="702">
        <v>268</v>
      </c>
      <c r="AU97" s="702">
        <v>79.52</v>
      </c>
      <c r="AV97" s="702">
        <v>336</v>
      </c>
      <c r="AW97" s="702">
        <v>260</v>
      </c>
      <c r="AX97" s="702">
        <v>77.38</v>
      </c>
      <c r="AY97" s="642">
        <v>2023</v>
      </c>
      <c r="AZ97" s="667">
        <v>1</v>
      </c>
      <c r="BA97" s="652">
        <v>247</v>
      </c>
      <c r="BB97" s="652">
        <v>75</v>
      </c>
      <c r="BC97" s="652">
        <v>15</v>
      </c>
      <c r="BD97" s="652">
        <v>19</v>
      </c>
      <c r="BE97" s="652">
        <v>96</v>
      </c>
      <c r="BF97" s="653">
        <f t="shared" si="64"/>
        <v>38.866396761133601</v>
      </c>
      <c r="BG97" s="652">
        <v>41</v>
      </c>
      <c r="BH97" s="652">
        <v>1</v>
      </c>
      <c r="BI97" s="652">
        <v>247</v>
      </c>
      <c r="BJ97" s="642" t="s">
        <v>498</v>
      </c>
      <c r="BK97" s="642" t="s">
        <v>498</v>
      </c>
      <c r="BL97" s="654">
        <v>44649</v>
      </c>
      <c r="BM97" s="873" t="s">
        <v>1792</v>
      </c>
      <c r="BN97" s="874"/>
      <c r="BO97" s="874"/>
      <c r="BP97" s="875"/>
      <c r="BQ97" s="873" t="s">
        <v>1839</v>
      </c>
      <c r="BR97" s="874"/>
      <c r="BS97" s="874"/>
      <c r="BT97" s="875"/>
      <c r="BU97" s="873" t="s">
        <v>2610</v>
      </c>
      <c r="BV97" s="874"/>
      <c r="BW97" s="874"/>
      <c r="BX97" s="875"/>
      <c r="BY97" s="696"/>
      <c r="BZ97" s="696"/>
      <c r="CA97" s="696"/>
      <c r="CB97" s="696"/>
      <c r="CC97" s="655"/>
    </row>
    <row r="98" spans="1:81" s="656" customFormat="1" ht="40.35" customHeight="1" x14ac:dyDescent="0.25">
      <c r="A98" s="636">
        <v>120</v>
      </c>
      <c r="B98" s="657" t="s">
        <v>765</v>
      </c>
      <c r="C98" s="658" t="s">
        <v>262</v>
      </c>
      <c r="D98" s="639" t="s">
        <v>1946</v>
      </c>
      <c r="E98" s="451" t="s">
        <v>12</v>
      </c>
      <c r="F98" s="444">
        <v>91</v>
      </c>
      <c r="G98" s="640" t="s">
        <v>21</v>
      </c>
      <c r="H98" s="636" t="s">
        <v>164</v>
      </c>
      <c r="I98" s="636" t="s">
        <v>258</v>
      </c>
      <c r="J98" s="636" t="s">
        <v>21</v>
      </c>
      <c r="K98" s="636" t="s">
        <v>21</v>
      </c>
      <c r="L98" s="641" t="s">
        <v>1515</v>
      </c>
      <c r="M98" s="642" t="s">
        <v>761</v>
      </c>
      <c r="N98" s="642" t="s">
        <v>498</v>
      </c>
      <c r="O98" s="672" t="s">
        <v>762</v>
      </c>
      <c r="P98" s="644" t="s">
        <v>1947</v>
      </c>
      <c r="Q98" s="642" t="s">
        <v>499</v>
      </c>
      <c r="R98" s="642" t="s">
        <v>557</v>
      </c>
      <c r="S98" s="642" t="s">
        <v>645</v>
      </c>
      <c r="T98" s="642" t="s">
        <v>524</v>
      </c>
      <c r="U98" s="645" t="s">
        <v>763</v>
      </c>
      <c r="V98" s="671" t="s">
        <v>503</v>
      </c>
      <c r="W98" s="671" t="s">
        <v>567</v>
      </c>
      <c r="X98" s="675" t="s">
        <v>2784</v>
      </c>
      <c r="Y98" s="676" t="s">
        <v>2785</v>
      </c>
      <c r="Z98" s="676" t="s">
        <v>2786</v>
      </c>
      <c r="AA98" s="671" t="s">
        <v>709</v>
      </c>
      <c r="AB98" s="642" t="s">
        <v>710</v>
      </c>
      <c r="AC98" s="649">
        <v>24325</v>
      </c>
      <c r="AD98" s="650">
        <f t="shared" si="56"/>
        <v>6</v>
      </c>
      <c r="AE98" s="650">
        <f t="shared" si="57"/>
        <v>8</v>
      </c>
      <c r="AF98" s="650">
        <f t="shared" si="58"/>
        <v>1966</v>
      </c>
      <c r="AG98" s="651">
        <f t="shared" si="59"/>
        <v>46240</v>
      </c>
      <c r="AH98" s="650">
        <f t="shared" ca="1" si="60"/>
        <v>0</v>
      </c>
      <c r="AI98" s="650">
        <f t="shared" ca="1" si="61"/>
        <v>7</v>
      </c>
      <c r="AJ98" s="650">
        <f t="shared" ca="1" si="62"/>
        <v>26</v>
      </c>
      <c r="AK98" s="650" t="str">
        <f t="shared" ca="1" si="63"/>
        <v>0year/7months/26Days</v>
      </c>
      <c r="AL98" s="702"/>
      <c r="AM98" s="702" t="s">
        <v>1682</v>
      </c>
      <c r="AN98" s="703">
        <v>2587</v>
      </c>
      <c r="AO98" s="774">
        <v>13705</v>
      </c>
      <c r="AP98" s="702" t="s">
        <v>2016</v>
      </c>
      <c r="AQ98" s="702" t="s">
        <v>2017</v>
      </c>
      <c r="AR98" s="702">
        <v>1960</v>
      </c>
      <c r="AS98" s="702" t="s">
        <v>498</v>
      </c>
      <c r="AT98" s="702" t="s">
        <v>498</v>
      </c>
      <c r="AU98" s="702" t="s">
        <v>498</v>
      </c>
      <c r="AV98" s="702">
        <v>205</v>
      </c>
      <c r="AW98" s="702">
        <v>143</v>
      </c>
      <c r="AX98" s="702">
        <v>69.75</v>
      </c>
      <c r="AY98" s="642">
        <v>2024</v>
      </c>
      <c r="AZ98" s="667" t="s">
        <v>1928</v>
      </c>
      <c r="BA98" s="652">
        <v>1039</v>
      </c>
      <c r="BB98" s="652" t="s">
        <v>498</v>
      </c>
      <c r="BC98" s="652">
        <v>434</v>
      </c>
      <c r="BD98" s="652">
        <v>6</v>
      </c>
      <c r="BE98" s="652">
        <v>599</v>
      </c>
      <c r="BF98" s="653">
        <f t="shared" si="64"/>
        <v>57.651588065447548</v>
      </c>
      <c r="BG98" s="652" t="s">
        <v>498</v>
      </c>
      <c r="BH98" s="652" t="s">
        <v>498</v>
      </c>
      <c r="BI98" s="652" t="s">
        <v>498</v>
      </c>
      <c r="BJ98" s="652">
        <v>1039</v>
      </c>
      <c r="BK98" s="652" t="s">
        <v>498</v>
      </c>
      <c r="BL98" s="654">
        <v>45603</v>
      </c>
      <c r="BM98" s="873" t="s">
        <v>1799</v>
      </c>
      <c r="BN98" s="874"/>
      <c r="BO98" s="874"/>
      <c r="BP98" s="875"/>
      <c r="BQ98" s="873" t="s">
        <v>1845</v>
      </c>
      <c r="BR98" s="874"/>
      <c r="BS98" s="874"/>
      <c r="BT98" s="875"/>
      <c r="BU98" s="873" t="s">
        <v>2610</v>
      </c>
      <c r="BV98" s="874"/>
      <c r="BW98" s="874"/>
      <c r="BX98" s="875"/>
      <c r="BY98" s="873" t="s">
        <v>2787</v>
      </c>
      <c r="BZ98" s="874"/>
      <c r="CA98" s="874"/>
      <c r="CB98" s="875"/>
      <c r="CC98" s="655"/>
    </row>
    <row r="99" spans="1:81" s="8" customFormat="1" ht="40.35" customHeight="1" x14ac:dyDescent="0.3">
      <c r="A99" s="9">
        <v>121</v>
      </c>
      <c r="B99" s="183" t="s">
        <v>770</v>
      </c>
      <c r="C99" s="11" t="s">
        <v>264</v>
      </c>
      <c r="D99" s="7" t="s">
        <v>771</v>
      </c>
      <c r="E99" s="3" t="s">
        <v>12</v>
      </c>
      <c r="F99" s="3">
        <v>92</v>
      </c>
      <c r="G99" s="198" t="s">
        <v>21</v>
      </c>
      <c r="H99" s="9" t="s">
        <v>84</v>
      </c>
      <c r="I99" s="9" t="s">
        <v>249</v>
      </c>
      <c r="J99" s="9" t="s">
        <v>21</v>
      </c>
      <c r="K99" s="58" t="s">
        <v>250</v>
      </c>
      <c r="L99" s="215" t="s">
        <v>249</v>
      </c>
      <c r="M99" s="50" t="s">
        <v>766</v>
      </c>
      <c r="N99" s="50"/>
      <c r="O99" s="50"/>
      <c r="P99" s="243"/>
      <c r="Q99" s="50" t="s">
        <v>499</v>
      </c>
      <c r="R99" s="50">
        <v>3</v>
      </c>
      <c r="S99" s="50" t="s">
        <v>500</v>
      </c>
      <c r="T99" s="50" t="s">
        <v>524</v>
      </c>
      <c r="U99" s="52" t="s">
        <v>535</v>
      </c>
      <c r="V99" s="50" t="s">
        <v>503</v>
      </c>
      <c r="W99" s="50" t="s">
        <v>542</v>
      </c>
      <c r="X99" s="70" t="s">
        <v>767</v>
      </c>
      <c r="Y99" s="50" t="s">
        <v>768</v>
      </c>
      <c r="Z99" s="50"/>
      <c r="AA99" s="50"/>
      <c r="AB99" s="50" t="s">
        <v>506</v>
      </c>
      <c r="AC99" s="55">
        <v>26754</v>
      </c>
      <c r="AD99" s="48">
        <f t="shared" si="56"/>
        <v>31</v>
      </c>
      <c r="AE99" s="48">
        <f t="shared" si="57"/>
        <v>3</v>
      </c>
      <c r="AF99" s="48">
        <f t="shared" si="58"/>
        <v>1973</v>
      </c>
      <c r="AG99" s="49">
        <f t="shared" si="59"/>
        <v>48669</v>
      </c>
      <c r="AH99" s="48">
        <f t="shared" ca="1" si="60"/>
        <v>7</v>
      </c>
      <c r="AI99" s="48">
        <f t="shared" ca="1" si="61"/>
        <v>3</v>
      </c>
      <c r="AJ99" s="48">
        <f t="shared" ca="1" si="62"/>
        <v>20</v>
      </c>
      <c r="AK99" s="48" t="str">
        <f t="shared" ca="1" si="63"/>
        <v>7year/3months/20Days</v>
      </c>
      <c r="AL99" s="384"/>
      <c r="AM99" s="384" t="s">
        <v>1683</v>
      </c>
      <c r="AN99" s="276">
        <v>635</v>
      </c>
      <c r="AO99" s="384"/>
      <c r="AP99" s="384"/>
      <c r="AQ99" s="384"/>
      <c r="AR99" s="384"/>
      <c r="AS99" s="384"/>
      <c r="AT99" s="384"/>
      <c r="AU99" s="384"/>
      <c r="AV99" s="384"/>
      <c r="AW99" s="384"/>
      <c r="AX99" s="384"/>
      <c r="AY99" s="50">
        <v>2019</v>
      </c>
      <c r="AZ99" s="107">
        <v>1</v>
      </c>
      <c r="BA99" s="78">
        <v>110</v>
      </c>
      <c r="BB99" s="78">
        <v>58</v>
      </c>
      <c r="BC99" s="78">
        <v>2</v>
      </c>
      <c r="BD99" s="78">
        <v>47</v>
      </c>
      <c r="BE99" s="78">
        <v>3</v>
      </c>
      <c r="BF99" s="74">
        <f t="shared" si="64"/>
        <v>2.7272727272727271</v>
      </c>
      <c r="BG99" s="78" t="s">
        <v>498</v>
      </c>
      <c r="BH99" s="78" t="s">
        <v>498</v>
      </c>
      <c r="BI99" s="78">
        <v>110</v>
      </c>
      <c r="BJ99" s="95"/>
      <c r="BK99" s="95"/>
      <c r="BL99" s="151"/>
      <c r="BM99" s="930">
        <v>44866</v>
      </c>
      <c r="BN99" s="883"/>
      <c r="BO99" s="883"/>
      <c r="BP99" s="884"/>
      <c r="BQ99" s="305"/>
      <c r="BR99" s="305"/>
      <c r="BS99" s="305"/>
      <c r="BT99" s="305"/>
      <c r="BU99" s="930" t="s">
        <v>2632</v>
      </c>
      <c r="BV99" s="1012"/>
      <c r="BW99" s="1012"/>
      <c r="BX99" s="1013"/>
      <c r="BY99" s="305"/>
      <c r="BZ99" s="305"/>
      <c r="CA99" s="305"/>
      <c r="CB99" s="305"/>
      <c r="CC99" s="27"/>
    </row>
    <row r="100" spans="1:81" s="8" customFormat="1" ht="40.35" customHeight="1" x14ac:dyDescent="0.25">
      <c r="A100" s="9">
        <v>122</v>
      </c>
      <c r="B100" s="183" t="s">
        <v>1113</v>
      </c>
      <c r="C100" s="11" t="s">
        <v>266</v>
      </c>
      <c r="D100" s="3" t="s">
        <v>267</v>
      </c>
      <c r="E100" s="3" t="s">
        <v>12</v>
      </c>
      <c r="F100" s="381">
        <v>93</v>
      </c>
      <c r="G100" s="198" t="s">
        <v>69</v>
      </c>
      <c r="H100" s="9" t="s">
        <v>80</v>
      </c>
      <c r="I100" s="9" t="s">
        <v>267</v>
      </c>
      <c r="J100" s="9" t="s">
        <v>29</v>
      </c>
      <c r="K100" s="9" t="s">
        <v>26</v>
      </c>
      <c r="L100" s="215" t="s">
        <v>31</v>
      </c>
      <c r="M100" s="366" t="s">
        <v>1109</v>
      </c>
      <c r="N100" s="366" t="s">
        <v>498</v>
      </c>
      <c r="O100" s="366" t="s">
        <v>498</v>
      </c>
      <c r="P100" s="255" t="s">
        <v>1110</v>
      </c>
      <c r="Q100" s="366" t="s">
        <v>499</v>
      </c>
      <c r="R100" s="366">
        <v>3</v>
      </c>
      <c r="S100" s="366" t="s">
        <v>500</v>
      </c>
      <c r="T100" s="50" t="s">
        <v>524</v>
      </c>
      <c r="U100" s="147" t="s">
        <v>535</v>
      </c>
      <c r="V100" s="60" t="s">
        <v>646</v>
      </c>
      <c r="W100" s="50" t="s">
        <v>527</v>
      </c>
      <c r="X100" s="148" t="s">
        <v>1111</v>
      </c>
      <c r="Y100" s="366" t="s">
        <v>1109</v>
      </c>
      <c r="Z100" s="372" t="s">
        <v>1112</v>
      </c>
      <c r="AA100" s="50" t="s">
        <v>562</v>
      </c>
      <c r="AB100" s="50" t="s">
        <v>506</v>
      </c>
      <c r="AC100" s="55">
        <v>26755</v>
      </c>
      <c r="AD100" s="48">
        <f t="shared" si="56"/>
        <v>1</v>
      </c>
      <c r="AE100" s="48">
        <f t="shared" si="57"/>
        <v>4</v>
      </c>
      <c r="AF100" s="48">
        <f t="shared" si="58"/>
        <v>1973</v>
      </c>
      <c r="AG100" s="49">
        <f t="shared" si="59"/>
        <v>48670</v>
      </c>
      <c r="AH100" s="48">
        <f t="shared" ca="1" si="60"/>
        <v>7</v>
      </c>
      <c r="AI100" s="48">
        <f t="shared" ca="1" si="61"/>
        <v>3</v>
      </c>
      <c r="AJ100" s="48">
        <f t="shared" ca="1" si="62"/>
        <v>21</v>
      </c>
      <c r="AK100" s="48" t="str">
        <f t="shared" ca="1" si="63"/>
        <v>7year/3months/21Days</v>
      </c>
      <c r="AL100" s="149"/>
      <c r="AM100" s="149" t="s">
        <v>1684</v>
      </c>
      <c r="AN100" s="283">
        <v>1558</v>
      </c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366">
        <v>2022</v>
      </c>
      <c r="AZ100" s="150">
        <v>2</v>
      </c>
      <c r="BA100" s="137">
        <v>257</v>
      </c>
      <c r="BB100" s="137">
        <v>181</v>
      </c>
      <c r="BC100" s="137" t="s">
        <v>498</v>
      </c>
      <c r="BD100" s="78" t="s">
        <v>498</v>
      </c>
      <c r="BE100" s="78">
        <v>76</v>
      </c>
      <c r="BF100" s="74">
        <f t="shared" si="64"/>
        <v>29.571984435797667</v>
      </c>
      <c r="BG100" s="78" t="s">
        <v>498</v>
      </c>
      <c r="BH100" s="78" t="s">
        <v>498</v>
      </c>
      <c r="BI100" s="78">
        <v>257</v>
      </c>
      <c r="BJ100" s="78" t="s">
        <v>498</v>
      </c>
      <c r="BK100" s="78" t="s">
        <v>498</v>
      </c>
      <c r="BL100" s="151">
        <v>44824</v>
      </c>
      <c r="BM100" s="867" t="s">
        <v>1854</v>
      </c>
      <c r="BN100" s="868"/>
      <c r="BO100" s="868"/>
      <c r="BP100" s="869"/>
      <c r="BQ100" s="318"/>
      <c r="BR100" s="318"/>
      <c r="BS100" s="318"/>
      <c r="BT100" s="318"/>
      <c r="BU100" s="867" t="s">
        <v>2632</v>
      </c>
      <c r="BV100" s="868"/>
      <c r="BW100" s="868"/>
      <c r="BX100" s="869"/>
      <c r="BY100" s="318"/>
      <c r="BZ100" s="318"/>
      <c r="CA100" s="318"/>
      <c r="CB100" s="318"/>
      <c r="CC100" s="27"/>
    </row>
    <row r="101" spans="1:81" s="656" customFormat="1" ht="40.35" customHeight="1" x14ac:dyDescent="0.3">
      <c r="A101" s="636">
        <v>123</v>
      </c>
      <c r="B101" s="733" t="s">
        <v>1457</v>
      </c>
      <c r="C101" s="658"/>
      <c r="D101" s="648" t="s">
        <v>241</v>
      </c>
      <c r="E101" s="451" t="s">
        <v>1439</v>
      </c>
      <c r="F101" s="444">
        <v>2</v>
      </c>
      <c r="G101" s="636" t="s">
        <v>110</v>
      </c>
      <c r="H101" s="636" t="s">
        <v>1458</v>
      </c>
      <c r="I101" s="636" t="s">
        <v>1458</v>
      </c>
      <c r="J101" s="636" t="s">
        <v>110</v>
      </c>
      <c r="K101" s="679" t="s">
        <v>1459</v>
      </c>
      <c r="L101" s="636" t="s">
        <v>401</v>
      </c>
      <c r="M101" s="642" t="s">
        <v>1460</v>
      </c>
      <c r="N101" s="642" t="s">
        <v>1460</v>
      </c>
      <c r="O101" s="672" t="s">
        <v>1461</v>
      </c>
      <c r="P101" s="644"/>
      <c r="Q101" s="642" t="s">
        <v>499</v>
      </c>
      <c r="R101" s="642" t="s">
        <v>560</v>
      </c>
      <c r="S101" s="642" t="s">
        <v>500</v>
      </c>
      <c r="T101" s="642" t="s">
        <v>524</v>
      </c>
      <c r="U101" s="645" t="s">
        <v>763</v>
      </c>
      <c r="V101" s="648" t="s">
        <v>503</v>
      </c>
      <c r="W101" s="652" t="s">
        <v>567</v>
      </c>
      <c r="X101" s="775" t="s">
        <v>2968</v>
      </c>
      <c r="Y101" s="652" t="s">
        <v>2969</v>
      </c>
      <c r="Z101" s="775" t="s">
        <v>2970</v>
      </c>
      <c r="AA101" s="705" t="s">
        <v>2971</v>
      </c>
      <c r="AB101" s="652" t="s">
        <v>710</v>
      </c>
      <c r="AC101" s="758">
        <v>25879</v>
      </c>
      <c r="AD101" s="650">
        <f t="shared" si="56"/>
        <v>7</v>
      </c>
      <c r="AE101" s="650">
        <f t="shared" si="57"/>
        <v>11</v>
      </c>
      <c r="AF101" s="650">
        <f t="shared" si="58"/>
        <v>1970</v>
      </c>
      <c r="AG101" s="651">
        <f t="shared" si="59"/>
        <v>47794</v>
      </c>
      <c r="AH101" s="650">
        <f t="shared" ca="1" si="60"/>
        <v>4</v>
      </c>
      <c r="AI101" s="650">
        <f t="shared" ca="1" si="61"/>
        <v>10</v>
      </c>
      <c r="AJ101" s="650">
        <f t="shared" ca="1" si="62"/>
        <v>27</v>
      </c>
      <c r="AK101" s="650" t="str">
        <f t="shared" ca="1" si="63"/>
        <v>4year/10months/27Days</v>
      </c>
      <c r="AL101" s="702"/>
      <c r="AM101" s="702" t="s">
        <v>1685</v>
      </c>
      <c r="AN101" s="703" t="s">
        <v>498</v>
      </c>
      <c r="AO101" s="702"/>
      <c r="AP101" s="702"/>
      <c r="AQ101" s="702"/>
      <c r="AR101" s="702"/>
      <c r="AS101" s="702"/>
      <c r="AT101" s="702"/>
      <c r="AU101" s="702"/>
      <c r="AV101" s="702"/>
      <c r="AW101" s="702"/>
      <c r="AX101" s="702"/>
      <c r="AY101" s="642">
        <v>2020</v>
      </c>
      <c r="AZ101" s="704" t="s">
        <v>1465</v>
      </c>
      <c r="BA101" s="652">
        <v>1047</v>
      </c>
      <c r="BB101" s="652">
        <v>454</v>
      </c>
      <c r="BC101" s="652">
        <v>14</v>
      </c>
      <c r="BD101" s="652">
        <v>15</v>
      </c>
      <c r="BE101" s="652">
        <v>516</v>
      </c>
      <c r="BF101" s="653">
        <f t="shared" si="64"/>
        <v>49.283667621776509</v>
      </c>
      <c r="BG101" s="652" t="s">
        <v>498</v>
      </c>
      <c r="BH101" s="652" t="s">
        <v>498</v>
      </c>
      <c r="BI101" s="652">
        <v>1047</v>
      </c>
      <c r="BJ101" s="652"/>
      <c r="BK101" s="668"/>
      <c r="BL101" s="654">
        <v>45356</v>
      </c>
      <c r="BM101" s="873" t="s">
        <v>1799</v>
      </c>
      <c r="BN101" s="874"/>
      <c r="BO101" s="874"/>
      <c r="BP101" s="875"/>
      <c r="BQ101" s="931"/>
      <c r="BR101" s="932"/>
      <c r="BS101" s="932"/>
      <c r="BT101" s="933"/>
      <c r="BU101" s="873" t="s">
        <v>2632</v>
      </c>
      <c r="BV101" s="874"/>
      <c r="BW101" s="874"/>
      <c r="BX101" s="875"/>
      <c r="BY101" s="776"/>
      <c r="BZ101" s="776"/>
      <c r="CA101" s="776"/>
      <c r="CB101" s="776"/>
      <c r="CC101" s="655"/>
    </row>
    <row r="102" spans="1:81" s="656" customFormat="1" ht="40.35" customHeight="1" x14ac:dyDescent="0.25">
      <c r="A102" s="636">
        <v>124</v>
      </c>
      <c r="B102" s="637" t="s">
        <v>1119</v>
      </c>
      <c r="C102" s="638" t="s">
        <v>269</v>
      </c>
      <c r="D102" s="659" t="s">
        <v>1120</v>
      </c>
      <c r="E102" s="451" t="s">
        <v>12</v>
      </c>
      <c r="F102" s="451">
        <v>94</v>
      </c>
      <c r="G102" s="640" t="s">
        <v>26</v>
      </c>
      <c r="H102" s="636" t="s">
        <v>30</v>
      </c>
      <c r="I102" s="636" t="s">
        <v>148</v>
      </c>
      <c r="J102" s="636" t="s">
        <v>29</v>
      </c>
      <c r="K102" s="636" t="s">
        <v>26</v>
      </c>
      <c r="L102" s="641" t="s">
        <v>30</v>
      </c>
      <c r="M102" s="642" t="s">
        <v>1114</v>
      </c>
      <c r="N102" s="642" t="s">
        <v>498</v>
      </c>
      <c r="O102" s="672" t="s">
        <v>1115</v>
      </c>
      <c r="P102" s="660" t="s">
        <v>1116</v>
      </c>
      <c r="Q102" s="642" t="s">
        <v>499</v>
      </c>
      <c r="R102" s="643">
        <v>2</v>
      </c>
      <c r="S102" s="643" t="s">
        <v>500</v>
      </c>
      <c r="T102" s="642" t="s">
        <v>524</v>
      </c>
      <c r="U102" s="777" t="s">
        <v>502</v>
      </c>
      <c r="V102" s="648" t="s">
        <v>503</v>
      </c>
      <c r="W102" s="671" t="s">
        <v>567</v>
      </c>
      <c r="X102" s="647" t="s">
        <v>1117</v>
      </c>
      <c r="Y102" s="642" t="s">
        <v>2585</v>
      </c>
      <c r="Z102" s="648" t="s">
        <v>1118</v>
      </c>
      <c r="AA102" s="642" t="s">
        <v>562</v>
      </c>
      <c r="AB102" s="642" t="s">
        <v>710</v>
      </c>
      <c r="AC102" s="649">
        <v>28842</v>
      </c>
      <c r="AD102" s="650">
        <f t="shared" si="56"/>
        <v>18</v>
      </c>
      <c r="AE102" s="650">
        <f t="shared" si="57"/>
        <v>12</v>
      </c>
      <c r="AF102" s="650">
        <f t="shared" si="58"/>
        <v>1978</v>
      </c>
      <c r="AG102" s="651">
        <f t="shared" si="59"/>
        <v>50757</v>
      </c>
      <c r="AH102" s="650">
        <f t="shared" ca="1" si="60"/>
        <v>13</v>
      </c>
      <c r="AI102" s="650">
        <f t="shared" ca="1" si="61"/>
        <v>0</v>
      </c>
      <c r="AJ102" s="650">
        <f t="shared" ca="1" si="62"/>
        <v>7</v>
      </c>
      <c r="AK102" s="650" t="str">
        <f t="shared" ca="1" si="63"/>
        <v>13year/0months/7Days</v>
      </c>
      <c r="AL102" s="663"/>
      <c r="AM102" s="702" t="s">
        <v>1686</v>
      </c>
      <c r="AN102" s="703">
        <v>1625</v>
      </c>
      <c r="AO102" s="663"/>
      <c r="AP102" s="663"/>
      <c r="AQ102" s="663"/>
      <c r="AR102" s="663"/>
      <c r="AS102" s="663"/>
      <c r="AT102" s="663"/>
      <c r="AU102" s="663"/>
      <c r="AV102" s="663"/>
      <c r="AW102" s="663"/>
      <c r="AX102" s="663"/>
      <c r="AY102" s="642">
        <v>2025</v>
      </c>
      <c r="AZ102" s="645">
        <v>1</v>
      </c>
      <c r="BA102" s="642">
        <v>75</v>
      </c>
      <c r="BB102" s="642" t="s">
        <v>498</v>
      </c>
      <c r="BC102" s="642">
        <v>1</v>
      </c>
      <c r="BD102" s="642" t="s">
        <v>498</v>
      </c>
      <c r="BE102" s="642">
        <v>74</v>
      </c>
      <c r="BF102" s="653">
        <f t="shared" si="64"/>
        <v>98.666666666666671</v>
      </c>
      <c r="BG102" s="652" t="s">
        <v>498</v>
      </c>
      <c r="BH102" s="652" t="s">
        <v>498</v>
      </c>
      <c r="BI102" s="642">
        <v>75</v>
      </c>
      <c r="BJ102" s="706" t="s">
        <v>498</v>
      </c>
      <c r="BK102" s="706" t="s">
        <v>498</v>
      </c>
      <c r="BL102" s="654">
        <v>45953</v>
      </c>
      <c r="BM102" s="873" t="s">
        <v>1864</v>
      </c>
      <c r="BN102" s="874"/>
      <c r="BO102" s="874"/>
      <c r="BP102" s="875"/>
      <c r="BQ102" s="669"/>
      <c r="BR102" s="669"/>
      <c r="BS102" s="669"/>
      <c r="BT102" s="669"/>
      <c r="BU102" s="873" t="s">
        <v>2860</v>
      </c>
      <c r="BV102" s="874"/>
      <c r="BW102" s="874"/>
      <c r="BX102" s="875"/>
      <c r="BY102" s="873" t="s">
        <v>2879</v>
      </c>
      <c r="BZ102" s="874"/>
      <c r="CA102" s="874"/>
      <c r="CB102" s="875"/>
      <c r="CC102" s="655"/>
    </row>
    <row r="103" spans="1:81" s="8" customFormat="1" ht="40.35" customHeight="1" x14ac:dyDescent="0.3">
      <c r="A103" s="58" t="s">
        <v>1689</v>
      </c>
      <c r="B103" s="183" t="s">
        <v>1124</v>
      </c>
      <c r="C103" s="11" t="s">
        <v>274</v>
      </c>
      <c r="D103" s="7" t="s">
        <v>1125</v>
      </c>
      <c r="E103" s="3" t="s">
        <v>12</v>
      </c>
      <c r="F103" s="3">
        <v>96</v>
      </c>
      <c r="G103" s="198" t="s">
        <v>69</v>
      </c>
      <c r="H103" s="9" t="s">
        <v>96</v>
      </c>
      <c r="I103" s="9" t="s">
        <v>275</v>
      </c>
      <c r="J103" s="9" t="s">
        <v>29</v>
      </c>
      <c r="K103" s="9" t="s">
        <v>98</v>
      </c>
      <c r="L103" s="215" t="s">
        <v>125</v>
      </c>
      <c r="M103" s="365" t="s">
        <v>1121</v>
      </c>
      <c r="N103" s="365"/>
      <c r="O103" s="44" t="s">
        <v>1122</v>
      </c>
      <c r="P103" s="245"/>
      <c r="Q103" s="365" t="s">
        <v>499</v>
      </c>
      <c r="R103" s="365">
        <v>3</v>
      </c>
      <c r="S103" s="365" t="s">
        <v>500</v>
      </c>
      <c r="T103" s="50" t="s">
        <v>524</v>
      </c>
      <c r="U103" s="147" t="s">
        <v>535</v>
      </c>
      <c r="V103" s="60" t="s">
        <v>503</v>
      </c>
      <c r="W103" s="365" t="s">
        <v>585</v>
      </c>
      <c r="X103" s="46" t="s">
        <v>1123</v>
      </c>
      <c r="Y103" s="365"/>
      <c r="Z103" s="365"/>
      <c r="AA103" s="365"/>
      <c r="AB103" s="50" t="s">
        <v>506</v>
      </c>
      <c r="AC103" s="55">
        <v>26758</v>
      </c>
      <c r="AD103" s="48">
        <f t="shared" si="56"/>
        <v>4</v>
      </c>
      <c r="AE103" s="48">
        <f t="shared" si="57"/>
        <v>4</v>
      </c>
      <c r="AF103" s="48">
        <f t="shared" si="58"/>
        <v>1973</v>
      </c>
      <c r="AG103" s="49">
        <f t="shared" si="59"/>
        <v>48673</v>
      </c>
      <c r="AH103" s="48">
        <f t="shared" ca="1" si="60"/>
        <v>7</v>
      </c>
      <c r="AI103" s="48">
        <f t="shared" ca="1" si="61"/>
        <v>3</v>
      </c>
      <c r="AJ103" s="48">
        <f t="shared" ca="1" si="62"/>
        <v>24</v>
      </c>
      <c r="AK103" s="48" t="str">
        <f t="shared" ca="1" si="63"/>
        <v>7year/3months/24Days</v>
      </c>
      <c r="AL103" s="365"/>
      <c r="AM103" s="365" t="s">
        <v>1688</v>
      </c>
      <c r="AN103" s="374">
        <v>1225</v>
      </c>
      <c r="AO103" s="365"/>
      <c r="AP103" s="365"/>
      <c r="AQ103" s="365"/>
      <c r="AR103" s="365"/>
      <c r="AS103" s="365"/>
      <c r="AT103" s="365"/>
      <c r="AU103" s="365"/>
      <c r="AV103" s="365"/>
      <c r="AW103" s="365"/>
      <c r="AX103" s="365"/>
      <c r="AY103" s="365">
        <v>2021</v>
      </c>
      <c r="AZ103" s="45">
        <v>1</v>
      </c>
      <c r="BA103" s="365">
        <v>70</v>
      </c>
      <c r="BB103" s="365">
        <v>38</v>
      </c>
      <c r="BC103" s="365" t="s">
        <v>498</v>
      </c>
      <c r="BD103" s="365" t="s">
        <v>498</v>
      </c>
      <c r="BE103" s="365">
        <v>24</v>
      </c>
      <c r="BF103" s="74">
        <f t="shared" si="64"/>
        <v>34.285714285714285</v>
      </c>
      <c r="BG103" s="78" t="s">
        <v>498</v>
      </c>
      <c r="BH103" s="78" t="s">
        <v>498</v>
      </c>
      <c r="BI103" s="365">
        <v>70</v>
      </c>
      <c r="BJ103" s="365"/>
      <c r="BK103" s="365"/>
      <c r="BL103" s="76">
        <v>44851</v>
      </c>
      <c r="BM103" s="867" t="s">
        <v>1864</v>
      </c>
      <c r="BN103" s="868"/>
      <c r="BO103" s="868"/>
      <c r="BP103" s="869"/>
      <c r="BQ103" s="305"/>
      <c r="BR103" s="305"/>
      <c r="BS103" s="305"/>
      <c r="BT103" s="305"/>
      <c r="BU103" s="867" t="s">
        <v>2632</v>
      </c>
      <c r="BV103" s="868"/>
      <c r="BW103" s="868"/>
      <c r="BX103" s="869"/>
      <c r="BY103" s="305"/>
      <c r="BZ103" s="305"/>
      <c r="CA103" s="305"/>
      <c r="CB103" s="305"/>
      <c r="CC103" s="27"/>
    </row>
    <row r="104" spans="1:81" s="728" customFormat="1" ht="40.35" customHeight="1" x14ac:dyDescent="0.25">
      <c r="A104" s="413">
        <v>127</v>
      </c>
      <c r="B104" s="778" t="s">
        <v>1131</v>
      </c>
      <c r="C104" s="779" t="s">
        <v>271</v>
      </c>
      <c r="D104" s="529" t="s">
        <v>1132</v>
      </c>
      <c r="E104" s="529" t="s">
        <v>12</v>
      </c>
      <c r="F104" s="635">
        <v>95</v>
      </c>
      <c r="G104" s="716" t="s">
        <v>26</v>
      </c>
      <c r="H104" s="413" t="s">
        <v>27</v>
      </c>
      <c r="I104" s="413" t="s">
        <v>272</v>
      </c>
      <c r="J104" s="413" t="s">
        <v>29</v>
      </c>
      <c r="K104" s="413" t="s">
        <v>30</v>
      </c>
      <c r="L104" s="717" t="s">
        <v>30</v>
      </c>
      <c r="M104" s="75" t="s">
        <v>1126</v>
      </c>
      <c r="N104" s="75" t="s">
        <v>498</v>
      </c>
      <c r="O104" s="780" t="s">
        <v>1127</v>
      </c>
      <c r="P104" s="781" t="s">
        <v>1128</v>
      </c>
      <c r="Q104" s="75" t="s">
        <v>499</v>
      </c>
      <c r="R104" s="75" t="s">
        <v>560</v>
      </c>
      <c r="S104" s="75" t="s">
        <v>500</v>
      </c>
      <c r="T104" s="75" t="s">
        <v>524</v>
      </c>
      <c r="U104" s="782" t="s">
        <v>561</v>
      </c>
      <c r="V104" s="605" t="s">
        <v>646</v>
      </c>
      <c r="W104" s="75" t="s">
        <v>504</v>
      </c>
      <c r="X104" s="783"/>
      <c r="Y104" s="605"/>
      <c r="Z104" s="605"/>
      <c r="AA104" s="75"/>
      <c r="AB104" s="75"/>
      <c r="AC104" s="719"/>
      <c r="AD104" s="720"/>
      <c r="AE104" s="720"/>
      <c r="AF104" s="720"/>
      <c r="AG104" s="721"/>
      <c r="AH104" s="720"/>
      <c r="AI104" s="720"/>
      <c r="AJ104" s="720"/>
      <c r="AK104" s="720"/>
      <c r="AL104" s="119"/>
      <c r="AM104" s="109" t="s">
        <v>1687</v>
      </c>
      <c r="AN104" s="784">
        <v>156</v>
      </c>
      <c r="AO104" s="119"/>
      <c r="AP104" s="119"/>
      <c r="AQ104" s="119"/>
      <c r="AR104" s="119"/>
      <c r="AS104" s="119"/>
      <c r="AT104" s="119"/>
      <c r="AU104" s="119"/>
      <c r="AV104" s="119"/>
      <c r="AW104" s="119"/>
      <c r="AX104" s="119"/>
      <c r="AY104" s="75">
        <v>2022</v>
      </c>
      <c r="AZ104" s="785" t="s">
        <v>1130</v>
      </c>
      <c r="BA104" s="75">
        <v>1092</v>
      </c>
      <c r="BB104" s="75">
        <v>415</v>
      </c>
      <c r="BC104" s="75">
        <v>1</v>
      </c>
      <c r="BD104" s="75" t="s">
        <v>498</v>
      </c>
      <c r="BE104" s="75">
        <v>582</v>
      </c>
      <c r="BF104" s="724">
        <f t="shared" si="64"/>
        <v>53.296703296703299</v>
      </c>
      <c r="BG104" s="75" t="s">
        <v>498</v>
      </c>
      <c r="BH104" s="75" t="s">
        <v>498</v>
      </c>
      <c r="BI104" s="75">
        <v>1092</v>
      </c>
      <c r="BJ104" s="75" t="s">
        <v>498</v>
      </c>
      <c r="BK104" s="75" t="s">
        <v>498</v>
      </c>
      <c r="BL104" s="725">
        <v>44826</v>
      </c>
      <c r="BM104" s="897" t="s">
        <v>1860</v>
      </c>
      <c r="BN104" s="898"/>
      <c r="BO104" s="898"/>
      <c r="BP104" s="899"/>
      <c r="BQ104" s="318"/>
      <c r="BR104" s="318"/>
      <c r="BS104" s="318"/>
      <c r="BT104" s="318"/>
      <c r="BU104" s="897" t="s">
        <v>2632</v>
      </c>
      <c r="BV104" s="898"/>
      <c r="BW104" s="898"/>
      <c r="BX104" s="899"/>
      <c r="BY104" s="318"/>
      <c r="BZ104" s="318"/>
      <c r="CA104" s="318"/>
      <c r="CB104" s="318"/>
      <c r="CC104" s="727"/>
    </row>
    <row r="105" spans="1:81" s="8" customFormat="1" ht="43.5" customHeight="1" x14ac:dyDescent="0.3">
      <c r="A105" s="264" t="s">
        <v>1562</v>
      </c>
      <c r="B105" s="11" t="s">
        <v>2633</v>
      </c>
      <c r="C105" s="11"/>
      <c r="D105" s="7" t="s">
        <v>2634</v>
      </c>
      <c r="E105" s="3" t="s">
        <v>327</v>
      </c>
      <c r="F105" s="3">
        <v>1</v>
      </c>
      <c r="G105" s="224" t="s">
        <v>21</v>
      </c>
      <c r="H105" s="365" t="s">
        <v>1515</v>
      </c>
      <c r="I105" s="371" t="s">
        <v>1514</v>
      </c>
      <c r="J105" s="365" t="s">
        <v>110</v>
      </c>
      <c r="K105" s="365" t="s">
        <v>110</v>
      </c>
      <c r="L105" s="371" t="s">
        <v>164</v>
      </c>
      <c r="M105" s="365" t="s">
        <v>1516</v>
      </c>
      <c r="N105" s="365"/>
      <c r="O105" s="365"/>
      <c r="P105" s="245"/>
      <c r="Q105" s="365" t="s">
        <v>499</v>
      </c>
      <c r="R105" s="365">
        <v>2</v>
      </c>
      <c r="S105" s="365" t="s">
        <v>500</v>
      </c>
      <c r="T105" s="50" t="s">
        <v>524</v>
      </c>
      <c r="U105" s="45" t="s">
        <v>780</v>
      </c>
      <c r="V105" s="371"/>
      <c r="W105" s="365"/>
      <c r="X105" s="46"/>
      <c r="Y105" s="365"/>
      <c r="Z105" s="371"/>
      <c r="AA105" s="365"/>
      <c r="AB105" s="50"/>
      <c r="AC105" s="55"/>
      <c r="AD105" s="48"/>
      <c r="AE105" s="48"/>
      <c r="AF105" s="48"/>
      <c r="AG105" s="49"/>
      <c r="AH105" s="48"/>
      <c r="AI105" s="48"/>
      <c r="AJ105" s="48"/>
      <c r="AK105" s="48"/>
      <c r="AL105" s="371"/>
      <c r="AM105" s="371" t="s">
        <v>2029</v>
      </c>
      <c r="AN105" s="373" t="s">
        <v>2030</v>
      </c>
      <c r="AO105" s="361" t="s">
        <v>2031</v>
      </c>
      <c r="AP105" s="371" t="s">
        <v>2032</v>
      </c>
      <c r="AQ105" s="371" t="s">
        <v>2033</v>
      </c>
      <c r="AR105" s="371" t="s">
        <v>2034</v>
      </c>
      <c r="AS105" s="371" t="s">
        <v>2039</v>
      </c>
      <c r="AT105" s="371" t="s">
        <v>2038</v>
      </c>
      <c r="AU105" s="371" t="s">
        <v>2040</v>
      </c>
      <c r="AV105" s="371" t="s">
        <v>2035</v>
      </c>
      <c r="AW105" s="371" t="s">
        <v>2036</v>
      </c>
      <c r="AX105" s="371" t="s">
        <v>2037</v>
      </c>
      <c r="AY105" s="365">
        <v>2019</v>
      </c>
      <c r="AZ105" s="45">
        <v>1</v>
      </c>
      <c r="BA105" s="365">
        <v>122</v>
      </c>
      <c r="BB105" s="365">
        <v>13</v>
      </c>
      <c r="BC105" s="365">
        <v>15</v>
      </c>
      <c r="BD105" s="365">
        <v>23</v>
      </c>
      <c r="BE105" s="365">
        <v>47</v>
      </c>
      <c r="BF105" s="74">
        <f t="shared" si="64"/>
        <v>38.524590163934427</v>
      </c>
      <c r="BG105" s="78" t="s">
        <v>498</v>
      </c>
      <c r="BH105" s="78" t="s">
        <v>498</v>
      </c>
      <c r="BI105" s="365">
        <v>122</v>
      </c>
      <c r="BJ105" s="365"/>
      <c r="BK105" s="365"/>
      <c r="BL105" s="76">
        <v>44631</v>
      </c>
      <c r="BM105" s="379"/>
      <c r="BN105" s="379"/>
      <c r="BO105" s="379"/>
      <c r="BP105" s="379"/>
      <c r="BQ105" s="305"/>
      <c r="BR105" s="305"/>
      <c r="BS105" s="305"/>
      <c r="BT105" s="305"/>
      <c r="BU105" s="867" t="s">
        <v>498</v>
      </c>
      <c r="BV105" s="868"/>
      <c r="BW105" s="868"/>
      <c r="BX105" s="869"/>
      <c r="BY105" s="305"/>
      <c r="BZ105" s="305"/>
      <c r="CA105" s="305"/>
      <c r="CB105" s="305"/>
      <c r="CC105" s="27"/>
    </row>
    <row r="106" spans="1:81" s="656" customFormat="1" ht="40.35" customHeight="1" x14ac:dyDescent="0.25">
      <c r="A106" s="636">
        <v>130</v>
      </c>
      <c r="B106" s="657" t="s">
        <v>1137</v>
      </c>
      <c r="C106" s="658" t="s">
        <v>277</v>
      </c>
      <c r="D106" s="659" t="s">
        <v>1138</v>
      </c>
      <c r="E106" s="451" t="s">
        <v>12</v>
      </c>
      <c r="F106" s="451">
        <v>97</v>
      </c>
      <c r="G106" s="640" t="s">
        <v>69</v>
      </c>
      <c r="H106" s="636" t="s">
        <v>125</v>
      </c>
      <c r="I106" s="636" t="s">
        <v>278</v>
      </c>
      <c r="J106" s="636" t="s">
        <v>29</v>
      </c>
      <c r="K106" s="636" t="s">
        <v>98</v>
      </c>
      <c r="L106" s="641" t="s">
        <v>125</v>
      </c>
      <c r="M106" s="642" t="s">
        <v>1133</v>
      </c>
      <c r="N106" s="642" t="s">
        <v>498</v>
      </c>
      <c r="O106" s="672" t="s">
        <v>1915</v>
      </c>
      <c r="P106" s="660" t="s">
        <v>1916</v>
      </c>
      <c r="Q106" s="642" t="s">
        <v>499</v>
      </c>
      <c r="R106" s="642" t="s">
        <v>560</v>
      </c>
      <c r="S106" s="642" t="s">
        <v>500</v>
      </c>
      <c r="T106" s="642" t="s">
        <v>524</v>
      </c>
      <c r="U106" s="645" t="s">
        <v>502</v>
      </c>
      <c r="V106" s="642" t="s">
        <v>589</v>
      </c>
      <c r="W106" s="671" t="s">
        <v>504</v>
      </c>
      <c r="X106" s="647" t="s">
        <v>1134</v>
      </c>
      <c r="Y106" s="642" t="s">
        <v>1135</v>
      </c>
      <c r="Z106" s="648" t="s">
        <v>1136</v>
      </c>
      <c r="AA106" s="642" t="s">
        <v>562</v>
      </c>
      <c r="AB106" s="642" t="s">
        <v>710</v>
      </c>
      <c r="AC106" s="649">
        <v>25528</v>
      </c>
      <c r="AD106" s="650">
        <f t="shared" si="56"/>
        <v>21</v>
      </c>
      <c r="AE106" s="650">
        <f t="shared" si="57"/>
        <v>11</v>
      </c>
      <c r="AF106" s="650">
        <f t="shared" si="58"/>
        <v>1969</v>
      </c>
      <c r="AG106" s="651">
        <f t="shared" si="59"/>
        <v>47443</v>
      </c>
      <c r="AH106" s="650">
        <f t="shared" ca="1" si="60"/>
        <v>3</v>
      </c>
      <c r="AI106" s="650">
        <f t="shared" ca="1" si="61"/>
        <v>11</v>
      </c>
      <c r="AJ106" s="650">
        <f t="shared" ca="1" si="62"/>
        <v>10</v>
      </c>
      <c r="AK106" s="650" t="str">
        <f t="shared" ca="1" si="63"/>
        <v>3year/11months/10Days</v>
      </c>
      <c r="AL106" s="702"/>
      <c r="AM106" s="702" t="s">
        <v>1690</v>
      </c>
      <c r="AN106" s="703">
        <v>1010</v>
      </c>
      <c r="AO106" s="702"/>
      <c r="AP106" s="702"/>
      <c r="AQ106" s="702"/>
      <c r="AR106" s="702"/>
      <c r="AS106" s="702"/>
      <c r="AT106" s="702"/>
      <c r="AU106" s="702"/>
      <c r="AV106" s="702"/>
      <c r="AW106" s="702"/>
      <c r="AX106" s="702"/>
      <c r="AY106" s="642">
        <v>2023</v>
      </c>
      <c r="AZ106" s="645" t="s">
        <v>1917</v>
      </c>
      <c r="BA106" s="642">
        <v>250</v>
      </c>
      <c r="BB106" s="642">
        <v>32</v>
      </c>
      <c r="BC106" s="642" t="s">
        <v>498</v>
      </c>
      <c r="BD106" s="642">
        <v>160</v>
      </c>
      <c r="BE106" s="642">
        <v>58</v>
      </c>
      <c r="BF106" s="653">
        <f t="shared" si="64"/>
        <v>23.200000000000003</v>
      </c>
      <c r="BG106" s="652" t="s">
        <v>498</v>
      </c>
      <c r="BH106" s="652" t="s">
        <v>498</v>
      </c>
      <c r="BI106" s="642">
        <v>250</v>
      </c>
      <c r="BJ106" s="698" t="s">
        <v>498</v>
      </c>
      <c r="BK106" s="698" t="s">
        <v>498</v>
      </c>
      <c r="BL106" s="654">
        <v>45512</v>
      </c>
      <c r="BM106" s="873" t="s">
        <v>1799</v>
      </c>
      <c r="BN106" s="874"/>
      <c r="BO106" s="874"/>
      <c r="BP106" s="875"/>
      <c r="BQ106" s="873" t="s">
        <v>1858</v>
      </c>
      <c r="BR106" s="874"/>
      <c r="BS106" s="874"/>
      <c r="BT106" s="875"/>
      <c r="BU106" s="873" t="s">
        <v>2636</v>
      </c>
      <c r="BV106" s="874"/>
      <c r="BW106" s="874"/>
      <c r="BX106" s="875"/>
      <c r="BY106" s="696"/>
      <c r="BZ106" s="696"/>
      <c r="CA106" s="696"/>
      <c r="CB106" s="696"/>
      <c r="CC106" s="655"/>
    </row>
    <row r="107" spans="1:81" s="656" customFormat="1" ht="40.35" customHeight="1" x14ac:dyDescent="0.25">
      <c r="A107" s="679" t="s">
        <v>1563</v>
      </c>
      <c r="B107" s="637" t="s">
        <v>1415</v>
      </c>
      <c r="C107" s="638" t="s">
        <v>279</v>
      </c>
      <c r="D107" s="451" t="s">
        <v>1143</v>
      </c>
      <c r="E107" s="451" t="s">
        <v>12</v>
      </c>
      <c r="F107" s="444">
        <v>98</v>
      </c>
      <c r="G107" s="640" t="s">
        <v>26</v>
      </c>
      <c r="H107" s="636" t="s">
        <v>31</v>
      </c>
      <c r="I107" s="636" t="s">
        <v>280</v>
      </c>
      <c r="J107" s="636" t="s">
        <v>29</v>
      </c>
      <c r="K107" s="636" t="s">
        <v>38</v>
      </c>
      <c r="L107" s="641" t="s">
        <v>39</v>
      </c>
      <c r="M107" s="671" t="s">
        <v>1139</v>
      </c>
      <c r="N107" s="671" t="s">
        <v>498</v>
      </c>
      <c r="O107" s="747" t="s">
        <v>1505</v>
      </c>
      <c r="P107" s="660" t="s">
        <v>1506</v>
      </c>
      <c r="Q107" s="671" t="s">
        <v>499</v>
      </c>
      <c r="R107" s="671">
        <v>2</v>
      </c>
      <c r="S107" s="671" t="s">
        <v>500</v>
      </c>
      <c r="T107" s="642" t="s">
        <v>524</v>
      </c>
      <c r="U107" s="674" t="s">
        <v>502</v>
      </c>
      <c r="V107" s="676" t="s">
        <v>646</v>
      </c>
      <c r="W107" s="671" t="s">
        <v>585</v>
      </c>
      <c r="X107" s="675" t="s">
        <v>1140</v>
      </c>
      <c r="Y107" s="676" t="s">
        <v>1141</v>
      </c>
      <c r="Z107" s="676" t="s">
        <v>1142</v>
      </c>
      <c r="AA107" s="671" t="s">
        <v>568</v>
      </c>
      <c r="AB107" s="642" t="s">
        <v>710</v>
      </c>
      <c r="AC107" s="649">
        <v>26762</v>
      </c>
      <c r="AD107" s="650">
        <f t="shared" si="56"/>
        <v>8</v>
      </c>
      <c r="AE107" s="650">
        <f t="shared" si="57"/>
        <v>4</v>
      </c>
      <c r="AF107" s="650">
        <f t="shared" si="58"/>
        <v>1973</v>
      </c>
      <c r="AG107" s="651">
        <f t="shared" si="59"/>
        <v>48677</v>
      </c>
      <c r="AH107" s="650">
        <f t="shared" ca="1" si="60"/>
        <v>7</v>
      </c>
      <c r="AI107" s="650">
        <f t="shared" ca="1" si="61"/>
        <v>3</v>
      </c>
      <c r="AJ107" s="650">
        <f t="shared" ca="1" si="62"/>
        <v>28</v>
      </c>
      <c r="AK107" s="650" t="str">
        <f t="shared" ca="1" si="63"/>
        <v>7year/3months/28Days</v>
      </c>
      <c r="AL107" s="786"/>
      <c r="AM107" s="676" t="s">
        <v>1692</v>
      </c>
      <c r="AN107" s="692" t="s">
        <v>1693</v>
      </c>
      <c r="AO107" s="786"/>
      <c r="AP107" s="786"/>
      <c r="AQ107" s="786"/>
      <c r="AR107" s="786"/>
      <c r="AS107" s="786"/>
      <c r="AT107" s="786"/>
      <c r="AU107" s="786"/>
      <c r="AV107" s="786"/>
      <c r="AW107" s="786"/>
      <c r="AX107" s="786"/>
      <c r="AY107" s="698">
        <v>2022</v>
      </c>
      <c r="AZ107" s="699">
        <v>1</v>
      </c>
      <c r="BA107" s="698">
        <v>309</v>
      </c>
      <c r="BB107" s="698">
        <v>149</v>
      </c>
      <c r="BC107" s="698" t="s">
        <v>498</v>
      </c>
      <c r="BD107" s="698" t="s">
        <v>498</v>
      </c>
      <c r="BE107" s="698">
        <v>161</v>
      </c>
      <c r="BF107" s="653">
        <f t="shared" si="64"/>
        <v>52.103559870550164</v>
      </c>
      <c r="BG107" s="652" t="s">
        <v>498</v>
      </c>
      <c r="BH107" s="652" t="s">
        <v>498</v>
      </c>
      <c r="BI107" s="698">
        <v>309</v>
      </c>
      <c r="BJ107" s="698" t="s">
        <v>498</v>
      </c>
      <c r="BK107" s="698" t="s">
        <v>498</v>
      </c>
      <c r="BL107" s="654">
        <v>44837</v>
      </c>
      <c r="BM107" s="873" t="s">
        <v>1854</v>
      </c>
      <c r="BN107" s="874"/>
      <c r="BO107" s="874"/>
      <c r="BP107" s="875"/>
      <c r="BQ107" s="715"/>
      <c r="BR107" s="715"/>
      <c r="BS107" s="715"/>
      <c r="BT107" s="715"/>
      <c r="BU107" s="873" t="s">
        <v>2636</v>
      </c>
      <c r="BV107" s="874"/>
      <c r="BW107" s="874"/>
      <c r="BX107" s="875"/>
      <c r="BY107" s="715"/>
      <c r="BZ107" s="715"/>
      <c r="CA107" s="715"/>
      <c r="CB107" s="715"/>
      <c r="CC107" s="655"/>
    </row>
    <row r="108" spans="1:81" s="656" customFormat="1" ht="40.35" customHeight="1" x14ac:dyDescent="0.25">
      <c r="A108" s="636">
        <v>133</v>
      </c>
      <c r="B108" s="637" t="s">
        <v>777</v>
      </c>
      <c r="C108" s="658" t="s">
        <v>282</v>
      </c>
      <c r="D108" s="659" t="s">
        <v>1950</v>
      </c>
      <c r="E108" s="451" t="s">
        <v>12</v>
      </c>
      <c r="F108" s="451">
        <v>99</v>
      </c>
      <c r="G108" s="640" t="s">
        <v>21</v>
      </c>
      <c r="H108" s="636" t="s">
        <v>164</v>
      </c>
      <c r="I108" s="731" t="s">
        <v>283</v>
      </c>
      <c r="J108" s="636" t="s">
        <v>21</v>
      </c>
      <c r="K108" s="636" t="s">
        <v>21</v>
      </c>
      <c r="L108" s="641" t="s">
        <v>164</v>
      </c>
      <c r="M108" s="642" t="s">
        <v>772</v>
      </c>
      <c r="N108" s="642" t="s">
        <v>772</v>
      </c>
      <c r="O108" s="787" t="s">
        <v>1951</v>
      </c>
      <c r="P108" s="693" t="s">
        <v>773</v>
      </c>
      <c r="Q108" s="642" t="s">
        <v>499</v>
      </c>
      <c r="R108" s="642" t="s">
        <v>560</v>
      </c>
      <c r="S108" s="642" t="s">
        <v>645</v>
      </c>
      <c r="T108" s="642" t="s">
        <v>524</v>
      </c>
      <c r="U108" s="645" t="s">
        <v>653</v>
      </c>
      <c r="V108" s="648" t="s">
        <v>526</v>
      </c>
      <c r="W108" s="671" t="s">
        <v>654</v>
      </c>
      <c r="X108" s="646" t="s">
        <v>774</v>
      </c>
      <c r="Y108" s="642" t="s">
        <v>775</v>
      </c>
      <c r="Z108" s="648" t="s">
        <v>776</v>
      </c>
      <c r="AA108" s="671" t="s">
        <v>568</v>
      </c>
      <c r="AB108" s="642" t="s">
        <v>655</v>
      </c>
      <c r="AC108" s="649">
        <v>25717</v>
      </c>
      <c r="AD108" s="650">
        <f t="shared" si="56"/>
        <v>29</v>
      </c>
      <c r="AE108" s="650">
        <f t="shared" si="57"/>
        <v>5</v>
      </c>
      <c r="AF108" s="650">
        <f t="shared" si="58"/>
        <v>1970</v>
      </c>
      <c r="AG108" s="651">
        <f t="shared" si="59"/>
        <v>47632</v>
      </c>
      <c r="AH108" s="650">
        <f t="shared" ca="1" si="60"/>
        <v>4</v>
      </c>
      <c r="AI108" s="650">
        <f t="shared" ca="1" si="61"/>
        <v>5</v>
      </c>
      <c r="AJ108" s="650">
        <f t="shared" ca="1" si="62"/>
        <v>18</v>
      </c>
      <c r="AK108" s="650" t="str">
        <f t="shared" ca="1" si="63"/>
        <v>4year/5months/18Days</v>
      </c>
      <c r="AL108" s="702"/>
      <c r="AM108" s="702" t="s">
        <v>1691</v>
      </c>
      <c r="AN108" s="703">
        <v>2441</v>
      </c>
      <c r="AO108" s="774">
        <v>13518</v>
      </c>
      <c r="AP108" s="702" t="s">
        <v>2059</v>
      </c>
      <c r="AQ108" s="702" t="s">
        <v>2017</v>
      </c>
      <c r="AR108" s="702">
        <v>1960</v>
      </c>
      <c r="AS108" s="702">
        <v>163</v>
      </c>
      <c r="AT108" s="702">
        <v>155</v>
      </c>
      <c r="AU108" s="702">
        <v>95.09</v>
      </c>
      <c r="AV108" s="702" t="s">
        <v>498</v>
      </c>
      <c r="AW108" s="702" t="s">
        <v>498</v>
      </c>
      <c r="AX108" s="702" t="s">
        <v>498</v>
      </c>
      <c r="AY108" s="642">
        <v>2023</v>
      </c>
      <c r="AZ108" s="704">
        <v>2</v>
      </c>
      <c r="BA108" s="705">
        <v>840</v>
      </c>
      <c r="BB108" s="705" t="s">
        <v>498</v>
      </c>
      <c r="BC108" s="652">
        <v>399</v>
      </c>
      <c r="BD108" s="652">
        <v>30</v>
      </c>
      <c r="BE108" s="652">
        <v>304</v>
      </c>
      <c r="BF108" s="653">
        <f t="shared" si="64"/>
        <v>36.19047619047619</v>
      </c>
      <c r="BG108" s="652">
        <v>107</v>
      </c>
      <c r="BH108" s="652" t="s">
        <v>498</v>
      </c>
      <c r="BI108" s="652" t="s">
        <v>498</v>
      </c>
      <c r="BJ108" s="652">
        <v>840</v>
      </c>
      <c r="BK108" s="642" t="s">
        <v>498</v>
      </c>
      <c r="BL108" s="654">
        <v>45322</v>
      </c>
      <c r="BM108" s="873" t="s">
        <v>1792</v>
      </c>
      <c r="BN108" s="874"/>
      <c r="BO108" s="874"/>
      <c r="BP108" s="875"/>
      <c r="BQ108" s="873">
        <v>45542</v>
      </c>
      <c r="BR108" s="874"/>
      <c r="BS108" s="874"/>
      <c r="BT108" s="875"/>
      <c r="BU108" s="873" t="s">
        <v>2631</v>
      </c>
      <c r="BV108" s="874"/>
      <c r="BW108" s="874"/>
      <c r="BX108" s="875"/>
      <c r="BY108" s="696"/>
      <c r="BZ108" s="696"/>
      <c r="CA108" s="696"/>
      <c r="CB108" s="696"/>
      <c r="CC108" s="655"/>
    </row>
    <row r="109" spans="1:81" s="8" customFormat="1" ht="40.35" customHeight="1" x14ac:dyDescent="0.3">
      <c r="A109" s="555" t="s">
        <v>1564</v>
      </c>
      <c r="B109" s="118" t="s">
        <v>569</v>
      </c>
      <c r="C109" s="13" t="s">
        <v>285</v>
      </c>
      <c r="D109" s="3" t="s">
        <v>286</v>
      </c>
      <c r="E109" s="3" t="s">
        <v>12</v>
      </c>
      <c r="F109" s="381">
        <v>100</v>
      </c>
      <c r="G109" s="198" t="s">
        <v>13</v>
      </c>
      <c r="H109" s="9" t="s">
        <v>14</v>
      </c>
      <c r="I109" s="9" t="s">
        <v>286</v>
      </c>
      <c r="J109" s="9" t="s">
        <v>14</v>
      </c>
      <c r="K109" s="9" t="s">
        <v>14</v>
      </c>
      <c r="L109" s="215" t="s">
        <v>16</v>
      </c>
      <c r="M109" s="365" t="s">
        <v>565</v>
      </c>
      <c r="N109" s="63" t="s">
        <v>498</v>
      </c>
      <c r="O109" s="44" t="s">
        <v>566</v>
      </c>
      <c r="P109" s="249" t="s">
        <v>2647</v>
      </c>
      <c r="Q109" s="365" t="s">
        <v>499</v>
      </c>
      <c r="R109" s="365">
        <v>2</v>
      </c>
      <c r="S109" s="365" t="s">
        <v>500</v>
      </c>
      <c r="T109" s="50" t="s">
        <v>524</v>
      </c>
      <c r="U109" s="45" t="s">
        <v>502</v>
      </c>
      <c r="V109" s="371" t="s">
        <v>589</v>
      </c>
      <c r="W109" s="365" t="s">
        <v>567</v>
      </c>
      <c r="X109" s="46" t="s">
        <v>1429</v>
      </c>
      <c r="Y109" s="365" t="s">
        <v>1430</v>
      </c>
      <c r="Z109" s="64" t="s">
        <v>2648</v>
      </c>
      <c r="AA109" s="50" t="s">
        <v>538</v>
      </c>
      <c r="AB109" s="50" t="s">
        <v>506</v>
      </c>
      <c r="AC109" s="55">
        <v>25577</v>
      </c>
      <c r="AD109" s="48">
        <f t="shared" si="56"/>
        <v>9</v>
      </c>
      <c r="AE109" s="48">
        <f t="shared" si="57"/>
        <v>1</v>
      </c>
      <c r="AF109" s="48">
        <f t="shared" si="58"/>
        <v>1970</v>
      </c>
      <c r="AG109" s="49">
        <f t="shared" si="59"/>
        <v>47492</v>
      </c>
      <c r="AH109" s="48">
        <f t="shared" ca="1" si="60"/>
        <v>4</v>
      </c>
      <c r="AI109" s="48">
        <f t="shared" ca="1" si="61"/>
        <v>0</v>
      </c>
      <c r="AJ109" s="48">
        <f t="shared" ca="1" si="62"/>
        <v>29</v>
      </c>
      <c r="AK109" s="48" t="str">
        <f t="shared" ca="1" si="63"/>
        <v>4year/0months/29Days</v>
      </c>
      <c r="AL109" s="63"/>
      <c r="AM109" s="371" t="s">
        <v>1694</v>
      </c>
      <c r="AN109" s="373" t="s">
        <v>1695</v>
      </c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514">
        <v>2024</v>
      </c>
      <c r="AZ109" s="542" t="s">
        <v>1928</v>
      </c>
      <c r="BA109" s="514">
        <v>562</v>
      </c>
      <c r="BB109" s="514">
        <v>207</v>
      </c>
      <c r="BC109" s="514" t="s">
        <v>498</v>
      </c>
      <c r="BD109" s="514">
        <v>117</v>
      </c>
      <c r="BE109" s="514">
        <v>238</v>
      </c>
      <c r="BF109" s="540">
        <f t="shared" si="64"/>
        <v>42.34875444839858</v>
      </c>
      <c r="BG109" s="541" t="s">
        <v>498</v>
      </c>
      <c r="BH109" s="541" t="s">
        <v>498</v>
      </c>
      <c r="BI109" s="514">
        <v>562</v>
      </c>
      <c r="BJ109" s="514" t="s">
        <v>498</v>
      </c>
      <c r="BK109" s="514" t="s">
        <v>498</v>
      </c>
      <c r="BL109" s="76">
        <v>45547</v>
      </c>
      <c r="BM109" s="867" t="s">
        <v>1799</v>
      </c>
      <c r="BN109" s="868"/>
      <c r="BO109" s="868"/>
      <c r="BP109" s="869"/>
      <c r="BQ109" s="305"/>
      <c r="BR109" s="305"/>
      <c r="BS109" s="305"/>
      <c r="BT109" s="305"/>
      <c r="BU109" s="867" t="s">
        <v>2631</v>
      </c>
      <c r="BV109" s="868"/>
      <c r="BW109" s="868"/>
      <c r="BX109" s="869"/>
      <c r="BY109" s="870" t="s">
        <v>2649</v>
      </c>
      <c r="BZ109" s="871"/>
      <c r="CA109" s="871"/>
      <c r="CB109" s="872"/>
      <c r="CC109" s="27"/>
    </row>
    <row r="110" spans="1:81" s="8" customFormat="1" ht="40.35" customHeight="1" x14ac:dyDescent="0.3">
      <c r="A110" s="9">
        <v>136</v>
      </c>
      <c r="B110" s="118" t="s">
        <v>570</v>
      </c>
      <c r="C110" s="13" t="s">
        <v>288</v>
      </c>
      <c r="D110" s="7" t="s">
        <v>286</v>
      </c>
      <c r="E110" s="3" t="s">
        <v>12</v>
      </c>
      <c r="F110" s="3">
        <v>101</v>
      </c>
      <c r="G110" s="198" t="s">
        <v>13</v>
      </c>
      <c r="H110" s="9" t="s">
        <v>14</v>
      </c>
      <c r="I110" s="9" t="s">
        <v>286</v>
      </c>
      <c r="J110" s="9" t="s">
        <v>14</v>
      </c>
      <c r="K110" s="9" t="s">
        <v>14</v>
      </c>
      <c r="L110" s="215" t="s">
        <v>15</v>
      </c>
      <c r="M110" s="32"/>
      <c r="N110" s="32"/>
      <c r="O110" s="32"/>
      <c r="P110" s="246"/>
      <c r="Q110" s="29" t="s">
        <v>499</v>
      </c>
      <c r="R110" s="29">
        <v>2</v>
      </c>
      <c r="S110" s="29" t="s">
        <v>500</v>
      </c>
      <c r="T110" s="50" t="s">
        <v>524</v>
      </c>
      <c r="U110" s="33"/>
      <c r="V110" s="32"/>
      <c r="W110" s="32"/>
      <c r="X110" s="65"/>
      <c r="Y110" s="32"/>
      <c r="Z110" s="32"/>
      <c r="AA110" s="32"/>
      <c r="AB110" s="50" t="s">
        <v>506</v>
      </c>
      <c r="AC110" s="55">
        <v>26765</v>
      </c>
      <c r="AD110" s="48">
        <f t="shared" si="56"/>
        <v>11</v>
      </c>
      <c r="AE110" s="48">
        <f t="shared" si="57"/>
        <v>4</v>
      </c>
      <c r="AF110" s="48">
        <f t="shared" si="58"/>
        <v>1973</v>
      </c>
      <c r="AG110" s="49">
        <f t="shared" si="59"/>
        <v>48680</v>
      </c>
      <c r="AH110" s="48">
        <f t="shared" ca="1" si="60"/>
        <v>7</v>
      </c>
      <c r="AI110" s="48">
        <f t="shared" ca="1" si="61"/>
        <v>4</v>
      </c>
      <c r="AJ110" s="48">
        <f t="shared" ca="1" si="62"/>
        <v>0</v>
      </c>
      <c r="AK110" s="48" t="str">
        <f t="shared" ca="1" si="63"/>
        <v>7year/4months/0Days</v>
      </c>
      <c r="AL110" s="29"/>
      <c r="AM110" s="29" t="s">
        <v>1696</v>
      </c>
      <c r="AN110" s="3">
        <v>2604</v>
      </c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32"/>
      <c r="AZ110" s="339"/>
      <c r="BA110" s="73"/>
      <c r="BB110" s="72"/>
      <c r="BC110" s="72"/>
      <c r="BD110" s="72"/>
      <c r="BE110" s="73"/>
      <c r="BF110" s="74" t="e">
        <f t="shared" si="64"/>
        <v>#DIV/0!</v>
      </c>
      <c r="BG110" s="78" t="s">
        <v>498</v>
      </c>
      <c r="BH110" s="78" t="s">
        <v>498</v>
      </c>
      <c r="BI110" s="72"/>
      <c r="BJ110" s="72"/>
      <c r="BK110" s="72"/>
      <c r="BL110" s="351"/>
      <c r="BM110" s="313"/>
      <c r="BN110" s="304"/>
      <c r="BO110" s="304"/>
      <c r="BP110" s="304"/>
      <c r="BQ110" s="304"/>
      <c r="BR110" s="304"/>
      <c r="BS110" s="304"/>
      <c r="BT110" s="304"/>
      <c r="BU110" s="867" t="s">
        <v>2593</v>
      </c>
      <c r="BV110" s="868"/>
      <c r="BW110" s="868"/>
      <c r="BX110" s="869"/>
      <c r="BY110" s="304"/>
      <c r="BZ110" s="304"/>
      <c r="CA110" s="304"/>
      <c r="CB110" s="304"/>
      <c r="CC110" s="27"/>
    </row>
    <row r="111" spans="1:81" s="8" customFormat="1" ht="40.35" customHeight="1" x14ac:dyDescent="0.3">
      <c r="A111" s="9">
        <v>137</v>
      </c>
      <c r="B111" s="183" t="s">
        <v>782</v>
      </c>
      <c r="C111" s="11" t="s">
        <v>290</v>
      </c>
      <c r="D111" s="3" t="s">
        <v>778</v>
      </c>
      <c r="E111" s="3" t="s">
        <v>12</v>
      </c>
      <c r="F111" s="381">
        <v>102</v>
      </c>
      <c r="G111" s="198" t="s">
        <v>21</v>
      </c>
      <c r="H111" s="9" t="s">
        <v>164</v>
      </c>
      <c r="I111" s="214" t="s">
        <v>283</v>
      </c>
      <c r="J111" s="9" t="s">
        <v>21</v>
      </c>
      <c r="K111" s="9" t="s">
        <v>21</v>
      </c>
      <c r="L111" s="215" t="s">
        <v>164</v>
      </c>
      <c r="M111" s="50" t="s">
        <v>779</v>
      </c>
      <c r="N111" s="50" t="s">
        <v>779</v>
      </c>
      <c r="O111" s="50"/>
      <c r="P111" s="243"/>
      <c r="Q111" s="50" t="s">
        <v>499</v>
      </c>
      <c r="R111" s="50"/>
      <c r="S111" s="50" t="s">
        <v>500</v>
      </c>
      <c r="T111" s="50" t="s">
        <v>524</v>
      </c>
      <c r="U111" s="52" t="s">
        <v>780</v>
      </c>
      <c r="V111" s="50" t="s">
        <v>503</v>
      </c>
      <c r="W111" s="50" t="s">
        <v>527</v>
      </c>
      <c r="X111" s="53" t="s">
        <v>781</v>
      </c>
      <c r="Y111" s="50"/>
      <c r="Z111" s="50"/>
      <c r="AA111" s="50" t="s">
        <v>538</v>
      </c>
      <c r="AB111" s="50" t="s">
        <v>506</v>
      </c>
      <c r="AC111" s="55">
        <v>26766</v>
      </c>
      <c r="AD111" s="48">
        <f t="shared" si="56"/>
        <v>12</v>
      </c>
      <c r="AE111" s="48">
        <f t="shared" si="57"/>
        <v>4</v>
      </c>
      <c r="AF111" s="48">
        <f t="shared" si="58"/>
        <v>1973</v>
      </c>
      <c r="AG111" s="49">
        <f t="shared" si="59"/>
        <v>48681</v>
      </c>
      <c r="AH111" s="48">
        <f t="shared" ca="1" si="60"/>
        <v>7</v>
      </c>
      <c r="AI111" s="48">
        <f t="shared" ca="1" si="61"/>
        <v>4</v>
      </c>
      <c r="AJ111" s="48">
        <f t="shared" ca="1" si="62"/>
        <v>1</v>
      </c>
      <c r="AK111" s="48" t="str">
        <f t="shared" ca="1" si="63"/>
        <v>7year/4months/1Days</v>
      </c>
      <c r="AL111" s="384"/>
      <c r="AM111" s="384"/>
      <c r="AN111" s="276"/>
      <c r="AO111" s="384"/>
      <c r="AP111" s="384"/>
      <c r="AQ111" s="384"/>
      <c r="AR111" s="384"/>
      <c r="AS111" s="384"/>
      <c r="AT111" s="384"/>
      <c r="AU111" s="384"/>
      <c r="AV111" s="384"/>
      <c r="AW111" s="384"/>
      <c r="AX111" s="384"/>
      <c r="AY111" s="50">
        <v>2019</v>
      </c>
      <c r="AZ111" s="340"/>
      <c r="BA111" s="78">
        <v>850</v>
      </c>
      <c r="BB111" s="78"/>
      <c r="BC111" s="78"/>
      <c r="BD111" s="78"/>
      <c r="BE111" s="78">
        <v>96</v>
      </c>
      <c r="BF111" s="74">
        <f t="shared" si="64"/>
        <v>11.294117647058824</v>
      </c>
      <c r="BG111" s="78" t="s">
        <v>498</v>
      </c>
      <c r="BH111" s="78" t="s">
        <v>498</v>
      </c>
      <c r="BI111" s="78">
        <v>850</v>
      </c>
      <c r="BJ111" s="95"/>
      <c r="BK111" s="95"/>
      <c r="BL111" s="151"/>
      <c r="BM111" s="867">
        <v>44866</v>
      </c>
      <c r="BN111" s="868"/>
      <c r="BO111" s="868"/>
      <c r="BP111" s="869"/>
      <c r="BQ111" s="927"/>
      <c r="BR111" s="928"/>
      <c r="BS111" s="928"/>
      <c r="BT111" s="929"/>
      <c r="BU111" s="867" t="s">
        <v>2636</v>
      </c>
      <c r="BV111" s="868"/>
      <c r="BW111" s="868"/>
      <c r="BX111" s="869"/>
      <c r="BY111" s="478"/>
      <c r="BZ111" s="478"/>
      <c r="CA111" s="478"/>
      <c r="CB111" s="478"/>
      <c r="CC111" s="27"/>
    </row>
    <row r="112" spans="1:81" s="8" customFormat="1" ht="40.35" customHeight="1" x14ac:dyDescent="0.3">
      <c r="A112" s="558">
        <v>138</v>
      </c>
      <c r="B112" s="183" t="s">
        <v>2774</v>
      </c>
      <c r="C112" s="11" t="s">
        <v>292</v>
      </c>
      <c r="D112" s="7" t="s">
        <v>1416</v>
      </c>
      <c r="E112" s="3" t="s">
        <v>12</v>
      </c>
      <c r="F112" s="3">
        <v>103</v>
      </c>
      <c r="G112" s="207" t="s">
        <v>69</v>
      </c>
      <c r="H112" s="20" t="s">
        <v>80</v>
      </c>
      <c r="I112" s="20" t="s">
        <v>293</v>
      </c>
      <c r="J112" s="20" t="s">
        <v>29</v>
      </c>
      <c r="K112" s="9" t="s">
        <v>29</v>
      </c>
      <c r="L112" s="215" t="s">
        <v>29</v>
      </c>
      <c r="M112" s="50" t="s">
        <v>2775</v>
      </c>
      <c r="N112" s="50" t="s">
        <v>498</v>
      </c>
      <c r="O112" s="51" t="s">
        <v>2776</v>
      </c>
      <c r="P112" s="255" t="s">
        <v>2777</v>
      </c>
      <c r="Q112" s="366" t="s">
        <v>499</v>
      </c>
      <c r="R112" s="50">
        <v>3</v>
      </c>
      <c r="S112" s="50" t="s">
        <v>500</v>
      </c>
      <c r="T112" s="50" t="s">
        <v>524</v>
      </c>
      <c r="U112" s="52" t="s">
        <v>535</v>
      </c>
      <c r="V112" s="50" t="s">
        <v>503</v>
      </c>
      <c r="W112" s="50" t="s">
        <v>567</v>
      </c>
      <c r="X112" s="54" t="s">
        <v>2778</v>
      </c>
      <c r="Y112" s="50" t="s">
        <v>2775</v>
      </c>
      <c r="Z112" s="113" t="s">
        <v>2779</v>
      </c>
      <c r="AA112" s="50" t="s">
        <v>538</v>
      </c>
      <c r="AB112" s="50" t="s">
        <v>506</v>
      </c>
      <c r="AC112" s="55">
        <v>28739</v>
      </c>
      <c r="AD112" s="48">
        <f t="shared" si="56"/>
        <v>6</v>
      </c>
      <c r="AE112" s="48">
        <f t="shared" si="57"/>
        <v>9</v>
      </c>
      <c r="AF112" s="48">
        <f t="shared" si="58"/>
        <v>1978</v>
      </c>
      <c r="AG112" s="49">
        <f t="shared" si="59"/>
        <v>50654</v>
      </c>
      <c r="AH112" s="48">
        <f t="shared" ca="1" si="60"/>
        <v>12</v>
      </c>
      <c r="AI112" s="48">
        <f t="shared" ca="1" si="61"/>
        <v>8</v>
      </c>
      <c r="AJ112" s="48">
        <f t="shared" ca="1" si="62"/>
        <v>26</v>
      </c>
      <c r="AK112" s="48" t="str">
        <f t="shared" ca="1" si="63"/>
        <v>12year/8months/26Days</v>
      </c>
      <c r="AL112" s="84"/>
      <c r="AM112" s="50" t="s">
        <v>1697</v>
      </c>
      <c r="AN112" s="229">
        <v>1009</v>
      </c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50">
        <v>2024</v>
      </c>
      <c r="AZ112" s="52" t="s">
        <v>1917</v>
      </c>
      <c r="BA112" s="50">
        <v>42</v>
      </c>
      <c r="BB112" s="50">
        <v>37</v>
      </c>
      <c r="BC112" s="50" t="s">
        <v>498</v>
      </c>
      <c r="BD112" s="50" t="s">
        <v>498</v>
      </c>
      <c r="BE112" s="50">
        <v>5</v>
      </c>
      <c r="BF112" s="74">
        <f t="shared" si="64"/>
        <v>11.904761904761903</v>
      </c>
      <c r="BG112" s="78" t="s">
        <v>498</v>
      </c>
      <c r="BH112" s="78" t="s">
        <v>498</v>
      </c>
      <c r="BI112" s="50">
        <v>42</v>
      </c>
      <c r="BJ112" s="50" t="s">
        <v>498</v>
      </c>
      <c r="BK112" s="50" t="s">
        <v>498</v>
      </c>
      <c r="BL112" s="151">
        <v>45602</v>
      </c>
      <c r="BM112" s="867" t="s">
        <v>1864</v>
      </c>
      <c r="BN112" s="868"/>
      <c r="BO112" s="868"/>
      <c r="BP112" s="869"/>
      <c r="BQ112" s="305"/>
      <c r="BR112" s="305"/>
      <c r="BS112" s="305"/>
      <c r="BT112" s="305"/>
      <c r="BU112" s="867" t="s">
        <v>2636</v>
      </c>
      <c r="BV112" s="868"/>
      <c r="BW112" s="868"/>
      <c r="BX112" s="869"/>
      <c r="BY112" s="870" t="s">
        <v>2649</v>
      </c>
      <c r="BZ112" s="871"/>
      <c r="CA112" s="871"/>
      <c r="CB112" s="872"/>
      <c r="CC112" s="27"/>
    </row>
    <row r="113" spans="1:81" s="656" customFormat="1" ht="40.35" customHeight="1" x14ac:dyDescent="0.25">
      <c r="A113" s="636">
        <v>139</v>
      </c>
      <c r="B113" s="657" t="s">
        <v>1150</v>
      </c>
      <c r="C113" s="658" t="s">
        <v>295</v>
      </c>
      <c r="D113" s="451" t="s">
        <v>1151</v>
      </c>
      <c r="E113" s="451" t="s">
        <v>12</v>
      </c>
      <c r="F113" s="444">
        <v>104</v>
      </c>
      <c r="G113" s="640" t="s">
        <v>26</v>
      </c>
      <c r="H113" s="636" t="s">
        <v>30</v>
      </c>
      <c r="I113" s="636" t="s">
        <v>296</v>
      </c>
      <c r="J113" s="636" t="s">
        <v>29</v>
      </c>
      <c r="K113" s="636" t="s">
        <v>30</v>
      </c>
      <c r="L113" s="641" t="s">
        <v>30</v>
      </c>
      <c r="M113" s="642" t="s">
        <v>1144</v>
      </c>
      <c r="N113" s="642" t="s">
        <v>498</v>
      </c>
      <c r="O113" s="672" t="s">
        <v>1145</v>
      </c>
      <c r="P113" s="644" t="s">
        <v>1146</v>
      </c>
      <c r="Q113" s="642" t="s">
        <v>499</v>
      </c>
      <c r="R113" s="642">
        <v>2</v>
      </c>
      <c r="S113" s="642" t="s">
        <v>500</v>
      </c>
      <c r="T113" s="642" t="s">
        <v>524</v>
      </c>
      <c r="U113" s="661" t="s">
        <v>525</v>
      </c>
      <c r="V113" s="648" t="s">
        <v>589</v>
      </c>
      <c r="W113" s="642" t="s">
        <v>542</v>
      </c>
      <c r="X113" s="662" t="s">
        <v>1147</v>
      </c>
      <c r="Y113" s="642" t="s">
        <v>1148</v>
      </c>
      <c r="Z113" s="648" t="s">
        <v>1149</v>
      </c>
      <c r="AA113" s="642" t="s">
        <v>562</v>
      </c>
      <c r="AB113" s="642" t="s">
        <v>710</v>
      </c>
      <c r="AC113" s="649">
        <v>25491</v>
      </c>
      <c r="AD113" s="650">
        <f t="shared" ref="AD113" si="100">DAY(AC113)</f>
        <v>15</v>
      </c>
      <c r="AE113" s="650">
        <f t="shared" ref="AE113" si="101">MONTH(AC113)</f>
        <v>10</v>
      </c>
      <c r="AF113" s="650">
        <f t="shared" ref="AF113" si="102">YEAR(AC113)</f>
        <v>1969</v>
      </c>
      <c r="AG113" s="651">
        <f t="shared" si="59"/>
        <v>47406</v>
      </c>
      <c r="AH113" s="650">
        <f t="shared" ref="AH113" ca="1" si="103">DATEDIF($A$4,AG113, "Y" )</f>
        <v>3</v>
      </c>
      <c r="AI113" s="650">
        <f t="shared" ref="AI113" ca="1" si="104">DATEDIF($A$4,AG113, "YM" )</f>
        <v>10</v>
      </c>
      <c r="AJ113" s="650">
        <f t="shared" ref="AJ113" ca="1" si="105">DATEDIF($A$4,AG113, "MD" )</f>
        <v>4</v>
      </c>
      <c r="AK113" s="650" t="str">
        <f t="shared" ca="1" si="63"/>
        <v>3year/10months/4Days</v>
      </c>
      <c r="AL113" s="788"/>
      <c r="AM113" s="642" t="s">
        <v>1698</v>
      </c>
      <c r="AN113" s="451">
        <v>2371</v>
      </c>
      <c r="AO113" s="788"/>
      <c r="AP113" s="788"/>
      <c r="AQ113" s="788"/>
      <c r="AR113" s="788"/>
      <c r="AS113" s="788"/>
      <c r="AT113" s="788"/>
      <c r="AU113" s="788"/>
      <c r="AV113" s="788"/>
      <c r="AW113" s="788"/>
      <c r="AX113" s="788"/>
      <c r="AY113" s="642">
        <v>2024</v>
      </c>
      <c r="AZ113" s="645">
        <v>1</v>
      </c>
      <c r="BA113" s="642">
        <v>147</v>
      </c>
      <c r="BB113" s="642" t="s">
        <v>498</v>
      </c>
      <c r="BC113" s="642">
        <v>2</v>
      </c>
      <c r="BD113" s="642" t="s">
        <v>498</v>
      </c>
      <c r="BE113" s="642">
        <v>143</v>
      </c>
      <c r="BF113" s="653">
        <f t="shared" si="64"/>
        <v>97.278911564625844</v>
      </c>
      <c r="BG113" s="652">
        <v>2</v>
      </c>
      <c r="BH113" s="652" t="s">
        <v>498</v>
      </c>
      <c r="BI113" s="642">
        <v>144</v>
      </c>
      <c r="BJ113" s="642">
        <v>3</v>
      </c>
      <c r="BK113" s="642" t="s">
        <v>498</v>
      </c>
      <c r="BL113" s="654">
        <v>45604</v>
      </c>
      <c r="BM113" s="873" t="s">
        <v>1864</v>
      </c>
      <c r="BN113" s="874"/>
      <c r="BO113" s="874"/>
      <c r="BP113" s="875"/>
      <c r="BQ113" s="715"/>
      <c r="BR113" s="715"/>
      <c r="BS113" s="715"/>
      <c r="BT113" s="715"/>
      <c r="BU113" s="873" t="s">
        <v>2636</v>
      </c>
      <c r="BV113" s="874"/>
      <c r="BW113" s="874"/>
      <c r="BX113" s="875"/>
      <c r="BY113" s="900" t="s">
        <v>2649</v>
      </c>
      <c r="BZ113" s="901"/>
      <c r="CA113" s="901"/>
      <c r="CB113" s="902"/>
      <c r="CC113" s="655"/>
    </row>
    <row r="114" spans="1:81" s="8" customFormat="1" ht="40.35" customHeight="1" x14ac:dyDescent="0.3">
      <c r="A114" s="558">
        <v>140</v>
      </c>
      <c r="B114" s="183" t="s">
        <v>1153</v>
      </c>
      <c r="C114" s="11" t="s">
        <v>298</v>
      </c>
      <c r="D114" s="7" t="s">
        <v>1154</v>
      </c>
      <c r="E114" s="3" t="s">
        <v>12</v>
      </c>
      <c r="F114" s="3">
        <v>105</v>
      </c>
      <c r="G114" s="198" t="s">
        <v>69</v>
      </c>
      <c r="H114" s="9" t="s">
        <v>125</v>
      </c>
      <c r="I114" s="9" t="s">
        <v>299</v>
      </c>
      <c r="J114" s="9" t="s">
        <v>29</v>
      </c>
      <c r="K114" s="9" t="s">
        <v>98</v>
      </c>
      <c r="L114" s="215" t="s">
        <v>125</v>
      </c>
      <c r="M114" s="50" t="s">
        <v>1152</v>
      </c>
      <c r="N114" s="50" t="s">
        <v>498</v>
      </c>
      <c r="O114" s="51" t="s">
        <v>2794</v>
      </c>
      <c r="P114" s="243" t="s">
        <v>2795</v>
      </c>
      <c r="Q114" s="50" t="s">
        <v>499</v>
      </c>
      <c r="R114" s="50">
        <v>2</v>
      </c>
      <c r="S114" s="50" t="s">
        <v>500</v>
      </c>
      <c r="T114" s="50" t="s">
        <v>524</v>
      </c>
      <c r="U114" s="97" t="s">
        <v>525</v>
      </c>
      <c r="V114" s="60" t="s">
        <v>646</v>
      </c>
      <c r="W114" s="50" t="s">
        <v>542</v>
      </c>
      <c r="X114" s="70" t="s">
        <v>2797</v>
      </c>
      <c r="Y114" s="50" t="s">
        <v>2798</v>
      </c>
      <c r="Z114" s="60" t="s">
        <v>2799</v>
      </c>
      <c r="AA114" s="50" t="s">
        <v>538</v>
      </c>
      <c r="AB114" s="50" t="s">
        <v>506</v>
      </c>
      <c r="AC114" s="55">
        <v>25763</v>
      </c>
      <c r="AD114" s="48">
        <f t="shared" si="56"/>
        <v>14</v>
      </c>
      <c r="AE114" s="48">
        <f t="shared" si="57"/>
        <v>7</v>
      </c>
      <c r="AF114" s="48">
        <f t="shared" si="58"/>
        <v>1970</v>
      </c>
      <c r="AG114" s="49">
        <f t="shared" si="59"/>
        <v>47678</v>
      </c>
      <c r="AH114" s="48">
        <f t="shared" ca="1" si="60"/>
        <v>4</v>
      </c>
      <c r="AI114" s="48">
        <f t="shared" ca="1" si="61"/>
        <v>7</v>
      </c>
      <c r="AJ114" s="48">
        <f t="shared" ca="1" si="62"/>
        <v>3</v>
      </c>
      <c r="AK114" s="48" t="str">
        <f t="shared" ca="1" si="63"/>
        <v>4year/7months/3Days</v>
      </c>
      <c r="AL114" s="384"/>
      <c r="AM114" s="384" t="s">
        <v>1699</v>
      </c>
      <c r="AN114" s="276">
        <v>2072</v>
      </c>
      <c r="AO114" s="384"/>
      <c r="AP114" s="384"/>
      <c r="AQ114" s="384"/>
      <c r="AR114" s="384"/>
      <c r="AS114" s="384"/>
      <c r="AT114" s="384"/>
      <c r="AU114" s="384"/>
      <c r="AV114" s="384"/>
      <c r="AW114" s="384"/>
      <c r="AX114" s="384"/>
      <c r="AY114" s="50">
        <v>2024</v>
      </c>
      <c r="AZ114" s="52" t="s">
        <v>1917</v>
      </c>
      <c r="BA114" s="50">
        <v>392</v>
      </c>
      <c r="BB114" s="50">
        <v>162</v>
      </c>
      <c r="BC114" s="50">
        <v>29</v>
      </c>
      <c r="BD114" s="50">
        <v>29</v>
      </c>
      <c r="BE114" s="50">
        <v>152</v>
      </c>
      <c r="BF114" s="74">
        <f t="shared" si="64"/>
        <v>38.775510204081634</v>
      </c>
      <c r="BG114" s="78">
        <v>19</v>
      </c>
      <c r="BH114" s="78" t="s">
        <v>498</v>
      </c>
      <c r="BI114" s="50">
        <v>392</v>
      </c>
      <c r="BJ114" s="50" t="s">
        <v>498</v>
      </c>
      <c r="BK114" s="50" t="s">
        <v>498</v>
      </c>
      <c r="BL114" s="76">
        <v>45624</v>
      </c>
      <c r="BM114" s="379"/>
      <c r="BN114" s="379"/>
      <c r="BO114" s="379"/>
      <c r="BP114" s="379"/>
      <c r="BQ114" s="321"/>
      <c r="BR114" s="321"/>
      <c r="BS114" s="321"/>
      <c r="BT114" s="321"/>
      <c r="BU114" s="867" t="s">
        <v>2600</v>
      </c>
      <c r="BV114" s="868"/>
      <c r="BW114" s="868"/>
      <c r="BX114" s="869"/>
      <c r="BY114" s="870" t="s">
        <v>2796</v>
      </c>
      <c r="BZ114" s="871"/>
      <c r="CA114" s="871"/>
      <c r="CB114" s="872"/>
      <c r="CC114" s="27"/>
    </row>
    <row r="115" spans="1:81" s="8" customFormat="1" ht="40.35" customHeight="1" x14ac:dyDescent="0.3">
      <c r="A115" s="9">
        <v>141</v>
      </c>
      <c r="B115" s="118" t="s">
        <v>1417</v>
      </c>
      <c r="C115" s="13" t="s">
        <v>301</v>
      </c>
      <c r="D115" s="3" t="s">
        <v>1418</v>
      </c>
      <c r="E115" s="3" t="s">
        <v>12</v>
      </c>
      <c r="F115" s="381">
        <v>106</v>
      </c>
      <c r="G115" s="198" t="s">
        <v>13</v>
      </c>
      <c r="H115" s="9" t="s">
        <v>14</v>
      </c>
      <c r="I115" s="9" t="s">
        <v>302</v>
      </c>
      <c r="J115" s="9" t="s">
        <v>14</v>
      </c>
      <c r="K115" s="9" t="s">
        <v>302</v>
      </c>
      <c r="L115" s="215" t="s">
        <v>302</v>
      </c>
      <c r="M115" s="29" t="s">
        <v>571</v>
      </c>
      <c r="N115" s="32" t="s">
        <v>498</v>
      </c>
      <c r="O115" s="66" t="s">
        <v>572</v>
      </c>
      <c r="P115" s="256"/>
      <c r="Q115" s="29" t="s">
        <v>499</v>
      </c>
      <c r="R115" s="29" t="s">
        <v>557</v>
      </c>
      <c r="S115" s="29" t="s">
        <v>573</v>
      </c>
      <c r="T115" s="50" t="s">
        <v>524</v>
      </c>
      <c r="U115" s="34" t="s">
        <v>561</v>
      </c>
      <c r="V115" s="368" t="s">
        <v>503</v>
      </c>
      <c r="W115" s="29" t="s">
        <v>574</v>
      </c>
      <c r="X115" s="30" t="s">
        <v>575</v>
      </c>
      <c r="Y115" s="29" t="s">
        <v>576</v>
      </c>
      <c r="Z115" s="67" t="s">
        <v>577</v>
      </c>
      <c r="AA115" s="29" t="s">
        <v>578</v>
      </c>
      <c r="AB115" s="50" t="s">
        <v>506</v>
      </c>
      <c r="AC115" s="55">
        <v>26770</v>
      </c>
      <c r="AD115" s="48">
        <f t="shared" si="56"/>
        <v>16</v>
      </c>
      <c r="AE115" s="48">
        <f t="shared" si="57"/>
        <v>4</v>
      </c>
      <c r="AF115" s="48">
        <f t="shared" si="58"/>
        <v>1973</v>
      </c>
      <c r="AG115" s="49">
        <f t="shared" si="59"/>
        <v>48685</v>
      </c>
      <c r="AH115" s="48">
        <f t="shared" ca="1" si="60"/>
        <v>7</v>
      </c>
      <c r="AI115" s="48">
        <f t="shared" ca="1" si="61"/>
        <v>4</v>
      </c>
      <c r="AJ115" s="48">
        <f t="shared" ca="1" si="62"/>
        <v>5</v>
      </c>
      <c r="AK115" s="48" t="str">
        <f t="shared" ca="1" si="63"/>
        <v>7year/4months/5Days</v>
      </c>
      <c r="AL115" s="29"/>
      <c r="AM115" s="29" t="s">
        <v>1700</v>
      </c>
      <c r="AN115" s="3">
        <v>232</v>
      </c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32"/>
      <c r="AZ115" s="339"/>
      <c r="BA115" s="73"/>
      <c r="BB115" s="72"/>
      <c r="BC115" s="72"/>
      <c r="BD115" s="72"/>
      <c r="BE115" s="73"/>
      <c r="BF115" s="74" t="e">
        <f t="shared" si="64"/>
        <v>#DIV/0!</v>
      </c>
      <c r="BG115" s="78" t="s">
        <v>498</v>
      </c>
      <c r="BH115" s="78" t="s">
        <v>498</v>
      </c>
      <c r="BI115" s="72"/>
      <c r="BJ115" s="72"/>
      <c r="BK115" s="72"/>
      <c r="BL115" s="351"/>
      <c r="BM115" s="867" t="s">
        <v>1854</v>
      </c>
      <c r="BN115" s="868"/>
      <c r="BO115" s="868"/>
      <c r="BP115" s="869"/>
      <c r="BQ115" s="304"/>
      <c r="BR115" s="304"/>
      <c r="BS115" s="304"/>
      <c r="BT115" s="304"/>
      <c r="BU115" s="867" t="s">
        <v>2636</v>
      </c>
      <c r="BV115" s="868"/>
      <c r="BW115" s="868"/>
      <c r="BX115" s="869"/>
      <c r="BY115" s="304"/>
      <c r="BZ115" s="304"/>
      <c r="CA115" s="304"/>
      <c r="CB115" s="304"/>
      <c r="CC115" s="27"/>
    </row>
    <row r="116" spans="1:81" s="8" customFormat="1" ht="40.35" customHeight="1" x14ac:dyDescent="0.25">
      <c r="A116" s="558">
        <v>142</v>
      </c>
      <c r="B116" s="183" t="s">
        <v>787</v>
      </c>
      <c r="C116" s="11" t="s">
        <v>304</v>
      </c>
      <c r="D116" s="7" t="s">
        <v>2749</v>
      </c>
      <c r="E116" s="3" t="s">
        <v>12</v>
      </c>
      <c r="F116" s="3">
        <v>107</v>
      </c>
      <c r="G116" s="198" t="s">
        <v>21</v>
      </c>
      <c r="H116" s="9" t="s">
        <v>164</v>
      </c>
      <c r="I116" s="9" t="s">
        <v>305</v>
      </c>
      <c r="J116" s="9" t="s">
        <v>21</v>
      </c>
      <c r="K116" s="9" t="s">
        <v>21</v>
      </c>
      <c r="L116" s="240" t="s">
        <v>164</v>
      </c>
      <c r="M116" s="50" t="s">
        <v>783</v>
      </c>
      <c r="N116" s="50" t="s">
        <v>498</v>
      </c>
      <c r="O116" s="51" t="s">
        <v>784</v>
      </c>
      <c r="P116" s="244" t="s">
        <v>1940</v>
      </c>
      <c r="Q116" s="50" t="s">
        <v>499</v>
      </c>
      <c r="R116" s="50">
        <v>2</v>
      </c>
      <c r="S116" s="50" t="s">
        <v>500</v>
      </c>
      <c r="T116" s="50" t="s">
        <v>524</v>
      </c>
      <c r="U116" s="52" t="s">
        <v>672</v>
      </c>
      <c r="V116" s="50" t="s">
        <v>503</v>
      </c>
      <c r="W116" s="50" t="s">
        <v>527</v>
      </c>
      <c r="X116" s="53" t="s">
        <v>785</v>
      </c>
      <c r="Y116" s="60" t="s">
        <v>786</v>
      </c>
      <c r="Z116" s="60" t="s">
        <v>1941</v>
      </c>
      <c r="AA116" s="50" t="s">
        <v>538</v>
      </c>
      <c r="AB116" s="50" t="s">
        <v>506</v>
      </c>
      <c r="AC116" s="55">
        <v>27701</v>
      </c>
      <c r="AD116" s="48">
        <f t="shared" si="56"/>
        <v>3</v>
      </c>
      <c r="AE116" s="48">
        <f t="shared" si="57"/>
        <v>11</v>
      </c>
      <c r="AF116" s="48">
        <f t="shared" si="58"/>
        <v>1975</v>
      </c>
      <c r="AG116" s="49">
        <f t="shared" si="59"/>
        <v>49616</v>
      </c>
      <c r="AH116" s="48">
        <f t="shared" ca="1" si="60"/>
        <v>9</v>
      </c>
      <c r="AI116" s="48">
        <f t="shared" ca="1" si="61"/>
        <v>10</v>
      </c>
      <c r="AJ116" s="48">
        <f t="shared" ca="1" si="62"/>
        <v>23</v>
      </c>
      <c r="AK116" s="48" t="str">
        <f t="shared" ca="1" si="63"/>
        <v>9year/10months/23Days</v>
      </c>
      <c r="AL116" s="384"/>
      <c r="AM116" s="384" t="s">
        <v>1701</v>
      </c>
      <c r="AN116" s="276">
        <v>842</v>
      </c>
      <c r="AO116" s="357">
        <v>12951</v>
      </c>
      <c r="AP116" s="384" t="s">
        <v>2060</v>
      </c>
      <c r="AQ116" s="384" t="s">
        <v>2048</v>
      </c>
      <c r="AR116" s="384">
        <v>1960</v>
      </c>
      <c r="AS116" s="384">
        <v>507</v>
      </c>
      <c r="AT116" s="384">
        <v>409</v>
      </c>
      <c r="AU116" s="384">
        <v>80.67</v>
      </c>
      <c r="AV116" s="384">
        <v>564</v>
      </c>
      <c r="AW116" s="384">
        <v>465</v>
      </c>
      <c r="AX116" s="384">
        <v>82.44</v>
      </c>
      <c r="AY116" s="50">
        <v>2024</v>
      </c>
      <c r="AZ116" s="107" t="s">
        <v>1917</v>
      </c>
      <c r="BA116" s="78">
        <v>312</v>
      </c>
      <c r="BB116" s="78">
        <v>119</v>
      </c>
      <c r="BC116" s="78">
        <v>3</v>
      </c>
      <c r="BD116" s="78">
        <v>41</v>
      </c>
      <c r="BE116" s="78">
        <v>144</v>
      </c>
      <c r="BF116" s="74">
        <f t="shared" si="64"/>
        <v>46.153846153846153</v>
      </c>
      <c r="BG116" s="78">
        <v>4</v>
      </c>
      <c r="BH116" s="78" t="s">
        <v>498</v>
      </c>
      <c r="BI116" s="78">
        <v>312</v>
      </c>
      <c r="BJ116" s="50" t="s">
        <v>498</v>
      </c>
      <c r="BK116" s="50" t="s">
        <v>498</v>
      </c>
      <c r="BL116" s="76">
        <v>45600</v>
      </c>
      <c r="BM116" s="867" t="s">
        <v>1799</v>
      </c>
      <c r="BN116" s="868"/>
      <c r="BO116" s="868"/>
      <c r="BP116" s="869"/>
      <c r="BQ116" s="870" t="s">
        <v>1850</v>
      </c>
      <c r="BR116" s="871"/>
      <c r="BS116" s="871"/>
      <c r="BT116" s="872"/>
      <c r="BU116" s="867" t="s">
        <v>2636</v>
      </c>
      <c r="BV116" s="868"/>
      <c r="BW116" s="868"/>
      <c r="BX116" s="869"/>
      <c r="BY116" s="870" t="s">
        <v>2750</v>
      </c>
      <c r="BZ116" s="871"/>
      <c r="CA116" s="871"/>
      <c r="CB116" s="872"/>
      <c r="CC116" s="27"/>
    </row>
    <row r="117" spans="1:81" s="8" customFormat="1" ht="40.35" customHeight="1" x14ac:dyDescent="0.25">
      <c r="A117" s="553">
        <v>143</v>
      </c>
      <c r="B117" s="118" t="s">
        <v>1157</v>
      </c>
      <c r="C117" s="13" t="s">
        <v>307</v>
      </c>
      <c r="D117" s="3" t="s">
        <v>1158</v>
      </c>
      <c r="E117" s="3" t="s">
        <v>12</v>
      </c>
      <c r="F117" s="381">
        <v>108</v>
      </c>
      <c r="G117" s="198" t="s">
        <v>26</v>
      </c>
      <c r="H117" s="9" t="s">
        <v>31</v>
      </c>
      <c r="I117" s="9" t="s">
        <v>157</v>
      </c>
      <c r="J117" s="9" t="s">
        <v>29</v>
      </c>
      <c r="K117" s="215" t="s">
        <v>38</v>
      </c>
      <c r="L117" s="3" t="s">
        <v>39</v>
      </c>
      <c r="M117" s="116" t="s">
        <v>1155</v>
      </c>
      <c r="N117" s="50" t="s">
        <v>498</v>
      </c>
      <c r="O117" s="51" t="s">
        <v>2652</v>
      </c>
      <c r="P117" s="243" t="s">
        <v>1156</v>
      </c>
      <c r="Q117" s="50" t="s">
        <v>499</v>
      </c>
      <c r="R117" s="50">
        <v>3</v>
      </c>
      <c r="S117" s="50" t="s">
        <v>500</v>
      </c>
      <c r="T117" s="50" t="s">
        <v>524</v>
      </c>
      <c r="U117" s="97" t="s">
        <v>658</v>
      </c>
      <c r="V117" s="60" t="s">
        <v>589</v>
      </c>
      <c r="W117" s="50" t="s">
        <v>585</v>
      </c>
      <c r="X117" s="70" t="s">
        <v>2848</v>
      </c>
      <c r="Y117" s="60" t="s">
        <v>2849</v>
      </c>
      <c r="Z117" s="50"/>
      <c r="AA117" s="50" t="s">
        <v>562</v>
      </c>
      <c r="AB117" s="50" t="s">
        <v>710</v>
      </c>
      <c r="AC117" s="55"/>
      <c r="AD117" s="48">
        <f t="shared" si="56"/>
        <v>0</v>
      </c>
      <c r="AE117" s="48">
        <f t="shared" si="57"/>
        <v>1</v>
      </c>
      <c r="AF117" s="48">
        <f t="shared" si="58"/>
        <v>1900</v>
      </c>
      <c r="AG117" s="49">
        <f t="shared" si="59"/>
        <v>21915</v>
      </c>
      <c r="AH117" s="48" t="e">
        <f t="shared" ca="1" si="60"/>
        <v>#NUM!</v>
      </c>
      <c r="AI117" s="48" t="e">
        <f t="shared" ca="1" si="61"/>
        <v>#NUM!</v>
      </c>
      <c r="AJ117" s="48" t="e">
        <f t="shared" ca="1" si="62"/>
        <v>#NUM!</v>
      </c>
      <c r="AK117" s="48" t="e">
        <f t="shared" ca="1" si="63"/>
        <v>#NUM!</v>
      </c>
      <c r="AL117" s="50"/>
      <c r="AM117" s="50" t="s">
        <v>1702</v>
      </c>
      <c r="AN117" s="229">
        <v>2307</v>
      </c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>
        <v>2024</v>
      </c>
      <c r="AZ117" s="107">
        <v>1</v>
      </c>
      <c r="BA117" s="78">
        <v>184</v>
      </c>
      <c r="BB117" s="78">
        <v>151</v>
      </c>
      <c r="BC117" s="78" t="s">
        <v>498</v>
      </c>
      <c r="BD117" s="78" t="s">
        <v>498</v>
      </c>
      <c r="BE117" s="78">
        <v>33</v>
      </c>
      <c r="BF117" s="74">
        <f t="shared" si="64"/>
        <v>17.934782608695652</v>
      </c>
      <c r="BG117" s="78" t="s">
        <v>498</v>
      </c>
      <c r="BH117" s="78" t="s">
        <v>498</v>
      </c>
      <c r="BI117" s="78">
        <v>184</v>
      </c>
      <c r="BJ117" s="50" t="s">
        <v>498</v>
      </c>
      <c r="BK117" s="50" t="s">
        <v>498</v>
      </c>
      <c r="BL117" s="76">
        <v>45553</v>
      </c>
      <c r="BM117" s="379"/>
      <c r="BN117" s="379"/>
      <c r="BO117" s="379"/>
      <c r="BP117" s="379"/>
      <c r="BQ117" s="318"/>
      <c r="BR117" s="318"/>
      <c r="BS117" s="318"/>
      <c r="BT117" s="318"/>
      <c r="BU117" s="867" t="s">
        <v>2600</v>
      </c>
      <c r="BV117" s="868"/>
      <c r="BW117" s="868"/>
      <c r="BX117" s="869"/>
      <c r="BY117" s="888" t="s">
        <v>2653</v>
      </c>
      <c r="BZ117" s="889"/>
      <c r="CA117" s="889"/>
      <c r="CB117" s="890"/>
      <c r="CC117" s="27"/>
    </row>
    <row r="118" spans="1:81" s="8" customFormat="1" ht="40.35" customHeight="1" x14ac:dyDescent="0.3">
      <c r="A118" s="9">
        <v>144</v>
      </c>
      <c r="B118" s="185" t="s">
        <v>1164</v>
      </c>
      <c r="C118" s="19" t="s">
        <v>309</v>
      </c>
      <c r="D118" s="7" t="s">
        <v>1165</v>
      </c>
      <c r="E118" s="3" t="s">
        <v>12</v>
      </c>
      <c r="F118" s="3">
        <v>109</v>
      </c>
      <c r="G118" s="198" t="s">
        <v>69</v>
      </c>
      <c r="H118" s="202" t="s">
        <v>67</v>
      </c>
      <c r="I118" s="20" t="s">
        <v>310</v>
      </c>
      <c r="J118" s="20" t="s">
        <v>29</v>
      </c>
      <c r="K118" s="20" t="s">
        <v>30</v>
      </c>
      <c r="L118" s="241" t="s">
        <v>69</v>
      </c>
      <c r="M118" s="50" t="s">
        <v>1159</v>
      </c>
      <c r="N118" s="50"/>
      <c r="O118" s="51" t="s">
        <v>1160</v>
      </c>
      <c r="P118" s="244"/>
      <c r="Q118" s="50" t="s">
        <v>499</v>
      </c>
      <c r="R118" s="50">
        <v>3</v>
      </c>
      <c r="S118" s="50" t="s">
        <v>500</v>
      </c>
      <c r="T118" s="50" t="s">
        <v>524</v>
      </c>
      <c r="U118" s="97" t="s">
        <v>910</v>
      </c>
      <c r="V118" s="50" t="s">
        <v>503</v>
      </c>
      <c r="W118" s="50" t="s">
        <v>585</v>
      </c>
      <c r="X118" s="70" t="s">
        <v>1161</v>
      </c>
      <c r="Y118" s="50" t="s">
        <v>1162</v>
      </c>
      <c r="Z118" s="50" t="s">
        <v>1163</v>
      </c>
      <c r="AA118" s="50" t="s">
        <v>958</v>
      </c>
      <c r="AB118" s="50" t="s">
        <v>710</v>
      </c>
      <c r="AC118" s="55">
        <v>26894</v>
      </c>
      <c r="AD118" s="48">
        <f t="shared" si="56"/>
        <v>18</v>
      </c>
      <c r="AE118" s="48">
        <f t="shared" si="57"/>
        <v>8</v>
      </c>
      <c r="AF118" s="48">
        <f t="shared" si="58"/>
        <v>1973</v>
      </c>
      <c r="AG118" s="49">
        <f t="shared" si="59"/>
        <v>48809</v>
      </c>
      <c r="AH118" s="48">
        <f t="shared" ca="1" si="60"/>
        <v>7</v>
      </c>
      <c r="AI118" s="48">
        <f t="shared" ca="1" si="61"/>
        <v>8</v>
      </c>
      <c r="AJ118" s="48">
        <f t="shared" ca="1" si="62"/>
        <v>7</v>
      </c>
      <c r="AK118" s="48" t="str">
        <f t="shared" ca="1" si="63"/>
        <v>7year/8months/7Days</v>
      </c>
      <c r="AL118" s="384"/>
      <c r="AM118" s="384" t="s">
        <v>1703</v>
      </c>
      <c r="AN118" s="276">
        <v>1119</v>
      </c>
      <c r="AO118" s="384"/>
      <c r="AP118" s="384"/>
      <c r="AQ118" s="384"/>
      <c r="AR118" s="384"/>
      <c r="AS118" s="384"/>
      <c r="AT118" s="384"/>
      <c r="AU118" s="384"/>
      <c r="AV118" s="384"/>
      <c r="AW118" s="384"/>
      <c r="AX118" s="384"/>
      <c r="AY118" s="50"/>
      <c r="AZ118" s="340"/>
      <c r="BA118" s="95"/>
      <c r="BB118" s="95"/>
      <c r="BC118" s="95"/>
      <c r="BD118" s="95"/>
      <c r="BE118" s="95"/>
      <c r="BF118" s="74"/>
      <c r="BG118" s="78" t="s">
        <v>498</v>
      </c>
      <c r="BH118" s="78" t="s">
        <v>498</v>
      </c>
      <c r="BI118" s="95"/>
      <c r="BJ118" s="95"/>
      <c r="BK118" s="95"/>
      <c r="BL118" s="76">
        <v>44636</v>
      </c>
      <c r="BM118" s="379"/>
      <c r="BN118" s="379"/>
      <c r="BO118" s="379"/>
      <c r="BP118" s="379"/>
      <c r="BQ118" s="305"/>
      <c r="BR118" s="305"/>
      <c r="BS118" s="305"/>
      <c r="BT118" s="305"/>
      <c r="BU118" s="867" t="s">
        <v>2639</v>
      </c>
      <c r="BV118" s="868"/>
      <c r="BW118" s="868"/>
      <c r="BX118" s="869"/>
      <c r="BY118" s="305"/>
      <c r="BZ118" s="305"/>
      <c r="CA118" s="305"/>
      <c r="CB118" s="305"/>
      <c r="CC118" s="27"/>
    </row>
    <row r="119" spans="1:81" s="23" customFormat="1" ht="40.35" customHeight="1" x14ac:dyDescent="0.3">
      <c r="A119" s="20">
        <v>145</v>
      </c>
      <c r="B119" s="185" t="s">
        <v>1419</v>
      </c>
      <c r="C119" s="19" t="s">
        <v>312</v>
      </c>
      <c r="D119" s="22" t="s">
        <v>1420</v>
      </c>
      <c r="E119" s="22" t="s">
        <v>12</v>
      </c>
      <c r="F119" s="381">
        <v>110</v>
      </c>
      <c r="G119" s="198" t="s">
        <v>13</v>
      </c>
      <c r="H119" s="9" t="s">
        <v>29</v>
      </c>
      <c r="I119" s="9" t="s">
        <v>313</v>
      </c>
      <c r="J119" s="9" t="s">
        <v>29</v>
      </c>
      <c r="K119" s="9" t="s">
        <v>29</v>
      </c>
      <c r="L119" s="215" t="s">
        <v>29</v>
      </c>
      <c r="M119" s="50" t="s">
        <v>1517</v>
      </c>
      <c r="N119" s="50"/>
      <c r="O119" s="50"/>
      <c r="P119" s="243"/>
      <c r="Q119" s="50" t="s">
        <v>499</v>
      </c>
      <c r="R119" s="50" t="s">
        <v>560</v>
      </c>
      <c r="S119" s="50" t="s">
        <v>500</v>
      </c>
      <c r="T119" s="50" t="s">
        <v>524</v>
      </c>
      <c r="U119" s="52"/>
      <c r="V119" s="50" t="s">
        <v>589</v>
      </c>
      <c r="W119" s="50"/>
      <c r="X119" s="70" t="s">
        <v>1518</v>
      </c>
      <c r="Y119" s="50"/>
      <c r="Z119" s="50"/>
      <c r="AA119" s="50" t="s">
        <v>709</v>
      </c>
      <c r="AB119" s="50" t="s">
        <v>506</v>
      </c>
      <c r="AC119" s="55">
        <v>26774</v>
      </c>
      <c r="AD119" s="48">
        <f t="shared" si="56"/>
        <v>20</v>
      </c>
      <c r="AE119" s="48">
        <f t="shared" si="57"/>
        <v>4</v>
      </c>
      <c r="AF119" s="48">
        <f t="shared" si="58"/>
        <v>1973</v>
      </c>
      <c r="AG119" s="49">
        <f t="shared" si="59"/>
        <v>48689</v>
      </c>
      <c r="AH119" s="48">
        <f t="shared" ca="1" si="60"/>
        <v>7</v>
      </c>
      <c r="AI119" s="48">
        <f t="shared" ca="1" si="61"/>
        <v>4</v>
      </c>
      <c r="AJ119" s="48">
        <f t="shared" ca="1" si="62"/>
        <v>9</v>
      </c>
      <c r="AK119" s="48" t="str">
        <f t="shared" ca="1" si="63"/>
        <v>7year/4months/9Days</v>
      </c>
      <c r="AL119" s="384"/>
      <c r="AM119" s="384" t="s">
        <v>1704</v>
      </c>
      <c r="AN119" s="276">
        <v>536</v>
      </c>
      <c r="AO119" s="384"/>
      <c r="AP119" s="384"/>
      <c r="AQ119" s="384"/>
      <c r="AR119" s="384"/>
      <c r="AS119" s="384"/>
      <c r="AT119" s="384"/>
      <c r="AU119" s="384"/>
      <c r="AV119" s="384"/>
      <c r="AW119" s="384"/>
      <c r="AX119" s="384"/>
      <c r="AY119" s="50"/>
      <c r="AZ119" s="340"/>
      <c r="BA119" s="95"/>
      <c r="BB119" s="95"/>
      <c r="BC119" s="95"/>
      <c r="BD119" s="95"/>
      <c r="BE119" s="95"/>
      <c r="BF119" s="74"/>
      <c r="BG119" s="78" t="s">
        <v>498</v>
      </c>
      <c r="BH119" s="78" t="s">
        <v>498</v>
      </c>
      <c r="BI119" s="95"/>
      <c r="BJ119" s="95"/>
      <c r="BK119" s="95"/>
      <c r="BL119" s="151"/>
      <c r="BM119" s="313"/>
      <c r="BN119" s="305"/>
      <c r="BO119" s="305"/>
      <c r="BP119" s="305"/>
      <c r="BQ119" s="305"/>
      <c r="BR119" s="305"/>
      <c r="BS119" s="305"/>
      <c r="BT119" s="305"/>
      <c r="BU119" s="867" t="s">
        <v>2636</v>
      </c>
      <c r="BV119" s="868"/>
      <c r="BW119" s="868"/>
      <c r="BX119" s="869"/>
      <c r="BY119" s="305"/>
      <c r="BZ119" s="305"/>
      <c r="CA119" s="305"/>
      <c r="CB119" s="305"/>
      <c r="CC119" s="28"/>
    </row>
    <row r="120" spans="1:81" s="8" customFormat="1" ht="40.35" customHeight="1" x14ac:dyDescent="0.25">
      <c r="A120" s="9">
        <v>146</v>
      </c>
      <c r="B120" s="118" t="s">
        <v>790</v>
      </c>
      <c r="C120" s="13" t="s">
        <v>315</v>
      </c>
      <c r="D120" s="7" t="s">
        <v>2485</v>
      </c>
      <c r="E120" s="3" t="s">
        <v>12</v>
      </c>
      <c r="F120" s="3">
        <v>111</v>
      </c>
      <c r="G120" s="198" t="s">
        <v>21</v>
      </c>
      <c r="H120" s="9" t="s">
        <v>42</v>
      </c>
      <c r="I120" s="9" t="s">
        <v>43</v>
      </c>
      <c r="J120" s="9" t="s">
        <v>21</v>
      </c>
      <c r="K120" s="9" t="s">
        <v>44</v>
      </c>
      <c r="L120" s="215" t="s">
        <v>43</v>
      </c>
      <c r="M120" s="50" t="s">
        <v>788</v>
      </c>
      <c r="N120" s="50" t="s">
        <v>498</v>
      </c>
      <c r="O120" s="51" t="s">
        <v>789</v>
      </c>
      <c r="P120" s="244" t="s">
        <v>2486</v>
      </c>
      <c r="Q120" s="50" t="s">
        <v>499</v>
      </c>
      <c r="R120" s="50">
        <v>2</v>
      </c>
      <c r="S120" s="50" t="s">
        <v>500</v>
      </c>
      <c r="T120" s="50" t="s">
        <v>501</v>
      </c>
      <c r="U120" s="52" t="s">
        <v>672</v>
      </c>
      <c r="V120" s="50" t="s">
        <v>503</v>
      </c>
      <c r="W120" s="50" t="s">
        <v>542</v>
      </c>
      <c r="X120" s="70" t="s">
        <v>731</v>
      </c>
      <c r="Y120" s="50" t="s">
        <v>732</v>
      </c>
      <c r="Z120" s="60" t="s">
        <v>733</v>
      </c>
      <c r="AA120" s="50" t="s">
        <v>562</v>
      </c>
      <c r="AB120" s="50" t="s">
        <v>563</v>
      </c>
      <c r="AC120" s="55">
        <v>25692</v>
      </c>
      <c r="AD120" s="48">
        <f t="shared" ref="AD120" si="106">DAY(AC120)</f>
        <v>4</v>
      </c>
      <c r="AE120" s="48">
        <f t="shared" ref="AE120" si="107">MONTH(AC120)</f>
        <v>5</v>
      </c>
      <c r="AF120" s="48">
        <f t="shared" ref="AF120" si="108">YEAR(AC120)</f>
        <v>1970</v>
      </c>
      <c r="AG120" s="49">
        <f t="shared" si="59"/>
        <v>47607</v>
      </c>
      <c r="AH120" s="48">
        <f t="shared" ca="1" si="60"/>
        <v>4</v>
      </c>
      <c r="AI120" s="48">
        <f t="shared" ca="1" si="61"/>
        <v>4</v>
      </c>
      <c r="AJ120" s="48">
        <f t="shared" ca="1" si="62"/>
        <v>23</v>
      </c>
      <c r="AK120" s="48" t="str">
        <f t="shared" ca="1" si="63"/>
        <v>4year/4months/23Days</v>
      </c>
      <c r="AL120" s="384"/>
      <c r="AM120" s="384" t="s">
        <v>1705</v>
      </c>
      <c r="AN120" s="276">
        <v>1732</v>
      </c>
      <c r="AO120" s="384"/>
      <c r="AP120" s="384"/>
      <c r="AQ120" s="384"/>
      <c r="AR120" s="384"/>
      <c r="AS120" s="384"/>
      <c r="AT120" s="384"/>
      <c r="AU120" s="384"/>
      <c r="AV120" s="384"/>
      <c r="AW120" s="384"/>
      <c r="AX120" s="384"/>
      <c r="AY120" s="50">
        <v>2023</v>
      </c>
      <c r="AZ120" s="107">
        <v>2</v>
      </c>
      <c r="BA120" s="78">
        <v>614</v>
      </c>
      <c r="BB120" s="78">
        <v>361</v>
      </c>
      <c r="BC120" s="78" t="s">
        <v>498</v>
      </c>
      <c r="BD120" s="78" t="s">
        <v>498</v>
      </c>
      <c r="BE120" s="78">
        <v>220</v>
      </c>
      <c r="BF120" s="74">
        <f t="shared" si="64"/>
        <v>35.830618892508141</v>
      </c>
      <c r="BG120" s="78">
        <v>33</v>
      </c>
      <c r="BH120" s="78" t="s">
        <v>498</v>
      </c>
      <c r="BI120" s="78">
        <v>614</v>
      </c>
      <c r="BJ120" s="50" t="s">
        <v>498</v>
      </c>
      <c r="BK120" s="50" t="s">
        <v>498</v>
      </c>
      <c r="BL120" s="76">
        <v>45408</v>
      </c>
      <c r="BM120" s="867" t="s">
        <v>1792</v>
      </c>
      <c r="BN120" s="868"/>
      <c r="BO120" s="868"/>
      <c r="BP120" s="869"/>
      <c r="BQ120" s="870" t="s">
        <v>2487</v>
      </c>
      <c r="BR120" s="871"/>
      <c r="BS120" s="871"/>
      <c r="BT120" s="872"/>
      <c r="BU120" s="867" t="s">
        <v>2636</v>
      </c>
      <c r="BV120" s="868"/>
      <c r="BW120" s="868"/>
      <c r="BX120" s="869"/>
      <c r="BY120" s="476"/>
      <c r="BZ120" s="476"/>
      <c r="CA120" s="476"/>
      <c r="CB120" s="476"/>
      <c r="CC120" s="27"/>
    </row>
    <row r="121" spans="1:81" s="23" customFormat="1" ht="40.35" customHeight="1" x14ac:dyDescent="0.3">
      <c r="A121" s="20">
        <v>147</v>
      </c>
      <c r="B121" s="185" t="s">
        <v>1421</v>
      </c>
      <c r="C121" s="19" t="s">
        <v>317</v>
      </c>
      <c r="D121" s="22" t="s">
        <v>29</v>
      </c>
      <c r="E121" s="22" t="s">
        <v>12</v>
      </c>
      <c r="F121" s="381">
        <v>112</v>
      </c>
      <c r="G121" s="198" t="s">
        <v>13</v>
      </c>
      <c r="H121" s="9" t="s">
        <v>29</v>
      </c>
      <c r="I121" s="9" t="s">
        <v>318</v>
      </c>
      <c r="J121" s="9" t="s">
        <v>29</v>
      </c>
      <c r="K121" s="9" t="s">
        <v>29</v>
      </c>
      <c r="L121" s="215" t="s">
        <v>29</v>
      </c>
      <c r="M121" s="84"/>
      <c r="N121" s="84"/>
      <c r="O121" s="84"/>
      <c r="P121" s="257"/>
      <c r="Q121" s="50" t="s">
        <v>499</v>
      </c>
      <c r="R121" s="50">
        <v>2</v>
      </c>
      <c r="S121" s="50" t="s">
        <v>500</v>
      </c>
      <c r="T121" s="50" t="s">
        <v>524</v>
      </c>
      <c r="U121" s="50"/>
      <c r="V121" s="152"/>
      <c r="W121" s="84"/>
      <c r="X121" s="84"/>
      <c r="Y121" s="84"/>
      <c r="Z121" s="84"/>
      <c r="AA121" s="84"/>
      <c r="AB121" s="50" t="s">
        <v>506</v>
      </c>
      <c r="AC121" s="55">
        <v>26776</v>
      </c>
      <c r="AD121" s="48">
        <f t="shared" si="56"/>
        <v>22</v>
      </c>
      <c r="AE121" s="48">
        <f t="shared" si="57"/>
        <v>4</v>
      </c>
      <c r="AF121" s="48">
        <f t="shared" si="58"/>
        <v>1973</v>
      </c>
      <c r="AG121" s="49">
        <f t="shared" si="59"/>
        <v>48691</v>
      </c>
      <c r="AH121" s="48">
        <f t="shared" ca="1" si="60"/>
        <v>7</v>
      </c>
      <c r="AI121" s="48">
        <f t="shared" ca="1" si="61"/>
        <v>4</v>
      </c>
      <c r="AJ121" s="48">
        <f t="shared" ca="1" si="62"/>
        <v>11</v>
      </c>
      <c r="AK121" s="48" t="str">
        <f t="shared" ca="1" si="63"/>
        <v>7year/4months/11Days</v>
      </c>
      <c r="AL121" s="84"/>
      <c r="AM121" s="50" t="s">
        <v>1706</v>
      </c>
      <c r="AN121" s="229">
        <v>1528</v>
      </c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346"/>
      <c r="BA121" s="84"/>
      <c r="BB121" s="84"/>
      <c r="BC121" s="84"/>
      <c r="BD121" s="84"/>
      <c r="BE121" s="84"/>
      <c r="BF121" s="74"/>
      <c r="BG121" s="78" t="s">
        <v>498</v>
      </c>
      <c r="BH121" s="78" t="s">
        <v>498</v>
      </c>
      <c r="BI121" s="84"/>
      <c r="BJ121" s="84"/>
      <c r="BK121" s="84"/>
      <c r="BL121" s="151"/>
      <c r="BM121" s="313"/>
      <c r="BN121" s="305"/>
      <c r="BO121" s="305"/>
      <c r="BP121" s="305"/>
      <c r="BQ121" s="305"/>
      <c r="BR121" s="305"/>
      <c r="BS121" s="305"/>
      <c r="BT121" s="305"/>
      <c r="BU121" s="867" t="s">
        <v>498</v>
      </c>
      <c r="BV121" s="868"/>
      <c r="BW121" s="868"/>
      <c r="BX121" s="869"/>
      <c r="BY121" s="305"/>
      <c r="BZ121" s="305"/>
      <c r="CA121" s="305"/>
      <c r="CB121" s="305"/>
      <c r="CC121" s="28"/>
    </row>
    <row r="122" spans="1:81" s="8" customFormat="1" ht="40.35" customHeight="1" x14ac:dyDescent="0.25">
      <c r="A122" s="9">
        <v>148</v>
      </c>
      <c r="B122" s="183" t="s">
        <v>1172</v>
      </c>
      <c r="C122" s="11" t="s">
        <v>320</v>
      </c>
      <c r="D122" s="7" t="s">
        <v>1173</v>
      </c>
      <c r="E122" s="3" t="s">
        <v>12</v>
      </c>
      <c r="F122" s="3">
        <v>113</v>
      </c>
      <c r="G122" s="198" t="s">
        <v>26</v>
      </c>
      <c r="H122" s="9" t="s">
        <v>30</v>
      </c>
      <c r="I122" s="9" t="s">
        <v>321</v>
      </c>
      <c r="J122" s="9" t="s">
        <v>29</v>
      </c>
      <c r="K122" s="9" t="s">
        <v>30</v>
      </c>
      <c r="L122" s="215" t="s">
        <v>30</v>
      </c>
      <c r="M122" s="50" t="s">
        <v>1166</v>
      </c>
      <c r="N122" s="50" t="s">
        <v>498</v>
      </c>
      <c r="O122" s="153" t="s">
        <v>1167</v>
      </c>
      <c r="P122" s="248" t="s">
        <v>1168</v>
      </c>
      <c r="Q122" s="50" t="s">
        <v>499</v>
      </c>
      <c r="R122" s="50">
        <v>2</v>
      </c>
      <c r="S122" s="50" t="s">
        <v>500</v>
      </c>
      <c r="T122" s="50" t="s">
        <v>524</v>
      </c>
      <c r="U122" s="97" t="s">
        <v>502</v>
      </c>
      <c r="V122" s="50" t="s">
        <v>589</v>
      </c>
      <c r="W122" s="50" t="s">
        <v>504</v>
      </c>
      <c r="X122" s="54" t="s">
        <v>1169</v>
      </c>
      <c r="Y122" s="50" t="s">
        <v>1170</v>
      </c>
      <c r="Z122" s="53" t="s">
        <v>1171</v>
      </c>
      <c r="AA122" s="60" t="s">
        <v>538</v>
      </c>
      <c r="AB122" s="50" t="s">
        <v>710</v>
      </c>
      <c r="AC122" s="55">
        <v>29080</v>
      </c>
      <c r="AD122" s="48">
        <f t="shared" si="56"/>
        <v>13</v>
      </c>
      <c r="AE122" s="48">
        <f t="shared" si="57"/>
        <v>8</v>
      </c>
      <c r="AF122" s="48">
        <f t="shared" si="58"/>
        <v>1979</v>
      </c>
      <c r="AG122" s="49">
        <f t="shared" si="59"/>
        <v>50995</v>
      </c>
      <c r="AH122" s="48">
        <f t="shared" ca="1" si="60"/>
        <v>13</v>
      </c>
      <c r="AI122" s="48">
        <f t="shared" ca="1" si="61"/>
        <v>8</v>
      </c>
      <c r="AJ122" s="48">
        <f t="shared" ca="1" si="62"/>
        <v>2</v>
      </c>
      <c r="AK122" s="48" t="str">
        <f t="shared" ca="1" si="63"/>
        <v>13year/8months/2Days</v>
      </c>
      <c r="AL122" s="154"/>
      <c r="AM122" s="106" t="s">
        <v>1707</v>
      </c>
      <c r="AN122" s="282">
        <v>1424</v>
      </c>
      <c r="AO122" s="154"/>
      <c r="AP122" s="154"/>
      <c r="AQ122" s="154"/>
      <c r="AR122" s="154"/>
      <c r="AS122" s="154"/>
      <c r="AT122" s="154"/>
      <c r="AU122" s="154"/>
      <c r="AV122" s="154"/>
      <c r="AW122" s="154"/>
      <c r="AX122" s="154"/>
      <c r="AY122" s="50">
        <v>2022</v>
      </c>
      <c r="AZ122" s="52">
        <v>2</v>
      </c>
      <c r="BA122" s="50">
        <v>634</v>
      </c>
      <c r="BB122" s="50" t="s">
        <v>498</v>
      </c>
      <c r="BC122" s="50" t="s">
        <v>498</v>
      </c>
      <c r="BD122" s="50" t="s">
        <v>498</v>
      </c>
      <c r="BE122" s="50">
        <v>634</v>
      </c>
      <c r="BF122" s="74">
        <f t="shared" si="64"/>
        <v>100</v>
      </c>
      <c r="BG122" s="78" t="s">
        <v>498</v>
      </c>
      <c r="BH122" s="78" t="s">
        <v>498</v>
      </c>
      <c r="BI122" s="50">
        <v>634</v>
      </c>
      <c r="BJ122" s="50" t="s">
        <v>498</v>
      </c>
      <c r="BK122" s="50" t="s">
        <v>498</v>
      </c>
      <c r="BL122" s="76">
        <v>44943</v>
      </c>
      <c r="BM122" s="379"/>
      <c r="BN122" s="379"/>
      <c r="BO122" s="379"/>
      <c r="BP122" s="379"/>
      <c r="BQ122" s="379"/>
      <c r="BR122" s="379"/>
      <c r="BS122" s="379"/>
      <c r="BT122" s="379"/>
      <c r="BU122" s="867" t="s">
        <v>2596</v>
      </c>
      <c r="BV122" s="868"/>
      <c r="BW122" s="868"/>
      <c r="BX122" s="869"/>
      <c r="BY122" s="472"/>
      <c r="BZ122" s="472"/>
      <c r="CA122" s="472"/>
      <c r="CB122" s="472"/>
      <c r="CC122" s="27"/>
    </row>
    <row r="123" spans="1:81" s="8" customFormat="1" ht="40.35" customHeight="1" x14ac:dyDescent="0.25">
      <c r="A123" s="558">
        <v>149</v>
      </c>
      <c r="B123" s="118" t="s">
        <v>2748</v>
      </c>
      <c r="C123" s="13" t="s">
        <v>323</v>
      </c>
      <c r="D123" s="3" t="s">
        <v>2736</v>
      </c>
      <c r="E123" s="3" t="s">
        <v>12</v>
      </c>
      <c r="F123" s="381">
        <v>114</v>
      </c>
      <c r="G123" s="198" t="s">
        <v>26</v>
      </c>
      <c r="H123" s="9" t="s">
        <v>31</v>
      </c>
      <c r="I123" s="9" t="s">
        <v>55</v>
      </c>
      <c r="J123" s="9" t="s">
        <v>29</v>
      </c>
      <c r="K123" s="9" t="s">
        <v>26</v>
      </c>
      <c r="L123" s="215" t="s">
        <v>31</v>
      </c>
      <c r="M123" s="50" t="s">
        <v>1174</v>
      </c>
      <c r="N123" s="50" t="s">
        <v>498</v>
      </c>
      <c r="O123" s="51" t="s">
        <v>2008</v>
      </c>
      <c r="P123" s="243" t="s">
        <v>2737</v>
      </c>
      <c r="Q123" s="50" t="s">
        <v>499</v>
      </c>
      <c r="R123" s="50">
        <v>2</v>
      </c>
      <c r="S123" s="50" t="s">
        <v>500</v>
      </c>
      <c r="T123" s="50" t="s">
        <v>524</v>
      </c>
      <c r="U123" s="41" t="s">
        <v>502</v>
      </c>
      <c r="V123" s="50" t="s">
        <v>589</v>
      </c>
      <c r="W123" s="60" t="s">
        <v>585</v>
      </c>
      <c r="X123" s="113" t="s">
        <v>2009</v>
      </c>
      <c r="Y123" s="50" t="s">
        <v>2010</v>
      </c>
      <c r="Z123" s="60" t="s">
        <v>2011</v>
      </c>
      <c r="AA123" s="50" t="s">
        <v>538</v>
      </c>
      <c r="AB123" s="50" t="s">
        <v>506</v>
      </c>
      <c r="AC123" s="55">
        <v>28935</v>
      </c>
      <c r="AD123" s="48">
        <f t="shared" si="56"/>
        <v>21</v>
      </c>
      <c r="AE123" s="48">
        <f t="shared" si="57"/>
        <v>3</v>
      </c>
      <c r="AF123" s="48">
        <f t="shared" si="58"/>
        <v>1979</v>
      </c>
      <c r="AG123" s="49">
        <f t="shared" si="59"/>
        <v>50850</v>
      </c>
      <c r="AH123" s="48">
        <f t="shared" ca="1" si="60"/>
        <v>13</v>
      </c>
      <c r="AI123" s="48">
        <f t="shared" ca="1" si="61"/>
        <v>3</v>
      </c>
      <c r="AJ123" s="48">
        <f t="shared" ca="1" si="62"/>
        <v>10</v>
      </c>
      <c r="AK123" s="48" t="str">
        <f t="shared" ca="1" si="63"/>
        <v>13year/3months/10Days</v>
      </c>
      <c r="AL123" s="384"/>
      <c r="AM123" s="384" t="s">
        <v>1708</v>
      </c>
      <c r="AN123" s="276">
        <v>550</v>
      </c>
      <c r="AO123" s="384"/>
      <c r="AP123" s="384"/>
      <c r="AQ123" s="384"/>
      <c r="AR123" s="384"/>
      <c r="AS123" s="384"/>
      <c r="AT123" s="384"/>
      <c r="AU123" s="384"/>
      <c r="AV123" s="384"/>
      <c r="AW123" s="384"/>
      <c r="AX123" s="384"/>
      <c r="AY123" s="50">
        <v>2024</v>
      </c>
      <c r="AZ123" s="107" t="s">
        <v>1917</v>
      </c>
      <c r="BA123" s="78">
        <v>85</v>
      </c>
      <c r="BB123" s="78">
        <v>29</v>
      </c>
      <c r="BC123" s="78" t="s">
        <v>498</v>
      </c>
      <c r="BD123" s="78" t="s">
        <v>498</v>
      </c>
      <c r="BE123" s="78">
        <v>58</v>
      </c>
      <c r="BF123" s="74">
        <f t="shared" si="64"/>
        <v>68.235294117647058</v>
      </c>
      <c r="BG123" s="78" t="s">
        <v>498</v>
      </c>
      <c r="BH123" s="78" t="s">
        <v>498</v>
      </c>
      <c r="BI123" s="78">
        <v>85</v>
      </c>
      <c r="BJ123" s="78" t="s">
        <v>498</v>
      </c>
      <c r="BK123" s="78" t="s">
        <v>498</v>
      </c>
      <c r="BL123" s="76">
        <v>45597</v>
      </c>
      <c r="BM123" s="867" t="s">
        <v>1854</v>
      </c>
      <c r="BN123" s="868"/>
      <c r="BO123" s="868"/>
      <c r="BP123" s="869"/>
      <c r="BQ123" s="870" t="s">
        <v>2007</v>
      </c>
      <c r="BR123" s="871"/>
      <c r="BS123" s="871"/>
      <c r="BT123" s="872"/>
      <c r="BU123" s="867" t="s">
        <v>2650</v>
      </c>
      <c r="BV123" s="868"/>
      <c r="BW123" s="868"/>
      <c r="BX123" s="869"/>
      <c r="BY123" s="870" t="s">
        <v>2738</v>
      </c>
      <c r="BZ123" s="871"/>
      <c r="CA123" s="871"/>
      <c r="CB123" s="872"/>
      <c r="CC123" s="27"/>
    </row>
    <row r="124" spans="1:81" s="8" customFormat="1" ht="40.35" customHeight="1" x14ac:dyDescent="0.25">
      <c r="A124" s="580">
        <v>150</v>
      </c>
      <c r="B124" s="183" t="s">
        <v>808</v>
      </c>
      <c r="C124" s="11" t="s">
        <v>325</v>
      </c>
      <c r="D124" s="7" t="s">
        <v>2732</v>
      </c>
      <c r="E124" s="3" t="s">
        <v>12</v>
      </c>
      <c r="F124" s="3">
        <v>115</v>
      </c>
      <c r="G124" s="198" t="s">
        <v>21</v>
      </c>
      <c r="H124" s="9" t="s">
        <v>164</v>
      </c>
      <c r="I124" s="9" t="s">
        <v>326</v>
      </c>
      <c r="J124" s="9" t="s">
        <v>21</v>
      </c>
      <c r="K124" s="9" t="s">
        <v>21</v>
      </c>
      <c r="L124" s="215" t="s">
        <v>164</v>
      </c>
      <c r="M124" s="50" t="s">
        <v>803</v>
      </c>
      <c r="N124" s="50" t="s">
        <v>498</v>
      </c>
      <c r="O124" s="51" t="s">
        <v>1945</v>
      </c>
      <c r="P124" s="243" t="s">
        <v>804</v>
      </c>
      <c r="Q124" s="50" t="s">
        <v>499</v>
      </c>
      <c r="R124" s="50">
        <v>2</v>
      </c>
      <c r="S124" s="50" t="s">
        <v>500</v>
      </c>
      <c r="T124" s="50" t="s">
        <v>501</v>
      </c>
      <c r="U124" s="52" t="s">
        <v>535</v>
      </c>
      <c r="V124" s="365" t="s">
        <v>503</v>
      </c>
      <c r="W124" s="365" t="s">
        <v>542</v>
      </c>
      <c r="X124" s="46" t="s">
        <v>805</v>
      </c>
      <c r="Y124" s="365" t="s">
        <v>806</v>
      </c>
      <c r="Z124" s="371" t="s">
        <v>807</v>
      </c>
      <c r="AA124" s="365" t="s">
        <v>562</v>
      </c>
      <c r="AB124" s="50" t="s">
        <v>563</v>
      </c>
      <c r="AC124" s="55">
        <v>23846</v>
      </c>
      <c r="AD124" s="48">
        <f t="shared" si="56"/>
        <v>14</v>
      </c>
      <c r="AE124" s="48">
        <f t="shared" si="57"/>
        <v>4</v>
      </c>
      <c r="AF124" s="48">
        <f t="shared" si="58"/>
        <v>1965</v>
      </c>
      <c r="AG124" s="49">
        <f t="shared" si="59"/>
        <v>45761</v>
      </c>
      <c r="AH124" s="48" t="e">
        <f t="shared" ca="1" si="60"/>
        <v>#NUM!</v>
      </c>
      <c r="AI124" s="48" t="e">
        <f t="shared" ca="1" si="61"/>
        <v>#NUM!</v>
      </c>
      <c r="AJ124" s="48" t="e">
        <f t="shared" ca="1" si="62"/>
        <v>#NUM!</v>
      </c>
      <c r="AK124" s="48" t="e">
        <f t="shared" ca="1" si="63"/>
        <v>#NUM!</v>
      </c>
      <c r="AL124" s="365"/>
      <c r="AM124" s="922" t="s">
        <v>1709</v>
      </c>
      <c r="AN124" s="924">
        <v>776</v>
      </c>
      <c r="AO124" s="926">
        <v>12943</v>
      </c>
      <c r="AP124" s="922" t="s">
        <v>2061</v>
      </c>
      <c r="AQ124" s="922" t="s">
        <v>623</v>
      </c>
      <c r="AR124" s="922">
        <v>1960</v>
      </c>
      <c r="AS124" s="922">
        <v>837</v>
      </c>
      <c r="AT124" s="922">
        <v>695</v>
      </c>
      <c r="AU124" s="922">
        <v>83.03</v>
      </c>
      <c r="AV124" s="922">
        <v>910</v>
      </c>
      <c r="AW124" s="922">
        <v>790</v>
      </c>
      <c r="AX124" s="922">
        <v>86.81</v>
      </c>
      <c r="AY124" s="50">
        <v>2024</v>
      </c>
      <c r="AZ124" s="107">
        <v>3</v>
      </c>
      <c r="BA124" s="78">
        <v>383</v>
      </c>
      <c r="BB124" s="78">
        <v>109</v>
      </c>
      <c r="BC124" s="78">
        <v>13</v>
      </c>
      <c r="BD124" s="78">
        <v>77</v>
      </c>
      <c r="BE124" s="78">
        <v>186</v>
      </c>
      <c r="BF124" s="74">
        <f t="shared" si="64"/>
        <v>48.563968668407313</v>
      </c>
      <c r="BG124" s="78" t="s">
        <v>498</v>
      </c>
      <c r="BH124" s="78" t="s">
        <v>498</v>
      </c>
      <c r="BI124" s="78">
        <v>383</v>
      </c>
      <c r="BJ124" s="78" t="s">
        <v>498</v>
      </c>
      <c r="BK124" s="78" t="s">
        <v>498</v>
      </c>
      <c r="BL124" s="76">
        <v>45596</v>
      </c>
      <c r="BM124" s="894" t="s">
        <v>1792</v>
      </c>
      <c r="BN124" s="895"/>
      <c r="BO124" s="895"/>
      <c r="BP124" s="896"/>
      <c r="BQ124" s="867">
        <v>39692</v>
      </c>
      <c r="BR124" s="868"/>
      <c r="BS124" s="868"/>
      <c r="BT124" s="869"/>
      <c r="BU124" s="894" t="s">
        <v>2650</v>
      </c>
      <c r="BV124" s="895"/>
      <c r="BW124" s="895"/>
      <c r="BX124" s="896"/>
      <c r="BY124" s="867" t="s">
        <v>2733</v>
      </c>
      <c r="BZ124" s="868"/>
      <c r="CA124" s="868"/>
      <c r="CB124" s="869"/>
      <c r="CC124" s="27"/>
    </row>
    <row r="125" spans="1:81" s="8" customFormat="1" ht="40.35" customHeight="1" x14ac:dyDescent="0.25">
      <c r="A125" s="1"/>
      <c r="B125" s="183" t="s">
        <v>813</v>
      </c>
      <c r="C125" s="11" t="s">
        <v>2844</v>
      </c>
      <c r="D125" s="7" t="s">
        <v>796</v>
      </c>
      <c r="E125" s="3" t="s">
        <v>327</v>
      </c>
      <c r="F125" s="381"/>
      <c r="G125" s="198" t="s">
        <v>21</v>
      </c>
      <c r="H125" s="9" t="s">
        <v>164</v>
      </c>
      <c r="I125" s="9" t="s">
        <v>326</v>
      </c>
      <c r="J125" s="9" t="s">
        <v>21</v>
      </c>
      <c r="K125" s="9" t="s">
        <v>21</v>
      </c>
      <c r="L125" s="215" t="s">
        <v>164</v>
      </c>
      <c r="M125" s="50" t="s">
        <v>809</v>
      </c>
      <c r="N125" s="50" t="s">
        <v>498</v>
      </c>
      <c r="O125" s="51" t="s">
        <v>810</v>
      </c>
      <c r="P125" s="244" t="s">
        <v>2788</v>
      </c>
      <c r="Q125" s="50" t="s">
        <v>499</v>
      </c>
      <c r="R125" s="50" t="s">
        <v>560</v>
      </c>
      <c r="S125" s="50" t="s">
        <v>500</v>
      </c>
      <c r="T125" s="50" t="s">
        <v>501</v>
      </c>
      <c r="U125" s="52" t="s">
        <v>583</v>
      </c>
      <c r="V125" s="50" t="s">
        <v>503</v>
      </c>
      <c r="W125" s="365" t="s">
        <v>654</v>
      </c>
      <c r="X125" s="70" t="s">
        <v>1352</v>
      </c>
      <c r="Y125" s="60" t="s">
        <v>1975</v>
      </c>
      <c r="Z125" s="60" t="s">
        <v>811</v>
      </c>
      <c r="AA125" s="50" t="s">
        <v>593</v>
      </c>
      <c r="AB125" s="50" t="s">
        <v>698</v>
      </c>
      <c r="AC125" s="55">
        <v>28849</v>
      </c>
      <c r="AD125" s="48">
        <f t="shared" si="56"/>
        <v>25</v>
      </c>
      <c r="AE125" s="48">
        <f t="shared" si="57"/>
        <v>12</v>
      </c>
      <c r="AF125" s="48">
        <f t="shared" si="58"/>
        <v>1978</v>
      </c>
      <c r="AG125" s="49">
        <f t="shared" si="59"/>
        <v>50764</v>
      </c>
      <c r="AH125" s="48">
        <f t="shared" ca="1" si="60"/>
        <v>13</v>
      </c>
      <c r="AI125" s="48">
        <f t="shared" ca="1" si="61"/>
        <v>0</v>
      </c>
      <c r="AJ125" s="48">
        <f t="shared" ca="1" si="62"/>
        <v>14</v>
      </c>
      <c r="AK125" s="48" t="str">
        <f t="shared" ca="1" si="63"/>
        <v>13year/0months/14Days</v>
      </c>
      <c r="AL125" s="384"/>
      <c r="AM125" s="923"/>
      <c r="AN125" s="925"/>
      <c r="AO125" s="923"/>
      <c r="AP125" s="923"/>
      <c r="AQ125" s="923"/>
      <c r="AR125" s="923"/>
      <c r="AS125" s="923"/>
      <c r="AT125" s="923"/>
      <c r="AU125" s="923"/>
      <c r="AV125" s="923"/>
      <c r="AW125" s="923"/>
      <c r="AX125" s="923"/>
      <c r="AY125" s="50">
        <v>2024</v>
      </c>
      <c r="AZ125" s="225" t="s">
        <v>812</v>
      </c>
      <c r="BA125" s="78">
        <v>582</v>
      </c>
      <c r="BB125" s="78">
        <v>192</v>
      </c>
      <c r="BC125" s="78" t="s">
        <v>498</v>
      </c>
      <c r="BD125" s="78">
        <v>63</v>
      </c>
      <c r="BE125" s="78">
        <v>327</v>
      </c>
      <c r="BF125" s="74">
        <f t="shared" si="64"/>
        <v>56.185567010309278</v>
      </c>
      <c r="BG125" s="78" t="s">
        <v>498</v>
      </c>
      <c r="BH125" s="78" t="s">
        <v>498</v>
      </c>
      <c r="BI125" s="78">
        <v>582</v>
      </c>
      <c r="BJ125" s="78" t="s">
        <v>498</v>
      </c>
      <c r="BK125" s="78" t="s">
        <v>498</v>
      </c>
      <c r="BL125" s="76">
        <v>45604</v>
      </c>
      <c r="BM125" s="867" t="s">
        <v>1792</v>
      </c>
      <c r="BN125" s="868"/>
      <c r="BO125" s="868"/>
      <c r="BP125" s="869"/>
      <c r="BQ125" s="870" t="s">
        <v>2068</v>
      </c>
      <c r="BR125" s="871"/>
      <c r="BS125" s="871"/>
      <c r="BT125" s="872"/>
      <c r="BU125" s="867" t="s">
        <v>2650</v>
      </c>
      <c r="BV125" s="868"/>
      <c r="BW125" s="868"/>
      <c r="BX125" s="869"/>
      <c r="BY125" s="870" t="s">
        <v>2789</v>
      </c>
      <c r="BZ125" s="871"/>
      <c r="CA125" s="871"/>
      <c r="CB125" s="872"/>
      <c r="CC125" s="27"/>
    </row>
    <row r="126" spans="1:81" s="8" customFormat="1" ht="40.35" customHeight="1" x14ac:dyDescent="0.25">
      <c r="A126" s="4">
        <v>151</v>
      </c>
      <c r="B126" s="118" t="s">
        <v>814</v>
      </c>
      <c r="C126" s="13" t="s">
        <v>329</v>
      </c>
      <c r="D126" s="7" t="s">
        <v>1953</v>
      </c>
      <c r="E126" s="3" t="s">
        <v>12</v>
      </c>
      <c r="F126" s="3">
        <v>116</v>
      </c>
      <c r="G126" s="198" t="s">
        <v>21</v>
      </c>
      <c r="H126" s="9" t="s">
        <v>164</v>
      </c>
      <c r="I126" s="9" t="s">
        <v>326</v>
      </c>
      <c r="J126" s="9" t="s">
        <v>21</v>
      </c>
      <c r="K126" s="9" t="s">
        <v>21</v>
      </c>
      <c r="L126" s="215" t="s">
        <v>164</v>
      </c>
      <c r="M126" s="60" t="s">
        <v>1954</v>
      </c>
      <c r="N126" s="50" t="s">
        <v>498</v>
      </c>
      <c r="O126" s="50"/>
      <c r="P126" s="243" t="s">
        <v>1955</v>
      </c>
      <c r="Q126" s="50" t="s">
        <v>499</v>
      </c>
      <c r="R126" s="50">
        <v>3</v>
      </c>
      <c r="S126" s="50" t="s">
        <v>637</v>
      </c>
      <c r="T126" s="50" t="s">
        <v>524</v>
      </c>
      <c r="U126" s="52" t="s">
        <v>535</v>
      </c>
      <c r="V126" s="50" t="s">
        <v>589</v>
      </c>
      <c r="W126" s="50" t="s">
        <v>542</v>
      </c>
      <c r="X126" s="53" t="s">
        <v>1501</v>
      </c>
      <c r="Y126" s="60" t="s">
        <v>1956</v>
      </c>
      <c r="Z126" s="60" t="s">
        <v>1502</v>
      </c>
      <c r="AA126" s="50" t="s">
        <v>562</v>
      </c>
      <c r="AB126" s="50" t="s">
        <v>710</v>
      </c>
      <c r="AC126" s="55">
        <v>25140</v>
      </c>
      <c r="AD126" s="48">
        <f t="shared" si="56"/>
        <v>29</v>
      </c>
      <c r="AE126" s="48">
        <f t="shared" si="57"/>
        <v>10</v>
      </c>
      <c r="AF126" s="48">
        <f t="shared" si="58"/>
        <v>1968</v>
      </c>
      <c r="AG126" s="49">
        <f t="shared" si="59"/>
        <v>47055</v>
      </c>
      <c r="AH126" s="48">
        <f t="shared" ca="1" si="60"/>
        <v>2</v>
      </c>
      <c r="AI126" s="48">
        <f t="shared" ca="1" si="61"/>
        <v>10</v>
      </c>
      <c r="AJ126" s="48">
        <f t="shared" ca="1" si="62"/>
        <v>18</v>
      </c>
      <c r="AK126" s="48" t="str">
        <f t="shared" ca="1" si="63"/>
        <v>2year/10months/18Days</v>
      </c>
      <c r="AL126" s="384"/>
      <c r="AM126" s="384" t="s">
        <v>1710</v>
      </c>
      <c r="AN126" s="276">
        <v>1649</v>
      </c>
      <c r="AO126" s="357">
        <v>13258</v>
      </c>
      <c r="AP126" s="384" t="s">
        <v>2062</v>
      </c>
      <c r="AQ126" s="384" t="s">
        <v>2048</v>
      </c>
      <c r="AR126" s="384">
        <v>1960</v>
      </c>
      <c r="AS126" s="384">
        <v>715</v>
      </c>
      <c r="AT126" s="384">
        <v>650</v>
      </c>
      <c r="AU126" s="384">
        <v>90.9</v>
      </c>
      <c r="AV126" s="384">
        <v>730</v>
      </c>
      <c r="AW126" s="384">
        <v>687</v>
      </c>
      <c r="AX126" s="384">
        <v>94.1</v>
      </c>
      <c r="AY126" s="50">
        <v>2023</v>
      </c>
      <c r="AZ126" s="225">
        <v>2</v>
      </c>
      <c r="BA126" s="78">
        <v>233</v>
      </c>
      <c r="BB126" s="78">
        <v>66</v>
      </c>
      <c r="BC126" s="78">
        <v>28</v>
      </c>
      <c r="BD126" s="78">
        <v>39</v>
      </c>
      <c r="BE126" s="78">
        <v>80</v>
      </c>
      <c r="BF126" s="74">
        <f t="shared" si="64"/>
        <v>34.334763948497852</v>
      </c>
      <c r="BG126" s="78">
        <v>20</v>
      </c>
      <c r="BH126" s="78" t="s">
        <v>498</v>
      </c>
      <c r="BI126" s="78">
        <v>179</v>
      </c>
      <c r="BJ126" s="78">
        <v>28</v>
      </c>
      <c r="BK126" s="78">
        <v>1</v>
      </c>
      <c r="BL126" s="76">
        <v>45321</v>
      </c>
      <c r="BM126" s="867" t="s">
        <v>1792</v>
      </c>
      <c r="BN126" s="868"/>
      <c r="BO126" s="868"/>
      <c r="BP126" s="869"/>
      <c r="BQ126" s="867" t="s">
        <v>1836</v>
      </c>
      <c r="BR126" s="868"/>
      <c r="BS126" s="868"/>
      <c r="BT126" s="869"/>
      <c r="BU126" s="867" t="s">
        <v>2650</v>
      </c>
      <c r="BV126" s="868"/>
      <c r="BW126" s="868"/>
      <c r="BX126" s="869"/>
      <c r="BY126" s="315"/>
      <c r="BZ126" s="315"/>
      <c r="CA126" s="315"/>
      <c r="CB126" s="315"/>
      <c r="CC126" s="27"/>
    </row>
    <row r="127" spans="1:81" s="8" customFormat="1" ht="34.5" customHeight="1" x14ac:dyDescent="0.3">
      <c r="A127" s="553">
        <v>152</v>
      </c>
      <c r="B127" s="223" t="s">
        <v>1513</v>
      </c>
      <c r="C127" s="13" t="s">
        <v>331</v>
      </c>
      <c r="D127" s="3" t="s">
        <v>796</v>
      </c>
      <c r="E127" s="3" t="s">
        <v>12</v>
      </c>
      <c r="F127" s="381">
        <v>117</v>
      </c>
      <c r="G127" s="198" t="s">
        <v>21</v>
      </c>
      <c r="H127" s="9" t="s">
        <v>164</v>
      </c>
      <c r="I127" s="9" t="s">
        <v>326</v>
      </c>
      <c r="J127" s="9" t="s">
        <v>21</v>
      </c>
      <c r="K127" s="9" t="s">
        <v>21</v>
      </c>
      <c r="L127" s="215" t="s">
        <v>164</v>
      </c>
      <c r="M127" s="50" t="s">
        <v>797</v>
      </c>
      <c r="N127" s="50" t="s">
        <v>498</v>
      </c>
      <c r="O127" s="51" t="s">
        <v>798</v>
      </c>
      <c r="P127" s="244" t="s">
        <v>2790</v>
      </c>
      <c r="Q127" s="50" t="s">
        <v>499</v>
      </c>
      <c r="R127" s="50" t="s">
        <v>557</v>
      </c>
      <c r="S127" s="50" t="s">
        <v>500</v>
      </c>
      <c r="T127" s="50" t="s">
        <v>671</v>
      </c>
      <c r="U127" s="52" t="s">
        <v>653</v>
      </c>
      <c r="V127" s="60" t="s">
        <v>589</v>
      </c>
      <c r="W127" s="50" t="s">
        <v>799</v>
      </c>
      <c r="X127" s="53" t="s">
        <v>800</v>
      </c>
      <c r="Y127" s="371" t="s">
        <v>801</v>
      </c>
      <c r="Z127" s="98" t="s">
        <v>802</v>
      </c>
      <c r="AA127" s="365" t="s">
        <v>538</v>
      </c>
      <c r="AB127" s="50" t="s">
        <v>2063</v>
      </c>
      <c r="AC127" s="55">
        <v>25221</v>
      </c>
      <c r="AD127" s="48">
        <f t="shared" si="56"/>
        <v>18</v>
      </c>
      <c r="AE127" s="48">
        <f t="shared" si="57"/>
        <v>1</v>
      </c>
      <c r="AF127" s="48">
        <f t="shared" si="58"/>
        <v>1969</v>
      </c>
      <c r="AG127" s="49">
        <f t="shared" si="59"/>
        <v>47136</v>
      </c>
      <c r="AH127" s="48">
        <f t="shared" ca="1" si="60"/>
        <v>3</v>
      </c>
      <c r="AI127" s="48">
        <f t="shared" ca="1" si="61"/>
        <v>1</v>
      </c>
      <c r="AJ127" s="48">
        <f t="shared" ca="1" si="62"/>
        <v>7</v>
      </c>
      <c r="AK127" s="48" t="str">
        <f t="shared" ca="1" si="63"/>
        <v>3year/1months/7Days</v>
      </c>
      <c r="AL127" s="384"/>
      <c r="AM127" s="99" t="s">
        <v>1711</v>
      </c>
      <c r="AN127" s="281">
        <v>1002</v>
      </c>
      <c r="AO127" s="363">
        <v>12992</v>
      </c>
      <c r="AP127" s="99" t="s">
        <v>2064</v>
      </c>
      <c r="AQ127" s="99" t="s">
        <v>623</v>
      </c>
      <c r="AR127" s="99">
        <v>1960</v>
      </c>
      <c r="AS127" s="99">
        <v>624</v>
      </c>
      <c r="AT127" s="99">
        <v>572</v>
      </c>
      <c r="AU127" s="99">
        <v>91.66</v>
      </c>
      <c r="AV127" s="99">
        <v>747</v>
      </c>
      <c r="AW127" s="99">
        <v>689</v>
      </c>
      <c r="AX127" s="99">
        <v>92.23</v>
      </c>
      <c r="AY127" s="50">
        <v>2024</v>
      </c>
      <c r="AZ127" s="107" t="s">
        <v>764</v>
      </c>
      <c r="BA127" s="78">
        <v>735</v>
      </c>
      <c r="BB127" s="78">
        <v>158</v>
      </c>
      <c r="BC127" s="78">
        <v>12</v>
      </c>
      <c r="BD127" s="78">
        <v>70</v>
      </c>
      <c r="BE127" s="78">
        <v>495</v>
      </c>
      <c r="BF127" s="74">
        <f t="shared" si="64"/>
        <v>67.346938775510196</v>
      </c>
      <c r="BG127" s="78" t="s">
        <v>498</v>
      </c>
      <c r="BH127" s="78" t="s">
        <v>498</v>
      </c>
      <c r="BI127" s="78">
        <v>735</v>
      </c>
      <c r="BJ127" s="78" t="s">
        <v>498</v>
      </c>
      <c r="BK127" s="78" t="s">
        <v>498</v>
      </c>
      <c r="BL127" s="76">
        <v>45604</v>
      </c>
      <c r="BM127" s="867" t="s">
        <v>1799</v>
      </c>
      <c r="BN127" s="868"/>
      <c r="BO127" s="868"/>
      <c r="BP127" s="869"/>
      <c r="BQ127" s="305"/>
      <c r="BR127" s="305"/>
      <c r="BS127" s="305"/>
      <c r="BT127" s="305"/>
      <c r="BU127" s="867" t="s">
        <v>2632</v>
      </c>
      <c r="BV127" s="868"/>
      <c r="BW127" s="868"/>
      <c r="BX127" s="869"/>
      <c r="BY127" s="870" t="s">
        <v>2753</v>
      </c>
      <c r="BZ127" s="871"/>
      <c r="CA127" s="871"/>
      <c r="CB127" s="872"/>
      <c r="CC127" s="27"/>
    </row>
    <row r="128" spans="1:81" s="8" customFormat="1" ht="40.35" customHeight="1" x14ac:dyDescent="0.3">
      <c r="A128" s="9">
        <v>153</v>
      </c>
      <c r="B128" s="183" t="s">
        <v>795</v>
      </c>
      <c r="C128" s="11" t="s">
        <v>333</v>
      </c>
      <c r="D128" s="7" t="s">
        <v>796</v>
      </c>
      <c r="E128" s="3" t="s">
        <v>12</v>
      </c>
      <c r="F128" s="3">
        <v>118</v>
      </c>
      <c r="G128" s="198" t="s">
        <v>21</v>
      </c>
      <c r="H128" s="9" t="s">
        <v>164</v>
      </c>
      <c r="I128" s="9" t="s">
        <v>334</v>
      </c>
      <c r="J128" s="9" t="s">
        <v>21</v>
      </c>
      <c r="K128" s="9" t="s">
        <v>21</v>
      </c>
      <c r="L128" s="215" t="s">
        <v>164</v>
      </c>
      <c r="M128" s="50" t="s">
        <v>791</v>
      </c>
      <c r="N128" s="50"/>
      <c r="O128" s="50"/>
      <c r="P128" s="243"/>
      <c r="Q128" s="50" t="s">
        <v>499</v>
      </c>
      <c r="R128" s="50">
        <v>2</v>
      </c>
      <c r="S128" s="50" t="s">
        <v>500</v>
      </c>
      <c r="T128" s="50" t="s">
        <v>524</v>
      </c>
      <c r="U128" s="52" t="s">
        <v>525</v>
      </c>
      <c r="V128" s="50" t="s">
        <v>503</v>
      </c>
      <c r="W128" s="50" t="s">
        <v>542</v>
      </c>
      <c r="X128" s="108" t="s">
        <v>792</v>
      </c>
      <c r="Y128" s="78" t="s">
        <v>793</v>
      </c>
      <c r="Z128" s="78" t="s">
        <v>794</v>
      </c>
      <c r="AA128" s="365" t="s">
        <v>538</v>
      </c>
      <c r="AB128" s="50" t="s">
        <v>506</v>
      </c>
      <c r="AC128" s="55"/>
      <c r="AD128" s="48"/>
      <c r="AE128" s="48"/>
      <c r="AF128" s="48"/>
      <c r="AG128" s="49"/>
      <c r="AH128" s="48"/>
      <c r="AI128" s="48"/>
      <c r="AJ128" s="48"/>
      <c r="AK128" s="48"/>
      <c r="AL128" s="109"/>
      <c r="AM128" s="50" t="s">
        <v>1712</v>
      </c>
      <c r="AN128" s="229">
        <v>2531</v>
      </c>
      <c r="AO128" s="364">
        <v>13632</v>
      </c>
      <c r="AP128" s="78" t="s">
        <v>2065</v>
      </c>
      <c r="AQ128" s="78" t="s">
        <v>621</v>
      </c>
      <c r="AR128" s="78">
        <v>1960</v>
      </c>
      <c r="AS128" s="78">
        <v>812</v>
      </c>
      <c r="AT128" s="78">
        <v>766</v>
      </c>
      <c r="AU128" s="78">
        <v>94.33</v>
      </c>
      <c r="AV128" s="78">
        <v>671</v>
      </c>
      <c r="AW128" s="78">
        <v>662</v>
      </c>
      <c r="AX128" s="78">
        <v>98.65</v>
      </c>
      <c r="AY128" s="50">
        <v>2018</v>
      </c>
      <c r="AZ128" s="107">
        <v>1</v>
      </c>
      <c r="BA128" s="78">
        <v>137</v>
      </c>
      <c r="BB128" s="78">
        <v>50</v>
      </c>
      <c r="BC128" s="78" t="s">
        <v>498</v>
      </c>
      <c r="BD128" s="78">
        <v>8</v>
      </c>
      <c r="BE128" s="78">
        <v>79</v>
      </c>
      <c r="BF128" s="74">
        <f t="shared" si="64"/>
        <v>57.664233576642332</v>
      </c>
      <c r="BG128" s="78" t="s">
        <v>498</v>
      </c>
      <c r="BH128" s="78" t="s">
        <v>498</v>
      </c>
      <c r="BI128" s="78">
        <v>137</v>
      </c>
      <c r="BJ128" s="78" t="s">
        <v>498</v>
      </c>
      <c r="BK128" s="78" t="s">
        <v>498</v>
      </c>
      <c r="BL128" s="76">
        <v>44649</v>
      </c>
      <c r="BM128" s="867">
        <v>44866</v>
      </c>
      <c r="BN128" s="868"/>
      <c r="BO128" s="868"/>
      <c r="BP128" s="869"/>
      <c r="BQ128" s="305"/>
      <c r="BR128" s="305"/>
      <c r="BS128" s="305"/>
      <c r="BT128" s="305"/>
      <c r="BU128" s="867" t="s">
        <v>2639</v>
      </c>
      <c r="BV128" s="868"/>
      <c r="BW128" s="868"/>
      <c r="BX128" s="869"/>
      <c r="BY128" s="305"/>
      <c r="BZ128" s="305"/>
      <c r="CA128" s="305"/>
      <c r="CB128" s="305"/>
      <c r="CC128" s="27"/>
    </row>
    <row r="129" spans="1:81" s="8" customFormat="1" ht="40.35" customHeight="1" x14ac:dyDescent="0.25">
      <c r="A129" s="58" t="s">
        <v>1565</v>
      </c>
      <c r="B129" s="183" t="s">
        <v>1181</v>
      </c>
      <c r="C129" s="11" t="s">
        <v>336</v>
      </c>
      <c r="D129" s="3" t="s">
        <v>1182</v>
      </c>
      <c r="E129" s="3" t="s">
        <v>12</v>
      </c>
      <c r="F129" s="381">
        <v>119</v>
      </c>
      <c r="G129" s="198" t="s">
        <v>69</v>
      </c>
      <c r="H129" s="9" t="s">
        <v>67</v>
      </c>
      <c r="I129" s="9" t="s">
        <v>337</v>
      </c>
      <c r="J129" s="9" t="s">
        <v>29</v>
      </c>
      <c r="K129" s="9" t="s">
        <v>30</v>
      </c>
      <c r="L129" s="9" t="s">
        <v>69</v>
      </c>
      <c r="M129" s="365" t="s">
        <v>1175</v>
      </c>
      <c r="N129" s="365" t="s">
        <v>498</v>
      </c>
      <c r="O129" s="44" t="s">
        <v>1176</v>
      </c>
      <c r="P129" s="245" t="s">
        <v>1177</v>
      </c>
      <c r="Q129" s="365" t="s">
        <v>499</v>
      </c>
      <c r="R129" s="365" t="s">
        <v>560</v>
      </c>
      <c r="S129" s="365" t="s">
        <v>500</v>
      </c>
      <c r="T129" s="365" t="s">
        <v>886</v>
      </c>
      <c r="U129" s="59" t="s">
        <v>667</v>
      </c>
      <c r="V129" s="371" t="s">
        <v>584</v>
      </c>
      <c r="W129" s="371" t="s">
        <v>585</v>
      </c>
      <c r="X129" s="46" t="s">
        <v>1541</v>
      </c>
      <c r="Y129" s="60" t="s">
        <v>1542</v>
      </c>
      <c r="Z129" s="371" t="s">
        <v>1543</v>
      </c>
      <c r="AA129" s="103" t="s">
        <v>568</v>
      </c>
      <c r="AB129" s="50" t="s">
        <v>506</v>
      </c>
      <c r="AC129" s="55">
        <v>26784</v>
      </c>
      <c r="AD129" s="48">
        <f t="shared" si="56"/>
        <v>30</v>
      </c>
      <c r="AE129" s="48">
        <f t="shared" si="57"/>
        <v>4</v>
      </c>
      <c r="AF129" s="48">
        <f t="shared" si="58"/>
        <v>1973</v>
      </c>
      <c r="AG129" s="49">
        <f t="shared" si="59"/>
        <v>48699</v>
      </c>
      <c r="AH129" s="48">
        <f t="shared" ca="1" si="60"/>
        <v>7</v>
      </c>
      <c r="AI129" s="48">
        <f t="shared" ca="1" si="61"/>
        <v>4</v>
      </c>
      <c r="AJ129" s="48">
        <f t="shared" ca="1" si="62"/>
        <v>19</v>
      </c>
      <c r="AK129" s="48" t="str">
        <f t="shared" ca="1" si="63"/>
        <v>7year/4months/19Days</v>
      </c>
      <c r="AL129" s="371"/>
      <c r="AM129" s="371" t="s">
        <v>1713</v>
      </c>
      <c r="AN129" s="373" t="s">
        <v>1714</v>
      </c>
      <c r="AO129" s="371"/>
      <c r="AP129" s="371"/>
      <c r="AQ129" s="371"/>
      <c r="AR129" s="371"/>
      <c r="AS129" s="371"/>
      <c r="AT129" s="371"/>
      <c r="AU129" s="371"/>
      <c r="AV129" s="371"/>
      <c r="AW129" s="371"/>
      <c r="AX129" s="371"/>
      <c r="AY129" s="371">
        <v>2022</v>
      </c>
      <c r="AZ129" s="59">
        <v>2</v>
      </c>
      <c r="BA129" s="371">
        <v>491</v>
      </c>
      <c r="BB129" s="371">
        <v>121</v>
      </c>
      <c r="BC129" s="371" t="s">
        <v>498</v>
      </c>
      <c r="BD129" s="371" t="s">
        <v>498</v>
      </c>
      <c r="BE129" s="371">
        <v>370</v>
      </c>
      <c r="BF129" s="74">
        <f t="shared" si="64"/>
        <v>75.356415478615062</v>
      </c>
      <c r="BG129" s="371" t="s">
        <v>498</v>
      </c>
      <c r="BH129" s="371" t="s">
        <v>498</v>
      </c>
      <c r="BI129" s="371">
        <v>491</v>
      </c>
      <c r="BJ129" s="371" t="s">
        <v>498</v>
      </c>
      <c r="BK129" s="371" t="s">
        <v>498</v>
      </c>
      <c r="BL129" s="76">
        <v>44824</v>
      </c>
      <c r="BM129" s="867" t="s">
        <v>1855</v>
      </c>
      <c r="BN129" s="868"/>
      <c r="BO129" s="868"/>
      <c r="BP129" s="869"/>
      <c r="BQ129" s="379"/>
      <c r="BR129" s="379"/>
      <c r="BS129" s="379"/>
      <c r="BT129" s="379"/>
      <c r="BU129" s="867" t="s">
        <v>2637</v>
      </c>
      <c r="BV129" s="868"/>
      <c r="BW129" s="868"/>
      <c r="BX129" s="869"/>
      <c r="BY129" s="472"/>
      <c r="BZ129" s="472"/>
      <c r="CA129" s="472"/>
      <c r="CB129" s="472"/>
      <c r="CC129" s="27"/>
    </row>
    <row r="130" spans="1:81" s="8" customFormat="1" ht="40.35" customHeight="1" x14ac:dyDescent="0.3">
      <c r="A130" s="9">
        <v>156</v>
      </c>
      <c r="B130" s="183" t="s">
        <v>1186</v>
      </c>
      <c r="C130" s="11" t="s">
        <v>339</v>
      </c>
      <c r="D130" s="7" t="s">
        <v>1187</v>
      </c>
      <c r="E130" s="3" t="s">
        <v>12</v>
      </c>
      <c r="F130" s="3">
        <v>120</v>
      </c>
      <c r="G130" s="198" t="s">
        <v>13</v>
      </c>
      <c r="H130" s="202" t="s">
        <v>29</v>
      </c>
      <c r="I130" s="212" t="s">
        <v>340</v>
      </c>
      <c r="J130" s="9" t="s">
        <v>29</v>
      </c>
      <c r="K130" s="9" t="s">
        <v>29</v>
      </c>
      <c r="L130" s="9" t="s">
        <v>341</v>
      </c>
      <c r="M130" s="84"/>
      <c r="N130" s="84"/>
      <c r="O130" s="84"/>
      <c r="P130" s="257"/>
      <c r="Q130" s="84"/>
      <c r="R130" s="84"/>
      <c r="S130" s="84"/>
      <c r="T130" s="84"/>
      <c r="U130" s="50"/>
      <c r="V130" s="152"/>
      <c r="W130" s="84"/>
      <c r="X130" s="84"/>
      <c r="Y130" s="84"/>
      <c r="Z130" s="84"/>
      <c r="AA130" s="84"/>
      <c r="AB130" s="50" t="s">
        <v>506</v>
      </c>
      <c r="AC130" s="55">
        <v>26785</v>
      </c>
      <c r="AD130" s="48">
        <f t="shared" si="56"/>
        <v>1</v>
      </c>
      <c r="AE130" s="48">
        <f t="shared" si="57"/>
        <v>5</v>
      </c>
      <c r="AF130" s="48">
        <f t="shared" si="58"/>
        <v>1973</v>
      </c>
      <c r="AG130" s="49">
        <f t="shared" si="59"/>
        <v>48700</v>
      </c>
      <c r="AH130" s="48">
        <f t="shared" ca="1" si="60"/>
        <v>7</v>
      </c>
      <c r="AI130" s="48">
        <f t="shared" ca="1" si="61"/>
        <v>4</v>
      </c>
      <c r="AJ130" s="48">
        <f t="shared" ca="1" si="62"/>
        <v>20</v>
      </c>
      <c r="AK130" s="48" t="str">
        <f t="shared" ca="1" si="63"/>
        <v>7year/4months/20Days</v>
      </c>
      <c r="AL130" s="84"/>
      <c r="AM130" s="50" t="s">
        <v>1715</v>
      </c>
      <c r="AN130" s="229">
        <v>843</v>
      </c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346"/>
      <c r="BA130" s="84"/>
      <c r="BB130" s="84"/>
      <c r="BC130" s="84"/>
      <c r="BD130" s="84"/>
      <c r="BE130" s="84"/>
      <c r="BF130" s="74"/>
      <c r="BG130" s="84"/>
      <c r="BH130" s="84"/>
      <c r="BI130" s="84"/>
      <c r="BJ130" s="84"/>
      <c r="BK130" s="84"/>
      <c r="BL130" s="151"/>
      <c r="BM130" s="313"/>
      <c r="BN130" s="305"/>
      <c r="BO130" s="305"/>
      <c r="BP130" s="305"/>
      <c r="BQ130" s="305"/>
      <c r="BR130" s="305"/>
      <c r="BS130" s="305"/>
      <c r="BT130" s="305"/>
      <c r="BU130" s="867" t="s">
        <v>498</v>
      </c>
      <c r="BV130" s="868"/>
      <c r="BW130" s="868"/>
      <c r="BX130" s="869"/>
      <c r="BY130" s="305"/>
      <c r="BZ130" s="305"/>
      <c r="CA130" s="305"/>
      <c r="CB130" s="305"/>
      <c r="CC130" s="27"/>
    </row>
    <row r="131" spans="1:81" s="232" customFormat="1" ht="40.35" customHeight="1" x14ac:dyDescent="0.25">
      <c r="A131" s="561" t="s">
        <v>1566</v>
      </c>
      <c r="B131" s="227" t="s">
        <v>1197</v>
      </c>
      <c r="C131" s="228" t="s">
        <v>343</v>
      </c>
      <c r="D131" s="229" t="s">
        <v>1949</v>
      </c>
      <c r="E131" s="229" t="s">
        <v>12</v>
      </c>
      <c r="F131" s="375">
        <v>121</v>
      </c>
      <c r="G131" s="230" t="s">
        <v>69</v>
      </c>
      <c r="H131" s="226" t="s">
        <v>125</v>
      </c>
      <c r="I131" s="226" t="s">
        <v>344</v>
      </c>
      <c r="J131" s="226" t="s">
        <v>29</v>
      </c>
      <c r="K131" s="226" t="s">
        <v>98</v>
      </c>
      <c r="L131" s="226" t="s">
        <v>125</v>
      </c>
      <c r="M131" s="365" t="s">
        <v>1194</v>
      </c>
      <c r="N131" s="365" t="s">
        <v>1194</v>
      </c>
      <c r="O131" s="44" t="s">
        <v>2758</v>
      </c>
      <c r="P131" s="247" t="s">
        <v>1195</v>
      </c>
      <c r="Q131" s="365" t="s">
        <v>499</v>
      </c>
      <c r="R131" s="365" t="s">
        <v>557</v>
      </c>
      <c r="S131" s="365" t="s">
        <v>500</v>
      </c>
      <c r="T131" s="365" t="s">
        <v>501</v>
      </c>
      <c r="U131" s="45" t="s">
        <v>561</v>
      </c>
      <c r="V131" s="365" t="s">
        <v>503</v>
      </c>
      <c r="W131" s="371" t="s">
        <v>654</v>
      </c>
      <c r="X131" s="70" t="s">
        <v>2843</v>
      </c>
      <c r="Y131" s="50" t="s">
        <v>697</v>
      </c>
      <c r="Z131" s="371" t="s">
        <v>1196</v>
      </c>
      <c r="AA131" s="50" t="s">
        <v>593</v>
      </c>
      <c r="AB131" s="50" t="s">
        <v>698</v>
      </c>
      <c r="AC131" s="55">
        <v>24860</v>
      </c>
      <c r="AD131" s="48">
        <f t="shared" si="56"/>
        <v>23</v>
      </c>
      <c r="AE131" s="48">
        <f t="shared" si="57"/>
        <v>1</v>
      </c>
      <c r="AF131" s="48">
        <f t="shared" si="58"/>
        <v>1968</v>
      </c>
      <c r="AG131" s="49">
        <f t="shared" si="59"/>
        <v>46775</v>
      </c>
      <c r="AH131" s="48">
        <f t="shared" ca="1" si="60"/>
        <v>2</v>
      </c>
      <c r="AI131" s="48">
        <f t="shared" ca="1" si="61"/>
        <v>1</v>
      </c>
      <c r="AJ131" s="48">
        <f t="shared" ca="1" si="62"/>
        <v>12</v>
      </c>
      <c r="AK131" s="48" t="str">
        <f t="shared" ca="1" si="63"/>
        <v>2year/1months/12Days</v>
      </c>
      <c r="AL131" s="365"/>
      <c r="AM131" s="371" t="s">
        <v>1716</v>
      </c>
      <c r="AN131" s="373" t="s">
        <v>1717</v>
      </c>
      <c r="AO131" s="365"/>
      <c r="AP131" s="365"/>
      <c r="AQ131" s="365"/>
      <c r="AR131" s="365"/>
      <c r="AS131" s="365"/>
      <c r="AT131" s="365"/>
      <c r="AU131" s="365"/>
      <c r="AV131" s="365"/>
      <c r="AW131" s="365"/>
      <c r="AX131" s="365"/>
      <c r="AY131" s="365">
        <v>2024</v>
      </c>
      <c r="AZ131" s="45">
        <v>4</v>
      </c>
      <c r="BA131" s="365">
        <v>1719</v>
      </c>
      <c r="BB131" s="365">
        <v>307</v>
      </c>
      <c r="BC131" s="365">
        <v>3</v>
      </c>
      <c r="BD131" s="365">
        <v>8</v>
      </c>
      <c r="BE131" s="365">
        <v>1338</v>
      </c>
      <c r="BF131" s="74">
        <f>BE131/BA131*100</f>
        <v>77.835951134380451</v>
      </c>
      <c r="BG131" s="365">
        <v>64</v>
      </c>
      <c r="BH131" s="365" t="s">
        <v>498</v>
      </c>
      <c r="BI131" s="365">
        <v>1670</v>
      </c>
      <c r="BJ131" s="365" t="s">
        <v>498</v>
      </c>
      <c r="BK131" s="365">
        <v>49</v>
      </c>
      <c r="BL131" s="117">
        <v>45600</v>
      </c>
      <c r="BM131" s="867" t="s">
        <v>1792</v>
      </c>
      <c r="BN131" s="868"/>
      <c r="BO131" s="868"/>
      <c r="BP131" s="869"/>
      <c r="BQ131" s="867" t="s">
        <v>1842</v>
      </c>
      <c r="BR131" s="868"/>
      <c r="BS131" s="868"/>
      <c r="BT131" s="869"/>
      <c r="BU131" s="867" t="s">
        <v>2639</v>
      </c>
      <c r="BV131" s="868"/>
      <c r="BW131" s="868"/>
      <c r="BX131" s="869"/>
      <c r="BY131" s="867" t="s">
        <v>2735</v>
      </c>
      <c r="BZ131" s="868"/>
      <c r="CA131" s="868"/>
      <c r="CB131" s="869"/>
      <c r="CC131" s="231"/>
    </row>
    <row r="132" spans="1:81" s="232" customFormat="1" ht="40.35" customHeight="1" x14ac:dyDescent="0.3">
      <c r="A132" s="226">
        <v>159</v>
      </c>
      <c r="B132" s="227" t="s">
        <v>1184</v>
      </c>
      <c r="C132" s="228" t="s">
        <v>346</v>
      </c>
      <c r="D132" s="269" t="s">
        <v>1185</v>
      </c>
      <c r="E132" s="229" t="s">
        <v>12</v>
      </c>
      <c r="F132" s="229">
        <v>122</v>
      </c>
      <c r="G132" s="230" t="s">
        <v>69</v>
      </c>
      <c r="H132" s="226" t="s">
        <v>125</v>
      </c>
      <c r="I132" s="226" t="s">
        <v>344</v>
      </c>
      <c r="J132" s="226" t="s">
        <v>29</v>
      </c>
      <c r="K132" s="226" t="s">
        <v>98</v>
      </c>
      <c r="L132" s="226" t="s">
        <v>125</v>
      </c>
      <c r="M132" s="50" t="s">
        <v>1183</v>
      </c>
      <c r="N132" s="50"/>
      <c r="O132" s="50"/>
      <c r="P132" s="243"/>
      <c r="Q132" s="50" t="s">
        <v>499</v>
      </c>
      <c r="R132" s="50" t="s">
        <v>560</v>
      </c>
      <c r="S132" s="50" t="s">
        <v>500</v>
      </c>
      <c r="T132" s="50" t="s">
        <v>671</v>
      </c>
      <c r="U132" s="52"/>
      <c r="V132" s="60" t="s">
        <v>589</v>
      </c>
      <c r="W132" s="365" t="s">
        <v>527</v>
      </c>
      <c r="X132" s="54" t="s">
        <v>1796</v>
      </c>
      <c r="Y132" s="113" t="s">
        <v>1797</v>
      </c>
      <c r="Z132" s="53" t="s">
        <v>1798</v>
      </c>
      <c r="AA132" s="50" t="s">
        <v>562</v>
      </c>
      <c r="AB132" s="50" t="s">
        <v>710</v>
      </c>
      <c r="AC132" s="55">
        <v>25144</v>
      </c>
      <c r="AD132" s="48">
        <f t="shared" si="56"/>
        <v>2</v>
      </c>
      <c r="AE132" s="48">
        <f t="shared" si="57"/>
        <v>11</v>
      </c>
      <c r="AF132" s="48">
        <f t="shared" si="58"/>
        <v>1968</v>
      </c>
      <c r="AG132" s="49">
        <f t="shared" si="59"/>
        <v>47059</v>
      </c>
      <c r="AH132" s="48">
        <f t="shared" ca="1" si="60"/>
        <v>2</v>
      </c>
      <c r="AI132" s="48">
        <f t="shared" ca="1" si="61"/>
        <v>10</v>
      </c>
      <c r="AJ132" s="48">
        <f t="shared" ca="1" si="62"/>
        <v>22</v>
      </c>
      <c r="AK132" s="48" t="str">
        <f t="shared" ca="1" si="63"/>
        <v>2year/10months/22Days</v>
      </c>
      <c r="AL132" s="384"/>
      <c r="AM132" s="384" t="s">
        <v>1718</v>
      </c>
      <c r="AN132" s="276">
        <v>1918</v>
      </c>
      <c r="AO132" s="384"/>
      <c r="AP132" s="384"/>
      <c r="AQ132" s="384"/>
      <c r="AR132" s="384"/>
      <c r="AS132" s="384"/>
      <c r="AT132" s="384"/>
      <c r="AU132" s="384"/>
      <c r="AV132" s="384"/>
      <c r="AW132" s="384"/>
      <c r="AX132" s="384"/>
      <c r="AY132" s="50"/>
      <c r="AZ132" s="340"/>
      <c r="BA132" s="95"/>
      <c r="BB132" s="95"/>
      <c r="BC132" s="95"/>
      <c r="BD132" s="95"/>
      <c r="BE132" s="95"/>
      <c r="BF132" s="74"/>
      <c r="BG132" s="95"/>
      <c r="BH132" s="95"/>
      <c r="BI132" s="95"/>
      <c r="BJ132" s="95"/>
      <c r="BK132" s="95"/>
      <c r="BL132" s="117">
        <v>44995</v>
      </c>
      <c r="BM132" s="379"/>
      <c r="BN132" s="379"/>
      <c r="BO132" s="379"/>
      <c r="BP132" s="379"/>
      <c r="BQ132" s="320"/>
      <c r="BR132" s="320"/>
      <c r="BS132" s="320"/>
      <c r="BT132" s="320"/>
      <c r="BU132" s="472"/>
      <c r="BV132" s="472"/>
      <c r="BW132" s="472"/>
      <c r="BX132" s="472"/>
      <c r="BY132" s="320"/>
      <c r="BZ132" s="320"/>
      <c r="CA132" s="320"/>
      <c r="CB132" s="320"/>
      <c r="CC132" s="231"/>
    </row>
    <row r="133" spans="1:81" s="8" customFormat="1" ht="40.35" customHeight="1" x14ac:dyDescent="0.25">
      <c r="A133" s="9">
        <v>160</v>
      </c>
      <c r="B133" s="183" t="s">
        <v>1192</v>
      </c>
      <c r="C133" s="11" t="s">
        <v>348</v>
      </c>
      <c r="D133" s="3" t="s">
        <v>1193</v>
      </c>
      <c r="E133" s="3" t="s">
        <v>12</v>
      </c>
      <c r="F133" s="381">
        <v>123</v>
      </c>
      <c r="G133" s="198" t="s">
        <v>69</v>
      </c>
      <c r="H133" s="9" t="s">
        <v>125</v>
      </c>
      <c r="I133" s="9" t="s">
        <v>344</v>
      </c>
      <c r="J133" s="9" t="s">
        <v>29</v>
      </c>
      <c r="K133" s="9" t="s">
        <v>98</v>
      </c>
      <c r="L133" s="9" t="s">
        <v>125</v>
      </c>
      <c r="M133" s="50" t="s">
        <v>1188</v>
      </c>
      <c r="N133" s="50" t="s">
        <v>498</v>
      </c>
      <c r="O133" s="156" t="s">
        <v>1189</v>
      </c>
      <c r="P133" s="250" t="s">
        <v>1190</v>
      </c>
      <c r="Q133" s="50" t="s">
        <v>499</v>
      </c>
      <c r="R133" s="50" t="s">
        <v>1191</v>
      </c>
      <c r="S133" s="50" t="s">
        <v>500</v>
      </c>
      <c r="T133" s="50" t="s">
        <v>652</v>
      </c>
      <c r="U133" s="52" t="s">
        <v>535</v>
      </c>
      <c r="V133" s="60" t="s">
        <v>584</v>
      </c>
      <c r="W133" s="365" t="s">
        <v>567</v>
      </c>
      <c r="X133" s="70" t="s">
        <v>1539</v>
      </c>
      <c r="Y133" s="60" t="s">
        <v>1537</v>
      </c>
      <c r="Z133" s="60" t="s">
        <v>1540</v>
      </c>
      <c r="AA133" s="50" t="s">
        <v>1538</v>
      </c>
      <c r="AB133" s="50" t="s">
        <v>506</v>
      </c>
      <c r="AC133" s="55">
        <v>26788</v>
      </c>
      <c r="AD133" s="48">
        <f t="shared" si="56"/>
        <v>4</v>
      </c>
      <c r="AE133" s="48">
        <f t="shared" si="57"/>
        <v>5</v>
      </c>
      <c r="AF133" s="48">
        <f t="shared" si="58"/>
        <v>1973</v>
      </c>
      <c r="AG133" s="49">
        <f t="shared" si="59"/>
        <v>48703</v>
      </c>
      <c r="AH133" s="48">
        <f t="shared" ca="1" si="60"/>
        <v>7</v>
      </c>
      <c r="AI133" s="48">
        <f t="shared" ca="1" si="61"/>
        <v>4</v>
      </c>
      <c r="AJ133" s="48">
        <f t="shared" ca="1" si="62"/>
        <v>23</v>
      </c>
      <c r="AK133" s="48" t="str">
        <f t="shared" ca="1" si="63"/>
        <v>7year/4months/23Days</v>
      </c>
      <c r="AL133" s="384"/>
      <c r="AM133" s="384" t="s">
        <v>1719</v>
      </c>
      <c r="AN133" s="276">
        <v>2256</v>
      </c>
      <c r="AO133" s="384"/>
      <c r="AP133" s="384"/>
      <c r="AQ133" s="384"/>
      <c r="AR133" s="384"/>
      <c r="AS133" s="384"/>
      <c r="AT133" s="384"/>
      <c r="AU133" s="384"/>
      <c r="AV133" s="384"/>
      <c r="AW133" s="384"/>
      <c r="AX133" s="384"/>
      <c r="AY133" s="78">
        <v>2022</v>
      </c>
      <c r="AZ133" s="107">
        <v>4</v>
      </c>
      <c r="BA133" s="78">
        <v>725</v>
      </c>
      <c r="BB133" s="78">
        <v>92</v>
      </c>
      <c r="BC133" s="78" t="s">
        <v>498</v>
      </c>
      <c r="BD133" s="78" t="s">
        <v>498</v>
      </c>
      <c r="BE133" s="78">
        <v>633</v>
      </c>
      <c r="BF133" s="74">
        <f t="shared" ref="BF133:BF137" si="109">BE133/BA133*100</f>
        <v>87.310344827586206</v>
      </c>
      <c r="BG133" s="78" t="s">
        <v>498</v>
      </c>
      <c r="BH133" s="78" t="s">
        <v>498</v>
      </c>
      <c r="BI133" s="78">
        <v>725</v>
      </c>
      <c r="BJ133" s="78" t="s">
        <v>498</v>
      </c>
      <c r="BK133" s="78" t="s">
        <v>498</v>
      </c>
      <c r="BL133" s="76">
        <v>44831</v>
      </c>
      <c r="BM133" s="867" t="s">
        <v>1843</v>
      </c>
      <c r="BN133" s="868"/>
      <c r="BO133" s="868"/>
      <c r="BP133" s="869"/>
      <c r="BQ133" s="318"/>
      <c r="BR133" s="318"/>
      <c r="BS133" s="318"/>
      <c r="BT133" s="318"/>
      <c r="BU133" s="315"/>
      <c r="BV133" s="315"/>
      <c r="BW133" s="315"/>
      <c r="BX133" s="315"/>
      <c r="BY133" s="318"/>
      <c r="BZ133" s="318"/>
      <c r="CA133" s="318"/>
      <c r="CB133" s="318"/>
      <c r="CC133" s="27"/>
    </row>
    <row r="134" spans="1:81" s="8" customFormat="1" ht="34.5" customHeight="1" x14ac:dyDescent="0.3">
      <c r="A134" s="58" t="s">
        <v>1567</v>
      </c>
      <c r="B134" s="183" t="s">
        <v>1207</v>
      </c>
      <c r="C134" s="11" t="s">
        <v>349</v>
      </c>
      <c r="D134" s="7" t="s">
        <v>1208</v>
      </c>
      <c r="E134" s="3" t="s">
        <v>12</v>
      </c>
      <c r="F134" s="3">
        <v>124</v>
      </c>
      <c r="G134" s="198" t="s">
        <v>26</v>
      </c>
      <c r="H134" s="9" t="s">
        <v>26</v>
      </c>
      <c r="I134" s="9" t="s">
        <v>321</v>
      </c>
      <c r="J134" s="9" t="s">
        <v>29</v>
      </c>
      <c r="K134" s="9" t="s">
        <v>30</v>
      </c>
      <c r="L134" s="9" t="s">
        <v>30</v>
      </c>
      <c r="M134" s="50" t="s">
        <v>1202</v>
      </c>
      <c r="N134" s="365" t="s">
        <v>498</v>
      </c>
      <c r="O134" s="51" t="s">
        <v>1203</v>
      </c>
      <c r="P134" s="244"/>
      <c r="Q134" s="50" t="s">
        <v>499</v>
      </c>
      <c r="R134" s="50" t="s">
        <v>560</v>
      </c>
      <c r="S134" s="50" t="s">
        <v>500</v>
      </c>
      <c r="T134" s="50" t="s">
        <v>886</v>
      </c>
      <c r="U134" s="97" t="s">
        <v>561</v>
      </c>
      <c r="V134" s="371" t="s">
        <v>503</v>
      </c>
      <c r="W134" s="365" t="s">
        <v>585</v>
      </c>
      <c r="X134" s="46" t="s">
        <v>1204</v>
      </c>
      <c r="Y134" s="50" t="s">
        <v>1205</v>
      </c>
      <c r="Z134" s="371" t="s">
        <v>1206</v>
      </c>
      <c r="AA134" s="78" t="s">
        <v>538</v>
      </c>
      <c r="AB134" s="50" t="s">
        <v>710</v>
      </c>
      <c r="AC134" s="55"/>
      <c r="AD134" s="48"/>
      <c r="AE134" s="48"/>
      <c r="AF134" s="48"/>
      <c r="AG134" s="49"/>
      <c r="AH134" s="48"/>
      <c r="AI134" s="48"/>
      <c r="AJ134" s="48"/>
      <c r="AK134" s="48"/>
      <c r="AL134" s="50"/>
      <c r="AM134" s="60" t="s">
        <v>1720</v>
      </c>
      <c r="AN134" s="275" t="s">
        <v>1721</v>
      </c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>
        <v>2018</v>
      </c>
      <c r="AZ134" s="52" t="s">
        <v>942</v>
      </c>
      <c r="BA134" s="50">
        <v>537</v>
      </c>
      <c r="BB134" s="50">
        <v>7</v>
      </c>
      <c r="BC134" s="50">
        <v>13</v>
      </c>
      <c r="BD134" s="50">
        <v>15</v>
      </c>
      <c r="BE134" s="50">
        <v>493</v>
      </c>
      <c r="BF134" s="74">
        <f t="shared" si="109"/>
        <v>91.806331471135934</v>
      </c>
      <c r="BG134" s="50">
        <v>9</v>
      </c>
      <c r="BH134" s="50" t="s">
        <v>498</v>
      </c>
      <c r="BI134" s="50">
        <v>537</v>
      </c>
      <c r="BJ134" s="50"/>
      <c r="BK134" s="50"/>
      <c r="BL134" s="76">
        <v>44650</v>
      </c>
      <c r="BM134" s="867" t="s">
        <v>1864</v>
      </c>
      <c r="BN134" s="868"/>
      <c r="BO134" s="868"/>
      <c r="BP134" s="869"/>
      <c r="BQ134" s="305"/>
      <c r="BR134" s="305"/>
      <c r="BS134" s="305"/>
      <c r="BT134" s="305"/>
      <c r="BU134" s="867" t="s">
        <v>2637</v>
      </c>
      <c r="BV134" s="868"/>
      <c r="BW134" s="868"/>
      <c r="BX134" s="869"/>
      <c r="BY134" s="305"/>
      <c r="BZ134" s="305"/>
      <c r="CA134" s="305"/>
      <c r="CB134" s="305"/>
      <c r="CC134" s="27"/>
    </row>
    <row r="135" spans="1:81" s="656" customFormat="1" ht="40.35" customHeight="1" x14ac:dyDescent="0.25">
      <c r="A135" s="636">
        <v>163</v>
      </c>
      <c r="B135" s="657" t="s">
        <v>1213</v>
      </c>
      <c r="C135" s="658" t="s">
        <v>351</v>
      </c>
      <c r="D135" s="451" t="s">
        <v>30</v>
      </c>
      <c r="E135" s="451" t="s">
        <v>12</v>
      </c>
      <c r="F135" s="444">
        <v>125</v>
      </c>
      <c r="G135" s="640" t="s">
        <v>26</v>
      </c>
      <c r="H135" s="636" t="s">
        <v>26</v>
      </c>
      <c r="I135" s="636" t="s">
        <v>352</v>
      </c>
      <c r="J135" s="636" t="s">
        <v>29</v>
      </c>
      <c r="K135" s="636" t="s">
        <v>30</v>
      </c>
      <c r="L135" s="636" t="s">
        <v>30</v>
      </c>
      <c r="M135" s="642" t="s">
        <v>1209</v>
      </c>
      <c r="N135" s="642" t="s">
        <v>1209</v>
      </c>
      <c r="O135" s="672" t="s">
        <v>1210</v>
      </c>
      <c r="P135" s="644" t="s">
        <v>1211</v>
      </c>
      <c r="Q135" s="642" t="s">
        <v>499</v>
      </c>
      <c r="R135" s="642" t="s">
        <v>557</v>
      </c>
      <c r="S135" s="642" t="s">
        <v>500</v>
      </c>
      <c r="T135" s="642" t="s">
        <v>886</v>
      </c>
      <c r="U135" s="661" t="s">
        <v>561</v>
      </c>
      <c r="V135" s="648" t="s">
        <v>503</v>
      </c>
      <c r="W135" s="642" t="s">
        <v>527</v>
      </c>
      <c r="X135" s="647" t="s">
        <v>2895</v>
      </c>
      <c r="Y135" s="648" t="s">
        <v>2896</v>
      </c>
      <c r="Z135" s="705" t="s">
        <v>1129</v>
      </c>
      <c r="AA135" s="652" t="s">
        <v>918</v>
      </c>
      <c r="AB135" s="652" t="s">
        <v>710</v>
      </c>
      <c r="AC135" s="758">
        <v>26705</v>
      </c>
      <c r="AD135" s="650">
        <f t="shared" ref="AD135" si="110">DAY(AC135)</f>
        <v>10</v>
      </c>
      <c r="AE135" s="650">
        <f t="shared" ref="AE135" si="111">MONTH(AC135)</f>
        <v>2</v>
      </c>
      <c r="AF135" s="650">
        <f t="shared" ref="AF135" si="112">YEAR(AC135)</f>
        <v>1973</v>
      </c>
      <c r="AG135" s="651">
        <f t="shared" ref="AG135" si="113">EDATE(AC135,12*60)</f>
        <v>48620</v>
      </c>
      <c r="AH135" s="650">
        <f t="shared" ref="AH135" ca="1" si="114">DATEDIF($A$4,AG135, "Y" )</f>
        <v>7</v>
      </c>
      <c r="AI135" s="650">
        <f t="shared" ref="AI135" ca="1" si="115">DATEDIF($A$4,AG135, "YM" )</f>
        <v>1</v>
      </c>
      <c r="AJ135" s="650">
        <f t="shared" ref="AJ135" ca="1" si="116">DATEDIF($A$4,AG135, "MD" )</f>
        <v>30</v>
      </c>
      <c r="AK135" s="650" t="str">
        <f t="shared" ref="AK135" ca="1" si="117">CONCATENATE(AH135,"year","/",AI135,"months","/",AJ135,"Days")</f>
        <v>7year/1months/30Days</v>
      </c>
      <c r="AL135" s="702"/>
      <c r="AM135" s="702" t="s">
        <v>1722</v>
      </c>
      <c r="AN135" s="703">
        <v>237</v>
      </c>
      <c r="AO135" s="702"/>
      <c r="AP135" s="702"/>
      <c r="AQ135" s="702"/>
      <c r="AR135" s="702"/>
      <c r="AS135" s="702"/>
      <c r="AT135" s="702"/>
      <c r="AU135" s="702"/>
      <c r="AV135" s="702"/>
      <c r="AW135" s="702"/>
      <c r="AX135" s="702"/>
      <c r="AY135" s="642">
        <v>2022</v>
      </c>
      <c r="AZ135" s="667" t="s">
        <v>1212</v>
      </c>
      <c r="BA135" s="652">
        <v>2897</v>
      </c>
      <c r="BB135" s="652">
        <v>453</v>
      </c>
      <c r="BC135" s="652">
        <v>7</v>
      </c>
      <c r="BD135" s="652">
        <v>59</v>
      </c>
      <c r="BE135" s="652">
        <v>2358</v>
      </c>
      <c r="BF135" s="653">
        <f t="shared" si="109"/>
        <v>81.394546082153951</v>
      </c>
      <c r="BG135" s="652">
        <v>27</v>
      </c>
      <c r="BH135" s="652">
        <v>5</v>
      </c>
      <c r="BI135" s="652">
        <v>2828</v>
      </c>
      <c r="BJ135" s="652" t="s">
        <v>498</v>
      </c>
      <c r="BK135" s="652">
        <v>69</v>
      </c>
      <c r="BL135" s="654">
        <v>44858</v>
      </c>
      <c r="BM135" s="669"/>
      <c r="BN135" s="669"/>
      <c r="BO135" s="669"/>
      <c r="BP135" s="669"/>
      <c r="BQ135" s="715"/>
      <c r="BR135" s="715"/>
      <c r="BS135" s="715"/>
      <c r="BT135" s="715"/>
      <c r="BU135" s="873" t="s">
        <v>2600</v>
      </c>
      <c r="BV135" s="874"/>
      <c r="BW135" s="874"/>
      <c r="BX135" s="875"/>
      <c r="BY135" s="715"/>
      <c r="BZ135" s="715"/>
      <c r="CA135" s="715"/>
      <c r="CB135" s="715"/>
      <c r="CC135" s="655"/>
    </row>
    <row r="136" spans="1:81" s="8" customFormat="1" ht="39.75" customHeight="1" x14ac:dyDescent="0.25">
      <c r="A136" s="9">
        <v>164</v>
      </c>
      <c r="B136" s="183" t="s">
        <v>1201</v>
      </c>
      <c r="C136" s="11" t="s">
        <v>354</v>
      </c>
      <c r="D136" s="7" t="s">
        <v>30</v>
      </c>
      <c r="E136" s="3" t="s">
        <v>12</v>
      </c>
      <c r="F136" s="3">
        <v>126</v>
      </c>
      <c r="G136" s="612" t="s">
        <v>26</v>
      </c>
      <c r="H136" s="9" t="s">
        <v>26</v>
      </c>
      <c r="I136" s="9" t="s">
        <v>321</v>
      </c>
      <c r="J136" s="9" t="s">
        <v>29</v>
      </c>
      <c r="K136" s="9" t="s">
        <v>30</v>
      </c>
      <c r="L136" s="9" t="s">
        <v>30</v>
      </c>
      <c r="M136" s="60" t="s">
        <v>1198</v>
      </c>
      <c r="N136" s="50" t="s">
        <v>498</v>
      </c>
      <c r="O136" s="51" t="s">
        <v>1199</v>
      </c>
      <c r="P136" s="243" t="s">
        <v>1200</v>
      </c>
      <c r="Q136" s="50" t="s">
        <v>499</v>
      </c>
      <c r="R136" s="50">
        <v>2</v>
      </c>
      <c r="S136" s="50" t="s">
        <v>500</v>
      </c>
      <c r="T136" s="50" t="s">
        <v>886</v>
      </c>
      <c r="U136" s="97" t="s">
        <v>525</v>
      </c>
      <c r="V136" s="60" t="s">
        <v>503</v>
      </c>
      <c r="W136" s="365" t="s">
        <v>585</v>
      </c>
      <c r="X136" s="113" t="s">
        <v>2075</v>
      </c>
      <c r="Y136" s="50" t="s">
        <v>2076</v>
      </c>
      <c r="Z136" s="60" t="s">
        <v>2077</v>
      </c>
      <c r="AA136" s="78" t="s">
        <v>538</v>
      </c>
      <c r="AB136" s="50" t="s">
        <v>710</v>
      </c>
      <c r="AC136" s="55">
        <v>28158</v>
      </c>
      <c r="AD136" s="48">
        <f t="shared" si="56"/>
        <v>2</v>
      </c>
      <c r="AE136" s="48">
        <f t="shared" si="57"/>
        <v>2</v>
      </c>
      <c r="AF136" s="48">
        <f t="shared" si="58"/>
        <v>1977</v>
      </c>
      <c r="AG136" s="49">
        <f t="shared" si="59"/>
        <v>50073</v>
      </c>
      <c r="AH136" s="48">
        <f t="shared" ca="1" si="60"/>
        <v>11</v>
      </c>
      <c r="AI136" s="48">
        <f t="shared" ca="1" si="61"/>
        <v>1</v>
      </c>
      <c r="AJ136" s="48">
        <f t="shared" ca="1" si="62"/>
        <v>22</v>
      </c>
      <c r="AK136" s="48" t="str">
        <f t="shared" ca="1" si="63"/>
        <v>11year/1months/22Days</v>
      </c>
      <c r="AL136" s="106"/>
      <c r="AM136" s="384" t="s">
        <v>1723</v>
      </c>
      <c r="AN136" s="276">
        <v>2073</v>
      </c>
      <c r="AO136" s="384"/>
      <c r="AP136" s="384"/>
      <c r="AQ136" s="384"/>
      <c r="AR136" s="384"/>
      <c r="AS136" s="384"/>
      <c r="AT136" s="384"/>
      <c r="AU136" s="384"/>
      <c r="AV136" s="384"/>
      <c r="AW136" s="384"/>
      <c r="AX136" s="384"/>
      <c r="AY136" s="50">
        <v>2025</v>
      </c>
      <c r="AZ136" s="107">
        <v>2</v>
      </c>
      <c r="BA136" s="78">
        <v>618</v>
      </c>
      <c r="BB136" s="78">
        <v>39</v>
      </c>
      <c r="BC136" s="78">
        <v>11</v>
      </c>
      <c r="BD136" s="78">
        <v>68</v>
      </c>
      <c r="BE136" s="78">
        <v>459</v>
      </c>
      <c r="BF136" s="86">
        <f t="shared" si="109"/>
        <v>74.271844660194176</v>
      </c>
      <c r="BG136" s="78">
        <v>41</v>
      </c>
      <c r="BH136" s="78" t="s">
        <v>498</v>
      </c>
      <c r="BI136" s="78">
        <v>618</v>
      </c>
      <c r="BJ136" s="50" t="s">
        <v>498</v>
      </c>
      <c r="BK136" s="50" t="s">
        <v>498</v>
      </c>
      <c r="BL136" s="76" t="s">
        <v>2855</v>
      </c>
      <c r="BM136" s="867" t="s">
        <v>1864</v>
      </c>
      <c r="BN136" s="868"/>
      <c r="BO136" s="868"/>
      <c r="BP136" s="869"/>
      <c r="BQ136" s="318"/>
      <c r="BR136" s="318"/>
      <c r="BS136" s="318"/>
      <c r="BT136" s="318"/>
      <c r="BU136" s="867" t="s">
        <v>2856</v>
      </c>
      <c r="BV136" s="868"/>
      <c r="BW136" s="868"/>
      <c r="BX136" s="869"/>
      <c r="BY136" s="867" t="s">
        <v>2857</v>
      </c>
      <c r="BZ136" s="868"/>
      <c r="CA136" s="868"/>
      <c r="CB136" s="869"/>
      <c r="CC136" s="27"/>
    </row>
    <row r="137" spans="1:81" s="100" customFormat="1" ht="40.35" customHeight="1" thickBot="1" x14ac:dyDescent="0.35">
      <c r="A137" s="100">
        <v>165</v>
      </c>
      <c r="B137" s="333" t="s">
        <v>1433</v>
      </c>
      <c r="C137" s="94"/>
      <c r="D137" s="94" t="s">
        <v>2867</v>
      </c>
      <c r="E137" s="94" t="s">
        <v>1439</v>
      </c>
      <c r="F137" s="94">
        <v>3</v>
      </c>
      <c r="G137" s="94" t="s">
        <v>30</v>
      </c>
      <c r="H137" s="100" t="s">
        <v>30</v>
      </c>
      <c r="I137" s="100" t="s">
        <v>1431</v>
      </c>
      <c r="J137" s="100" t="s">
        <v>29</v>
      </c>
      <c r="K137" s="100" t="s">
        <v>30</v>
      </c>
      <c r="L137" s="100" t="s">
        <v>30</v>
      </c>
      <c r="M137" s="100" t="s">
        <v>1499</v>
      </c>
      <c r="N137" s="100" t="s">
        <v>1434</v>
      </c>
      <c r="O137" s="100" t="s">
        <v>1435</v>
      </c>
      <c r="P137" s="100" t="s">
        <v>1500</v>
      </c>
      <c r="Q137" s="100" t="s">
        <v>499</v>
      </c>
      <c r="R137" s="100" t="s">
        <v>557</v>
      </c>
      <c r="S137" s="100" t="s">
        <v>500</v>
      </c>
      <c r="T137" s="100" t="s">
        <v>588</v>
      </c>
      <c r="U137" s="100" t="s">
        <v>561</v>
      </c>
      <c r="V137" s="100" t="s">
        <v>503</v>
      </c>
      <c r="W137" s="100" t="s">
        <v>1046</v>
      </c>
      <c r="X137" s="100" t="s">
        <v>2498</v>
      </c>
      <c r="Y137" s="100" t="s">
        <v>1437</v>
      </c>
      <c r="Z137" s="100" t="s">
        <v>2499</v>
      </c>
      <c r="AA137" s="100" t="s">
        <v>1438</v>
      </c>
      <c r="AB137" s="100" t="s">
        <v>1048</v>
      </c>
      <c r="AC137" s="100">
        <v>27886</v>
      </c>
      <c r="AD137" s="100">
        <f t="shared" ref="AD137:AD193" si="118">DAY(AC137)</f>
        <v>6</v>
      </c>
      <c r="AE137" s="100">
        <f t="shared" ref="AE137:AE193" si="119">MONTH(AC137)</f>
        <v>5</v>
      </c>
      <c r="AF137" s="100">
        <f t="shared" ref="AF137:AF193" si="120">YEAR(AC137)</f>
        <v>1976</v>
      </c>
      <c r="AG137" s="100">
        <f t="shared" ref="AG137:AG193" si="121">EDATE(AC137,12*60)</f>
        <v>49801</v>
      </c>
      <c r="AH137" s="100">
        <f t="shared" ref="AH137:AH193" ca="1" si="122">DATEDIF($A$4,AG137, "Y" )</f>
        <v>10</v>
      </c>
      <c r="AI137" s="100">
        <f t="shared" ref="AI137:AI193" ca="1" si="123">DATEDIF($A$4,AG137, "YM" )</f>
        <v>4</v>
      </c>
      <c r="AJ137" s="100">
        <f t="shared" ref="AJ137:AJ193" ca="1" si="124">DATEDIF($A$4,AG137, "MD" )</f>
        <v>25</v>
      </c>
      <c r="AK137" s="100" t="str">
        <f t="shared" ref="AK137:AK193" ca="1" si="125">CONCATENATE(AH137,"year","/",AI137,"months","/",AJ137,"Days")</f>
        <v>10year/4months/25Days</v>
      </c>
      <c r="AM137" s="100" t="s">
        <v>1724</v>
      </c>
      <c r="AN137" s="100" t="s">
        <v>498</v>
      </c>
      <c r="AY137" s="100">
        <v>2022</v>
      </c>
      <c r="AZ137" s="100" t="s">
        <v>1321</v>
      </c>
      <c r="BA137" s="100">
        <v>2002</v>
      </c>
      <c r="BB137" s="100">
        <v>112</v>
      </c>
      <c r="BC137" s="100">
        <v>3</v>
      </c>
      <c r="BD137" s="100">
        <v>6</v>
      </c>
      <c r="BE137" s="100">
        <v>1881</v>
      </c>
      <c r="BF137" s="100">
        <f t="shared" si="109"/>
        <v>93.956043956043956</v>
      </c>
      <c r="BG137" s="100" t="s">
        <v>498</v>
      </c>
      <c r="BH137" s="100">
        <v>1</v>
      </c>
      <c r="BI137" s="100">
        <v>1973</v>
      </c>
      <c r="BJ137" s="100" t="s">
        <v>498</v>
      </c>
      <c r="BK137" s="100">
        <v>29</v>
      </c>
      <c r="BL137" s="100">
        <v>44844</v>
      </c>
      <c r="BM137" s="905" t="s">
        <v>1860</v>
      </c>
      <c r="BN137" s="905"/>
      <c r="BO137" s="905"/>
      <c r="BP137" s="905"/>
      <c r="BU137" s="905" t="s">
        <v>2639</v>
      </c>
      <c r="BV137" s="905"/>
      <c r="BW137" s="905"/>
      <c r="BX137" s="905"/>
    </row>
    <row r="138" spans="1:81" s="8" customFormat="1" ht="42.75" customHeight="1" x14ac:dyDescent="0.3">
      <c r="A138" s="558">
        <v>166</v>
      </c>
      <c r="B138" s="187" t="s">
        <v>817</v>
      </c>
      <c r="C138" s="26" t="s">
        <v>356</v>
      </c>
      <c r="D138" s="611" t="s">
        <v>818</v>
      </c>
      <c r="E138" s="611" t="s">
        <v>12</v>
      </c>
      <c r="F138" s="381">
        <v>127</v>
      </c>
      <c r="G138" s="206" t="s">
        <v>13</v>
      </c>
      <c r="H138" s="9" t="s">
        <v>19</v>
      </c>
      <c r="I138" s="9" t="s">
        <v>357</v>
      </c>
      <c r="J138" s="9" t="s">
        <v>21</v>
      </c>
      <c r="K138" s="9" t="s">
        <v>22</v>
      </c>
      <c r="L138" s="9" t="s">
        <v>1469</v>
      </c>
      <c r="M138" s="50" t="s">
        <v>2759</v>
      </c>
      <c r="N138" s="50" t="s">
        <v>498</v>
      </c>
      <c r="O138" s="51" t="s">
        <v>815</v>
      </c>
      <c r="P138" s="244" t="s">
        <v>2760</v>
      </c>
      <c r="Q138" s="50" t="s">
        <v>499</v>
      </c>
      <c r="R138" s="50">
        <v>3</v>
      </c>
      <c r="S138" s="50" t="s">
        <v>500</v>
      </c>
      <c r="T138" s="50" t="s">
        <v>524</v>
      </c>
      <c r="U138" s="52" t="s">
        <v>535</v>
      </c>
      <c r="V138" s="50" t="s">
        <v>589</v>
      </c>
      <c r="W138" s="50" t="s">
        <v>585</v>
      </c>
      <c r="X138" s="70" t="s">
        <v>2761</v>
      </c>
      <c r="Y138" s="50" t="s">
        <v>2762</v>
      </c>
      <c r="Z138" s="60" t="s">
        <v>2763</v>
      </c>
      <c r="AA138" s="50" t="s">
        <v>593</v>
      </c>
      <c r="AB138" s="50" t="s">
        <v>710</v>
      </c>
      <c r="AC138" s="55">
        <v>29843</v>
      </c>
      <c r="AD138" s="48">
        <f t="shared" si="118"/>
        <v>14</v>
      </c>
      <c r="AE138" s="48">
        <f t="shared" si="119"/>
        <v>9</v>
      </c>
      <c r="AF138" s="48">
        <f t="shared" si="120"/>
        <v>1981</v>
      </c>
      <c r="AG138" s="49">
        <f t="shared" si="121"/>
        <v>51758</v>
      </c>
      <c r="AH138" s="48">
        <f t="shared" ca="1" si="122"/>
        <v>15</v>
      </c>
      <c r="AI138" s="48">
        <f t="shared" ca="1" si="123"/>
        <v>9</v>
      </c>
      <c r="AJ138" s="48">
        <f t="shared" ca="1" si="124"/>
        <v>3</v>
      </c>
      <c r="AK138" s="48" t="str">
        <f t="shared" ca="1" si="125"/>
        <v>15year/9months/3Days</v>
      </c>
      <c r="AL138" s="106"/>
      <c r="AM138" s="106" t="s">
        <v>1725</v>
      </c>
      <c r="AN138" s="282">
        <v>1888</v>
      </c>
      <c r="AO138" s="106"/>
      <c r="AP138" s="106"/>
      <c r="AQ138" s="106"/>
      <c r="AR138" s="106"/>
      <c r="AS138" s="106"/>
      <c r="AT138" s="106"/>
      <c r="AU138" s="106"/>
      <c r="AV138" s="106"/>
      <c r="AW138" s="106"/>
      <c r="AX138" s="106"/>
      <c r="AY138" s="50">
        <v>2024</v>
      </c>
      <c r="AZ138" s="107">
        <v>1</v>
      </c>
      <c r="BA138" s="78">
        <v>22</v>
      </c>
      <c r="BB138" s="78">
        <v>22</v>
      </c>
      <c r="BC138" s="78" t="s">
        <v>498</v>
      </c>
      <c r="BD138" s="78" t="s">
        <v>498</v>
      </c>
      <c r="BE138" s="78" t="s">
        <v>498</v>
      </c>
      <c r="BF138" s="74" t="s">
        <v>498</v>
      </c>
      <c r="BG138" s="78" t="s">
        <v>498</v>
      </c>
      <c r="BH138" s="78" t="s">
        <v>498</v>
      </c>
      <c r="BI138" s="78">
        <v>22</v>
      </c>
      <c r="BJ138" s="78" t="s">
        <v>498</v>
      </c>
      <c r="BK138" s="78" t="s">
        <v>498</v>
      </c>
      <c r="BL138" s="151">
        <v>45601</v>
      </c>
      <c r="BM138" s="912" t="s">
        <v>1846</v>
      </c>
      <c r="BN138" s="913"/>
      <c r="BO138" s="913"/>
      <c r="BP138" s="914"/>
      <c r="BQ138" s="305"/>
      <c r="BR138" s="305"/>
      <c r="BS138" s="305"/>
      <c r="BT138" s="305"/>
      <c r="BU138" s="867" t="s">
        <v>2650</v>
      </c>
      <c r="BV138" s="868"/>
      <c r="BW138" s="868"/>
      <c r="BX138" s="869"/>
      <c r="BY138" s="870" t="s">
        <v>2764</v>
      </c>
      <c r="BZ138" s="871"/>
      <c r="CA138" s="871"/>
      <c r="CB138" s="872"/>
      <c r="CC138" s="27"/>
    </row>
    <row r="139" spans="1:81" s="8" customFormat="1" ht="40.35" customHeight="1" thickBot="1" x14ac:dyDescent="0.35">
      <c r="A139" s="226">
        <v>167</v>
      </c>
      <c r="B139" s="101" t="s">
        <v>1519</v>
      </c>
      <c r="C139" s="11"/>
      <c r="D139" s="60" t="s">
        <v>1520</v>
      </c>
      <c r="E139" s="3" t="s">
        <v>12</v>
      </c>
      <c r="F139" s="381">
        <v>128</v>
      </c>
      <c r="G139" s="198" t="s">
        <v>13</v>
      </c>
      <c r="H139" s="384" t="s">
        <v>160</v>
      </c>
      <c r="I139" s="50" t="s">
        <v>29</v>
      </c>
      <c r="J139" s="50" t="s">
        <v>29</v>
      </c>
      <c r="K139" s="50" t="s">
        <v>417</v>
      </c>
      <c r="L139" s="50" t="s">
        <v>451</v>
      </c>
      <c r="M139" s="50" t="s">
        <v>1521</v>
      </c>
      <c r="N139" s="50" t="s">
        <v>498</v>
      </c>
      <c r="O139" s="51" t="s">
        <v>1522</v>
      </c>
      <c r="P139" s="244"/>
      <c r="Q139" s="50" t="s">
        <v>499</v>
      </c>
      <c r="R139" s="50">
        <v>2</v>
      </c>
      <c r="S139" s="50" t="s">
        <v>500</v>
      </c>
      <c r="T139" s="50" t="s">
        <v>886</v>
      </c>
      <c r="U139" s="52" t="s">
        <v>502</v>
      </c>
      <c r="V139" s="50" t="s">
        <v>503</v>
      </c>
      <c r="W139" s="50" t="s">
        <v>542</v>
      </c>
      <c r="X139" s="70" t="s">
        <v>1523</v>
      </c>
      <c r="Y139" s="50" t="s">
        <v>1524</v>
      </c>
      <c r="Z139" s="50" t="s">
        <v>1525</v>
      </c>
      <c r="AA139" s="50" t="s">
        <v>562</v>
      </c>
      <c r="AB139" s="50" t="s">
        <v>506</v>
      </c>
      <c r="AC139" s="55">
        <v>26794</v>
      </c>
      <c r="AD139" s="48">
        <f t="shared" si="118"/>
        <v>10</v>
      </c>
      <c r="AE139" s="48">
        <f t="shared" si="119"/>
        <v>5</v>
      </c>
      <c r="AF139" s="48">
        <f t="shared" si="120"/>
        <v>1973</v>
      </c>
      <c r="AG139" s="49">
        <f t="shared" si="121"/>
        <v>48709</v>
      </c>
      <c r="AH139" s="48">
        <f t="shared" ca="1" si="122"/>
        <v>7</v>
      </c>
      <c r="AI139" s="48">
        <f t="shared" ca="1" si="123"/>
        <v>4</v>
      </c>
      <c r="AJ139" s="48">
        <f t="shared" ca="1" si="124"/>
        <v>29</v>
      </c>
      <c r="AK139" s="48" t="str">
        <f t="shared" ca="1" si="125"/>
        <v>7year/4months/29Days</v>
      </c>
      <c r="AL139" s="384"/>
      <c r="AM139" s="384" t="s">
        <v>1726</v>
      </c>
      <c r="AN139" s="276"/>
      <c r="AO139" s="384"/>
      <c r="AP139" s="384"/>
      <c r="AQ139" s="384"/>
      <c r="AR139" s="384"/>
      <c r="AS139" s="384"/>
      <c r="AT139" s="384"/>
      <c r="AU139" s="384"/>
      <c r="AV139" s="384"/>
      <c r="AW139" s="384"/>
      <c r="AX139" s="384"/>
      <c r="AY139" s="50"/>
      <c r="AZ139" s="340"/>
      <c r="BA139" s="95"/>
      <c r="BB139" s="95"/>
      <c r="BC139" s="95"/>
      <c r="BD139" s="95"/>
      <c r="BE139" s="95"/>
      <c r="BF139" s="74"/>
      <c r="BG139" s="95"/>
      <c r="BH139" s="95"/>
      <c r="BI139" s="95"/>
      <c r="BJ139" s="95"/>
      <c r="BK139" s="95"/>
      <c r="BL139" s="151"/>
      <c r="BM139" s="867" t="s">
        <v>1843</v>
      </c>
      <c r="BN139" s="868"/>
      <c r="BO139" s="868"/>
      <c r="BP139" s="869"/>
      <c r="BQ139" s="305"/>
      <c r="BR139" s="305"/>
      <c r="BS139" s="305"/>
      <c r="BT139" s="305"/>
      <c r="BU139" s="867" t="s">
        <v>2650</v>
      </c>
      <c r="BV139" s="868"/>
      <c r="BW139" s="868"/>
      <c r="BX139" s="869"/>
      <c r="BY139" s="305"/>
      <c r="BZ139" s="305"/>
      <c r="CA139" s="305"/>
      <c r="CB139" s="305"/>
      <c r="CC139" s="27"/>
    </row>
    <row r="140" spans="1:81" s="8" customFormat="1" ht="40.35" customHeight="1" thickBot="1" x14ac:dyDescent="0.3">
      <c r="A140" s="558">
        <v>168</v>
      </c>
      <c r="B140" s="118" t="s">
        <v>820</v>
      </c>
      <c r="C140" s="13" t="s">
        <v>359</v>
      </c>
      <c r="D140" s="7" t="s">
        <v>2743</v>
      </c>
      <c r="E140" s="3" t="s">
        <v>12</v>
      </c>
      <c r="F140" s="381">
        <v>129</v>
      </c>
      <c r="G140" s="198" t="s">
        <v>21</v>
      </c>
      <c r="H140" s="9" t="s">
        <v>241</v>
      </c>
      <c r="I140" s="9" t="s">
        <v>242</v>
      </c>
      <c r="J140" s="9" t="s">
        <v>21</v>
      </c>
      <c r="K140" s="9" t="s">
        <v>44</v>
      </c>
      <c r="L140" s="9" t="s">
        <v>109</v>
      </c>
      <c r="M140" s="60" t="s">
        <v>1482</v>
      </c>
      <c r="N140" s="50" t="s">
        <v>1483</v>
      </c>
      <c r="O140" s="51" t="s">
        <v>1484</v>
      </c>
      <c r="P140" s="243" t="s">
        <v>1485</v>
      </c>
      <c r="Q140" s="50" t="s">
        <v>499</v>
      </c>
      <c r="R140" s="50" t="s">
        <v>1486</v>
      </c>
      <c r="S140" s="50" t="s">
        <v>558</v>
      </c>
      <c r="T140" s="50" t="s">
        <v>501</v>
      </c>
      <c r="U140" s="52" t="s">
        <v>561</v>
      </c>
      <c r="V140" s="50" t="s">
        <v>589</v>
      </c>
      <c r="W140" s="365" t="s">
        <v>567</v>
      </c>
      <c r="X140" s="70" t="s">
        <v>1477</v>
      </c>
      <c r="Y140" s="60" t="s">
        <v>2742</v>
      </c>
      <c r="Z140" s="60" t="s">
        <v>1478</v>
      </c>
      <c r="AA140" s="50" t="s">
        <v>709</v>
      </c>
      <c r="AB140" s="50" t="s">
        <v>710</v>
      </c>
      <c r="AC140" s="55">
        <v>24434</v>
      </c>
      <c r="AD140" s="48">
        <f t="shared" si="118"/>
        <v>23</v>
      </c>
      <c r="AE140" s="48">
        <f t="shared" si="119"/>
        <v>11</v>
      </c>
      <c r="AF140" s="48">
        <f t="shared" si="120"/>
        <v>1966</v>
      </c>
      <c r="AG140" s="49">
        <f t="shared" si="121"/>
        <v>46349</v>
      </c>
      <c r="AH140" s="48">
        <f t="shared" ca="1" si="122"/>
        <v>0</v>
      </c>
      <c r="AI140" s="48">
        <f t="shared" ca="1" si="123"/>
        <v>11</v>
      </c>
      <c r="AJ140" s="48">
        <f t="shared" ca="1" si="124"/>
        <v>12</v>
      </c>
      <c r="AK140" s="48" t="str">
        <f t="shared" ca="1" si="125"/>
        <v>0year/11months/12Days</v>
      </c>
      <c r="AL140" s="384"/>
      <c r="AM140" s="384" t="s">
        <v>1728</v>
      </c>
      <c r="AN140" s="276">
        <v>1106</v>
      </c>
      <c r="AO140" s="384"/>
      <c r="AP140" s="384"/>
      <c r="AQ140" s="384"/>
      <c r="AR140" s="384"/>
      <c r="AS140" s="384"/>
      <c r="AT140" s="384"/>
      <c r="AU140" s="384"/>
      <c r="AV140" s="384"/>
      <c r="AW140" s="384"/>
      <c r="AX140" s="384"/>
      <c r="AY140" s="50">
        <v>2024</v>
      </c>
      <c r="AZ140" s="107" t="s">
        <v>819</v>
      </c>
      <c r="BA140" s="78">
        <v>2088</v>
      </c>
      <c r="BB140" s="78">
        <v>1529</v>
      </c>
      <c r="BC140" s="78" t="s">
        <v>498</v>
      </c>
      <c r="BD140" s="78">
        <v>18</v>
      </c>
      <c r="BE140" s="78">
        <v>375</v>
      </c>
      <c r="BF140" s="74">
        <f>BE140/BA140*100</f>
        <v>17.959770114942529</v>
      </c>
      <c r="BG140" s="78">
        <v>166</v>
      </c>
      <c r="BH140" s="78" t="s">
        <v>498</v>
      </c>
      <c r="BI140" s="78">
        <v>1723</v>
      </c>
      <c r="BJ140" s="78" t="s">
        <v>498</v>
      </c>
      <c r="BK140" s="78">
        <v>365</v>
      </c>
      <c r="BL140" s="76">
        <v>45597</v>
      </c>
      <c r="BM140" s="912" t="s">
        <v>1846</v>
      </c>
      <c r="BN140" s="913"/>
      <c r="BO140" s="913"/>
      <c r="BP140" s="914"/>
      <c r="BQ140" s="318"/>
      <c r="BR140" s="318"/>
      <c r="BS140" s="318"/>
      <c r="BT140" s="318"/>
      <c r="BU140" s="867" t="s">
        <v>2650</v>
      </c>
      <c r="BV140" s="868"/>
      <c r="BW140" s="868"/>
      <c r="BX140" s="869"/>
      <c r="BY140" s="888" t="s">
        <v>2739</v>
      </c>
      <c r="BZ140" s="889"/>
      <c r="CA140" s="889"/>
      <c r="CB140" s="890"/>
      <c r="CC140" s="27"/>
    </row>
    <row r="141" spans="1:81" s="8" customFormat="1" ht="40.35" customHeight="1" x14ac:dyDescent="0.25">
      <c r="A141" s="9">
        <v>169</v>
      </c>
      <c r="B141" s="183" t="s">
        <v>825</v>
      </c>
      <c r="C141" s="11" t="s">
        <v>361</v>
      </c>
      <c r="D141" s="3" t="s">
        <v>826</v>
      </c>
      <c r="E141" s="3" t="s">
        <v>12</v>
      </c>
      <c r="F141" s="3">
        <v>130</v>
      </c>
      <c r="G141" s="198" t="s">
        <v>13</v>
      </c>
      <c r="H141" s="9" t="s">
        <v>19</v>
      </c>
      <c r="I141" s="9" t="s">
        <v>362</v>
      </c>
      <c r="J141" s="9" t="s">
        <v>21</v>
      </c>
      <c r="K141" s="9" t="s">
        <v>22</v>
      </c>
      <c r="L141" s="9" t="s">
        <v>23</v>
      </c>
      <c r="M141" s="50" t="s">
        <v>821</v>
      </c>
      <c r="N141" s="50" t="s">
        <v>498</v>
      </c>
      <c r="O141" s="51" t="s">
        <v>822</v>
      </c>
      <c r="P141" s="244" t="s">
        <v>1907</v>
      </c>
      <c r="Q141" s="50" t="s">
        <v>499</v>
      </c>
      <c r="R141" s="50" t="s">
        <v>560</v>
      </c>
      <c r="S141" s="50" t="s">
        <v>500</v>
      </c>
      <c r="T141" s="50" t="s">
        <v>524</v>
      </c>
      <c r="U141" s="52" t="s">
        <v>823</v>
      </c>
      <c r="V141" s="50" t="s">
        <v>589</v>
      </c>
      <c r="W141" s="50" t="s">
        <v>542</v>
      </c>
      <c r="X141" s="70" t="s">
        <v>824</v>
      </c>
      <c r="Y141" s="50" t="s">
        <v>1908</v>
      </c>
      <c r="Z141" s="50" t="s">
        <v>1909</v>
      </c>
      <c r="AA141" s="50" t="s">
        <v>709</v>
      </c>
      <c r="AB141" s="50" t="s">
        <v>506</v>
      </c>
      <c r="AC141" s="55">
        <v>24025</v>
      </c>
      <c r="AD141" s="48">
        <f t="shared" si="118"/>
        <v>10</v>
      </c>
      <c r="AE141" s="48">
        <f t="shared" si="119"/>
        <v>10</v>
      </c>
      <c r="AF141" s="48">
        <f t="shared" si="120"/>
        <v>1965</v>
      </c>
      <c r="AG141" s="49">
        <f t="shared" si="121"/>
        <v>45940</v>
      </c>
      <c r="AH141" s="48" t="e">
        <f t="shared" ca="1" si="122"/>
        <v>#NUM!</v>
      </c>
      <c r="AI141" s="48" t="e">
        <f t="shared" ca="1" si="123"/>
        <v>#NUM!</v>
      </c>
      <c r="AJ141" s="48" t="e">
        <f t="shared" ca="1" si="124"/>
        <v>#NUM!</v>
      </c>
      <c r="AK141" s="48" t="e">
        <f t="shared" ca="1" si="125"/>
        <v>#NUM!</v>
      </c>
      <c r="AL141" s="165" t="s">
        <v>1911</v>
      </c>
      <c r="AM141" s="165" t="s">
        <v>1729</v>
      </c>
      <c r="AN141" s="277">
        <v>1733</v>
      </c>
      <c r="AO141" s="165"/>
      <c r="AP141" s="165"/>
      <c r="AQ141" s="165"/>
      <c r="AR141" s="165"/>
      <c r="AS141" s="165"/>
      <c r="AT141" s="165"/>
      <c r="AU141" s="165"/>
      <c r="AV141" s="165"/>
      <c r="AW141" s="165"/>
      <c r="AX141" s="165"/>
      <c r="AY141" s="365">
        <v>2023</v>
      </c>
      <c r="AZ141" s="102" t="s">
        <v>1910</v>
      </c>
      <c r="BA141" s="103">
        <v>1514</v>
      </c>
      <c r="BB141" s="103">
        <v>1413</v>
      </c>
      <c r="BC141" s="103" t="s">
        <v>498</v>
      </c>
      <c r="BD141" s="103">
        <v>8</v>
      </c>
      <c r="BE141" s="103">
        <v>93</v>
      </c>
      <c r="BF141" s="74">
        <f>BE141/BA141*100</f>
        <v>6.1426684280052841</v>
      </c>
      <c r="BG141" s="103" t="s">
        <v>498</v>
      </c>
      <c r="BH141" s="103" t="s">
        <v>498</v>
      </c>
      <c r="BI141" s="103">
        <v>1514</v>
      </c>
      <c r="BJ141" s="103" t="s">
        <v>498</v>
      </c>
      <c r="BK141" s="103" t="s">
        <v>498</v>
      </c>
      <c r="BL141" s="353">
        <v>45314</v>
      </c>
      <c r="BM141" s="912" t="s">
        <v>1846</v>
      </c>
      <c r="BN141" s="913"/>
      <c r="BO141" s="913"/>
      <c r="BP141" s="914"/>
      <c r="BQ141" s="870" t="s">
        <v>1862</v>
      </c>
      <c r="BR141" s="871"/>
      <c r="BS141" s="871"/>
      <c r="BT141" s="872"/>
      <c r="BU141" s="867" t="s">
        <v>2650</v>
      </c>
      <c r="BV141" s="868"/>
      <c r="BW141" s="868"/>
      <c r="BX141" s="869"/>
      <c r="BY141" s="476"/>
      <c r="BZ141" s="476"/>
      <c r="CA141" s="476"/>
      <c r="CB141" s="476"/>
      <c r="CC141" s="27"/>
    </row>
    <row r="142" spans="1:81" s="8" customFormat="1" ht="40.35" customHeight="1" x14ac:dyDescent="0.25">
      <c r="A142" s="9">
        <v>170</v>
      </c>
      <c r="B142" s="118" t="s">
        <v>1422</v>
      </c>
      <c r="C142" s="13" t="s">
        <v>364</v>
      </c>
      <c r="D142" s="7" t="s">
        <v>365</v>
      </c>
      <c r="E142" s="3" t="s">
        <v>12</v>
      </c>
      <c r="F142" s="381">
        <v>131</v>
      </c>
      <c r="G142" s="198" t="s">
        <v>13</v>
      </c>
      <c r="H142" s="9" t="s">
        <v>14</v>
      </c>
      <c r="I142" s="9" t="s">
        <v>365</v>
      </c>
      <c r="J142" s="9" t="s">
        <v>14</v>
      </c>
      <c r="K142" s="9" t="s">
        <v>14</v>
      </c>
      <c r="L142" s="9" t="s">
        <v>16</v>
      </c>
      <c r="M142" s="27"/>
      <c r="N142" s="1"/>
      <c r="O142" s="27"/>
      <c r="P142" s="1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50" t="s">
        <v>506</v>
      </c>
      <c r="AC142" s="55">
        <v>26797</v>
      </c>
      <c r="AD142" s="48">
        <f t="shared" si="118"/>
        <v>13</v>
      </c>
      <c r="AE142" s="48">
        <f t="shared" si="119"/>
        <v>5</v>
      </c>
      <c r="AF142" s="48">
        <f t="shared" si="120"/>
        <v>1973</v>
      </c>
      <c r="AG142" s="49">
        <f t="shared" si="121"/>
        <v>48712</v>
      </c>
      <c r="AH142" s="48">
        <f t="shared" ca="1" si="122"/>
        <v>7</v>
      </c>
      <c r="AI142" s="48">
        <f t="shared" ca="1" si="123"/>
        <v>5</v>
      </c>
      <c r="AJ142" s="48">
        <f t="shared" ca="1" si="124"/>
        <v>2</v>
      </c>
      <c r="AK142" s="48" t="str">
        <f t="shared" ca="1" si="125"/>
        <v>7year/5months/2Days</v>
      </c>
      <c r="AL142" s="1"/>
      <c r="AM142" s="3" t="s">
        <v>1730</v>
      </c>
      <c r="AN142" s="3">
        <v>1579</v>
      </c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344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352"/>
      <c r="BM142" s="306"/>
      <c r="BN142" s="306"/>
      <c r="BO142" s="306"/>
      <c r="BP142" s="306"/>
      <c r="BQ142" s="306"/>
      <c r="BR142" s="306"/>
      <c r="BS142" s="306"/>
      <c r="BT142" s="306"/>
      <c r="BU142" s="306"/>
      <c r="BV142" s="306"/>
      <c r="BW142" s="306"/>
      <c r="BX142" s="306"/>
      <c r="BY142" s="306"/>
      <c r="BZ142" s="306"/>
      <c r="CA142" s="306"/>
      <c r="CB142" s="306"/>
      <c r="CC142" s="27"/>
    </row>
    <row r="143" spans="1:81" s="8" customFormat="1" ht="40.35" customHeight="1" x14ac:dyDescent="0.3">
      <c r="A143" s="9">
        <v>171</v>
      </c>
      <c r="B143" s="118" t="s">
        <v>580</v>
      </c>
      <c r="C143" s="13" t="s">
        <v>367</v>
      </c>
      <c r="D143" s="3" t="s">
        <v>365</v>
      </c>
      <c r="E143" s="3" t="s">
        <v>12</v>
      </c>
      <c r="F143" s="3">
        <v>132</v>
      </c>
      <c r="G143" s="198" t="s">
        <v>13</v>
      </c>
      <c r="H143" s="9" t="s">
        <v>14</v>
      </c>
      <c r="I143" s="9" t="s">
        <v>365</v>
      </c>
      <c r="J143" s="9" t="s">
        <v>14</v>
      </c>
      <c r="K143" s="9" t="s">
        <v>14</v>
      </c>
      <c r="L143" s="9" t="s">
        <v>16</v>
      </c>
      <c r="M143" s="29" t="s">
        <v>579</v>
      </c>
      <c r="N143" s="32"/>
      <c r="O143" s="32"/>
      <c r="P143" s="246"/>
      <c r="Q143" s="29" t="s">
        <v>499</v>
      </c>
      <c r="R143" s="29" t="s">
        <v>560</v>
      </c>
      <c r="S143" s="29" t="s">
        <v>500</v>
      </c>
      <c r="T143" s="32"/>
      <c r="U143" s="33"/>
      <c r="V143" s="32"/>
      <c r="W143" s="32"/>
      <c r="X143" s="65"/>
      <c r="Y143" s="32"/>
      <c r="Z143" s="32"/>
      <c r="AA143" s="32"/>
      <c r="AB143" s="50" t="s">
        <v>506</v>
      </c>
      <c r="AC143" s="55">
        <v>26798</v>
      </c>
      <c r="AD143" s="48">
        <f t="shared" si="118"/>
        <v>14</v>
      </c>
      <c r="AE143" s="48">
        <f t="shared" si="119"/>
        <v>5</v>
      </c>
      <c r="AF143" s="48">
        <f t="shared" si="120"/>
        <v>1973</v>
      </c>
      <c r="AG143" s="49">
        <f t="shared" si="121"/>
        <v>48713</v>
      </c>
      <c r="AH143" s="48">
        <f t="shared" ca="1" si="122"/>
        <v>7</v>
      </c>
      <c r="AI143" s="48">
        <f t="shared" ca="1" si="123"/>
        <v>5</v>
      </c>
      <c r="AJ143" s="48">
        <f t="shared" ca="1" si="124"/>
        <v>3</v>
      </c>
      <c r="AK143" s="48" t="str">
        <f t="shared" ca="1" si="125"/>
        <v>7year/5months/3Days</v>
      </c>
      <c r="AL143" s="29"/>
      <c r="AM143" s="29" t="s">
        <v>1727</v>
      </c>
      <c r="AN143" s="3">
        <v>544</v>
      </c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32"/>
      <c r="AZ143" s="339"/>
      <c r="BA143" s="73"/>
      <c r="BB143" s="72"/>
      <c r="BC143" s="72"/>
      <c r="BD143" s="72"/>
      <c r="BE143" s="73"/>
      <c r="BF143" s="80"/>
      <c r="BG143" s="72"/>
      <c r="BH143" s="72"/>
      <c r="BI143" s="72"/>
      <c r="BJ143" s="72"/>
      <c r="BK143" s="72"/>
      <c r="BL143" s="351"/>
      <c r="BM143" s="313"/>
      <c r="BN143" s="304"/>
      <c r="BO143" s="304"/>
      <c r="BP143" s="304"/>
      <c r="BQ143" s="304"/>
      <c r="BR143" s="304"/>
      <c r="BS143" s="304"/>
      <c r="BT143" s="304"/>
      <c r="BU143" s="867" t="s">
        <v>2650</v>
      </c>
      <c r="BV143" s="868"/>
      <c r="BW143" s="868"/>
      <c r="BX143" s="869"/>
      <c r="BY143" s="304"/>
      <c r="BZ143" s="304"/>
      <c r="CA143" s="304"/>
      <c r="CB143" s="304"/>
      <c r="CC143" s="27"/>
    </row>
    <row r="144" spans="1:81" s="8" customFormat="1" ht="40.35" customHeight="1" x14ac:dyDescent="0.3">
      <c r="A144" s="9">
        <v>172</v>
      </c>
      <c r="B144" s="183" t="s">
        <v>1231</v>
      </c>
      <c r="C144" s="11" t="s">
        <v>369</v>
      </c>
      <c r="D144" s="7" t="s">
        <v>1232</v>
      </c>
      <c r="E144" s="3" t="s">
        <v>12</v>
      </c>
      <c r="F144" s="381">
        <v>133</v>
      </c>
      <c r="G144" s="198" t="s">
        <v>26</v>
      </c>
      <c r="H144" s="9" t="s">
        <v>26</v>
      </c>
      <c r="I144" s="9" t="s">
        <v>370</v>
      </c>
      <c r="J144" s="9" t="s">
        <v>29</v>
      </c>
      <c r="K144" s="9" t="s">
        <v>26</v>
      </c>
      <c r="L144" s="9" t="s">
        <v>26</v>
      </c>
      <c r="M144" s="50" t="s">
        <v>1233</v>
      </c>
      <c r="N144" s="50"/>
      <c r="O144" s="51" t="s">
        <v>1234</v>
      </c>
      <c r="P144" s="244"/>
      <c r="Q144" s="50" t="s">
        <v>499</v>
      </c>
      <c r="R144" s="50" t="s">
        <v>560</v>
      </c>
      <c r="S144" s="50" t="s">
        <v>558</v>
      </c>
      <c r="T144" s="50" t="s">
        <v>886</v>
      </c>
      <c r="U144" s="97" t="s">
        <v>583</v>
      </c>
      <c r="V144" s="60" t="s">
        <v>1235</v>
      </c>
      <c r="W144" s="50" t="s">
        <v>567</v>
      </c>
      <c r="X144" s="70" t="s">
        <v>1236</v>
      </c>
      <c r="Y144" s="50" t="s">
        <v>1237</v>
      </c>
      <c r="Z144" s="60" t="s">
        <v>1238</v>
      </c>
      <c r="AA144" s="50" t="s">
        <v>641</v>
      </c>
      <c r="AB144" s="50" t="s">
        <v>710</v>
      </c>
      <c r="AC144" s="55">
        <v>25222</v>
      </c>
      <c r="AD144" s="48">
        <f t="shared" si="118"/>
        <v>19</v>
      </c>
      <c r="AE144" s="48">
        <f t="shared" si="119"/>
        <v>1</v>
      </c>
      <c r="AF144" s="48">
        <f t="shared" si="120"/>
        <v>1969</v>
      </c>
      <c r="AG144" s="49">
        <f t="shared" si="121"/>
        <v>47137</v>
      </c>
      <c r="AH144" s="48">
        <f t="shared" ca="1" si="122"/>
        <v>3</v>
      </c>
      <c r="AI144" s="48">
        <f t="shared" ca="1" si="123"/>
        <v>1</v>
      </c>
      <c r="AJ144" s="48">
        <f t="shared" ca="1" si="124"/>
        <v>8</v>
      </c>
      <c r="AK144" s="48" t="str">
        <f t="shared" ca="1" si="125"/>
        <v>3year/1months/8Days</v>
      </c>
      <c r="AL144" s="384"/>
      <c r="AM144" s="384" t="s">
        <v>1731</v>
      </c>
      <c r="AN144" s="276">
        <v>551</v>
      </c>
      <c r="AO144" s="384"/>
      <c r="AP144" s="384"/>
      <c r="AQ144" s="384"/>
      <c r="AR144" s="384"/>
      <c r="AS144" s="384"/>
      <c r="AT144" s="384"/>
      <c r="AU144" s="384"/>
      <c r="AV144" s="384"/>
      <c r="AW144" s="384"/>
      <c r="AX144" s="384"/>
      <c r="AY144" s="78">
        <v>2018</v>
      </c>
      <c r="AZ144" s="107">
        <v>4</v>
      </c>
      <c r="BA144" s="78">
        <v>885</v>
      </c>
      <c r="BB144" s="78">
        <v>61</v>
      </c>
      <c r="BC144" s="78">
        <v>1</v>
      </c>
      <c r="BD144" s="78">
        <v>7</v>
      </c>
      <c r="BE144" s="78">
        <v>816</v>
      </c>
      <c r="BF144" s="74">
        <f t="shared" ref="BF144:BF150" si="126">BE144/BA144*100</f>
        <v>92.20338983050847</v>
      </c>
      <c r="BG144" s="78" t="s">
        <v>498</v>
      </c>
      <c r="BH144" s="78" t="s">
        <v>498</v>
      </c>
      <c r="BI144" s="78">
        <v>885</v>
      </c>
      <c r="BJ144" s="78"/>
      <c r="BK144" s="78">
        <v>91</v>
      </c>
      <c r="BL144" s="76">
        <v>44677</v>
      </c>
      <c r="BM144" s="867" t="s">
        <v>1860</v>
      </c>
      <c r="BN144" s="868"/>
      <c r="BO144" s="868"/>
      <c r="BP144" s="869"/>
      <c r="BQ144" s="320"/>
      <c r="BR144" s="320"/>
      <c r="BS144" s="320"/>
      <c r="BT144" s="320"/>
      <c r="BU144" s="867" t="s">
        <v>2637</v>
      </c>
      <c r="BV144" s="868"/>
      <c r="BW144" s="868"/>
      <c r="BX144" s="869"/>
      <c r="BY144" s="320"/>
      <c r="BZ144" s="320"/>
      <c r="CA144" s="320"/>
      <c r="CB144" s="320"/>
      <c r="CC144" s="27"/>
    </row>
    <row r="145" spans="1:81" s="8" customFormat="1" ht="40.35" customHeight="1" x14ac:dyDescent="0.25">
      <c r="A145" s="558">
        <v>173</v>
      </c>
      <c r="B145" s="183" t="s">
        <v>1229</v>
      </c>
      <c r="C145" s="11" t="s">
        <v>372</v>
      </c>
      <c r="D145" s="3" t="s">
        <v>1230</v>
      </c>
      <c r="E145" s="3" t="s">
        <v>12</v>
      </c>
      <c r="F145" s="3">
        <v>134</v>
      </c>
      <c r="G145" s="198" t="s">
        <v>26</v>
      </c>
      <c r="H145" s="9" t="s">
        <v>26</v>
      </c>
      <c r="I145" s="9" t="s">
        <v>370</v>
      </c>
      <c r="J145" s="9" t="s">
        <v>29</v>
      </c>
      <c r="K145" s="9" t="s">
        <v>26</v>
      </c>
      <c r="L145" s="9" t="s">
        <v>26</v>
      </c>
      <c r="M145" s="50" t="s">
        <v>1223</v>
      </c>
      <c r="N145" s="50" t="s">
        <v>1223</v>
      </c>
      <c r="O145" s="51" t="s">
        <v>1224</v>
      </c>
      <c r="P145" s="243" t="s">
        <v>1225</v>
      </c>
      <c r="Q145" s="50" t="s">
        <v>499</v>
      </c>
      <c r="R145" s="50">
        <v>3</v>
      </c>
      <c r="S145" s="50" t="s">
        <v>500</v>
      </c>
      <c r="T145" s="50" t="s">
        <v>886</v>
      </c>
      <c r="U145" s="97" t="s">
        <v>910</v>
      </c>
      <c r="V145" s="60" t="s">
        <v>921</v>
      </c>
      <c r="W145" s="50" t="s">
        <v>574</v>
      </c>
      <c r="X145" s="113" t="s">
        <v>1226</v>
      </c>
      <c r="Y145" s="50" t="s">
        <v>1227</v>
      </c>
      <c r="Z145" s="60" t="s">
        <v>1228</v>
      </c>
      <c r="AA145" s="78" t="s">
        <v>538</v>
      </c>
      <c r="AB145" s="50" t="s">
        <v>710</v>
      </c>
      <c r="AC145" s="55">
        <v>24571</v>
      </c>
      <c r="AD145" s="48">
        <f t="shared" si="118"/>
        <v>9</v>
      </c>
      <c r="AE145" s="48">
        <f t="shared" si="119"/>
        <v>4</v>
      </c>
      <c r="AF145" s="48">
        <f t="shared" si="120"/>
        <v>1967</v>
      </c>
      <c r="AG145" s="49">
        <f t="shared" si="121"/>
        <v>46486</v>
      </c>
      <c r="AH145" s="48">
        <f t="shared" ca="1" si="122"/>
        <v>1</v>
      </c>
      <c r="AI145" s="48">
        <f t="shared" ca="1" si="123"/>
        <v>3</v>
      </c>
      <c r="AJ145" s="48">
        <f t="shared" ca="1" si="124"/>
        <v>29</v>
      </c>
      <c r="AK145" s="48" t="str">
        <f t="shared" ca="1" si="125"/>
        <v>1year/3months/29Days</v>
      </c>
      <c r="AL145" s="384"/>
      <c r="AM145" s="384" t="s">
        <v>1733</v>
      </c>
      <c r="AN145" s="276">
        <v>2109</v>
      </c>
      <c r="AO145" s="384"/>
      <c r="AP145" s="384"/>
      <c r="AQ145" s="384"/>
      <c r="AR145" s="384"/>
      <c r="AS145" s="384"/>
      <c r="AT145" s="384"/>
      <c r="AU145" s="384"/>
      <c r="AV145" s="384"/>
      <c r="AW145" s="384"/>
      <c r="AX145" s="384"/>
      <c r="AY145" s="50">
        <v>2024</v>
      </c>
      <c r="AZ145" s="107">
        <v>5</v>
      </c>
      <c r="BA145" s="78">
        <v>713</v>
      </c>
      <c r="BB145" s="78">
        <v>55</v>
      </c>
      <c r="BC145" s="78">
        <v>6</v>
      </c>
      <c r="BD145" s="78">
        <v>11</v>
      </c>
      <c r="BE145" s="78">
        <v>641</v>
      </c>
      <c r="BF145" s="74">
        <f t="shared" si="126"/>
        <v>89.90182328190744</v>
      </c>
      <c r="BG145" s="78" t="s">
        <v>498</v>
      </c>
      <c r="BH145" s="78" t="s">
        <v>498</v>
      </c>
      <c r="BI145" s="78">
        <v>713</v>
      </c>
      <c r="BJ145" s="78" t="s">
        <v>498</v>
      </c>
      <c r="BK145" s="78" t="s">
        <v>498</v>
      </c>
      <c r="BL145" s="76">
        <v>45597</v>
      </c>
      <c r="BM145" s="867" t="s">
        <v>1862</v>
      </c>
      <c r="BN145" s="868"/>
      <c r="BO145" s="868"/>
      <c r="BP145" s="869"/>
      <c r="BQ145" s="379"/>
      <c r="BR145" s="379"/>
      <c r="BS145" s="379"/>
      <c r="BT145" s="379"/>
      <c r="BU145" s="867" t="s">
        <v>2637</v>
      </c>
      <c r="BV145" s="868"/>
      <c r="BW145" s="868"/>
      <c r="BX145" s="869"/>
      <c r="BY145" s="867" t="s">
        <v>2735</v>
      </c>
      <c r="BZ145" s="868"/>
      <c r="CA145" s="868"/>
      <c r="CB145" s="869"/>
      <c r="CC145" s="27"/>
    </row>
    <row r="146" spans="1:81" s="8" customFormat="1" ht="40.35" customHeight="1" x14ac:dyDescent="0.25">
      <c r="A146" s="9">
        <v>174</v>
      </c>
      <c r="B146" s="183" t="s">
        <v>1221</v>
      </c>
      <c r="C146" s="11" t="s">
        <v>374</v>
      </c>
      <c r="D146" s="7" t="s">
        <v>1222</v>
      </c>
      <c r="E146" s="3" t="s">
        <v>12</v>
      </c>
      <c r="F146" s="381">
        <v>135</v>
      </c>
      <c r="G146" s="198" t="s">
        <v>26</v>
      </c>
      <c r="H146" s="9" t="s">
        <v>26</v>
      </c>
      <c r="I146" s="9" t="s">
        <v>370</v>
      </c>
      <c r="J146" s="9" t="s">
        <v>29</v>
      </c>
      <c r="K146" s="9" t="s">
        <v>26</v>
      </c>
      <c r="L146" s="9" t="s">
        <v>26</v>
      </c>
      <c r="M146" s="50" t="s">
        <v>1214</v>
      </c>
      <c r="N146" s="50" t="s">
        <v>1214</v>
      </c>
      <c r="O146" s="51" t="s">
        <v>1215</v>
      </c>
      <c r="P146" s="244" t="s">
        <v>1216</v>
      </c>
      <c r="Q146" s="50" t="s">
        <v>499</v>
      </c>
      <c r="R146" s="50">
        <v>2</v>
      </c>
      <c r="S146" s="50" t="s">
        <v>500</v>
      </c>
      <c r="T146" s="50" t="s">
        <v>886</v>
      </c>
      <c r="U146" s="97" t="s">
        <v>1217</v>
      </c>
      <c r="V146" s="60" t="s">
        <v>921</v>
      </c>
      <c r="W146" s="94" t="s">
        <v>504</v>
      </c>
      <c r="X146" s="157" t="s">
        <v>1218</v>
      </c>
      <c r="Y146" s="100" t="s">
        <v>1219</v>
      </c>
      <c r="Z146" s="94" t="s">
        <v>1220</v>
      </c>
      <c r="AA146" s="60" t="s">
        <v>538</v>
      </c>
      <c r="AB146" s="50" t="s">
        <v>506</v>
      </c>
      <c r="AC146" s="55">
        <v>26801</v>
      </c>
      <c r="AD146" s="48">
        <f t="shared" si="118"/>
        <v>17</v>
      </c>
      <c r="AE146" s="48">
        <f t="shared" si="119"/>
        <v>5</v>
      </c>
      <c r="AF146" s="48">
        <f t="shared" si="120"/>
        <v>1973</v>
      </c>
      <c r="AG146" s="49">
        <f t="shared" si="121"/>
        <v>48716</v>
      </c>
      <c r="AH146" s="48">
        <f t="shared" ca="1" si="122"/>
        <v>7</v>
      </c>
      <c r="AI146" s="48">
        <f t="shared" ca="1" si="123"/>
        <v>5</v>
      </c>
      <c r="AJ146" s="48">
        <f t="shared" ca="1" si="124"/>
        <v>6</v>
      </c>
      <c r="AK146" s="48" t="str">
        <f t="shared" ca="1" si="125"/>
        <v>7year/5months/6Days</v>
      </c>
      <c r="AL146" s="384"/>
      <c r="AM146" s="384" t="s">
        <v>1732</v>
      </c>
      <c r="AN146" s="276">
        <v>1626</v>
      </c>
      <c r="AO146" s="384"/>
      <c r="AP146" s="384"/>
      <c r="AQ146" s="384"/>
      <c r="AR146" s="384"/>
      <c r="AS146" s="384"/>
      <c r="AT146" s="384"/>
      <c r="AU146" s="384"/>
      <c r="AV146" s="384"/>
      <c r="AW146" s="384"/>
      <c r="AX146" s="384"/>
      <c r="AY146" s="50">
        <v>2022</v>
      </c>
      <c r="AZ146" s="107">
        <v>1</v>
      </c>
      <c r="BA146" s="78">
        <v>142</v>
      </c>
      <c r="BB146" s="78">
        <v>7</v>
      </c>
      <c r="BC146" s="78">
        <v>2</v>
      </c>
      <c r="BD146" s="78">
        <v>35</v>
      </c>
      <c r="BE146" s="78">
        <v>98</v>
      </c>
      <c r="BF146" s="74">
        <f t="shared" si="126"/>
        <v>69.014084507042256</v>
      </c>
      <c r="BG146" s="78" t="s">
        <v>498</v>
      </c>
      <c r="BH146" s="78" t="s">
        <v>498</v>
      </c>
      <c r="BI146" s="78">
        <v>142</v>
      </c>
      <c r="BJ146" s="78" t="s">
        <v>498</v>
      </c>
      <c r="BK146" s="78" t="s">
        <v>498</v>
      </c>
      <c r="BL146" s="76">
        <v>44825</v>
      </c>
      <c r="BM146" s="867" t="s">
        <v>1864</v>
      </c>
      <c r="BN146" s="868"/>
      <c r="BO146" s="868"/>
      <c r="BP146" s="869"/>
      <c r="BQ146" s="318"/>
      <c r="BR146" s="318"/>
      <c r="BS146" s="318"/>
      <c r="BT146" s="318"/>
      <c r="BU146" s="867" t="s">
        <v>2637</v>
      </c>
      <c r="BV146" s="868"/>
      <c r="BW146" s="868"/>
      <c r="BX146" s="869"/>
      <c r="BY146" s="318"/>
      <c r="BZ146" s="318"/>
      <c r="CA146" s="318"/>
      <c r="CB146" s="318"/>
      <c r="CC146" s="27"/>
    </row>
    <row r="147" spans="1:81" s="8" customFormat="1" ht="40.35" customHeight="1" x14ac:dyDescent="0.25">
      <c r="A147" s="9">
        <v>175</v>
      </c>
      <c r="B147" s="183" t="s">
        <v>1245</v>
      </c>
      <c r="C147" s="11" t="s">
        <v>376</v>
      </c>
      <c r="D147" s="3" t="s">
        <v>1246</v>
      </c>
      <c r="E147" s="3" t="s">
        <v>12</v>
      </c>
      <c r="F147" s="3">
        <v>136</v>
      </c>
      <c r="G147" s="198" t="s">
        <v>26</v>
      </c>
      <c r="H147" s="9" t="s">
        <v>26</v>
      </c>
      <c r="I147" s="9" t="s">
        <v>244</v>
      </c>
      <c r="J147" s="9" t="s">
        <v>29</v>
      </c>
      <c r="K147" s="9" t="s">
        <v>26</v>
      </c>
      <c r="L147" s="9" t="s">
        <v>26</v>
      </c>
      <c r="M147" s="50" t="s">
        <v>1239</v>
      </c>
      <c r="N147" s="50" t="s">
        <v>498</v>
      </c>
      <c r="O147" s="51" t="s">
        <v>1240</v>
      </c>
      <c r="P147" s="243" t="s">
        <v>1241</v>
      </c>
      <c r="Q147" s="50" t="s">
        <v>499</v>
      </c>
      <c r="R147" s="50">
        <v>3</v>
      </c>
      <c r="S147" s="50" t="s">
        <v>500</v>
      </c>
      <c r="T147" s="50" t="s">
        <v>886</v>
      </c>
      <c r="U147" s="97" t="s">
        <v>535</v>
      </c>
      <c r="V147" s="60" t="s">
        <v>921</v>
      </c>
      <c r="W147" s="50" t="s">
        <v>527</v>
      </c>
      <c r="X147" s="113" t="s">
        <v>1242</v>
      </c>
      <c r="Y147" s="50" t="s">
        <v>1243</v>
      </c>
      <c r="Z147" s="60" t="s">
        <v>1244</v>
      </c>
      <c r="AA147" s="50" t="s">
        <v>562</v>
      </c>
      <c r="AB147" s="50" t="s">
        <v>506</v>
      </c>
      <c r="AC147" s="55">
        <v>26802</v>
      </c>
      <c r="AD147" s="48">
        <f t="shared" si="118"/>
        <v>18</v>
      </c>
      <c r="AE147" s="48">
        <f t="shared" si="119"/>
        <v>5</v>
      </c>
      <c r="AF147" s="48">
        <f t="shared" si="120"/>
        <v>1973</v>
      </c>
      <c r="AG147" s="49">
        <f t="shared" si="121"/>
        <v>48717</v>
      </c>
      <c r="AH147" s="48">
        <f t="shared" ca="1" si="122"/>
        <v>7</v>
      </c>
      <c r="AI147" s="48">
        <f t="shared" ca="1" si="123"/>
        <v>5</v>
      </c>
      <c r="AJ147" s="48">
        <f t="shared" ca="1" si="124"/>
        <v>7</v>
      </c>
      <c r="AK147" s="48" t="str">
        <f t="shared" ca="1" si="125"/>
        <v>7year/5months/7Days</v>
      </c>
      <c r="AL147" s="119"/>
      <c r="AM147" s="384" t="s">
        <v>1734</v>
      </c>
      <c r="AN147" s="276">
        <v>2308</v>
      </c>
      <c r="AO147" s="119"/>
      <c r="AP147" s="119"/>
      <c r="AQ147" s="119"/>
      <c r="AR147" s="119"/>
      <c r="AS147" s="119"/>
      <c r="AT147" s="119"/>
      <c r="AU147" s="119"/>
      <c r="AV147" s="119"/>
      <c r="AW147" s="119"/>
      <c r="AX147" s="119"/>
      <c r="AY147" s="78">
        <v>2022</v>
      </c>
      <c r="AZ147" s="107">
        <v>2</v>
      </c>
      <c r="BA147" s="78">
        <v>266</v>
      </c>
      <c r="BB147" s="78">
        <v>39</v>
      </c>
      <c r="BC147" s="78">
        <v>5</v>
      </c>
      <c r="BD147" s="78">
        <v>15</v>
      </c>
      <c r="BE147" s="78">
        <v>187</v>
      </c>
      <c r="BF147" s="74">
        <f t="shared" si="126"/>
        <v>70.300751879699249</v>
      </c>
      <c r="BG147" s="78">
        <v>20</v>
      </c>
      <c r="BH147" s="78" t="s">
        <v>498</v>
      </c>
      <c r="BI147" s="78">
        <v>266</v>
      </c>
      <c r="BJ147" s="78" t="s">
        <v>498</v>
      </c>
      <c r="BK147" s="78" t="s">
        <v>498</v>
      </c>
      <c r="BL147" s="76">
        <v>44817</v>
      </c>
      <c r="BM147" s="379"/>
      <c r="BN147" s="379"/>
      <c r="BO147" s="379"/>
      <c r="BP147" s="379"/>
      <c r="BQ147" s="318"/>
      <c r="BR147" s="318"/>
      <c r="BS147" s="318"/>
      <c r="BT147" s="318"/>
      <c r="BU147" s="867" t="s">
        <v>2593</v>
      </c>
      <c r="BV147" s="868"/>
      <c r="BW147" s="868"/>
      <c r="BX147" s="869"/>
      <c r="BY147" s="318"/>
      <c r="BZ147" s="318"/>
      <c r="CA147" s="318"/>
      <c r="CB147" s="318"/>
      <c r="CC147" s="27"/>
    </row>
    <row r="148" spans="1:81" s="8" customFormat="1" ht="44.25" customHeight="1" x14ac:dyDescent="0.25">
      <c r="A148" s="58" t="s">
        <v>1568</v>
      </c>
      <c r="B148" s="183" t="s">
        <v>1252</v>
      </c>
      <c r="C148" s="11" t="s">
        <v>378</v>
      </c>
      <c r="D148" s="7" t="s">
        <v>81</v>
      </c>
      <c r="E148" s="3" t="s">
        <v>12</v>
      </c>
      <c r="F148" s="381">
        <v>137</v>
      </c>
      <c r="G148" s="198" t="s">
        <v>69</v>
      </c>
      <c r="H148" s="9" t="s">
        <v>80</v>
      </c>
      <c r="I148" s="9" t="s">
        <v>81</v>
      </c>
      <c r="J148" s="9" t="s">
        <v>29</v>
      </c>
      <c r="K148" s="9" t="s">
        <v>30</v>
      </c>
      <c r="L148" s="9" t="s">
        <v>69</v>
      </c>
      <c r="M148" s="50" t="s">
        <v>1247</v>
      </c>
      <c r="N148" s="50" t="s">
        <v>498</v>
      </c>
      <c r="O148" s="51" t="s">
        <v>1248</v>
      </c>
      <c r="P148" s="244" t="s">
        <v>1489</v>
      </c>
      <c r="Q148" s="50" t="s">
        <v>499</v>
      </c>
      <c r="R148" s="50" t="s">
        <v>560</v>
      </c>
      <c r="S148" s="50" t="s">
        <v>558</v>
      </c>
      <c r="T148" s="50" t="s">
        <v>886</v>
      </c>
      <c r="U148" s="97" t="s">
        <v>667</v>
      </c>
      <c r="V148" s="50" t="s">
        <v>1235</v>
      </c>
      <c r="W148" s="94" t="s">
        <v>567</v>
      </c>
      <c r="X148" s="53" t="s">
        <v>1249</v>
      </c>
      <c r="Y148" s="50" t="s">
        <v>1250</v>
      </c>
      <c r="Z148" s="158" t="s">
        <v>1251</v>
      </c>
      <c r="AA148" s="60" t="s">
        <v>538</v>
      </c>
      <c r="AB148" s="50" t="s">
        <v>710</v>
      </c>
      <c r="AC148" s="55">
        <v>24669</v>
      </c>
      <c r="AD148" s="48">
        <f t="shared" si="118"/>
        <v>16</v>
      </c>
      <c r="AE148" s="48">
        <f t="shared" si="119"/>
        <v>7</v>
      </c>
      <c r="AF148" s="48">
        <f t="shared" si="120"/>
        <v>1967</v>
      </c>
      <c r="AG148" s="49">
        <f t="shared" si="121"/>
        <v>46584</v>
      </c>
      <c r="AH148" s="48">
        <f t="shared" ca="1" si="122"/>
        <v>1</v>
      </c>
      <c r="AI148" s="48">
        <f t="shared" ca="1" si="123"/>
        <v>7</v>
      </c>
      <c r="AJ148" s="48">
        <f t="shared" ca="1" si="124"/>
        <v>5</v>
      </c>
      <c r="AK148" s="48" t="str">
        <f t="shared" ca="1" si="125"/>
        <v>1year/7months/5Days</v>
      </c>
      <c r="AL148" s="94"/>
      <c r="AM148" s="286" t="s">
        <v>1735</v>
      </c>
      <c r="AN148" s="287" t="s">
        <v>1736</v>
      </c>
      <c r="AO148" s="94"/>
      <c r="AP148" s="94"/>
      <c r="AQ148" s="94"/>
      <c r="AR148" s="94"/>
      <c r="AS148" s="94"/>
      <c r="AT148" s="94"/>
      <c r="AU148" s="94"/>
      <c r="AV148" s="94"/>
      <c r="AW148" s="94"/>
      <c r="AX148" s="94"/>
      <c r="AY148" s="50">
        <v>2023</v>
      </c>
      <c r="AZ148" s="52">
        <v>3</v>
      </c>
      <c r="BA148" s="50">
        <v>1117</v>
      </c>
      <c r="BB148" s="50">
        <v>30</v>
      </c>
      <c r="BC148" s="50" t="s">
        <v>498</v>
      </c>
      <c r="BD148" s="50" t="s">
        <v>498</v>
      </c>
      <c r="BE148" s="50">
        <v>1087</v>
      </c>
      <c r="BF148" s="86">
        <f>BE148/BA148*100</f>
        <v>97.314234556848703</v>
      </c>
      <c r="BG148" s="50" t="s">
        <v>498</v>
      </c>
      <c r="BH148" s="365" t="s">
        <v>498</v>
      </c>
      <c r="BI148" s="365">
        <v>955</v>
      </c>
      <c r="BJ148" s="365" t="s">
        <v>498</v>
      </c>
      <c r="BK148" s="365">
        <v>93</v>
      </c>
      <c r="BL148" s="76">
        <v>45327</v>
      </c>
      <c r="BM148" s="867" t="s">
        <v>1854</v>
      </c>
      <c r="BN148" s="868"/>
      <c r="BO148" s="868"/>
      <c r="BP148" s="869"/>
      <c r="BQ148" s="888" t="s">
        <v>1876</v>
      </c>
      <c r="BR148" s="889"/>
      <c r="BS148" s="889"/>
      <c r="BT148" s="890"/>
      <c r="BU148" s="867" t="s">
        <v>2637</v>
      </c>
      <c r="BV148" s="868"/>
      <c r="BW148" s="868"/>
      <c r="BX148" s="869"/>
      <c r="BY148" s="475"/>
      <c r="BZ148" s="475"/>
      <c r="CA148" s="475"/>
      <c r="CB148" s="475"/>
      <c r="CC148" s="27"/>
    </row>
    <row r="149" spans="1:81" s="8" customFormat="1" ht="40.35" customHeight="1" x14ac:dyDescent="0.3">
      <c r="A149" s="58" t="s">
        <v>1569</v>
      </c>
      <c r="B149" s="118" t="s">
        <v>591</v>
      </c>
      <c r="C149" s="13" t="s">
        <v>379</v>
      </c>
      <c r="D149" s="3" t="s">
        <v>203</v>
      </c>
      <c r="E149" s="3" t="s">
        <v>12</v>
      </c>
      <c r="F149" s="3">
        <v>138</v>
      </c>
      <c r="G149" s="198" t="s">
        <v>21</v>
      </c>
      <c r="H149" s="9" t="s">
        <v>42</v>
      </c>
      <c r="I149" s="9" t="s">
        <v>380</v>
      </c>
      <c r="J149" s="9" t="s">
        <v>14</v>
      </c>
      <c r="K149" s="9" t="s">
        <v>14</v>
      </c>
      <c r="L149" s="9" t="s">
        <v>203</v>
      </c>
      <c r="M149" s="369" t="s">
        <v>587</v>
      </c>
      <c r="N149" s="68"/>
      <c r="O149" s="68"/>
      <c r="P149" s="259"/>
      <c r="Q149" s="369" t="s">
        <v>499</v>
      </c>
      <c r="R149" s="369" t="s">
        <v>560</v>
      </c>
      <c r="S149" s="369" t="s">
        <v>500</v>
      </c>
      <c r="T149" s="369" t="s">
        <v>588</v>
      </c>
      <c r="U149" s="33" t="s">
        <v>502</v>
      </c>
      <c r="V149" s="29" t="s">
        <v>589</v>
      </c>
      <c r="W149" s="369" t="s">
        <v>527</v>
      </c>
      <c r="X149" s="57" t="s">
        <v>590</v>
      </c>
      <c r="Y149" s="369" t="s">
        <v>1893</v>
      </c>
      <c r="Z149" s="68"/>
      <c r="AA149" s="68"/>
      <c r="AB149" s="50" t="s">
        <v>506</v>
      </c>
      <c r="AC149" s="55">
        <v>26804</v>
      </c>
      <c r="AD149" s="48">
        <f t="shared" si="118"/>
        <v>20</v>
      </c>
      <c r="AE149" s="48">
        <f t="shared" si="119"/>
        <v>5</v>
      </c>
      <c r="AF149" s="48">
        <f t="shared" si="120"/>
        <v>1973</v>
      </c>
      <c r="AG149" s="49">
        <f t="shared" si="121"/>
        <v>48719</v>
      </c>
      <c r="AH149" s="48">
        <f t="shared" ca="1" si="122"/>
        <v>7</v>
      </c>
      <c r="AI149" s="48">
        <f t="shared" ca="1" si="123"/>
        <v>5</v>
      </c>
      <c r="AJ149" s="48">
        <f t="shared" ca="1" si="124"/>
        <v>9</v>
      </c>
      <c r="AK149" s="48" t="str">
        <f t="shared" ca="1" si="125"/>
        <v>7year/5months/9Days</v>
      </c>
      <c r="AL149" s="68"/>
      <c r="AM149" s="369" t="s">
        <v>1738</v>
      </c>
      <c r="AN149" s="369">
        <v>779</v>
      </c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79">
        <v>2019</v>
      </c>
      <c r="AZ149" s="347" t="s">
        <v>630</v>
      </c>
      <c r="BA149" s="369">
        <v>364</v>
      </c>
      <c r="BB149" s="79">
        <v>263</v>
      </c>
      <c r="BC149" s="79">
        <v>1</v>
      </c>
      <c r="BD149" s="79">
        <v>18</v>
      </c>
      <c r="BE149" s="369">
        <v>44</v>
      </c>
      <c r="BF149" s="80">
        <f t="shared" si="126"/>
        <v>12.087912087912088</v>
      </c>
      <c r="BG149" s="79">
        <v>29</v>
      </c>
      <c r="BH149" s="68"/>
      <c r="BI149" s="68"/>
      <c r="BJ149" s="68"/>
      <c r="BK149" s="68"/>
      <c r="BL149" s="351"/>
      <c r="BM149" s="867" t="s">
        <v>1864</v>
      </c>
      <c r="BN149" s="868"/>
      <c r="BO149" s="868"/>
      <c r="BP149" s="869"/>
      <c r="BQ149" s="304"/>
      <c r="BR149" s="304"/>
      <c r="BS149" s="304"/>
      <c r="BT149" s="304"/>
      <c r="BU149" s="867" t="s">
        <v>2650</v>
      </c>
      <c r="BV149" s="868"/>
      <c r="BW149" s="868"/>
      <c r="BX149" s="869"/>
      <c r="BY149" s="304"/>
      <c r="BZ149" s="304"/>
      <c r="CA149" s="304"/>
      <c r="CB149" s="304"/>
      <c r="CC149" s="27"/>
    </row>
    <row r="150" spans="1:81" s="8" customFormat="1" ht="40.35" customHeight="1" x14ac:dyDescent="0.25">
      <c r="A150" s="558">
        <v>181</v>
      </c>
      <c r="B150" s="118" t="s">
        <v>586</v>
      </c>
      <c r="C150" s="13" t="s">
        <v>382</v>
      </c>
      <c r="D150" s="7" t="s">
        <v>1868</v>
      </c>
      <c r="E150" s="3" t="s">
        <v>12</v>
      </c>
      <c r="F150" s="381">
        <v>139</v>
      </c>
      <c r="G150" s="198" t="s">
        <v>21</v>
      </c>
      <c r="H150" s="9" t="s">
        <v>42</v>
      </c>
      <c r="I150" s="9" t="s">
        <v>380</v>
      </c>
      <c r="J150" s="9" t="s">
        <v>14</v>
      </c>
      <c r="K150" s="9" t="s">
        <v>14</v>
      </c>
      <c r="L150" s="9" t="s">
        <v>203</v>
      </c>
      <c r="M150" s="29" t="s">
        <v>581</v>
      </c>
      <c r="N150" s="29" t="s">
        <v>581</v>
      </c>
      <c r="O150" s="66" t="s">
        <v>582</v>
      </c>
      <c r="P150" s="256" t="s">
        <v>1980</v>
      </c>
      <c r="Q150" s="29" t="s">
        <v>499</v>
      </c>
      <c r="R150" s="29" t="s">
        <v>560</v>
      </c>
      <c r="S150" s="29" t="s">
        <v>500</v>
      </c>
      <c r="T150" s="29" t="s">
        <v>501</v>
      </c>
      <c r="U150" s="34" t="s">
        <v>583</v>
      </c>
      <c r="V150" s="67" t="s">
        <v>589</v>
      </c>
      <c r="W150" s="29" t="s">
        <v>504</v>
      </c>
      <c r="X150" s="30" t="s">
        <v>1981</v>
      </c>
      <c r="Y150" s="29" t="s">
        <v>1982</v>
      </c>
      <c r="Z150" s="67" t="s">
        <v>1983</v>
      </c>
      <c r="AA150" s="29" t="s">
        <v>578</v>
      </c>
      <c r="AB150" s="50" t="s">
        <v>506</v>
      </c>
      <c r="AC150" s="55">
        <v>24945</v>
      </c>
      <c r="AD150" s="48">
        <f t="shared" si="118"/>
        <v>17</v>
      </c>
      <c r="AE150" s="48">
        <f t="shared" si="119"/>
        <v>4</v>
      </c>
      <c r="AF150" s="48">
        <f t="shared" si="120"/>
        <v>1968</v>
      </c>
      <c r="AG150" s="49">
        <f t="shared" si="121"/>
        <v>46860</v>
      </c>
      <c r="AH150" s="48">
        <f t="shared" ca="1" si="122"/>
        <v>2</v>
      </c>
      <c r="AI150" s="48">
        <f t="shared" ca="1" si="123"/>
        <v>4</v>
      </c>
      <c r="AJ150" s="48">
        <f t="shared" ca="1" si="124"/>
        <v>6</v>
      </c>
      <c r="AK150" s="48" t="str">
        <f t="shared" ca="1" si="125"/>
        <v>2year/4months/6Days</v>
      </c>
      <c r="AL150" s="81"/>
      <c r="AM150" s="29" t="s">
        <v>1737</v>
      </c>
      <c r="AN150" s="3">
        <v>1110</v>
      </c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29">
        <v>2024</v>
      </c>
      <c r="AZ150" s="354" t="s">
        <v>1910</v>
      </c>
      <c r="BA150" s="61">
        <v>1359</v>
      </c>
      <c r="BB150" s="61">
        <v>1307</v>
      </c>
      <c r="BC150" s="82" t="s">
        <v>498</v>
      </c>
      <c r="BD150" s="61">
        <v>8</v>
      </c>
      <c r="BE150" s="61">
        <v>3</v>
      </c>
      <c r="BF150" s="80">
        <f t="shared" si="126"/>
        <v>0.22075055187637968</v>
      </c>
      <c r="BG150" s="82">
        <v>11</v>
      </c>
      <c r="BH150" s="83" t="s">
        <v>498</v>
      </c>
      <c r="BI150" s="29">
        <v>1359</v>
      </c>
      <c r="BJ150" s="83" t="s">
        <v>498</v>
      </c>
      <c r="BK150" s="83" t="s">
        <v>498</v>
      </c>
      <c r="BL150" s="151">
        <v>45602</v>
      </c>
      <c r="BM150" s="867" t="s">
        <v>1864</v>
      </c>
      <c r="BN150" s="868"/>
      <c r="BO150" s="868"/>
      <c r="BP150" s="869"/>
      <c r="BQ150" s="919" t="s">
        <v>1867</v>
      </c>
      <c r="BR150" s="920"/>
      <c r="BS150" s="920"/>
      <c r="BT150" s="921"/>
      <c r="BU150" s="867" t="s">
        <v>2650</v>
      </c>
      <c r="BV150" s="868"/>
      <c r="BW150" s="868"/>
      <c r="BX150" s="869"/>
      <c r="BY150" s="919" t="s">
        <v>2773</v>
      </c>
      <c r="BZ150" s="920"/>
      <c r="CA150" s="920"/>
      <c r="CB150" s="921"/>
      <c r="CC150" s="27"/>
    </row>
    <row r="151" spans="1:81" s="8" customFormat="1" ht="40.35" customHeight="1" x14ac:dyDescent="0.25">
      <c r="A151" s="558">
        <v>182</v>
      </c>
      <c r="B151" s="183" t="s">
        <v>1257</v>
      </c>
      <c r="C151" s="11" t="s">
        <v>384</v>
      </c>
      <c r="D151" s="3" t="s">
        <v>98</v>
      </c>
      <c r="E151" s="3" t="s">
        <v>12</v>
      </c>
      <c r="F151" s="3">
        <v>140</v>
      </c>
      <c r="G151" s="198" t="s">
        <v>69</v>
      </c>
      <c r="H151" s="9" t="s">
        <v>96</v>
      </c>
      <c r="I151" s="9" t="s">
        <v>99</v>
      </c>
      <c r="J151" s="9" t="s">
        <v>29</v>
      </c>
      <c r="K151" s="9" t="s">
        <v>98</v>
      </c>
      <c r="L151" s="9" t="s">
        <v>99</v>
      </c>
      <c r="M151" s="50" t="s">
        <v>1253</v>
      </c>
      <c r="N151" s="50" t="s">
        <v>498</v>
      </c>
      <c r="O151" s="51" t="s">
        <v>1254</v>
      </c>
      <c r="P151" s="244" t="s">
        <v>1511</v>
      </c>
      <c r="Q151" s="50" t="s">
        <v>499</v>
      </c>
      <c r="R151" s="50">
        <v>3</v>
      </c>
      <c r="S151" s="50" t="s">
        <v>500</v>
      </c>
      <c r="T151" s="50" t="s">
        <v>886</v>
      </c>
      <c r="U151" s="52" t="s">
        <v>535</v>
      </c>
      <c r="V151" s="50" t="s">
        <v>1235</v>
      </c>
      <c r="W151" s="50" t="s">
        <v>542</v>
      </c>
      <c r="X151" s="113" t="s">
        <v>1255</v>
      </c>
      <c r="Y151" s="50" t="s">
        <v>1256</v>
      </c>
      <c r="Z151" s="60" t="s">
        <v>2709</v>
      </c>
      <c r="AA151" s="60" t="s">
        <v>562</v>
      </c>
      <c r="AB151" s="50" t="s">
        <v>506</v>
      </c>
      <c r="AC151" s="55">
        <v>23846</v>
      </c>
      <c r="AD151" s="48">
        <f t="shared" si="118"/>
        <v>14</v>
      </c>
      <c r="AE151" s="48">
        <f t="shared" si="119"/>
        <v>4</v>
      </c>
      <c r="AF151" s="48">
        <f t="shared" si="120"/>
        <v>1965</v>
      </c>
      <c r="AG151" s="49">
        <f t="shared" si="121"/>
        <v>45761</v>
      </c>
      <c r="AH151" s="48" t="e">
        <f t="shared" ca="1" si="122"/>
        <v>#NUM!</v>
      </c>
      <c r="AI151" s="48" t="e">
        <f t="shared" ca="1" si="123"/>
        <v>#NUM!</v>
      </c>
      <c r="AJ151" s="48" t="e">
        <f t="shared" ca="1" si="124"/>
        <v>#NUM!</v>
      </c>
      <c r="AK151" s="48" t="e">
        <f t="shared" ca="1" si="125"/>
        <v>#NUM!</v>
      </c>
      <c r="AL151" s="384"/>
      <c r="AM151" s="384" t="s">
        <v>1739</v>
      </c>
      <c r="AN151" s="276">
        <v>1919</v>
      </c>
      <c r="AO151" s="384"/>
      <c r="AP151" s="384"/>
      <c r="AQ151" s="384"/>
      <c r="AR151" s="384"/>
      <c r="AS151" s="384"/>
      <c r="AT151" s="384"/>
      <c r="AU151" s="384"/>
      <c r="AV151" s="384"/>
      <c r="AW151" s="384"/>
      <c r="AX151" s="384"/>
      <c r="AY151" s="50">
        <v>2024</v>
      </c>
      <c r="AZ151" s="107">
        <v>3</v>
      </c>
      <c r="BA151" s="78">
        <v>454</v>
      </c>
      <c r="BB151" s="78">
        <v>425</v>
      </c>
      <c r="BC151" s="78" t="s">
        <v>498</v>
      </c>
      <c r="BD151" s="78" t="s">
        <v>498</v>
      </c>
      <c r="BE151" s="78">
        <v>29</v>
      </c>
      <c r="BF151" s="74">
        <f>BE151/BA151*100</f>
        <v>6.3876651982378849</v>
      </c>
      <c r="BG151" s="78" t="s">
        <v>498</v>
      </c>
      <c r="BH151" s="78" t="s">
        <v>498</v>
      </c>
      <c r="BI151" s="78">
        <v>454</v>
      </c>
      <c r="BJ151" s="78" t="s">
        <v>498</v>
      </c>
      <c r="BK151" s="78" t="s">
        <v>498</v>
      </c>
      <c r="BL151" s="151">
        <v>45560</v>
      </c>
      <c r="BM151" s="379"/>
      <c r="BN151" s="379"/>
      <c r="BO151" s="379"/>
      <c r="BP151" s="379"/>
      <c r="BQ151" s="318"/>
      <c r="BR151" s="318"/>
      <c r="BS151" s="318"/>
      <c r="BT151" s="318"/>
      <c r="BU151" s="867" t="s">
        <v>2596</v>
      </c>
      <c r="BV151" s="868"/>
      <c r="BW151" s="868"/>
      <c r="BX151" s="869"/>
      <c r="BY151" s="888" t="s">
        <v>2637</v>
      </c>
      <c r="BZ151" s="889"/>
      <c r="CA151" s="889"/>
      <c r="CB151" s="890"/>
      <c r="CC151" s="27"/>
    </row>
    <row r="152" spans="1:81" s="8" customFormat="1" ht="40.35" customHeight="1" x14ac:dyDescent="0.3">
      <c r="A152" s="9">
        <v>183</v>
      </c>
      <c r="B152" s="183" t="s">
        <v>1261</v>
      </c>
      <c r="C152" s="11" t="s">
        <v>386</v>
      </c>
      <c r="D152" s="7" t="s">
        <v>1262</v>
      </c>
      <c r="E152" s="3" t="s">
        <v>12</v>
      </c>
      <c r="F152" s="381">
        <v>141</v>
      </c>
      <c r="G152" s="198" t="s">
        <v>69</v>
      </c>
      <c r="H152" s="9" t="s">
        <v>96</v>
      </c>
      <c r="I152" s="9" t="s">
        <v>387</v>
      </c>
      <c r="J152" s="9" t="s">
        <v>29</v>
      </c>
      <c r="K152" s="9" t="s">
        <v>30</v>
      </c>
      <c r="L152" s="9" t="s">
        <v>69</v>
      </c>
      <c r="M152" s="50" t="s">
        <v>1259</v>
      </c>
      <c r="N152" s="50" t="s">
        <v>498</v>
      </c>
      <c r="O152" s="50"/>
      <c r="P152" s="243"/>
      <c r="Q152" s="50" t="s">
        <v>499</v>
      </c>
      <c r="R152" s="50">
        <v>2</v>
      </c>
      <c r="S152" s="50" t="s">
        <v>500</v>
      </c>
      <c r="T152" s="50" t="s">
        <v>886</v>
      </c>
      <c r="U152" s="97" t="s">
        <v>502</v>
      </c>
      <c r="V152" s="60" t="s">
        <v>921</v>
      </c>
      <c r="W152" s="365" t="s">
        <v>567</v>
      </c>
      <c r="X152" s="70" t="s">
        <v>1260</v>
      </c>
      <c r="Y152" s="50"/>
      <c r="Z152" s="50"/>
      <c r="AA152" s="78" t="s">
        <v>958</v>
      </c>
      <c r="AB152" s="50" t="s">
        <v>506</v>
      </c>
      <c r="AC152" s="55">
        <v>26807</v>
      </c>
      <c r="AD152" s="48">
        <f t="shared" si="118"/>
        <v>23</v>
      </c>
      <c r="AE152" s="48">
        <f t="shared" si="119"/>
        <v>5</v>
      </c>
      <c r="AF152" s="48">
        <f t="shared" si="120"/>
        <v>1973</v>
      </c>
      <c r="AG152" s="49">
        <f t="shared" si="121"/>
        <v>48722</v>
      </c>
      <c r="AH152" s="48">
        <f t="shared" ca="1" si="122"/>
        <v>7</v>
      </c>
      <c r="AI152" s="48">
        <f t="shared" ca="1" si="123"/>
        <v>5</v>
      </c>
      <c r="AJ152" s="48">
        <f t="shared" ca="1" si="124"/>
        <v>12</v>
      </c>
      <c r="AK152" s="48" t="str">
        <f t="shared" ca="1" si="125"/>
        <v>7year/5months/12Days</v>
      </c>
      <c r="AL152" s="384"/>
      <c r="AM152" s="384" t="s">
        <v>1740</v>
      </c>
      <c r="AN152" s="276">
        <v>2598</v>
      </c>
      <c r="AO152" s="384"/>
      <c r="AP152" s="384"/>
      <c r="AQ152" s="384"/>
      <c r="AR152" s="384"/>
      <c r="AS152" s="384"/>
      <c r="AT152" s="384"/>
      <c r="AU152" s="384"/>
      <c r="AV152" s="384"/>
      <c r="AW152" s="384"/>
      <c r="AX152" s="384"/>
      <c r="AY152" s="50">
        <v>2020</v>
      </c>
      <c r="AZ152" s="107">
        <v>1</v>
      </c>
      <c r="BA152" s="78">
        <v>168</v>
      </c>
      <c r="BB152" s="78">
        <v>61</v>
      </c>
      <c r="BC152" s="78" t="s">
        <v>498</v>
      </c>
      <c r="BD152" s="78" t="s">
        <v>498</v>
      </c>
      <c r="BE152" s="78">
        <v>107</v>
      </c>
      <c r="BF152" s="74">
        <f>BE152/BA152*100</f>
        <v>63.69047619047619</v>
      </c>
      <c r="BG152" s="78" t="s">
        <v>498</v>
      </c>
      <c r="BH152" s="78" t="s">
        <v>498</v>
      </c>
      <c r="BI152" s="78">
        <v>168</v>
      </c>
      <c r="BJ152" s="78"/>
      <c r="BK152" s="78"/>
      <c r="BL152" s="151">
        <v>44272</v>
      </c>
      <c r="BM152" s="379"/>
      <c r="BN152" s="379"/>
      <c r="BO152" s="379"/>
      <c r="BP152" s="379"/>
      <c r="BQ152" s="305"/>
      <c r="BR152" s="305"/>
      <c r="BS152" s="305"/>
      <c r="BT152" s="305"/>
      <c r="BU152" s="867" t="s">
        <v>2596</v>
      </c>
      <c r="BV152" s="868"/>
      <c r="BW152" s="868"/>
      <c r="BX152" s="869"/>
      <c r="BY152" s="305"/>
      <c r="BZ152" s="305"/>
      <c r="CA152" s="305"/>
      <c r="CB152" s="305"/>
      <c r="CC152" s="27"/>
    </row>
    <row r="153" spans="1:81" s="8" customFormat="1" ht="40.35" customHeight="1" x14ac:dyDescent="0.25">
      <c r="A153" s="58" t="s">
        <v>1570</v>
      </c>
      <c r="B153" s="183" t="s">
        <v>1265</v>
      </c>
      <c r="C153" s="11" t="s">
        <v>389</v>
      </c>
      <c r="D153" s="3" t="s">
        <v>1266</v>
      </c>
      <c r="E153" s="3" t="s">
        <v>12</v>
      </c>
      <c r="F153" s="3">
        <v>142</v>
      </c>
      <c r="G153" s="198" t="s">
        <v>26</v>
      </c>
      <c r="H153" s="9" t="s">
        <v>26</v>
      </c>
      <c r="I153" s="9" t="s">
        <v>296</v>
      </c>
      <c r="J153" s="9" t="s">
        <v>29</v>
      </c>
      <c r="K153" s="9" t="s">
        <v>30</v>
      </c>
      <c r="L153" s="9" t="s">
        <v>30</v>
      </c>
      <c r="M153" s="365" t="s">
        <v>1495</v>
      </c>
      <c r="N153" s="365" t="s">
        <v>498</v>
      </c>
      <c r="O153" s="44" t="s">
        <v>1263</v>
      </c>
      <c r="P153" s="249" t="s">
        <v>1496</v>
      </c>
      <c r="Q153" s="365" t="s">
        <v>499</v>
      </c>
      <c r="R153" s="365" t="s">
        <v>560</v>
      </c>
      <c r="S153" s="365" t="s">
        <v>500</v>
      </c>
      <c r="T153" s="365" t="s">
        <v>886</v>
      </c>
      <c r="U153" s="59" t="s">
        <v>561</v>
      </c>
      <c r="V153" s="371" t="s">
        <v>921</v>
      </c>
      <c r="W153" s="365" t="s">
        <v>542</v>
      </c>
      <c r="X153" s="46" t="s">
        <v>1264</v>
      </c>
      <c r="Y153" s="371" t="s">
        <v>1497</v>
      </c>
      <c r="Z153" s="371" t="s">
        <v>1498</v>
      </c>
      <c r="AA153" s="103" t="s">
        <v>538</v>
      </c>
      <c r="AB153" s="50" t="s">
        <v>710</v>
      </c>
      <c r="AC153" s="55">
        <v>29082</v>
      </c>
      <c r="AD153" s="48">
        <f t="shared" si="118"/>
        <v>15</v>
      </c>
      <c r="AE153" s="48">
        <f t="shared" si="119"/>
        <v>8</v>
      </c>
      <c r="AF153" s="48">
        <f t="shared" si="120"/>
        <v>1979</v>
      </c>
      <c r="AG153" s="49">
        <f t="shared" si="121"/>
        <v>50997</v>
      </c>
      <c r="AH153" s="48">
        <f t="shared" ca="1" si="122"/>
        <v>13</v>
      </c>
      <c r="AI153" s="48">
        <f t="shared" ca="1" si="123"/>
        <v>8</v>
      </c>
      <c r="AJ153" s="48">
        <f t="shared" ca="1" si="124"/>
        <v>4</v>
      </c>
      <c r="AK153" s="48" t="str">
        <f t="shared" ca="1" si="125"/>
        <v>13year/8months/4Days</v>
      </c>
      <c r="AL153" s="371"/>
      <c r="AM153" s="371" t="s">
        <v>1741</v>
      </c>
      <c r="AN153" s="373" t="s">
        <v>1742</v>
      </c>
      <c r="AO153" s="371"/>
      <c r="AP153" s="371"/>
      <c r="AQ153" s="371"/>
      <c r="AR153" s="371"/>
      <c r="AS153" s="371"/>
      <c r="AT153" s="371"/>
      <c r="AU153" s="371"/>
      <c r="AV153" s="371"/>
      <c r="AW153" s="371"/>
      <c r="AX153" s="371"/>
      <c r="AY153" s="365">
        <v>2023</v>
      </c>
      <c r="AZ153" s="45" t="s">
        <v>1932</v>
      </c>
      <c r="BA153" s="365">
        <v>1268</v>
      </c>
      <c r="BB153" s="365">
        <v>1</v>
      </c>
      <c r="BC153" s="365" t="s">
        <v>498</v>
      </c>
      <c r="BD153" s="365" t="s">
        <v>498</v>
      </c>
      <c r="BE153" s="365">
        <v>1244</v>
      </c>
      <c r="BF153" s="74">
        <f>BE153/BA153*100</f>
        <v>98.107255520504737</v>
      </c>
      <c r="BG153" s="365">
        <v>23</v>
      </c>
      <c r="BH153" s="365" t="s">
        <v>498</v>
      </c>
      <c r="BI153" s="365">
        <v>1268</v>
      </c>
      <c r="BJ153" s="365" t="s">
        <v>498</v>
      </c>
      <c r="BK153" s="365" t="s">
        <v>498</v>
      </c>
      <c r="BL153" s="76">
        <v>45408</v>
      </c>
      <c r="BM153" s="867" t="s">
        <v>1860</v>
      </c>
      <c r="BN153" s="868"/>
      <c r="BO153" s="868"/>
      <c r="BP153" s="869"/>
      <c r="BQ153" s="876" t="s">
        <v>2482</v>
      </c>
      <c r="BR153" s="877"/>
      <c r="BS153" s="877"/>
      <c r="BT153" s="878"/>
      <c r="BU153" s="867" t="s">
        <v>2650</v>
      </c>
      <c r="BV153" s="868"/>
      <c r="BW153" s="868"/>
      <c r="BX153" s="869"/>
      <c r="BY153" s="479"/>
      <c r="BZ153" s="479"/>
      <c r="CA153" s="479"/>
      <c r="CB153" s="479"/>
      <c r="CC153" s="27"/>
    </row>
    <row r="154" spans="1:81" s="8" customFormat="1" ht="40.35" customHeight="1" x14ac:dyDescent="0.3">
      <c r="A154" s="9">
        <v>186</v>
      </c>
      <c r="B154" s="183" t="s">
        <v>830</v>
      </c>
      <c r="C154" s="11" t="s">
        <v>391</v>
      </c>
      <c r="D154" s="7" t="s">
        <v>831</v>
      </c>
      <c r="E154" s="3" t="s">
        <v>12</v>
      </c>
      <c r="F154" s="381">
        <v>143</v>
      </c>
      <c r="G154" s="198" t="s">
        <v>13</v>
      </c>
      <c r="H154" s="9" t="s">
        <v>19</v>
      </c>
      <c r="I154" s="9" t="s">
        <v>20</v>
      </c>
      <c r="J154" s="9" t="s">
        <v>110</v>
      </c>
      <c r="K154" s="9" t="s">
        <v>22</v>
      </c>
      <c r="L154" s="9" t="s">
        <v>23</v>
      </c>
      <c r="M154" s="50" t="s">
        <v>827</v>
      </c>
      <c r="N154" s="50"/>
      <c r="O154" s="50"/>
      <c r="P154" s="243"/>
      <c r="Q154" s="50" t="s">
        <v>499</v>
      </c>
      <c r="R154" s="50">
        <v>2</v>
      </c>
      <c r="S154" s="50" t="s">
        <v>500</v>
      </c>
      <c r="T154" s="50" t="s">
        <v>524</v>
      </c>
      <c r="U154" s="52" t="s">
        <v>535</v>
      </c>
      <c r="V154" s="50" t="s">
        <v>589</v>
      </c>
      <c r="W154" s="50" t="s">
        <v>542</v>
      </c>
      <c r="X154" s="70" t="s">
        <v>828</v>
      </c>
      <c r="Y154" s="50" t="s">
        <v>829</v>
      </c>
      <c r="Z154" s="50"/>
      <c r="AA154" s="50"/>
      <c r="AB154" s="50" t="s">
        <v>506</v>
      </c>
      <c r="AC154" s="55">
        <v>26809</v>
      </c>
      <c r="AD154" s="48">
        <f t="shared" si="118"/>
        <v>25</v>
      </c>
      <c r="AE154" s="48">
        <f t="shared" si="119"/>
        <v>5</v>
      </c>
      <c r="AF154" s="48">
        <f t="shared" si="120"/>
        <v>1973</v>
      </c>
      <c r="AG154" s="49">
        <f t="shared" si="121"/>
        <v>48724</v>
      </c>
      <c r="AH154" s="48">
        <f t="shared" ca="1" si="122"/>
        <v>7</v>
      </c>
      <c r="AI154" s="48">
        <f t="shared" ca="1" si="123"/>
        <v>5</v>
      </c>
      <c r="AJ154" s="48">
        <f t="shared" ca="1" si="124"/>
        <v>14</v>
      </c>
      <c r="AK154" s="48" t="str">
        <f t="shared" ca="1" si="125"/>
        <v>7year/5months/14Days</v>
      </c>
      <c r="AL154" s="384"/>
      <c r="AM154" s="384" t="s">
        <v>1743</v>
      </c>
      <c r="AN154" s="276">
        <v>1559</v>
      </c>
      <c r="AO154" s="384"/>
      <c r="AP154" s="384"/>
      <c r="AQ154" s="384"/>
      <c r="AR154" s="384"/>
      <c r="AS154" s="384"/>
      <c r="AT154" s="384"/>
      <c r="AU154" s="384"/>
      <c r="AV154" s="384"/>
      <c r="AW154" s="384"/>
      <c r="AX154" s="384"/>
      <c r="AY154" s="50"/>
      <c r="AZ154" s="348"/>
      <c r="BA154" s="110"/>
      <c r="BB154" s="95"/>
      <c r="BC154" s="95"/>
      <c r="BD154" s="95"/>
      <c r="BE154" s="95"/>
      <c r="BF154" s="74"/>
      <c r="BG154" s="95"/>
      <c r="BH154" s="95"/>
      <c r="BI154" s="95"/>
      <c r="BJ154" s="95"/>
      <c r="BK154" s="95"/>
      <c r="BL154" s="151"/>
      <c r="BM154" s="867" t="s">
        <v>1864</v>
      </c>
      <c r="BN154" s="868"/>
      <c r="BO154" s="868"/>
      <c r="BP154" s="869"/>
      <c r="BQ154" s="305"/>
      <c r="BR154" s="305"/>
      <c r="BS154" s="305"/>
      <c r="BT154" s="305"/>
      <c r="BU154" s="867" t="s">
        <v>2650</v>
      </c>
      <c r="BV154" s="868"/>
      <c r="BW154" s="868"/>
      <c r="BX154" s="869"/>
      <c r="BY154" s="305"/>
      <c r="BZ154" s="305"/>
      <c r="CA154" s="305"/>
      <c r="CB154" s="305"/>
      <c r="CC154" s="27"/>
    </row>
    <row r="155" spans="1:81" s="8" customFormat="1" ht="43.5" customHeight="1" x14ac:dyDescent="0.3">
      <c r="A155" s="9">
        <v>187</v>
      </c>
      <c r="B155" s="183" t="s">
        <v>837</v>
      </c>
      <c r="C155" s="11" t="s">
        <v>393</v>
      </c>
      <c r="D155" s="3" t="s">
        <v>838</v>
      </c>
      <c r="E155" s="3" t="s">
        <v>12</v>
      </c>
      <c r="F155" s="3">
        <v>144</v>
      </c>
      <c r="G155" s="198" t="s">
        <v>13</v>
      </c>
      <c r="H155" s="9" t="s">
        <v>19</v>
      </c>
      <c r="I155" s="9" t="s">
        <v>20</v>
      </c>
      <c r="J155" s="9" t="s">
        <v>21</v>
      </c>
      <c r="K155" s="9" t="s">
        <v>22</v>
      </c>
      <c r="L155" s="9" t="s">
        <v>23</v>
      </c>
      <c r="M155" s="50" t="s">
        <v>832</v>
      </c>
      <c r="N155" s="50"/>
      <c r="O155" s="50"/>
      <c r="P155" s="243"/>
      <c r="Q155" s="50" t="s">
        <v>499</v>
      </c>
      <c r="R155" s="50" t="s">
        <v>560</v>
      </c>
      <c r="S155" s="50" t="s">
        <v>645</v>
      </c>
      <c r="T155" s="50" t="s">
        <v>524</v>
      </c>
      <c r="U155" s="52" t="s">
        <v>833</v>
      </c>
      <c r="V155" s="50" t="s">
        <v>589</v>
      </c>
      <c r="W155" s="50" t="s">
        <v>527</v>
      </c>
      <c r="X155" s="70" t="s">
        <v>834</v>
      </c>
      <c r="Y155" s="50" t="s">
        <v>835</v>
      </c>
      <c r="Z155" s="50"/>
      <c r="AA155" s="50" t="s">
        <v>709</v>
      </c>
      <c r="AB155" s="50" t="s">
        <v>506</v>
      </c>
      <c r="AC155" s="55">
        <v>26810</v>
      </c>
      <c r="AD155" s="48">
        <f t="shared" si="118"/>
        <v>26</v>
      </c>
      <c r="AE155" s="48">
        <f t="shared" si="119"/>
        <v>5</v>
      </c>
      <c r="AF155" s="48">
        <f t="shared" si="120"/>
        <v>1973</v>
      </c>
      <c r="AG155" s="49">
        <f t="shared" si="121"/>
        <v>48725</v>
      </c>
      <c r="AH155" s="48">
        <f t="shared" ca="1" si="122"/>
        <v>7</v>
      </c>
      <c r="AI155" s="48">
        <f t="shared" ca="1" si="123"/>
        <v>5</v>
      </c>
      <c r="AJ155" s="48">
        <f t="shared" ca="1" si="124"/>
        <v>15</v>
      </c>
      <c r="AK155" s="48" t="str">
        <f t="shared" ca="1" si="125"/>
        <v>7year/5months/15Days</v>
      </c>
      <c r="AL155" s="106" t="s">
        <v>836</v>
      </c>
      <c r="AM155" s="106"/>
      <c r="AN155" s="282"/>
      <c r="AO155" s="106"/>
      <c r="AP155" s="106"/>
      <c r="AQ155" s="106"/>
      <c r="AR155" s="106"/>
      <c r="AS155" s="106"/>
      <c r="AT155" s="106"/>
      <c r="AU155" s="106"/>
      <c r="AV155" s="106"/>
      <c r="AW155" s="106"/>
      <c r="AX155" s="106"/>
      <c r="AY155" s="50">
        <v>2019</v>
      </c>
      <c r="AZ155" s="107">
        <v>3</v>
      </c>
      <c r="BA155" s="78">
        <v>801</v>
      </c>
      <c r="BB155" s="78" t="s">
        <v>498</v>
      </c>
      <c r="BC155" s="78">
        <v>630</v>
      </c>
      <c r="BD155" s="78" t="s">
        <v>498</v>
      </c>
      <c r="BE155" s="78">
        <v>66</v>
      </c>
      <c r="BF155" s="74">
        <f t="shared" ref="BF155:BF162" si="127">BE155/BA155*100</f>
        <v>8.239700374531834</v>
      </c>
      <c r="BG155" s="78">
        <v>105</v>
      </c>
      <c r="BH155" s="78" t="s">
        <v>498</v>
      </c>
      <c r="BI155" s="78" t="s">
        <v>498</v>
      </c>
      <c r="BJ155" s="78">
        <v>801</v>
      </c>
      <c r="BK155" s="95"/>
      <c r="BL155" s="151"/>
      <c r="BM155" s="313"/>
      <c r="BN155" s="305"/>
      <c r="BO155" s="305"/>
      <c r="BP155" s="305"/>
      <c r="BQ155" s="305"/>
      <c r="BR155" s="305"/>
      <c r="BS155" s="305"/>
      <c r="BT155" s="305"/>
      <c r="BU155" s="867" t="s">
        <v>2596</v>
      </c>
      <c r="BV155" s="868"/>
      <c r="BW155" s="868"/>
      <c r="BX155" s="869"/>
      <c r="BY155" s="305"/>
      <c r="BZ155" s="305"/>
      <c r="CA155" s="305"/>
      <c r="CB155" s="305"/>
      <c r="CC155" s="27"/>
    </row>
    <row r="156" spans="1:81" s="8" customFormat="1" ht="40.35" customHeight="1" x14ac:dyDescent="0.25">
      <c r="A156" s="558">
        <v>188</v>
      </c>
      <c r="B156" s="183" t="s">
        <v>1268</v>
      </c>
      <c r="C156" s="11" t="s">
        <v>395</v>
      </c>
      <c r="D156" s="7" t="s">
        <v>96</v>
      </c>
      <c r="E156" s="3" t="s">
        <v>12</v>
      </c>
      <c r="F156" s="381">
        <v>145</v>
      </c>
      <c r="G156" s="198" t="s">
        <v>69</v>
      </c>
      <c r="H156" s="9" t="s">
        <v>96</v>
      </c>
      <c r="I156" s="9" t="s">
        <v>96</v>
      </c>
      <c r="J156" s="9" t="s">
        <v>29</v>
      </c>
      <c r="K156" s="9" t="s">
        <v>30</v>
      </c>
      <c r="L156" s="9" t="s">
        <v>69</v>
      </c>
      <c r="M156" s="50" t="s">
        <v>1267</v>
      </c>
      <c r="N156" s="50" t="s">
        <v>498</v>
      </c>
      <c r="O156" s="51" t="s">
        <v>1503</v>
      </c>
      <c r="P156" s="243" t="s">
        <v>1504</v>
      </c>
      <c r="Q156" s="50" t="s">
        <v>499</v>
      </c>
      <c r="R156" s="50">
        <v>3</v>
      </c>
      <c r="S156" s="50" t="s">
        <v>500</v>
      </c>
      <c r="T156" s="50" t="s">
        <v>886</v>
      </c>
      <c r="U156" s="97" t="s">
        <v>535</v>
      </c>
      <c r="V156" s="60" t="s">
        <v>1235</v>
      </c>
      <c r="W156" s="50" t="s">
        <v>542</v>
      </c>
      <c r="X156" s="53" t="s">
        <v>1794</v>
      </c>
      <c r="Y156" s="113" t="s">
        <v>1795</v>
      </c>
      <c r="Z156" s="53" t="s">
        <v>2772</v>
      </c>
      <c r="AA156" s="50" t="s">
        <v>958</v>
      </c>
      <c r="AB156" s="50" t="s">
        <v>710</v>
      </c>
      <c r="AC156" s="55">
        <v>30883</v>
      </c>
      <c r="AD156" s="48">
        <f t="shared" si="118"/>
        <v>20</v>
      </c>
      <c r="AE156" s="48">
        <f t="shared" si="119"/>
        <v>7</v>
      </c>
      <c r="AF156" s="48">
        <f t="shared" si="120"/>
        <v>1984</v>
      </c>
      <c r="AG156" s="49">
        <f t="shared" si="121"/>
        <v>52798</v>
      </c>
      <c r="AH156" s="48">
        <f t="shared" ca="1" si="122"/>
        <v>18</v>
      </c>
      <c r="AI156" s="48">
        <f t="shared" ca="1" si="123"/>
        <v>7</v>
      </c>
      <c r="AJ156" s="48">
        <f t="shared" ca="1" si="124"/>
        <v>9</v>
      </c>
      <c r="AK156" s="48" t="str">
        <f t="shared" ca="1" si="125"/>
        <v>18year/7months/9Days</v>
      </c>
      <c r="AL156" s="384"/>
      <c r="AM156" s="384" t="s">
        <v>1745</v>
      </c>
      <c r="AN156" s="276">
        <v>1560</v>
      </c>
      <c r="AO156" s="384"/>
      <c r="AP156" s="384"/>
      <c r="AQ156" s="384"/>
      <c r="AR156" s="384"/>
      <c r="AS156" s="384"/>
      <c r="AT156" s="384"/>
      <c r="AU156" s="384"/>
      <c r="AV156" s="384"/>
      <c r="AW156" s="384"/>
      <c r="AX156" s="384"/>
      <c r="AY156" s="50">
        <v>2024</v>
      </c>
      <c r="AZ156" s="107" t="s">
        <v>819</v>
      </c>
      <c r="BA156" s="78">
        <v>503</v>
      </c>
      <c r="BB156" s="78">
        <v>168</v>
      </c>
      <c r="BC156" s="78">
        <v>3</v>
      </c>
      <c r="BD156" s="78">
        <v>7</v>
      </c>
      <c r="BE156" s="78">
        <v>317</v>
      </c>
      <c r="BF156" s="74">
        <f t="shared" si="127"/>
        <v>63.021868787276347</v>
      </c>
      <c r="BG156" s="78">
        <v>12</v>
      </c>
      <c r="BH156" s="78" t="s">
        <v>498</v>
      </c>
      <c r="BI156" s="78">
        <v>503</v>
      </c>
      <c r="BJ156" s="78" t="s">
        <v>498</v>
      </c>
      <c r="BK156" s="78" t="s">
        <v>498</v>
      </c>
      <c r="BL156" s="76">
        <v>45601</v>
      </c>
      <c r="BM156" s="867" t="s">
        <v>1860</v>
      </c>
      <c r="BN156" s="868"/>
      <c r="BO156" s="868"/>
      <c r="BP156" s="869"/>
      <c r="BQ156" s="318"/>
      <c r="BR156" s="318"/>
      <c r="BS156" s="318"/>
      <c r="BT156" s="318"/>
      <c r="BU156" s="867" t="s">
        <v>2639</v>
      </c>
      <c r="BV156" s="868"/>
      <c r="BW156" s="868"/>
      <c r="BX156" s="869"/>
      <c r="BY156" s="867" t="s">
        <v>2764</v>
      </c>
      <c r="BZ156" s="868"/>
      <c r="CA156" s="868"/>
      <c r="CB156" s="869"/>
      <c r="CC156" s="27"/>
    </row>
    <row r="157" spans="1:81" s="232" customFormat="1" ht="40.35" customHeight="1" x14ac:dyDescent="0.25">
      <c r="A157" s="553">
        <v>189</v>
      </c>
      <c r="B157" s="227" t="s">
        <v>1271</v>
      </c>
      <c r="C157" s="228" t="s">
        <v>397</v>
      </c>
      <c r="D157" s="229" t="s">
        <v>96</v>
      </c>
      <c r="E157" s="229" t="s">
        <v>12</v>
      </c>
      <c r="F157" s="229">
        <v>146</v>
      </c>
      <c r="G157" s="230" t="s">
        <v>69</v>
      </c>
      <c r="H157" s="226" t="s">
        <v>96</v>
      </c>
      <c r="I157" s="226" t="s">
        <v>96</v>
      </c>
      <c r="J157" s="226" t="s">
        <v>29</v>
      </c>
      <c r="K157" s="226" t="s">
        <v>30</v>
      </c>
      <c r="L157" s="226" t="s">
        <v>69</v>
      </c>
      <c r="M157" s="50" t="s">
        <v>2667</v>
      </c>
      <c r="N157" s="50" t="s">
        <v>2667</v>
      </c>
      <c r="O157" s="51" t="s">
        <v>1269</v>
      </c>
      <c r="P157" s="250" t="s">
        <v>1270</v>
      </c>
      <c r="Q157" s="50" t="s">
        <v>499</v>
      </c>
      <c r="R157" s="50" t="s">
        <v>557</v>
      </c>
      <c r="S157" s="50" t="s">
        <v>500</v>
      </c>
      <c r="T157" s="60" t="s">
        <v>886</v>
      </c>
      <c r="U157" s="52" t="s">
        <v>583</v>
      </c>
      <c r="V157" s="371" t="s">
        <v>589</v>
      </c>
      <c r="W157" s="371" t="s">
        <v>527</v>
      </c>
      <c r="X157" s="53" t="s">
        <v>1178</v>
      </c>
      <c r="Y157" s="60" t="s">
        <v>1179</v>
      </c>
      <c r="Z157" s="371" t="s">
        <v>1180</v>
      </c>
      <c r="AA157" s="103" t="s">
        <v>562</v>
      </c>
      <c r="AB157" s="50" t="s">
        <v>710</v>
      </c>
      <c r="AC157" s="55">
        <v>25584</v>
      </c>
      <c r="AD157" s="48">
        <f t="shared" si="118"/>
        <v>16</v>
      </c>
      <c r="AE157" s="48">
        <f t="shared" si="119"/>
        <v>1</v>
      </c>
      <c r="AF157" s="48">
        <f t="shared" si="120"/>
        <v>1970</v>
      </c>
      <c r="AG157" s="49">
        <f t="shared" si="121"/>
        <v>47499</v>
      </c>
      <c r="AH157" s="48">
        <f t="shared" ca="1" si="122"/>
        <v>4</v>
      </c>
      <c r="AI157" s="48">
        <f t="shared" ca="1" si="123"/>
        <v>1</v>
      </c>
      <c r="AJ157" s="48">
        <f t="shared" ca="1" si="124"/>
        <v>5</v>
      </c>
      <c r="AK157" s="48" t="str">
        <f t="shared" ca="1" si="125"/>
        <v>4year/1months/5Days</v>
      </c>
      <c r="AL157" s="119"/>
      <c r="AM157" s="384" t="s">
        <v>1746</v>
      </c>
      <c r="AN157" s="276">
        <v>1334</v>
      </c>
      <c r="AO157" s="119"/>
      <c r="AP157" s="119"/>
      <c r="AQ157" s="119"/>
      <c r="AR157" s="119"/>
      <c r="AS157" s="119"/>
      <c r="AT157" s="119"/>
      <c r="AU157" s="119"/>
      <c r="AV157" s="119"/>
      <c r="AW157" s="119"/>
      <c r="AX157" s="119"/>
      <c r="AY157" s="78">
        <v>2025</v>
      </c>
      <c r="AZ157" s="107" t="s">
        <v>1932</v>
      </c>
      <c r="BA157" s="78">
        <v>668</v>
      </c>
      <c r="BB157" s="78">
        <v>195</v>
      </c>
      <c r="BC157" s="78" t="s">
        <v>498</v>
      </c>
      <c r="BD157" s="78">
        <v>21</v>
      </c>
      <c r="BE157" s="78">
        <v>368</v>
      </c>
      <c r="BF157" s="74">
        <f t="shared" si="127"/>
        <v>55.08982035928144</v>
      </c>
      <c r="BG157" s="78" t="s">
        <v>498</v>
      </c>
      <c r="BH157" s="78" t="s">
        <v>498</v>
      </c>
      <c r="BI157" s="78">
        <v>668</v>
      </c>
      <c r="BJ157" s="78" t="s">
        <v>498</v>
      </c>
      <c r="BK157" s="78" t="s">
        <v>498</v>
      </c>
      <c r="BL157" s="117">
        <v>45975</v>
      </c>
      <c r="BM157" s="379"/>
      <c r="BN157" s="379"/>
      <c r="BO157" s="379"/>
      <c r="BP157" s="379"/>
      <c r="BQ157" s="318"/>
      <c r="BR157" s="318"/>
      <c r="BS157" s="318"/>
      <c r="BT157" s="318"/>
      <c r="BU157" s="867" t="s">
        <v>2860</v>
      </c>
      <c r="BV157" s="868"/>
      <c r="BW157" s="868"/>
      <c r="BX157" s="869"/>
      <c r="BY157" s="888" t="s">
        <v>2943</v>
      </c>
      <c r="BZ157" s="889"/>
      <c r="CA157" s="889"/>
      <c r="CB157" s="890"/>
      <c r="CC157" s="231"/>
    </row>
    <row r="158" spans="1:81" s="8" customFormat="1" ht="40.35" customHeight="1" x14ac:dyDescent="0.3">
      <c r="A158" s="9">
        <v>190</v>
      </c>
      <c r="B158" s="183" t="s">
        <v>843</v>
      </c>
      <c r="C158" s="11" t="s">
        <v>399</v>
      </c>
      <c r="D158" s="7" t="s">
        <v>844</v>
      </c>
      <c r="E158" s="3" t="s">
        <v>12</v>
      </c>
      <c r="F158" s="381">
        <v>147</v>
      </c>
      <c r="G158" s="198" t="s">
        <v>21</v>
      </c>
      <c r="H158" s="9" t="s">
        <v>241</v>
      </c>
      <c r="I158" s="9" t="s">
        <v>400</v>
      </c>
      <c r="J158" s="9" t="s">
        <v>21</v>
      </c>
      <c r="K158" s="9" t="s">
        <v>250</v>
      </c>
      <c r="L158" s="9" t="s">
        <v>401</v>
      </c>
      <c r="M158" s="78" t="s">
        <v>839</v>
      </c>
      <c r="N158" s="75"/>
      <c r="O158" s="75"/>
      <c r="P158" s="260"/>
      <c r="Q158" s="78" t="s">
        <v>499</v>
      </c>
      <c r="R158" s="111" t="s">
        <v>840</v>
      </c>
      <c r="S158" s="78" t="s">
        <v>500</v>
      </c>
      <c r="T158" s="78" t="s">
        <v>524</v>
      </c>
      <c r="U158" s="107" t="s">
        <v>535</v>
      </c>
      <c r="V158" s="50" t="s">
        <v>589</v>
      </c>
      <c r="W158" s="50" t="s">
        <v>542</v>
      </c>
      <c r="X158" s="112" t="s">
        <v>841</v>
      </c>
      <c r="Y158" s="78" t="s">
        <v>842</v>
      </c>
      <c r="Z158" s="75"/>
      <c r="AA158" s="75"/>
      <c r="AB158" s="50" t="s">
        <v>506</v>
      </c>
      <c r="AC158" s="55">
        <v>26813</v>
      </c>
      <c r="AD158" s="48">
        <f t="shared" si="118"/>
        <v>29</v>
      </c>
      <c r="AE158" s="48">
        <f t="shared" si="119"/>
        <v>5</v>
      </c>
      <c r="AF158" s="48">
        <f t="shared" si="120"/>
        <v>1973</v>
      </c>
      <c r="AG158" s="49">
        <f t="shared" si="121"/>
        <v>48728</v>
      </c>
      <c r="AH158" s="48">
        <f t="shared" ca="1" si="122"/>
        <v>7</v>
      </c>
      <c r="AI158" s="48">
        <f t="shared" ca="1" si="123"/>
        <v>5</v>
      </c>
      <c r="AJ158" s="48">
        <f t="shared" ca="1" si="124"/>
        <v>18</v>
      </c>
      <c r="AK158" s="48" t="str">
        <f t="shared" ca="1" si="125"/>
        <v>7year/5months/18Days</v>
      </c>
      <c r="AL158" s="109"/>
      <c r="AM158" s="384" t="s">
        <v>1747</v>
      </c>
      <c r="AN158" s="276">
        <v>844</v>
      </c>
      <c r="AO158" s="109"/>
      <c r="AP158" s="109"/>
      <c r="AQ158" s="109"/>
      <c r="AR158" s="109"/>
      <c r="AS158" s="109"/>
      <c r="AT158" s="109"/>
      <c r="AU158" s="109"/>
      <c r="AV158" s="109"/>
      <c r="AW158" s="109"/>
      <c r="AX158" s="109"/>
      <c r="AY158" s="78">
        <v>2019</v>
      </c>
      <c r="AZ158" s="107">
        <v>2</v>
      </c>
      <c r="BA158" s="78">
        <v>260</v>
      </c>
      <c r="BB158" s="78">
        <v>178</v>
      </c>
      <c r="BC158" s="78">
        <v>14</v>
      </c>
      <c r="BD158" s="78">
        <v>21</v>
      </c>
      <c r="BE158" s="78">
        <v>17</v>
      </c>
      <c r="BF158" s="74">
        <f t="shared" si="127"/>
        <v>6.5384615384615392</v>
      </c>
      <c r="BG158" s="78">
        <v>27</v>
      </c>
      <c r="BH158" s="78">
        <v>2</v>
      </c>
      <c r="BI158" s="78">
        <v>243</v>
      </c>
      <c r="BJ158" s="78">
        <v>17</v>
      </c>
      <c r="BK158" s="78"/>
      <c r="BL158" s="151"/>
      <c r="BM158" s="379"/>
      <c r="BN158" s="379"/>
      <c r="BO158" s="379"/>
      <c r="BP158" s="379"/>
      <c r="BQ158" s="305"/>
      <c r="BR158" s="305"/>
      <c r="BS158" s="305"/>
      <c r="BT158" s="305"/>
      <c r="BU158" s="867" t="s">
        <v>2596</v>
      </c>
      <c r="BV158" s="868"/>
      <c r="BW158" s="868"/>
      <c r="BX158" s="869"/>
      <c r="BY158" s="305"/>
      <c r="BZ158" s="305"/>
      <c r="CA158" s="305"/>
      <c r="CB158" s="305"/>
      <c r="CC158" s="27"/>
    </row>
    <row r="159" spans="1:81" s="8" customFormat="1" ht="40.35" customHeight="1" x14ac:dyDescent="0.3">
      <c r="A159" s="9">
        <v>191</v>
      </c>
      <c r="B159" s="183" t="s">
        <v>850</v>
      </c>
      <c r="C159" s="11" t="s">
        <v>403</v>
      </c>
      <c r="D159" s="3" t="s">
        <v>844</v>
      </c>
      <c r="E159" s="3" t="s">
        <v>12</v>
      </c>
      <c r="F159" s="3">
        <v>148</v>
      </c>
      <c r="G159" s="198" t="s">
        <v>21</v>
      </c>
      <c r="H159" s="9" t="s">
        <v>241</v>
      </c>
      <c r="I159" s="9" t="s">
        <v>400</v>
      </c>
      <c r="J159" s="9" t="s">
        <v>21</v>
      </c>
      <c r="K159" s="9" t="s">
        <v>250</v>
      </c>
      <c r="L159" s="9" t="s">
        <v>401</v>
      </c>
      <c r="M159" s="50" t="s">
        <v>845</v>
      </c>
      <c r="N159" s="50" t="s">
        <v>498</v>
      </c>
      <c r="O159" s="51" t="s">
        <v>846</v>
      </c>
      <c r="P159" s="244"/>
      <c r="Q159" s="50" t="s">
        <v>499</v>
      </c>
      <c r="R159" s="50">
        <v>2</v>
      </c>
      <c r="S159" s="50" t="s">
        <v>645</v>
      </c>
      <c r="T159" s="50" t="s">
        <v>524</v>
      </c>
      <c r="U159" s="52" t="s">
        <v>502</v>
      </c>
      <c r="V159" s="50" t="s">
        <v>589</v>
      </c>
      <c r="W159" s="365" t="s">
        <v>654</v>
      </c>
      <c r="X159" s="53" t="s">
        <v>847</v>
      </c>
      <c r="Y159" s="50" t="s">
        <v>848</v>
      </c>
      <c r="Z159" s="60" t="s">
        <v>849</v>
      </c>
      <c r="AA159" s="50" t="s">
        <v>593</v>
      </c>
      <c r="AB159" s="50" t="s">
        <v>2574</v>
      </c>
      <c r="AC159" s="55">
        <v>26814</v>
      </c>
      <c r="AD159" s="48">
        <f t="shared" si="118"/>
        <v>30</v>
      </c>
      <c r="AE159" s="48">
        <f t="shared" si="119"/>
        <v>5</v>
      </c>
      <c r="AF159" s="48">
        <f t="shared" si="120"/>
        <v>1973</v>
      </c>
      <c r="AG159" s="49">
        <f t="shared" si="121"/>
        <v>48729</v>
      </c>
      <c r="AH159" s="48">
        <f t="shared" ca="1" si="122"/>
        <v>7</v>
      </c>
      <c r="AI159" s="48">
        <f t="shared" ca="1" si="123"/>
        <v>5</v>
      </c>
      <c r="AJ159" s="48">
        <f t="shared" ca="1" si="124"/>
        <v>19</v>
      </c>
      <c r="AK159" s="48" t="str">
        <f t="shared" ca="1" si="125"/>
        <v>7year/5months/19Days</v>
      </c>
      <c r="AL159" s="384"/>
      <c r="AM159" s="384" t="s">
        <v>1748</v>
      </c>
      <c r="AN159" s="276">
        <v>2508</v>
      </c>
      <c r="AO159" s="384"/>
      <c r="AP159" s="384"/>
      <c r="AQ159" s="384"/>
      <c r="AR159" s="384"/>
      <c r="AS159" s="384"/>
      <c r="AT159" s="384"/>
      <c r="AU159" s="384"/>
      <c r="AV159" s="384"/>
      <c r="AW159" s="384"/>
      <c r="AX159" s="384"/>
      <c r="AY159" s="50">
        <v>2020</v>
      </c>
      <c r="AZ159" s="107">
        <v>1</v>
      </c>
      <c r="BA159" s="78">
        <v>172</v>
      </c>
      <c r="BB159" s="78" t="s">
        <v>498</v>
      </c>
      <c r="BC159" s="78">
        <v>72</v>
      </c>
      <c r="BD159" s="78">
        <v>15</v>
      </c>
      <c r="BE159" s="78">
        <v>85</v>
      </c>
      <c r="BF159" s="74">
        <f t="shared" si="127"/>
        <v>49.418604651162788</v>
      </c>
      <c r="BG159" s="78" t="s">
        <v>498</v>
      </c>
      <c r="BH159" s="78" t="s">
        <v>498</v>
      </c>
      <c r="BI159" s="78" t="s">
        <v>498</v>
      </c>
      <c r="BJ159" s="78">
        <v>172</v>
      </c>
      <c r="BK159" s="50" t="s">
        <v>498</v>
      </c>
      <c r="BL159" s="76">
        <v>44636</v>
      </c>
      <c r="BM159" s="379"/>
      <c r="BN159" s="379"/>
      <c r="BO159" s="379"/>
      <c r="BP159" s="379"/>
      <c r="BQ159" s="305"/>
      <c r="BR159" s="305"/>
      <c r="BS159" s="305"/>
      <c r="BT159" s="305"/>
      <c r="BU159" s="867" t="s">
        <v>2600</v>
      </c>
      <c r="BV159" s="868"/>
      <c r="BW159" s="868"/>
      <c r="BX159" s="869"/>
      <c r="BY159" s="305"/>
      <c r="BZ159" s="305"/>
      <c r="CA159" s="305"/>
      <c r="CB159" s="305"/>
      <c r="CC159" s="27"/>
    </row>
    <row r="160" spans="1:81" s="8" customFormat="1" ht="40.35" customHeight="1" x14ac:dyDescent="0.25">
      <c r="A160" s="558">
        <v>192</v>
      </c>
      <c r="B160" s="183" t="s">
        <v>857</v>
      </c>
      <c r="C160" s="11" t="s">
        <v>405</v>
      </c>
      <c r="D160" s="7" t="s">
        <v>2740</v>
      </c>
      <c r="E160" s="3" t="s">
        <v>12</v>
      </c>
      <c r="F160" s="381">
        <v>149</v>
      </c>
      <c r="G160" s="198" t="s">
        <v>21</v>
      </c>
      <c r="H160" s="9" t="s">
        <v>42</v>
      </c>
      <c r="I160" s="9" t="s">
        <v>406</v>
      </c>
      <c r="J160" s="9" t="s">
        <v>21</v>
      </c>
      <c r="K160" s="9" t="s">
        <v>44</v>
      </c>
      <c r="L160" s="9" t="s">
        <v>109</v>
      </c>
      <c r="M160" s="50" t="s">
        <v>851</v>
      </c>
      <c r="N160" s="50" t="s">
        <v>498</v>
      </c>
      <c r="O160" s="51" t="s">
        <v>852</v>
      </c>
      <c r="P160" s="243" t="s">
        <v>853</v>
      </c>
      <c r="Q160" s="50" t="s">
        <v>499</v>
      </c>
      <c r="R160" s="50">
        <v>3</v>
      </c>
      <c r="S160" s="50" t="s">
        <v>500</v>
      </c>
      <c r="T160" s="50" t="s">
        <v>524</v>
      </c>
      <c r="U160" s="52" t="s">
        <v>535</v>
      </c>
      <c r="V160" s="50" t="s">
        <v>589</v>
      </c>
      <c r="W160" s="50" t="s">
        <v>542</v>
      </c>
      <c r="X160" s="70" t="s">
        <v>854</v>
      </c>
      <c r="Y160" s="50" t="s">
        <v>855</v>
      </c>
      <c r="Z160" s="60" t="s">
        <v>856</v>
      </c>
      <c r="AA160" s="50" t="s">
        <v>562</v>
      </c>
      <c r="AB160" s="50" t="s">
        <v>506</v>
      </c>
      <c r="AC160" s="55">
        <v>24282</v>
      </c>
      <c r="AD160" s="48">
        <f t="shared" si="118"/>
        <v>24</v>
      </c>
      <c r="AE160" s="48">
        <f t="shared" si="119"/>
        <v>6</v>
      </c>
      <c r="AF160" s="48">
        <f t="shared" si="120"/>
        <v>1966</v>
      </c>
      <c r="AG160" s="49">
        <f t="shared" si="121"/>
        <v>46197</v>
      </c>
      <c r="AH160" s="48">
        <f t="shared" ca="1" si="122"/>
        <v>0</v>
      </c>
      <c r="AI160" s="48">
        <f t="shared" ca="1" si="123"/>
        <v>6</v>
      </c>
      <c r="AJ160" s="48">
        <f t="shared" ca="1" si="124"/>
        <v>13</v>
      </c>
      <c r="AK160" s="48" t="str">
        <f t="shared" ca="1" si="125"/>
        <v>0year/6months/13Days</v>
      </c>
      <c r="AL160" s="106"/>
      <c r="AM160" s="106" t="s">
        <v>1744</v>
      </c>
      <c r="AN160" s="282">
        <v>1920</v>
      </c>
      <c r="AO160" s="106"/>
      <c r="AP160" s="106"/>
      <c r="AQ160" s="106"/>
      <c r="AR160" s="106"/>
      <c r="AS160" s="106"/>
      <c r="AT160" s="106"/>
      <c r="AU160" s="106"/>
      <c r="AV160" s="106"/>
      <c r="AW160" s="106"/>
      <c r="AX160" s="106"/>
      <c r="AY160" s="50">
        <v>2024</v>
      </c>
      <c r="AZ160" s="107">
        <v>1</v>
      </c>
      <c r="BA160" s="78">
        <v>31</v>
      </c>
      <c r="BB160" s="78">
        <v>26</v>
      </c>
      <c r="BC160" s="78">
        <v>1</v>
      </c>
      <c r="BD160" s="78">
        <v>1</v>
      </c>
      <c r="BE160" s="78">
        <v>3</v>
      </c>
      <c r="BF160" s="74">
        <f t="shared" si="127"/>
        <v>9.67741935483871</v>
      </c>
      <c r="BG160" s="78" t="s">
        <v>498</v>
      </c>
      <c r="BH160" s="78" t="s">
        <v>498</v>
      </c>
      <c r="BI160" s="78">
        <v>31</v>
      </c>
      <c r="BJ160" s="78" t="s">
        <v>498</v>
      </c>
      <c r="BK160" s="78" t="s">
        <v>498</v>
      </c>
      <c r="BL160" s="76">
        <v>45597</v>
      </c>
      <c r="BM160" s="379"/>
      <c r="BN160" s="379"/>
      <c r="BO160" s="379"/>
      <c r="BP160" s="379"/>
      <c r="BQ160" s="318"/>
      <c r="BR160" s="318"/>
      <c r="BS160" s="318"/>
      <c r="BT160" s="318"/>
      <c r="BU160" s="867" t="s">
        <v>2596</v>
      </c>
      <c r="BV160" s="868"/>
      <c r="BW160" s="868"/>
      <c r="BX160" s="869"/>
      <c r="BY160" s="888" t="s">
        <v>2741</v>
      </c>
      <c r="BZ160" s="889"/>
      <c r="CA160" s="889"/>
      <c r="CB160" s="890"/>
      <c r="CC160" s="27"/>
    </row>
    <row r="161" spans="1:81" s="8" customFormat="1" ht="40.35" customHeight="1" x14ac:dyDescent="0.25">
      <c r="A161" s="558">
        <v>193</v>
      </c>
      <c r="B161" s="183" t="s">
        <v>861</v>
      </c>
      <c r="C161" s="11" t="s">
        <v>408</v>
      </c>
      <c r="D161" s="3" t="s">
        <v>862</v>
      </c>
      <c r="E161" s="3" t="s">
        <v>12</v>
      </c>
      <c r="F161" s="3">
        <v>150</v>
      </c>
      <c r="G161" s="198" t="s">
        <v>21</v>
      </c>
      <c r="H161" s="9" t="s">
        <v>42</v>
      </c>
      <c r="I161" s="9" t="s">
        <v>409</v>
      </c>
      <c r="J161" s="9" t="s">
        <v>21</v>
      </c>
      <c r="K161" s="9" t="s">
        <v>44</v>
      </c>
      <c r="L161" s="9" t="s">
        <v>42</v>
      </c>
      <c r="M161" s="50" t="s">
        <v>858</v>
      </c>
      <c r="N161" s="50" t="s">
        <v>498</v>
      </c>
      <c r="O161" s="51" t="s">
        <v>859</v>
      </c>
      <c r="P161" s="243" t="s">
        <v>860</v>
      </c>
      <c r="Q161" s="50" t="s">
        <v>499</v>
      </c>
      <c r="R161" s="50">
        <v>2</v>
      </c>
      <c r="S161" s="50" t="s">
        <v>500</v>
      </c>
      <c r="T161" s="50" t="s">
        <v>524</v>
      </c>
      <c r="U161" s="52" t="s">
        <v>502</v>
      </c>
      <c r="V161" s="50" t="s">
        <v>589</v>
      </c>
      <c r="W161" s="50" t="s">
        <v>567</v>
      </c>
      <c r="X161" s="70" t="s">
        <v>2754</v>
      </c>
      <c r="Y161" s="50" t="s">
        <v>2755</v>
      </c>
      <c r="Z161" s="60" t="s">
        <v>2756</v>
      </c>
      <c r="AA161" s="50" t="s">
        <v>562</v>
      </c>
      <c r="AB161" s="50" t="s">
        <v>506</v>
      </c>
      <c r="AC161" s="55">
        <v>29115</v>
      </c>
      <c r="AD161" s="48">
        <f t="shared" si="118"/>
        <v>17</v>
      </c>
      <c r="AE161" s="48">
        <f t="shared" si="119"/>
        <v>9</v>
      </c>
      <c r="AF161" s="48">
        <f t="shared" si="120"/>
        <v>1979</v>
      </c>
      <c r="AG161" s="49">
        <f t="shared" si="121"/>
        <v>51030</v>
      </c>
      <c r="AH161" s="48">
        <f t="shared" ca="1" si="122"/>
        <v>13</v>
      </c>
      <c r="AI161" s="48">
        <f t="shared" ca="1" si="123"/>
        <v>9</v>
      </c>
      <c r="AJ161" s="48">
        <f t="shared" ca="1" si="124"/>
        <v>6</v>
      </c>
      <c r="AK161" s="48" t="str">
        <f t="shared" ca="1" si="125"/>
        <v>13year/9months/6Days</v>
      </c>
      <c r="AL161" s="384"/>
      <c r="AM161" s="384"/>
      <c r="AN161" s="276"/>
      <c r="AO161" s="384"/>
      <c r="AP161" s="384"/>
      <c r="AQ161" s="384"/>
      <c r="AR161" s="384"/>
      <c r="AS161" s="384"/>
      <c r="AT161" s="384"/>
      <c r="AU161" s="384"/>
      <c r="AV161" s="384"/>
      <c r="AW161" s="384"/>
      <c r="AX161" s="384"/>
      <c r="AY161" s="50">
        <v>2024</v>
      </c>
      <c r="AZ161" s="107">
        <v>2</v>
      </c>
      <c r="BA161" s="78">
        <v>446</v>
      </c>
      <c r="BB161" s="78">
        <v>341</v>
      </c>
      <c r="BC161" s="78" t="s">
        <v>498</v>
      </c>
      <c r="BD161" s="78" t="s">
        <v>498</v>
      </c>
      <c r="BE161" s="78">
        <v>96</v>
      </c>
      <c r="BF161" s="74">
        <f t="shared" si="127"/>
        <v>21.524663677130047</v>
      </c>
      <c r="BG161" s="78">
        <v>9</v>
      </c>
      <c r="BH161" s="78" t="s">
        <v>498</v>
      </c>
      <c r="BI161" s="78">
        <v>446</v>
      </c>
      <c r="BJ161" s="50" t="s">
        <v>498</v>
      </c>
      <c r="BK161" s="50" t="s">
        <v>498</v>
      </c>
      <c r="BL161" s="117">
        <v>45600</v>
      </c>
      <c r="BM161" s="867" t="s">
        <v>1843</v>
      </c>
      <c r="BN161" s="868"/>
      <c r="BO161" s="868"/>
      <c r="BP161" s="869"/>
      <c r="BQ161" s="867" t="s">
        <v>1872</v>
      </c>
      <c r="BR161" s="868"/>
      <c r="BS161" s="868"/>
      <c r="BT161" s="869"/>
      <c r="BU161" s="867" t="s">
        <v>2650</v>
      </c>
      <c r="BV161" s="868"/>
      <c r="BW161" s="868"/>
      <c r="BX161" s="869"/>
      <c r="BY161" s="867" t="s">
        <v>2757</v>
      </c>
      <c r="BZ161" s="868"/>
      <c r="CA161" s="868"/>
      <c r="CB161" s="869"/>
      <c r="CC161" s="27"/>
    </row>
    <row r="162" spans="1:81" s="8" customFormat="1" ht="40.35" customHeight="1" x14ac:dyDescent="0.25">
      <c r="A162" s="558">
        <v>194</v>
      </c>
      <c r="B162" s="118" t="s">
        <v>629</v>
      </c>
      <c r="C162" s="13" t="s">
        <v>411</v>
      </c>
      <c r="D162" s="7" t="s">
        <v>1903</v>
      </c>
      <c r="E162" s="3" t="s">
        <v>12</v>
      </c>
      <c r="F162" s="381">
        <v>151</v>
      </c>
      <c r="G162" s="198" t="s">
        <v>21</v>
      </c>
      <c r="H162" s="9" t="s">
        <v>42</v>
      </c>
      <c r="I162" s="9" t="s">
        <v>380</v>
      </c>
      <c r="J162" s="9" t="s">
        <v>412</v>
      </c>
      <c r="K162" s="9" t="s">
        <v>14</v>
      </c>
      <c r="L162" s="9" t="s">
        <v>203</v>
      </c>
      <c r="M162" s="69" t="s">
        <v>498</v>
      </c>
      <c r="N162" s="69" t="s">
        <v>498</v>
      </c>
      <c r="O162" s="69" t="s">
        <v>498</v>
      </c>
      <c r="P162" s="243" t="s">
        <v>1900</v>
      </c>
      <c r="Q162" s="50" t="s">
        <v>499</v>
      </c>
      <c r="R162" s="50">
        <v>3</v>
      </c>
      <c r="S162" s="50" t="s">
        <v>500</v>
      </c>
      <c r="T162" s="50" t="s">
        <v>524</v>
      </c>
      <c r="U162" s="52" t="s">
        <v>535</v>
      </c>
      <c r="V162" s="50" t="s">
        <v>503</v>
      </c>
      <c r="W162" s="50" t="s">
        <v>527</v>
      </c>
      <c r="X162" s="70" t="s">
        <v>592</v>
      </c>
      <c r="Y162" s="60" t="s">
        <v>1901</v>
      </c>
      <c r="Z162" s="71" t="s">
        <v>1902</v>
      </c>
      <c r="AA162" s="50" t="s">
        <v>593</v>
      </c>
      <c r="AB162" s="50" t="s">
        <v>506</v>
      </c>
      <c r="AC162" s="55">
        <v>29485</v>
      </c>
      <c r="AD162" s="48">
        <f t="shared" si="118"/>
        <v>21</v>
      </c>
      <c r="AE162" s="48">
        <f t="shared" si="119"/>
        <v>9</v>
      </c>
      <c r="AF162" s="48">
        <f t="shared" si="120"/>
        <v>1980</v>
      </c>
      <c r="AG162" s="49">
        <f t="shared" si="121"/>
        <v>51400</v>
      </c>
      <c r="AH162" s="48">
        <f t="shared" ca="1" si="122"/>
        <v>14</v>
      </c>
      <c r="AI162" s="48">
        <f t="shared" ca="1" si="123"/>
        <v>9</v>
      </c>
      <c r="AJ162" s="48">
        <f t="shared" ca="1" si="124"/>
        <v>10</v>
      </c>
      <c r="AK162" s="48" t="str">
        <f t="shared" ca="1" si="125"/>
        <v>14year/9months/10Days</v>
      </c>
      <c r="AL162" s="50"/>
      <c r="AM162" s="50" t="s">
        <v>1749</v>
      </c>
      <c r="AN162" s="229">
        <v>2302</v>
      </c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>
        <v>2024</v>
      </c>
      <c r="AZ162" s="52">
        <v>1</v>
      </c>
      <c r="BA162" s="78">
        <v>61</v>
      </c>
      <c r="BB162" s="78">
        <v>5</v>
      </c>
      <c r="BC162" s="78" t="s">
        <v>498</v>
      </c>
      <c r="BD162" s="78">
        <v>54</v>
      </c>
      <c r="BE162" s="78">
        <v>1</v>
      </c>
      <c r="BF162" s="74">
        <f t="shared" si="127"/>
        <v>1.639344262295082</v>
      </c>
      <c r="BG162" s="78">
        <v>1</v>
      </c>
      <c r="BH162" s="78" t="s">
        <v>498</v>
      </c>
      <c r="BI162" s="78">
        <v>61</v>
      </c>
      <c r="BJ162" s="50" t="s">
        <v>498</v>
      </c>
      <c r="BK162" s="50" t="s">
        <v>498</v>
      </c>
      <c r="BL162" s="151">
        <v>45597</v>
      </c>
      <c r="BM162" s="867" t="s">
        <v>1860</v>
      </c>
      <c r="BN162" s="868"/>
      <c r="BO162" s="868"/>
      <c r="BP162" s="869"/>
      <c r="BQ162" s="870" t="s">
        <v>1866</v>
      </c>
      <c r="BR162" s="871"/>
      <c r="BS162" s="871"/>
      <c r="BT162" s="872"/>
      <c r="BU162" s="867" t="s">
        <v>2650</v>
      </c>
      <c r="BV162" s="868"/>
      <c r="BW162" s="868"/>
      <c r="BX162" s="869"/>
      <c r="BY162" s="870" t="s">
        <v>2744</v>
      </c>
      <c r="BZ162" s="871"/>
      <c r="CA162" s="871"/>
      <c r="CB162" s="872"/>
      <c r="CC162" s="27"/>
    </row>
    <row r="163" spans="1:81" s="8" customFormat="1" ht="40.35" customHeight="1" x14ac:dyDescent="0.3">
      <c r="A163" s="9">
        <v>195</v>
      </c>
      <c r="B163" s="183" t="s">
        <v>1275</v>
      </c>
      <c r="C163" s="11" t="s">
        <v>414</v>
      </c>
      <c r="D163" s="3" t="s">
        <v>1276</v>
      </c>
      <c r="E163" s="3" t="s">
        <v>12</v>
      </c>
      <c r="F163" s="3">
        <v>152</v>
      </c>
      <c r="G163" s="198" t="s">
        <v>26</v>
      </c>
      <c r="H163" s="9" t="s">
        <v>30</v>
      </c>
      <c r="I163" s="9" t="s">
        <v>148</v>
      </c>
      <c r="J163" s="9" t="s">
        <v>29</v>
      </c>
      <c r="K163" s="9" t="s">
        <v>30</v>
      </c>
      <c r="L163" s="9" t="s">
        <v>30</v>
      </c>
      <c r="M163" s="50" t="s">
        <v>1272</v>
      </c>
      <c r="N163" s="50"/>
      <c r="O163" s="50"/>
      <c r="P163" s="243"/>
      <c r="Q163" s="50" t="s">
        <v>499</v>
      </c>
      <c r="R163" s="50" t="s">
        <v>560</v>
      </c>
      <c r="S163" s="50" t="s">
        <v>500</v>
      </c>
      <c r="T163" s="60" t="s">
        <v>886</v>
      </c>
      <c r="U163" s="97" t="s">
        <v>561</v>
      </c>
      <c r="V163" s="60" t="s">
        <v>921</v>
      </c>
      <c r="W163" s="50" t="s">
        <v>542</v>
      </c>
      <c r="X163" s="113" t="s">
        <v>1273</v>
      </c>
      <c r="Y163" s="50" t="s">
        <v>2587</v>
      </c>
      <c r="Z163" s="60" t="s">
        <v>1274</v>
      </c>
      <c r="AA163" s="78" t="s">
        <v>538</v>
      </c>
      <c r="AB163" s="50" t="s">
        <v>710</v>
      </c>
      <c r="AC163" s="55">
        <v>26531</v>
      </c>
      <c r="AD163" s="48">
        <f t="shared" si="118"/>
        <v>20</v>
      </c>
      <c r="AE163" s="48">
        <f t="shared" si="119"/>
        <v>8</v>
      </c>
      <c r="AF163" s="48">
        <f t="shared" si="120"/>
        <v>1972</v>
      </c>
      <c r="AG163" s="49">
        <f t="shared" si="121"/>
        <v>48446</v>
      </c>
      <c r="AH163" s="48">
        <f t="shared" ca="1" si="122"/>
        <v>6</v>
      </c>
      <c r="AI163" s="48">
        <f t="shared" ca="1" si="123"/>
        <v>8</v>
      </c>
      <c r="AJ163" s="48">
        <f t="shared" ca="1" si="124"/>
        <v>9</v>
      </c>
      <c r="AK163" s="48" t="str">
        <f t="shared" ca="1" si="125"/>
        <v>6year/8months/9Days</v>
      </c>
      <c r="AL163" s="119"/>
      <c r="AM163" s="384" t="s">
        <v>1750</v>
      </c>
      <c r="AN163" s="276">
        <v>1455</v>
      </c>
      <c r="AO163" s="119"/>
      <c r="AP163" s="119"/>
      <c r="AQ163" s="119"/>
      <c r="AR163" s="119"/>
      <c r="AS163" s="119"/>
      <c r="AT163" s="119"/>
      <c r="AU163" s="119"/>
      <c r="AV163" s="119"/>
      <c r="AW163" s="119"/>
      <c r="AX163" s="119"/>
      <c r="AY163" s="78">
        <v>2020</v>
      </c>
      <c r="AZ163" s="107">
        <v>2</v>
      </c>
      <c r="BA163" s="78">
        <v>720</v>
      </c>
      <c r="BB163" s="78">
        <v>6</v>
      </c>
      <c r="BC163" s="78">
        <v>6</v>
      </c>
      <c r="BD163" s="78">
        <v>3</v>
      </c>
      <c r="BE163" s="78">
        <v>705</v>
      </c>
      <c r="BF163" s="74">
        <f>BE163/BA163*100</f>
        <v>97.916666666666657</v>
      </c>
      <c r="BG163" s="78" t="s">
        <v>498</v>
      </c>
      <c r="BH163" s="78" t="s">
        <v>498</v>
      </c>
      <c r="BI163" s="78">
        <v>720</v>
      </c>
      <c r="BJ163" s="95"/>
      <c r="BK163" s="95"/>
      <c r="BL163" s="76">
        <v>44636</v>
      </c>
      <c r="BM163" s="867" t="s">
        <v>1859</v>
      </c>
      <c r="BN163" s="868"/>
      <c r="BO163" s="868"/>
      <c r="BP163" s="869"/>
      <c r="BQ163" s="305"/>
      <c r="BR163" s="305"/>
      <c r="BS163" s="305"/>
      <c r="BT163" s="305"/>
      <c r="BU163" s="867" t="s">
        <v>2639</v>
      </c>
      <c r="BV163" s="868"/>
      <c r="BW163" s="868"/>
      <c r="BX163" s="869"/>
      <c r="BY163" s="305"/>
      <c r="BZ163" s="305"/>
      <c r="CA163" s="305"/>
      <c r="CB163" s="305"/>
      <c r="CC163" s="27"/>
    </row>
    <row r="164" spans="1:81" s="8" customFormat="1" ht="40.35" customHeight="1" x14ac:dyDescent="0.3">
      <c r="A164" s="9">
        <v>196</v>
      </c>
      <c r="B164" s="183" t="s">
        <v>1278</v>
      </c>
      <c r="C164" s="11" t="s">
        <v>416</v>
      </c>
      <c r="D164" s="7" t="s">
        <v>28</v>
      </c>
      <c r="E164" s="3" t="s">
        <v>12</v>
      </c>
      <c r="F164" s="381">
        <v>153</v>
      </c>
      <c r="G164" s="198" t="s">
        <v>26</v>
      </c>
      <c r="H164" s="9" t="s">
        <v>27</v>
      </c>
      <c r="I164" s="9" t="s">
        <v>28</v>
      </c>
      <c r="J164" s="9" t="s">
        <v>417</v>
      </c>
      <c r="K164" s="9" t="s">
        <v>30</v>
      </c>
      <c r="L164" s="9" t="s">
        <v>31</v>
      </c>
      <c r="M164" s="376" t="s">
        <v>1277</v>
      </c>
      <c r="N164" s="376"/>
      <c r="O164" s="376"/>
      <c r="P164" s="254"/>
      <c r="Q164" s="376" t="s">
        <v>499</v>
      </c>
      <c r="R164" s="376">
        <v>3</v>
      </c>
      <c r="S164" s="376" t="s">
        <v>500</v>
      </c>
      <c r="T164" s="376" t="s">
        <v>524</v>
      </c>
      <c r="U164" s="159" t="s">
        <v>535</v>
      </c>
      <c r="V164" s="160"/>
      <c r="W164" s="50"/>
      <c r="X164" s="161"/>
      <c r="Y164" s="376"/>
      <c r="Z164" s="160"/>
      <c r="AA164" s="162"/>
      <c r="AB164" s="50"/>
      <c r="AC164" s="55"/>
      <c r="AD164" s="48"/>
      <c r="AE164" s="48"/>
      <c r="AF164" s="48"/>
      <c r="AG164" s="49"/>
      <c r="AH164" s="48"/>
      <c r="AI164" s="48"/>
      <c r="AJ164" s="48"/>
      <c r="AK164" s="48"/>
      <c r="AL164" s="149"/>
      <c r="AM164" s="149" t="s">
        <v>1751</v>
      </c>
      <c r="AN164" s="283">
        <v>135</v>
      </c>
      <c r="AO164" s="149"/>
      <c r="AP164" s="149"/>
      <c r="AQ164" s="149"/>
      <c r="AR164" s="149"/>
      <c r="AS164" s="149"/>
      <c r="AT164" s="149"/>
      <c r="AU164" s="149"/>
      <c r="AV164" s="149"/>
      <c r="AW164" s="149"/>
      <c r="AX164" s="149"/>
      <c r="AY164" s="366">
        <v>2019</v>
      </c>
      <c r="AZ164" s="150">
        <v>3</v>
      </c>
      <c r="BA164" s="137">
        <v>573</v>
      </c>
      <c r="BB164" s="137">
        <v>195</v>
      </c>
      <c r="BC164" s="137" t="s">
        <v>498</v>
      </c>
      <c r="BD164" s="137" t="s">
        <v>498</v>
      </c>
      <c r="BE164" s="137">
        <v>373</v>
      </c>
      <c r="BF164" s="74">
        <f>BE164/BA164*100</f>
        <v>65.095986038394415</v>
      </c>
      <c r="BG164" s="137">
        <v>5</v>
      </c>
      <c r="BH164" s="137" t="s">
        <v>498</v>
      </c>
      <c r="BI164" s="137">
        <v>573</v>
      </c>
      <c r="BJ164" s="146"/>
      <c r="BK164" s="146"/>
      <c r="BL164" s="76">
        <v>44646</v>
      </c>
      <c r="BM164" s="867" t="s">
        <v>1860</v>
      </c>
      <c r="BN164" s="868"/>
      <c r="BO164" s="868"/>
      <c r="BP164" s="869"/>
      <c r="BQ164" s="305"/>
      <c r="BR164" s="305"/>
      <c r="BS164" s="305"/>
      <c r="BT164" s="305"/>
      <c r="BU164" s="867" t="s">
        <v>2639</v>
      </c>
      <c r="BV164" s="868"/>
      <c r="BW164" s="868"/>
      <c r="BX164" s="869"/>
      <c r="BY164" s="305"/>
      <c r="BZ164" s="305"/>
      <c r="CA164" s="305"/>
      <c r="CB164" s="305"/>
      <c r="CC164" s="27"/>
    </row>
    <row r="165" spans="1:81" s="8" customFormat="1" ht="40.35" customHeight="1" x14ac:dyDescent="0.3">
      <c r="A165" s="9">
        <v>197</v>
      </c>
      <c r="B165" s="183" t="s">
        <v>1281</v>
      </c>
      <c r="C165" s="11" t="s">
        <v>419</v>
      </c>
      <c r="D165" s="3" t="s">
        <v>28</v>
      </c>
      <c r="E165" s="3" t="s">
        <v>12</v>
      </c>
      <c r="F165" s="3">
        <v>154</v>
      </c>
      <c r="G165" s="198" t="s">
        <v>26</v>
      </c>
      <c r="H165" s="9" t="s">
        <v>27</v>
      </c>
      <c r="I165" s="9" t="s">
        <v>28</v>
      </c>
      <c r="J165" s="9" t="s">
        <v>417</v>
      </c>
      <c r="K165" s="9" t="s">
        <v>30</v>
      </c>
      <c r="L165" s="9" t="s">
        <v>31</v>
      </c>
      <c r="M165" s="50" t="s">
        <v>1279</v>
      </c>
      <c r="N165" s="50"/>
      <c r="O165" s="51" t="s">
        <v>1280</v>
      </c>
      <c r="P165" s="244" t="s">
        <v>2944</v>
      </c>
      <c r="Q165" s="50" t="s">
        <v>499</v>
      </c>
      <c r="R165" s="50" t="s">
        <v>557</v>
      </c>
      <c r="S165" s="50" t="s">
        <v>500</v>
      </c>
      <c r="T165" s="50" t="s">
        <v>524</v>
      </c>
      <c r="U165" s="97" t="s">
        <v>583</v>
      </c>
      <c r="V165" s="60" t="s">
        <v>1065</v>
      </c>
      <c r="W165" s="614" t="s">
        <v>542</v>
      </c>
      <c r="X165" s="53" t="s">
        <v>2502</v>
      </c>
      <c r="Y165" s="614" t="s">
        <v>1019</v>
      </c>
      <c r="Z165" s="60" t="s">
        <v>1877</v>
      </c>
      <c r="AA165" s="78" t="s">
        <v>538</v>
      </c>
      <c r="AB165" s="50" t="s">
        <v>710</v>
      </c>
      <c r="AC165" s="55">
        <v>25457</v>
      </c>
      <c r="AD165" s="48">
        <f t="shared" ref="AD165" si="128">DAY(AC165)</f>
        <v>11</v>
      </c>
      <c r="AE165" s="48">
        <f t="shared" ref="AE165" si="129">MONTH(AC165)</f>
        <v>9</v>
      </c>
      <c r="AF165" s="48">
        <f t="shared" ref="AF165" si="130">YEAR(AC165)</f>
        <v>1969</v>
      </c>
      <c r="AG165" s="49">
        <f t="shared" si="121"/>
        <v>47372</v>
      </c>
      <c r="AH165" s="48">
        <f t="shared" ref="AH165" ca="1" si="131">DATEDIF($A$4,AG165, "Y" )</f>
        <v>3</v>
      </c>
      <c r="AI165" s="48">
        <f t="shared" ref="AI165" ca="1" si="132">DATEDIF($A$4,AG165, "YM" )</f>
        <v>9</v>
      </c>
      <c r="AJ165" s="48">
        <f t="shared" ref="AJ165" ca="1" si="133">DATEDIF($A$4,AG165, "MD" )</f>
        <v>0</v>
      </c>
      <c r="AK165" s="48" t="str">
        <f t="shared" ref="AK165" ca="1" si="134">CONCATENATE(AH165,"year","/",AI165,"months","/",AJ165,"Days")</f>
        <v>3year/9months/0Days</v>
      </c>
      <c r="AL165" s="384"/>
      <c r="AM165" s="384" t="s">
        <v>1752</v>
      </c>
      <c r="AN165" s="276">
        <v>1344</v>
      </c>
      <c r="AO165" s="384"/>
      <c r="AP165" s="384"/>
      <c r="AQ165" s="384"/>
      <c r="AR165" s="384"/>
      <c r="AS165" s="384"/>
      <c r="AT165" s="384"/>
      <c r="AU165" s="384"/>
      <c r="AV165" s="384"/>
      <c r="AW165" s="384"/>
      <c r="AX165" s="384"/>
      <c r="AY165" s="78">
        <v>2025</v>
      </c>
      <c r="AZ165" s="107" t="s">
        <v>764</v>
      </c>
      <c r="BA165" s="78">
        <v>650</v>
      </c>
      <c r="BB165" s="78">
        <v>341</v>
      </c>
      <c r="BC165" s="78" t="s">
        <v>498</v>
      </c>
      <c r="BD165" s="78">
        <v>4</v>
      </c>
      <c r="BE165" s="78">
        <v>281</v>
      </c>
      <c r="BF165" s="74">
        <f>BE165/BA165*100</f>
        <v>43.230769230769226</v>
      </c>
      <c r="BG165" s="78">
        <v>24</v>
      </c>
      <c r="BH165" s="78" t="s">
        <v>498</v>
      </c>
      <c r="BI165" s="78">
        <v>650</v>
      </c>
      <c r="BJ165" s="633" t="s">
        <v>498</v>
      </c>
      <c r="BK165" s="633" t="s">
        <v>498</v>
      </c>
      <c r="BL165" s="76">
        <v>45975</v>
      </c>
      <c r="BM165" s="867" t="s">
        <v>1854</v>
      </c>
      <c r="BN165" s="868"/>
      <c r="BO165" s="868"/>
      <c r="BP165" s="869"/>
      <c r="BQ165" s="305"/>
      <c r="BR165" s="305"/>
      <c r="BS165" s="305"/>
      <c r="BT165" s="305"/>
      <c r="BU165" s="867" t="s">
        <v>2860</v>
      </c>
      <c r="BV165" s="868"/>
      <c r="BW165" s="868"/>
      <c r="BX165" s="869"/>
      <c r="BY165" s="870" t="s">
        <v>2943</v>
      </c>
      <c r="BZ165" s="871"/>
      <c r="CA165" s="871"/>
      <c r="CB165" s="872"/>
      <c r="CC165" s="27"/>
    </row>
    <row r="166" spans="1:81" s="8" customFormat="1" ht="40.35" customHeight="1" x14ac:dyDescent="0.3">
      <c r="A166" s="558">
        <v>198</v>
      </c>
      <c r="B166" s="183" t="s">
        <v>867</v>
      </c>
      <c r="C166" s="11" t="s">
        <v>421</v>
      </c>
      <c r="D166" s="7" t="s">
        <v>422</v>
      </c>
      <c r="E166" s="3" t="s">
        <v>12</v>
      </c>
      <c r="F166" s="381">
        <v>155</v>
      </c>
      <c r="G166" s="198" t="s">
        <v>21</v>
      </c>
      <c r="H166" s="9" t="s">
        <v>84</v>
      </c>
      <c r="I166" s="9" t="s">
        <v>422</v>
      </c>
      <c r="J166" s="9" t="s">
        <v>21</v>
      </c>
      <c r="K166" s="9" t="s">
        <v>21</v>
      </c>
      <c r="L166" s="9" t="s">
        <v>84</v>
      </c>
      <c r="M166" s="50" t="s">
        <v>863</v>
      </c>
      <c r="N166" s="50" t="s">
        <v>498</v>
      </c>
      <c r="O166" s="51" t="s">
        <v>864</v>
      </c>
      <c r="P166" s="244" t="s">
        <v>2671</v>
      </c>
      <c r="Q166" s="50" t="s">
        <v>499</v>
      </c>
      <c r="R166" s="50">
        <v>2</v>
      </c>
      <c r="S166" s="50" t="s">
        <v>645</v>
      </c>
      <c r="T166" s="50" t="s">
        <v>524</v>
      </c>
      <c r="U166" s="52" t="s">
        <v>865</v>
      </c>
      <c r="V166" s="50" t="s">
        <v>589</v>
      </c>
      <c r="W166" s="50" t="s">
        <v>527</v>
      </c>
      <c r="X166" s="70" t="s">
        <v>866</v>
      </c>
      <c r="Y166" s="50" t="s">
        <v>863</v>
      </c>
      <c r="Z166" s="50" t="s">
        <v>2672</v>
      </c>
      <c r="AA166" s="50" t="s">
        <v>709</v>
      </c>
      <c r="AB166" s="50" t="s">
        <v>2673</v>
      </c>
      <c r="AC166" s="55">
        <v>23932</v>
      </c>
      <c r="AD166" s="48">
        <f t="shared" si="118"/>
        <v>9</v>
      </c>
      <c r="AE166" s="48">
        <f t="shared" si="119"/>
        <v>7</v>
      </c>
      <c r="AF166" s="48">
        <f t="shared" si="120"/>
        <v>1965</v>
      </c>
      <c r="AG166" s="49">
        <f t="shared" si="121"/>
        <v>45847</v>
      </c>
      <c r="AH166" s="48" t="e">
        <f t="shared" ca="1" si="122"/>
        <v>#NUM!</v>
      </c>
      <c r="AI166" s="48" t="e">
        <f t="shared" ca="1" si="123"/>
        <v>#NUM!</v>
      </c>
      <c r="AJ166" s="48" t="e">
        <f t="shared" ca="1" si="124"/>
        <v>#NUM!</v>
      </c>
      <c r="AK166" s="48" t="e">
        <f t="shared" ca="1" si="125"/>
        <v>#NUM!</v>
      </c>
      <c r="AL166" s="106"/>
      <c r="AM166" s="106" t="s">
        <v>1753</v>
      </c>
      <c r="AN166" s="282">
        <v>2518</v>
      </c>
      <c r="AO166" s="106"/>
      <c r="AP166" s="106"/>
      <c r="AQ166" s="106"/>
      <c r="AR166" s="106"/>
      <c r="AS166" s="106"/>
      <c r="AT166" s="106"/>
      <c r="AU166" s="106"/>
      <c r="AV166" s="106"/>
      <c r="AW166" s="106"/>
      <c r="AX166" s="106"/>
      <c r="AY166" s="50">
        <v>2024</v>
      </c>
      <c r="AZ166" s="107">
        <v>1</v>
      </c>
      <c r="BA166" s="78">
        <v>65</v>
      </c>
      <c r="BB166" s="78" t="s">
        <v>498</v>
      </c>
      <c r="BC166" s="78">
        <v>42</v>
      </c>
      <c r="BD166" s="78" t="s">
        <v>498</v>
      </c>
      <c r="BE166" s="78">
        <v>23</v>
      </c>
      <c r="BF166" s="74">
        <f>BE166/BA166*100</f>
        <v>35.384615384615387</v>
      </c>
      <c r="BG166" s="78" t="s">
        <v>498</v>
      </c>
      <c r="BH166" s="78" t="s">
        <v>498</v>
      </c>
      <c r="BI166" s="78" t="s">
        <v>498</v>
      </c>
      <c r="BJ166" s="78">
        <v>65</v>
      </c>
      <c r="BK166" s="50" t="s">
        <v>498</v>
      </c>
      <c r="BL166" s="151">
        <v>45559</v>
      </c>
      <c r="BM166" s="315"/>
      <c r="BN166" s="305"/>
      <c r="BO166" s="305"/>
      <c r="BP166" s="305"/>
      <c r="BQ166" s="305"/>
      <c r="BR166" s="305"/>
      <c r="BS166" s="305"/>
      <c r="BT166" s="305"/>
      <c r="BU166" s="867" t="s">
        <v>2600</v>
      </c>
      <c r="BV166" s="868"/>
      <c r="BW166" s="868"/>
      <c r="BX166" s="869"/>
      <c r="BY166" s="870" t="s">
        <v>2635</v>
      </c>
      <c r="BZ166" s="871"/>
      <c r="CA166" s="871"/>
      <c r="CB166" s="872"/>
      <c r="CC166" s="27"/>
    </row>
    <row r="167" spans="1:81" s="8" customFormat="1" ht="40.35" customHeight="1" x14ac:dyDescent="0.3">
      <c r="A167" s="9">
        <v>199</v>
      </c>
      <c r="B167" s="183" t="s">
        <v>871</v>
      </c>
      <c r="C167" s="11" t="s">
        <v>424</v>
      </c>
      <c r="D167" s="3" t="s">
        <v>422</v>
      </c>
      <c r="E167" s="3" t="s">
        <v>12</v>
      </c>
      <c r="F167" s="3">
        <v>156</v>
      </c>
      <c r="G167" s="198" t="s">
        <v>21</v>
      </c>
      <c r="H167" s="9" t="s">
        <v>84</v>
      </c>
      <c r="I167" s="9" t="s">
        <v>422</v>
      </c>
      <c r="J167" s="9" t="s">
        <v>21</v>
      </c>
      <c r="K167" s="9" t="s">
        <v>21</v>
      </c>
      <c r="L167" s="9" t="s">
        <v>84</v>
      </c>
      <c r="M167" s="50" t="s">
        <v>868</v>
      </c>
      <c r="N167" s="50"/>
      <c r="O167" s="50"/>
      <c r="P167" s="243"/>
      <c r="Q167" s="50" t="s">
        <v>499</v>
      </c>
      <c r="R167" s="50">
        <v>2</v>
      </c>
      <c r="S167" s="50" t="s">
        <v>500</v>
      </c>
      <c r="T167" s="50"/>
      <c r="U167" s="52"/>
      <c r="V167" s="50" t="s">
        <v>589</v>
      </c>
      <c r="W167" s="50" t="s">
        <v>542</v>
      </c>
      <c r="X167" s="70" t="s">
        <v>869</v>
      </c>
      <c r="Y167" s="50" t="s">
        <v>870</v>
      </c>
      <c r="Z167" s="50"/>
      <c r="AA167" s="50"/>
      <c r="AB167" s="50" t="s">
        <v>506</v>
      </c>
      <c r="AC167" s="55">
        <v>26822</v>
      </c>
      <c r="AD167" s="48">
        <f t="shared" si="118"/>
        <v>7</v>
      </c>
      <c r="AE167" s="48">
        <f t="shared" si="119"/>
        <v>6</v>
      </c>
      <c r="AF167" s="48">
        <f t="shared" si="120"/>
        <v>1973</v>
      </c>
      <c r="AG167" s="49">
        <f t="shared" si="121"/>
        <v>48737</v>
      </c>
      <c r="AH167" s="48">
        <f t="shared" ca="1" si="122"/>
        <v>7</v>
      </c>
      <c r="AI167" s="48">
        <f t="shared" ca="1" si="123"/>
        <v>5</v>
      </c>
      <c r="AJ167" s="48">
        <f t="shared" ca="1" si="124"/>
        <v>27</v>
      </c>
      <c r="AK167" s="48" t="str">
        <f t="shared" ca="1" si="125"/>
        <v>7year/5months/27Days</v>
      </c>
      <c r="AL167" s="384"/>
      <c r="AM167" s="384" t="s">
        <v>1754</v>
      </c>
      <c r="AN167" s="276">
        <v>2295</v>
      </c>
      <c r="AO167" s="384"/>
      <c r="AP167" s="384"/>
      <c r="AQ167" s="384"/>
      <c r="AR167" s="384"/>
      <c r="AS167" s="384"/>
      <c r="AT167" s="384"/>
      <c r="AU167" s="384"/>
      <c r="AV167" s="384"/>
      <c r="AW167" s="384"/>
      <c r="AX167" s="384"/>
      <c r="AY167" s="50"/>
      <c r="AZ167" s="340"/>
      <c r="BA167" s="95"/>
      <c r="BB167" s="95"/>
      <c r="BC167" s="95"/>
      <c r="BD167" s="95"/>
      <c r="BE167" s="95"/>
      <c r="BF167" s="74"/>
      <c r="BG167" s="95"/>
      <c r="BH167" s="95"/>
      <c r="BI167" s="95"/>
      <c r="BJ167" s="95"/>
      <c r="BK167" s="95"/>
      <c r="BL167" s="151"/>
      <c r="BM167" s="379"/>
      <c r="BN167" s="379"/>
      <c r="BO167" s="379"/>
      <c r="BP167" s="379"/>
      <c r="BQ167" s="305"/>
      <c r="BR167" s="305"/>
      <c r="BS167" s="305"/>
      <c r="BT167" s="305"/>
      <c r="BU167" s="867" t="s">
        <v>2600</v>
      </c>
      <c r="BV167" s="868"/>
      <c r="BW167" s="868"/>
      <c r="BX167" s="869"/>
      <c r="BY167" s="305"/>
      <c r="BZ167" s="305"/>
      <c r="CA167" s="305"/>
      <c r="CB167" s="305"/>
      <c r="CC167" s="27"/>
    </row>
    <row r="168" spans="1:81" s="8" customFormat="1" ht="40.35" customHeight="1" x14ac:dyDescent="0.25">
      <c r="A168" s="9">
        <v>200</v>
      </c>
      <c r="B168" s="183" t="s">
        <v>1296</v>
      </c>
      <c r="C168" s="11" t="s">
        <v>426</v>
      </c>
      <c r="D168" s="7" t="s">
        <v>1297</v>
      </c>
      <c r="E168" s="3" t="s">
        <v>12</v>
      </c>
      <c r="F168" s="381">
        <v>157</v>
      </c>
      <c r="G168" s="198" t="s">
        <v>13</v>
      </c>
      <c r="H168" s="9" t="s">
        <v>19</v>
      </c>
      <c r="I168" s="9" t="s">
        <v>427</v>
      </c>
      <c r="J168" s="9" t="s">
        <v>29</v>
      </c>
      <c r="K168" s="9" t="s">
        <v>29</v>
      </c>
      <c r="L168" s="9" t="s">
        <v>341</v>
      </c>
      <c r="M168" s="50" t="s">
        <v>1294</v>
      </c>
      <c r="N168" s="50" t="s">
        <v>498</v>
      </c>
      <c r="O168" s="51" t="s">
        <v>1918</v>
      </c>
      <c r="P168" s="243" t="s">
        <v>1919</v>
      </c>
      <c r="Q168" s="50" t="s">
        <v>499</v>
      </c>
      <c r="R168" s="50">
        <v>2</v>
      </c>
      <c r="S168" s="50" t="s">
        <v>500</v>
      </c>
      <c r="T168" s="50" t="s">
        <v>524</v>
      </c>
      <c r="U168" s="97" t="s">
        <v>525</v>
      </c>
      <c r="V168" s="60" t="s">
        <v>589</v>
      </c>
      <c r="W168" s="50" t="s">
        <v>527</v>
      </c>
      <c r="X168" s="70" t="s">
        <v>1295</v>
      </c>
      <c r="Y168" s="50" t="s">
        <v>1920</v>
      </c>
      <c r="Z168" s="60" t="s">
        <v>1921</v>
      </c>
      <c r="AA168" s="50" t="s">
        <v>562</v>
      </c>
      <c r="AB168" s="50" t="s">
        <v>506</v>
      </c>
      <c r="AC168" s="55">
        <v>26772</v>
      </c>
      <c r="AD168" s="48">
        <f t="shared" si="118"/>
        <v>18</v>
      </c>
      <c r="AE168" s="48">
        <f t="shared" si="119"/>
        <v>4</v>
      </c>
      <c r="AF168" s="48">
        <f t="shared" si="120"/>
        <v>1973</v>
      </c>
      <c r="AG168" s="49">
        <f t="shared" si="121"/>
        <v>48687</v>
      </c>
      <c r="AH168" s="48">
        <f t="shared" ca="1" si="122"/>
        <v>7</v>
      </c>
      <c r="AI168" s="48">
        <f t="shared" ca="1" si="123"/>
        <v>4</v>
      </c>
      <c r="AJ168" s="48">
        <f t="shared" ca="1" si="124"/>
        <v>7</v>
      </c>
      <c r="AK168" s="48" t="str">
        <f t="shared" ca="1" si="125"/>
        <v>7year/4months/7Days</v>
      </c>
      <c r="AL168" s="106"/>
      <c r="AM168" s="106" t="s">
        <v>1755</v>
      </c>
      <c r="AN168" s="282">
        <v>1921</v>
      </c>
      <c r="AO168" s="106"/>
      <c r="AP168" s="106"/>
      <c r="AQ168" s="106"/>
      <c r="AR168" s="106"/>
      <c r="AS168" s="106"/>
      <c r="AT168" s="106"/>
      <c r="AU168" s="106"/>
      <c r="AV168" s="106"/>
      <c r="AW168" s="106"/>
      <c r="AX168" s="106"/>
      <c r="AY168" s="78">
        <v>2023</v>
      </c>
      <c r="AZ168" s="107">
        <v>1</v>
      </c>
      <c r="BA168" s="78">
        <v>173</v>
      </c>
      <c r="BB168" s="78">
        <v>32</v>
      </c>
      <c r="BC168" s="78" t="s">
        <v>498</v>
      </c>
      <c r="BD168" s="78" t="s">
        <v>498</v>
      </c>
      <c r="BE168" s="78">
        <v>128</v>
      </c>
      <c r="BF168" s="74">
        <f>BE168/BA168*100</f>
        <v>73.988439306358373</v>
      </c>
      <c r="BG168" s="78">
        <v>13</v>
      </c>
      <c r="BH168" s="78" t="s">
        <v>498</v>
      </c>
      <c r="BI168" s="78">
        <v>173</v>
      </c>
      <c r="BJ168" s="50" t="s">
        <v>498</v>
      </c>
      <c r="BK168" s="50" t="s">
        <v>498</v>
      </c>
      <c r="BL168" s="151">
        <v>45317</v>
      </c>
      <c r="BM168" s="867" t="s">
        <v>1843</v>
      </c>
      <c r="BN168" s="868"/>
      <c r="BO168" s="868"/>
      <c r="BP168" s="869"/>
      <c r="BQ168" s="870" t="s">
        <v>1858</v>
      </c>
      <c r="BR168" s="871"/>
      <c r="BS168" s="871"/>
      <c r="BT168" s="872"/>
      <c r="BU168" s="315"/>
      <c r="BV168" s="315"/>
      <c r="BW168" s="315"/>
      <c r="BX168" s="315"/>
      <c r="BY168" s="476"/>
      <c r="BZ168" s="476"/>
      <c r="CA168" s="476"/>
      <c r="CB168" s="476"/>
      <c r="CC168" s="27"/>
    </row>
    <row r="169" spans="1:81" s="8" customFormat="1" ht="40.35" customHeight="1" x14ac:dyDescent="0.3">
      <c r="A169" s="9">
        <v>201</v>
      </c>
      <c r="B169" s="183" t="s">
        <v>1287</v>
      </c>
      <c r="C169" s="11" t="s">
        <v>429</v>
      </c>
      <c r="D169" s="3" t="s">
        <v>1288</v>
      </c>
      <c r="E169" s="3" t="s">
        <v>12</v>
      </c>
      <c r="F169" s="3">
        <v>158</v>
      </c>
      <c r="G169" s="198" t="s">
        <v>26</v>
      </c>
      <c r="H169" s="9" t="s">
        <v>30</v>
      </c>
      <c r="I169" s="9" t="s">
        <v>430</v>
      </c>
      <c r="J169" s="9" t="s">
        <v>29</v>
      </c>
      <c r="K169" s="9" t="s">
        <v>30</v>
      </c>
      <c r="L169" s="9" t="s">
        <v>30</v>
      </c>
      <c r="M169" s="50" t="s">
        <v>1282</v>
      </c>
      <c r="N169" s="50"/>
      <c r="O169" s="51" t="s">
        <v>1283</v>
      </c>
      <c r="P169" s="244"/>
      <c r="Q169" s="50" t="s">
        <v>499</v>
      </c>
      <c r="R169" s="50">
        <v>2</v>
      </c>
      <c r="S169" s="50" t="s">
        <v>500</v>
      </c>
      <c r="T169" s="50" t="s">
        <v>524</v>
      </c>
      <c r="U169" s="97" t="s">
        <v>525</v>
      </c>
      <c r="V169" s="96" t="s">
        <v>921</v>
      </c>
      <c r="W169" s="365" t="s">
        <v>542</v>
      </c>
      <c r="X169" s="53" t="s">
        <v>1284</v>
      </c>
      <c r="Y169" s="60" t="s">
        <v>1285</v>
      </c>
      <c r="Z169" s="60" t="s">
        <v>1286</v>
      </c>
      <c r="AA169" s="78" t="s">
        <v>538</v>
      </c>
      <c r="AB169" s="50" t="s">
        <v>563</v>
      </c>
      <c r="AC169" s="55">
        <v>29503</v>
      </c>
      <c r="AD169" s="48">
        <f t="shared" si="118"/>
        <v>9</v>
      </c>
      <c r="AE169" s="48">
        <f t="shared" si="119"/>
        <v>10</v>
      </c>
      <c r="AF169" s="48">
        <f t="shared" si="120"/>
        <v>1980</v>
      </c>
      <c r="AG169" s="49">
        <f t="shared" si="121"/>
        <v>51418</v>
      </c>
      <c r="AH169" s="48">
        <f t="shared" ca="1" si="122"/>
        <v>14</v>
      </c>
      <c r="AI169" s="48">
        <f t="shared" ca="1" si="123"/>
        <v>9</v>
      </c>
      <c r="AJ169" s="48">
        <f t="shared" ca="1" si="124"/>
        <v>28</v>
      </c>
      <c r="AK169" s="48" t="str">
        <f t="shared" ca="1" si="125"/>
        <v>14year/9months/28Days</v>
      </c>
      <c r="AL169" s="50"/>
      <c r="AM169" s="50" t="s">
        <v>1756</v>
      </c>
      <c r="AN169" s="229">
        <v>797</v>
      </c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78">
        <v>2016</v>
      </c>
      <c r="AZ169" s="107">
        <v>1</v>
      </c>
      <c r="BA169" s="78">
        <v>310</v>
      </c>
      <c r="BB169" s="78">
        <v>10</v>
      </c>
      <c r="BC169" s="78" t="s">
        <v>498</v>
      </c>
      <c r="BD169" s="78">
        <v>2</v>
      </c>
      <c r="BE169" s="78">
        <v>298</v>
      </c>
      <c r="BF169" s="74">
        <f t="shared" ref="BF169:BF174" si="135">BE169/BA169*100</f>
        <v>96.129032258064512</v>
      </c>
      <c r="BG169" s="78" t="s">
        <v>498</v>
      </c>
      <c r="BH169" s="78" t="s">
        <v>498</v>
      </c>
      <c r="BI169" s="78">
        <v>310</v>
      </c>
      <c r="BJ169" s="78"/>
      <c r="BK169" s="95"/>
      <c r="BL169" s="76">
        <v>44646</v>
      </c>
      <c r="BM169" s="379"/>
      <c r="BN169" s="379"/>
      <c r="BO169" s="379"/>
      <c r="BP169" s="379"/>
      <c r="BQ169" s="305"/>
      <c r="BR169" s="305"/>
      <c r="BS169" s="305"/>
      <c r="BT169" s="305"/>
      <c r="BU169" s="867" t="s">
        <v>2600</v>
      </c>
      <c r="BV169" s="868"/>
      <c r="BW169" s="868"/>
      <c r="BX169" s="869"/>
      <c r="BY169" s="305"/>
      <c r="BZ169" s="305"/>
      <c r="CA169" s="305"/>
      <c r="CB169" s="305"/>
      <c r="CC169" s="27"/>
    </row>
    <row r="170" spans="1:81" s="8" customFormat="1" ht="40.35" customHeight="1" x14ac:dyDescent="0.3">
      <c r="A170" s="9">
        <v>202</v>
      </c>
      <c r="B170" s="183" t="s">
        <v>1301</v>
      </c>
      <c r="C170" s="11" t="s">
        <v>432</v>
      </c>
      <c r="D170" s="7" t="s">
        <v>1302</v>
      </c>
      <c r="E170" s="3" t="s">
        <v>12</v>
      </c>
      <c r="F170" s="381">
        <v>159</v>
      </c>
      <c r="G170" s="198" t="s">
        <v>69</v>
      </c>
      <c r="H170" s="9" t="s">
        <v>67</v>
      </c>
      <c r="I170" s="9" t="s">
        <v>433</v>
      </c>
      <c r="J170" s="9" t="s">
        <v>29</v>
      </c>
      <c r="K170" s="9" t="s">
        <v>29</v>
      </c>
      <c r="L170" s="9" t="s">
        <v>29</v>
      </c>
      <c r="M170" s="137" t="s">
        <v>1298</v>
      </c>
      <c r="N170" s="137"/>
      <c r="O170" s="137"/>
      <c r="P170" s="261"/>
      <c r="Q170" s="137" t="s">
        <v>499</v>
      </c>
      <c r="R170" s="137">
        <v>2</v>
      </c>
      <c r="S170" s="137" t="s">
        <v>500</v>
      </c>
      <c r="T170" s="50" t="s">
        <v>524</v>
      </c>
      <c r="U170" s="97" t="s">
        <v>1299</v>
      </c>
      <c r="V170" s="60" t="s">
        <v>589</v>
      </c>
      <c r="W170" s="50" t="s">
        <v>504</v>
      </c>
      <c r="X170" s="163" t="s">
        <v>1300</v>
      </c>
      <c r="Y170" s="137"/>
      <c r="Z170" s="137"/>
      <c r="AA170" s="78" t="s">
        <v>538</v>
      </c>
      <c r="AB170" s="137"/>
      <c r="AC170" s="55">
        <v>26825</v>
      </c>
      <c r="AD170" s="48">
        <f t="shared" si="118"/>
        <v>10</v>
      </c>
      <c r="AE170" s="48">
        <f t="shared" si="119"/>
        <v>6</v>
      </c>
      <c r="AF170" s="48">
        <f t="shared" si="120"/>
        <v>1973</v>
      </c>
      <c r="AG170" s="49">
        <f t="shared" si="121"/>
        <v>48740</v>
      </c>
      <c r="AH170" s="48">
        <f t="shared" ca="1" si="122"/>
        <v>7</v>
      </c>
      <c r="AI170" s="48">
        <f t="shared" ca="1" si="123"/>
        <v>5</v>
      </c>
      <c r="AJ170" s="48">
        <f t="shared" ca="1" si="124"/>
        <v>30</v>
      </c>
      <c r="AK170" s="48" t="str">
        <f t="shared" ca="1" si="125"/>
        <v>7year/5months/30Days</v>
      </c>
      <c r="AL170" s="164"/>
      <c r="AM170" s="164" t="s">
        <v>1757</v>
      </c>
      <c r="AN170" s="285">
        <v>2393</v>
      </c>
      <c r="AO170" s="164"/>
      <c r="AP170" s="164"/>
      <c r="AQ170" s="164"/>
      <c r="AR170" s="164"/>
      <c r="AS170" s="164"/>
      <c r="AT170" s="164"/>
      <c r="AU170" s="164"/>
      <c r="AV170" s="164"/>
      <c r="AW170" s="164"/>
      <c r="AX170" s="164"/>
      <c r="AY170" s="137">
        <v>2019</v>
      </c>
      <c r="AZ170" s="150"/>
      <c r="BA170" s="137">
        <v>270</v>
      </c>
      <c r="BB170" s="137">
        <v>199</v>
      </c>
      <c r="BC170" s="137" t="s">
        <v>498</v>
      </c>
      <c r="BD170" s="78" t="s">
        <v>498</v>
      </c>
      <c r="BE170" s="78">
        <v>71</v>
      </c>
      <c r="BF170" s="74">
        <f t="shared" si="135"/>
        <v>26.296296296296294</v>
      </c>
      <c r="BG170" s="78" t="s">
        <v>498</v>
      </c>
      <c r="BH170" s="78" t="s">
        <v>498</v>
      </c>
      <c r="BI170" s="78">
        <v>270</v>
      </c>
      <c r="BJ170" s="95"/>
      <c r="BK170" s="95"/>
      <c r="BL170" s="151"/>
      <c r="BM170" s="867" t="s">
        <v>1854</v>
      </c>
      <c r="BN170" s="868"/>
      <c r="BO170" s="868"/>
      <c r="BP170" s="869"/>
      <c r="BQ170" s="305"/>
      <c r="BR170" s="305"/>
      <c r="BS170" s="305"/>
      <c r="BT170" s="305"/>
      <c r="BU170" s="315"/>
      <c r="BV170" s="315"/>
      <c r="BW170" s="315"/>
      <c r="BX170" s="315"/>
      <c r="BY170" s="305"/>
      <c r="BZ170" s="305"/>
      <c r="CA170" s="305"/>
      <c r="CB170" s="305"/>
      <c r="CC170" s="27"/>
    </row>
    <row r="171" spans="1:81" s="8" customFormat="1" ht="51" customHeight="1" x14ac:dyDescent="0.25">
      <c r="A171" s="9">
        <v>203</v>
      </c>
      <c r="B171" s="183" t="s">
        <v>1308</v>
      </c>
      <c r="C171" s="11" t="s">
        <v>435</v>
      </c>
      <c r="D171" s="3" t="s">
        <v>1309</v>
      </c>
      <c r="E171" s="3" t="s">
        <v>12</v>
      </c>
      <c r="F171" s="3">
        <v>160</v>
      </c>
      <c r="G171" s="198" t="s">
        <v>26</v>
      </c>
      <c r="H171" s="9" t="s">
        <v>27</v>
      </c>
      <c r="I171" s="9" t="s">
        <v>436</v>
      </c>
      <c r="J171" s="9" t="s">
        <v>29</v>
      </c>
      <c r="K171" s="9" t="s">
        <v>30</v>
      </c>
      <c r="L171" s="9" t="s">
        <v>30</v>
      </c>
      <c r="M171" s="50" t="s">
        <v>1303</v>
      </c>
      <c r="N171" s="50" t="s">
        <v>498</v>
      </c>
      <c r="O171" s="51" t="s">
        <v>1304</v>
      </c>
      <c r="P171" s="244" t="s">
        <v>1492</v>
      </c>
      <c r="Q171" s="50" t="s">
        <v>499</v>
      </c>
      <c r="R171" s="50">
        <v>2</v>
      </c>
      <c r="S171" s="50" t="s">
        <v>500</v>
      </c>
      <c r="T171" s="50" t="s">
        <v>524</v>
      </c>
      <c r="U171" s="97" t="s">
        <v>525</v>
      </c>
      <c r="V171" s="60" t="s">
        <v>589</v>
      </c>
      <c r="W171" s="50" t="s">
        <v>542</v>
      </c>
      <c r="X171" s="113" t="s">
        <v>1305</v>
      </c>
      <c r="Y171" s="50" t="s">
        <v>1306</v>
      </c>
      <c r="Z171" s="60" t="s">
        <v>1307</v>
      </c>
      <c r="AA171" s="78" t="s">
        <v>568</v>
      </c>
      <c r="AB171" s="50" t="s">
        <v>710</v>
      </c>
      <c r="AC171" s="55">
        <v>24634</v>
      </c>
      <c r="AD171" s="48">
        <f t="shared" si="118"/>
        <v>11</v>
      </c>
      <c r="AE171" s="48">
        <f t="shared" si="119"/>
        <v>6</v>
      </c>
      <c r="AF171" s="48">
        <f t="shared" si="120"/>
        <v>1967</v>
      </c>
      <c r="AG171" s="49">
        <f t="shared" si="121"/>
        <v>46549</v>
      </c>
      <c r="AH171" s="48">
        <f t="shared" ca="1" si="122"/>
        <v>1</v>
      </c>
      <c r="AI171" s="48">
        <f t="shared" ca="1" si="123"/>
        <v>6</v>
      </c>
      <c r="AJ171" s="48">
        <f t="shared" ca="1" si="124"/>
        <v>0</v>
      </c>
      <c r="AK171" s="48" t="str">
        <f t="shared" ca="1" si="125"/>
        <v>1year/6months/0Days</v>
      </c>
      <c r="AL171" s="384" t="s">
        <v>1835</v>
      </c>
      <c r="AM171" s="384" t="s">
        <v>1758</v>
      </c>
      <c r="AN171" s="276">
        <v>1345</v>
      </c>
      <c r="AO171" s="384"/>
      <c r="AP171" s="384"/>
      <c r="AQ171" s="384"/>
      <c r="AR171" s="384"/>
      <c r="AS171" s="384"/>
      <c r="AT171" s="384"/>
      <c r="AU171" s="384"/>
      <c r="AV171" s="384"/>
      <c r="AW171" s="384"/>
      <c r="AX171" s="384"/>
      <c r="AY171" s="78">
        <v>2022</v>
      </c>
      <c r="AZ171" s="107">
        <v>1</v>
      </c>
      <c r="BA171" s="78">
        <v>143</v>
      </c>
      <c r="BB171" s="78">
        <v>39</v>
      </c>
      <c r="BC171" s="78">
        <v>12</v>
      </c>
      <c r="BD171" s="78">
        <v>4</v>
      </c>
      <c r="BE171" s="78">
        <v>86</v>
      </c>
      <c r="BF171" s="74">
        <f t="shared" si="135"/>
        <v>60.139860139860133</v>
      </c>
      <c r="BG171" s="78" t="s">
        <v>498</v>
      </c>
      <c r="BH171" s="78">
        <v>2</v>
      </c>
      <c r="BI171" s="78">
        <v>143</v>
      </c>
      <c r="BJ171" s="78" t="s">
        <v>498</v>
      </c>
      <c r="BK171" s="78" t="s">
        <v>498</v>
      </c>
      <c r="BL171" s="76">
        <v>44888</v>
      </c>
      <c r="BM171" s="867" t="s">
        <v>1854</v>
      </c>
      <c r="BN171" s="868"/>
      <c r="BO171" s="868"/>
      <c r="BP171" s="869"/>
      <c r="BQ171" s="318"/>
      <c r="BR171" s="318"/>
      <c r="BS171" s="318"/>
      <c r="BT171" s="318"/>
      <c r="BU171" s="315"/>
      <c r="BV171" s="315"/>
      <c r="BW171" s="315"/>
      <c r="BX171" s="315"/>
      <c r="BY171" s="318"/>
      <c r="BZ171" s="318"/>
      <c r="CA171" s="318"/>
      <c r="CB171" s="318"/>
      <c r="CC171" s="27"/>
    </row>
    <row r="172" spans="1:81" s="8" customFormat="1" ht="51" customHeight="1" thickBot="1" x14ac:dyDescent="0.35">
      <c r="A172" s="554">
        <v>204</v>
      </c>
      <c r="B172" s="118" t="s">
        <v>1311</v>
      </c>
      <c r="C172" s="13" t="s">
        <v>438</v>
      </c>
      <c r="D172" s="7" t="s">
        <v>1317</v>
      </c>
      <c r="E172" s="3" t="s">
        <v>12</v>
      </c>
      <c r="F172" s="381">
        <v>161</v>
      </c>
      <c r="G172" s="198" t="s">
        <v>26</v>
      </c>
      <c r="H172" s="9" t="s">
        <v>31</v>
      </c>
      <c r="I172" s="9" t="s">
        <v>55</v>
      </c>
      <c r="J172" s="9" t="s">
        <v>29</v>
      </c>
      <c r="K172" s="9" t="s">
        <v>30</v>
      </c>
      <c r="L172" s="9" t="s">
        <v>30</v>
      </c>
      <c r="M172" s="50" t="s">
        <v>1310</v>
      </c>
      <c r="N172" s="50"/>
      <c r="O172" s="51" t="s">
        <v>2641</v>
      </c>
      <c r="P172" s="243" t="s">
        <v>2642</v>
      </c>
      <c r="Q172" s="50" t="s">
        <v>499</v>
      </c>
      <c r="R172" s="50" t="s">
        <v>560</v>
      </c>
      <c r="S172" s="50" t="s">
        <v>645</v>
      </c>
      <c r="T172" s="50" t="s">
        <v>524</v>
      </c>
      <c r="U172" s="97" t="s">
        <v>561</v>
      </c>
      <c r="V172" s="60" t="s">
        <v>589</v>
      </c>
      <c r="W172" s="50" t="s">
        <v>527</v>
      </c>
      <c r="X172" s="114" t="s">
        <v>2602</v>
      </c>
      <c r="Y172" s="60" t="s">
        <v>2603</v>
      </c>
      <c r="Z172" s="60" t="s">
        <v>2643</v>
      </c>
      <c r="AA172" s="50" t="s">
        <v>562</v>
      </c>
      <c r="AB172" s="50" t="s">
        <v>616</v>
      </c>
      <c r="AC172" s="55">
        <v>26256</v>
      </c>
      <c r="AD172" s="48">
        <f t="shared" ref="AD172" si="136">DAY(AC172)</f>
        <v>19</v>
      </c>
      <c r="AE172" s="48">
        <f t="shared" ref="AE172" si="137">MONTH(AC172)</f>
        <v>11</v>
      </c>
      <c r="AF172" s="48">
        <f t="shared" ref="AF172" si="138">YEAR(AC172)</f>
        <v>1971</v>
      </c>
      <c r="AG172" s="49">
        <f t="shared" ref="AG172" si="139">EDATE(AC172,12*60)</f>
        <v>48171</v>
      </c>
      <c r="AH172" s="48">
        <f t="shared" ref="AH172" ca="1" si="140">DATEDIF($A$4,AG172, "Y" )</f>
        <v>5</v>
      </c>
      <c r="AI172" s="48">
        <f t="shared" ref="AI172" ca="1" si="141">DATEDIF($A$4,AG172, "YM" )</f>
        <v>11</v>
      </c>
      <c r="AJ172" s="48">
        <f t="shared" ref="AJ172" ca="1" si="142">DATEDIF($A$4,AG172, "MD" )</f>
        <v>8</v>
      </c>
      <c r="AK172" s="48" t="str">
        <f t="shared" ref="AK172" ca="1" si="143">CONCATENATE(AH172,"year","/",AI172,"months","/",AJ172,"Days")</f>
        <v>5year/11months/8Days</v>
      </c>
      <c r="AL172" s="155"/>
      <c r="AM172" s="508" t="s">
        <v>1759</v>
      </c>
      <c r="AN172" s="509" t="s">
        <v>1760</v>
      </c>
      <c r="AO172" s="155"/>
      <c r="AP172" s="155"/>
      <c r="AQ172" s="155"/>
      <c r="AR172" s="155"/>
      <c r="AS172" s="155"/>
      <c r="AT172" s="155"/>
      <c r="AU172" s="155"/>
      <c r="AV172" s="155"/>
      <c r="AW172" s="155"/>
      <c r="AX172" s="155"/>
      <c r="AY172" s="60">
        <v>2024</v>
      </c>
      <c r="AZ172" s="52">
        <v>1</v>
      </c>
      <c r="BA172" s="50">
        <v>212</v>
      </c>
      <c r="BB172" s="50" t="s">
        <v>498</v>
      </c>
      <c r="BC172" s="50">
        <v>102</v>
      </c>
      <c r="BD172" s="50">
        <v>1</v>
      </c>
      <c r="BE172" s="50">
        <v>109</v>
      </c>
      <c r="BF172" s="74">
        <f t="shared" si="135"/>
        <v>51.415094339622648</v>
      </c>
      <c r="BG172" s="50" t="s">
        <v>498</v>
      </c>
      <c r="BH172" s="50" t="s">
        <v>498</v>
      </c>
      <c r="BI172" s="50" t="s">
        <v>498</v>
      </c>
      <c r="BJ172" s="50">
        <v>212</v>
      </c>
      <c r="BK172" s="50" t="s">
        <v>498</v>
      </c>
      <c r="BL172" s="76">
        <v>45547</v>
      </c>
      <c r="BM172" s="313"/>
      <c r="BN172" s="305"/>
      <c r="BO172" s="305"/>
      <c r="BP172" s="305"/>
      <c r="BQ172" s="305"/>
      <c r="BR172" s="305"/>
      <c r="BS172" s="305"/>
      <c r="BT172" s="305"/>
      <c r="BU172" s="867" t="s">
        <v>2600</v>
      </c>
      <c r="BV172" s="868"/>
      <c r="BW172" s="868"/>
      <c r="BX172" s="869"/>
      <c r="BY172" s="870" t="s">
        <v>2640</v>
      </c>
      <c r="BZ172" s="871"/>
      <c r="CA172" s="871"/>
      <c r="CB172" s="872"/>
      <c r="CC172" s="27"/>
    </row>
    <row r="173" spans="1:81" s="8" customFormat="1" ht="44.25" customHeight="1" thickBot="1" x14ac:dyDescent="0.3">
      <c r="A173" s="58" t="s">
        <v>1571</v>
      </c>
      <c r="B173" s="118" t="s">
        <v>1322</v>
      </c>
      <c r="C173" s="13" t="s">
        <v>440</v>
      </c>
      <c r="D173" s="7" t="s">
        <v>1323</v>
      </c>
      <c r="E173" s="3" t="s">
        <v>12</v>
      </c>
      <c r="F173" s="381">
        <v>163</v>
      </c>
      <c r="G173" s="198" t="s">
        <v>69</v>
      </c>
      <c r="H173" s="9" t="s">
        <v>80</v>
      </c>
      <c r="I173" s="9" t="s">
        <v>80</v>
      </c>
      <c r="J173" s="9" t="s">
        <v>29</v>
      </c>
      <c r="K173" s="9" t="s">
        <v>30</v>
      </c>
      <c r="L173" s="9" t="s">
        <v>69</v>
      </c>
      <c r="M173" s="365" t="s">
        <v>1318</v>
      </c>
      <c r="N173" s="365" t="s">
        <v>1318</v>
      </c>
      <c r="O173" s="44" t="s">
        <v>2510</v>
      </c>
      <c r="P173" s="249" t="s">
        <v>2511</v>
      </c>
      <c r="Q173" s="365" t="s">
        <v>499</v>
      </c>
      <c r="R173" s="50" t="s">
        <v>557</v>
      </c>
      <c r="S173" s="50" t="s">
        <v>500</v>
      </c>
      <c r="T173" s="50" t="s">
        <v>501</v>
      </c>
      <c r="U173" s="97" t="s">
        <v>667</v>
      </c>
      <c r="V173" s="60" t="s">
        <v>503</v>
      </c>
      <c r="W173" s="113" t="s">
        <v>654</v>
      </c>
      <c r="X173" s="46" t="s">
        <v>1319</v>
      </c>
      <c r="Y173" s="60" t="s">
        <v>2586</v>
      </c>
      <c r="Z173" s="60" t="s">
        <v>1320</v>
      </c>
      <c r="AA173" s="78" t="s">
        <v>538</v>
      </c>
      <c r="AB173" s="50" t="s">
        <v>668</v>
      </c>
      <c r="AC173" s="55">
        <v>25555</v>
      </c>
      <c r="AD173" s="48">
        <f t="shared" si="118"/>
        <v>18</v>
      </c>
      <c r="AE173" s="48">
        <f t="shared" si="119"/>
        <v>12</v>
      </c>
      <c r="AF173" s="48">
        <f t="shared" si="120"/>
        <v>1969</v>
      </c>
      <c r="AG173" s="49">
        <f t="shared" si="121"/>
        <v>47470</v>
      </c>
      <c r="AH173" s="48">
        <f t="shared" ca="1" si="122"/>
        <v>4</v>
      </c>
      <c r="AI173" s="48">
        <f t="shared" ca="1" si="123"/>
        <v>0</v>
      </c>
      <c r="AJ173" s="48">
        <f t="shared" ca="1" si="124"/>
        <v>7</v>
      </c>
      <c r="AK173" s="48" t="str">
        <f t="shared" ca="1" si="125"/>
        <v>4year/0months/7Days</v>
      </c>
      <c r="AL173" s="50"/>
      <c r="AM173" s="371" t="s">
        <v>1761</v>
      </c>
      <c r="AN173" s="373" t="s">
        <v>1762</v>
      </c>
      <c r="AO173" s="365"/>
      <c r="AP173" s="365"/>
      <c r="AQ173" s="365"/>
      <c r="AR173" s="365"/>
      <c r="AS173" s="365"/>
      <c r="AT173" s="365"/>
      <c r="AU173" s="365"/>
      <c r="AV173" s="365"/>
      <c r="AW173" s="365"/>
      <c r="AX173" s="365"/>
      <c r="AY173" s="365">
        <v>2023</v>
      </c>
      <c r="AZ173" s="45" t="s">
        <v>2512</v>
      </c>
      <c r="BA173" s="365">
        <v>1944</v>
      </c>
      <c r="BB173" s="365">
        <v>384</v>
      </c>
      <c r="BC173" s="365">
        <v>1</v>
      </c>
      <c r="BD173" s="365">
        <v>12</v>
      </c>
      <c r="BE173" s="365">
        <v>1547</v>
      </c>
      <c r="BF173" s="74">
        <f t="shared" si="135"/>
        <v>79.578189300411523</v>
      </c>
      <c r="BG173" s="365" t="s">
        <v>498</v>
      </c>
      <c r="BH173" s="365" t="s">
        <v>498</v>
      </c>
      <c r="BI173" s="365">
        <v>1944</v>
      </c>
      <c r="BJ173" s="365" t="s">
        <v>498</v>
      </c>
      <c r="BK173" s="365" t="s">
        <v>498</v>
      </c>
      <c r="BL173" s="76">
        <v>45460</v>
      </c>
      <c r="BM173" s="912" t="s">
        <v>1846</v>
      </c>
      <c r="BN173" s="913"/>
      <c r="BO173" s="913"/>
      <c r="BP173" s="914"/>
      <c r="BQ173" s="870" t="s">
        <v>2513</v>
      </c>
      <c r="BR173" s="871"/>
      <c r="BS173" s="871"/>
      <c r="BT173" s="872"/>
      <c r="BU173" s="867" t="s">
        <v>2637</v>
      </c>
      <c r="BV173" s="868"/>
      <c r="BW173" s="868"/>
      <c r="BX173" s="869"/>
      <c r="BY173" s="476"/>
      <c r="BZ173" s="476"/>
      <c r="CA173" s="476"/>
      <c r="CB173" s="476"/>
      <c r="CC173" s="27"/>
    </row>
    <row r="174" spans="1:81" s="8" customFormat="1" ht="40.35" customHeight="1" x14ac:dyDescent="0.25">
      <c r="A174" s="558">
        <v>209</v>
      </c>
      <c r="B174" s="13" t="s">
        <v>1442</v>
      </c>
      <c r="C174" s="13"/>
      <c r="D174" s="7" t="s">
        <v>1323</v>
      </c>
      <c r="E174" s="197" t="s">
        <v>1439</v>
      </c>
      <c r="F174" s="381">
        <v>4</v>
      </c>
      <c r="G174" s="198" t="s">
        <v>69</v>
      </c>
      <c r="H174" s="9" t="s">
        <v>80</v>
      </c>
      <c r="I174" s="9" t="s">
        <v>80</v>
      </c>
      <c r="J174" s="9" t="s">
        <v>29</v>
      </c>
      <c r="K174" s="9" t="s">
        <v>30</v>
      </c>
      <c r="L174" s="9" t="s">
        <v>69</v>
      </c>
      <c r="M174" s="50" t="s">
        <v>1443</v>
      </c>
      <c r="N174" s="50" t="s">
        <v>498</v>
      </c>
      <c r="O174" s="51" t="s">
        <v>2477</v>
      </c>
      <c r="P174" s="243" t="s">
        <v>2478</v>
      </c>
      <c r="Q174" s="50" t="s">
        <v>556</v>
      </c>
      <c r="R174" s="50" t="s">
        <v>557</v>
      </c>
      <c r="S174" s="50" t="s">
        <v>500</v>
      </c>
      <c r="T174" s="50" t="s">
        <v>671</v>
      </c>
      <c r="U174" s="97" t="s">
        <v>667</v>
      </c>
      <c r="V174" s="60" t="s">
        <v>503</v>
      </c>
      <c r="W174" s="50" t="s">
        <v>1046</v>
      </c>
      <c r="X174" s="70" t="s">
        <v>1444</v>
      </c>
      <c r="Y174" s="60" t="s">
        <v>1445</v>
      </c>
      <c r="Z174" s="60" t="s">
        <v>2721</v>
      </c>
      <c r="AA174" s="78" t="s">
        <v>709</v>
      </c>
      <c r="AB174" s="50" t="s">
        <v>1048</v>
      </c>
      <c r="AC174" s="55">
        <v>24855</v>
      </c>
      <c r="AD174" s="48">
        <f t="shared" si="118"/>
        <v>18</v>
      </c>
      <c r="AE174" s="48">
        <f t="shared" si="119"/>
        <v>1</v>
      </c>
      <c r="AF174" s="48">
        <f t="shared" si="120"/>
        <v>1968</v>
      </c>
      <c r="AG174" s="49">
        <f t="shared" si="121"/>
        <v>46770</v>
      </c>
      <c r="AH174" s="48">
        <f t="shared" ca="1" si="122"/>
        <v>2</v>
      </c>
      <c r="AI174" s="48">
        <f t="shared" ca="1" si="123"/>
        <v>1</v>
      </c>
      <c r="AJ174" s="48">
        <f t="shared" ca="1" si="124"/>
        <v>7</v>
      </c>
      <c r="AK174" s="48" t="str">
        <f t="shared" ca="1" si="125"/>
        <v>2year/1months/7Days</v>
      </c>
      <c r="AL174" s="119"/>
      <c r="AM174" s="384" t="s">
        <v>1763</v>
      </c>
      <c r="AN174" s="284"/>
      <c r="AO174" s="119"/>
      <c r="AP174" s="119"/>
      <c r="AQ174" s="119"/>
      <c r="AR174" s="119"/>
      <c r="AS174" s="119"/>
      <c r="AT174" s="119"/>
      <c r="AU174" s="119"/>
      <c r="AV174" s="119"/>
      <c r="AW174" s="119"/>
      <c r="AX174" s="119"/>
      <c r="AY174" s="78">
        <v>2024</v>
      </c>
      <c r="AZ174" s="107" t="s">
        <v>1321</v>
      </c>
      <c r="BA174" s="78">
        <v>2268</v>
      </c>
      <c r="BB174" s="78">
        <v>514</v>
      </c>
      <c r="BC174" s="78" t="s">
        <v>498</v>
      </c>
      <c r="BD174" s="78" t="s">
        <v>498</v>
      </c>
      <c r="BE174" s="78">
        <v>1602</v>
      </c>
      <c r="BF174" s="74">
        <f t="shared" si="135"/>
        <v>70.634920634920633</v>
      </c>
      <c r="BG174" s="78">
        <v>5</v>
      </c>
      <c r="BH174" s="78" t="s">
        <v>498</v>
      </c>
      <c r="BI174" s="78">
        <v>1820</v>
      </c>
      <c r="BJ174" s="78" t="s">
        <v>498</v>
      </c>
      <c r="BK174" s="78">
        <v>120</v>
      </c>
      <c r="BL174" s="76">
        <v>45596</v>
      </c>
      <c r="BM174" s="912" t="s">
        <v>1846</v>
      </c>
      <c r="BN174" s="913"/>
      <c r="BO174" s="913"/>
      <c r="BP174" s="914"/>
      <c r="BQ174" s="870" t="s">
        <v>2479</v>
      </c>
      <c r="BR174" s="871"/>
      <c r="BS174" s="871"/>
      <c r="BT174" s="872"/>
      <c r="BU174" s="867" t="s">
        <v>2637</v>
      </c>
      <c r="BV174" s="868"/>
      <c r="BW174" s="868"/>
      <c r="BX174" s="869"/>
      <c r="BY174" s="870" t="s">
        <v>2722</v>
      </c>
      <c r="BZ174" s="871"/>
      <c r="CA174" s="871"/>
      <c r="CB174" s="872"/>
      <c r="CC174" s="27"/>
    </row>
    <row r="175" spans="1:81" s="8" customFormat="1" ht="40.35" customHeight="1" x14ac:dyDescent="0.3">
      <c r="A175" s="9">
        <v>210</v>
      </c>
      <c r="B175" s="183" t="s">
        <v>1327</v>
      </c>
      <c r="C175" s="11" t="s">
        <v>442</v>
      </c>
      <c r="D175" s="3" t="s">
        <v>1328</v>
      </c>
      <c r="E175" s="3" t="s">
        <v>12</v>
      </c>
      <c r="F175" s="3">
        <v>164</v>
      </c>
      <c r="G175" s="198" t="s">
        <v>13</v>
      </c>
      <c r="H175" s="9" t="s">
        <v>29</v>
      </c>
      <c r="I175" s="9" t="s">
        <v>90</v>
      </c>
      <c r="J175" s="9" t="s">
        <v>29</v>
      </c>
      <c r="K175" s="9" t="s">
        <v>38</v>
      </c>
      <c r="L175" s="9" t="s">
        <v>38</v>
      </c>
      <c r="M175" s="365" t="s">
        <v>1324</v>
      </c>
      <c r="N175" s="365"/>
      <c r="O175" s="365"/>
      <c r="P175" s="245"/>
      <c r="Q175" s="365" t="s">
        <v>499</v>
      </c>
      <c r="R175" s="365">
        <v>3</v>
      </c>
      <c r="S175" s="365" t="s">
        <v>500</v>
      </c>
      <c r="T175" s="365" t="s">
        <v>886</v>
      </c>
      <c r="U175" s="59" t="s">
        <v>535</v>
      </c>
      <c r="V175" s="371" t="s">
        <v>503</v>
      </c>
      <c r="W175" s="371" t="s">
        <v>585</v>
      </c>
      <c r="X175" s="114" t="s">
        <v>1325</v>
      </c>
      <c r="Y175" s="99" t="s">
        <v>1324</v>
      </c>
      <c r="Z175" s="165" t="s">
        <v>1326</v>
      </c>
      <c r="AA175" s="365" t="s">
        <v>538</v>
      </c>
      <c r="AB175" s="365" t="s">
        <v>710</v>
      </c>
      <c r="AC175" s="55">
        <v>26831</v>
      </c>
      <c r="AD175" s="48">
        <f t="shared" si="118"/>
        <v>16</v>
      </c>
      <c r="AE175" s="48">
        <f t="shared" si="119"/>
        <v>6</v>
      </c>
      <c r="AF175" s="48">
        <f t="shared" si="120"/>
        <v>1973</v>
      </c>
      <c r="AG175" s="49">
        <f t="shared" si="121"/>
        <v>48746</v>
      </c>
      <c r="AH175" s="48">
        <f t="shared" ca="1" si="122"/>
        <v>7</v>
      </c>
      <c r="AI175" s="48">
        <f t="shared" ca="1" si="123"/>
        <v>6</v>
      </c>
      <c r="AJ175" s="48">
        <f t="shared" ca="1" si="124"/>
        <v>5</v>
      </c>
      <c r="AK175" s="48" t="str">
        <f t="shared" ca="1" si="125"/>
        <v>7year/6months/5Days</v>
      </c>
      <c r="AL175" s="166"/>
      <c r="AM175" s="99" t="s">
        <v>1764</v>
      </c>
      <c r="AN175" s="281">
        <v>849</v>
      </c>
      <c r="AO175" s="166"/>
      <c r="AP175" s="166"/>
      <c r="AQ175" s="166"/>
      <c r="AR175" s="166"/>
      <c r="AS175" s="166"/>
      <c r="AT175" s="166"/>
      <c r="AU175" s="166"/>
      <c r="AV175" s="166"/>
      <c r="AW175" s="166"/>
      <c r="AX175" s="166"/>
      <c r="AY175" s="365">
        <v>2019</v>
      </c>
      <c r="AZ175" s="45">
        <v>1</v>
      </c>
      <c r="BA175" s="365">
        <v>174</v>
      </c>
      <c r="BB175" s="365">
        <v>141</v>
      </c>
      <c r="BC175" s="365" t="s">
        <v>498</v>
      </c>
      <c r="BD175" s="365" t="s">
        <v>498</v>
      </c>
      <c r="BE175" s="365">
        <v>33</v>
      </c>
      <c r="BF175" s="74">
        <f>BE175/BA175*100</f>
        <v>18.96551724137931</v>
      </c>
      <c r="BG175" s="365" t="s">
        <v>498</v>
      </c>
      <c r="BH175" s="365" t="s">
        <v>498</v>
      </c>
      <c r="BI175" s="365">
        <v>174</v>
      </c>
      <c r="BJ175" s="124"/>
      <c r="BK175" s="124"/>
      <c r="BL175" s="76">
        <v>44650</v>
      </c>
      <c r="BM175" s="379"/>
      <c r="BN175" s="379"/>
      <c r="BO175" s="379"/>
      <c r="BP175" s="379"/>
      <c r="BQ175" s="305"/>
      <c r="BR175" s="305"/>
      <c r="BS175" s="305"/>
      <c r="BT175" s="305"/>
      <c r="BU175" s="472"/>
      <c r="BV175" s="472"/>
      <c r="BW175" s="472"/>
      <c r="BX175" s="472"/>
      <c r="BY175" s="305"/>
      <c r="BZ175" s="305"/>
      <c r="CA175" s="305"/>
      <c r="CB175" s="305"/>
      <c r="CC175" s="27"/>
    </row>
    <row r="176" spans="1:81" s="8" customFormat="1" ht="40.35" customHeight="1" x14ac:dyDescent="0.3">
      <c r="A176" s="58" t="s">
        <v>1572</v>
      </c>
      <c r="B176" s="183" t="s">
        <v>1333</v>
      </c>
      <c r="C176" s="11" t="s">
        <v>444</v>
      </c>
      <c r="D176" s="7" t="s">
        <v>445</v>
      </c>
      <c r="E176" s="3" t="s">
        <v>12</v>
      </c>
      <c r="F176" s="381">
        <v>165</v>
      </c>
      <c r="G176" s="198" t="s">
        <v>69</v>
      </c>
      <c r="H176" s="9" t="s">
        <v>67</v>
      </c>
      <c r="I176" s="9" t="s">
        <v>445</v>
      </c>
      <c r="J176" s="9" t="s">
        <v>29</v>
      </c>
      <c r="K176" s="9" t="s">
        <v>30</v>
      </c>
      <c r="L176" s="9" t="s">
        <v>69</v>
      </c>
      <c r="M176" s="365" t="s">
        <v>1329</v>
      </c>
      <c r="N176" s="365" t="s">
        <v>1329</v>
      </c>
      <c r="O176" s="365" t="s">
        <v>498</v>
      </c>
      <c r="P176" s="245"/>
      <c r="Q176" s="365" t="s">
        <v>499</v>
      </c>
      <c r="R176" s="365" t="s">
        <v>560</v>
      </c>
      <c r="S176" s="365" t="s">
        <v>500</v>
      </c>
      <c r="T176" s="365" t="s">
        <v>886</v>
      </c>
      <c r="U176" s="59" t="s">
        <v>667</v>
      </c>
      <c r="V176" s="371" t="s">
        <v>503</v>
      </c>
      <c r="W176" s="365" t="s">
        <v>527</v>
      </c>
      <c r="X176" s="114" t="s">
        <v>1330</v>
      </c>
      <c r="Y176" s="371" t="s">
        <v>1331</v>
      </c>
      <c r="Z176" s="371" t="s">
        <v>1332</v>
      </c>
      <c r="AA176" s="371" t="s">
        <v>538</v>
      </c>
      <c r="AB176" s="371" t="s">
        <v>563</v>
      </c>
      <c r="AC176" s="55">
        <v>26049</v>
      </c>
      <c r="AD176" s="48">
        <f t="shared" si="118"/>
        <v>26</v>
      </c>
      <c r="AE176" s="48">
        <f t="shared" si="119"/>
        <v>4</v>
      </c>
      <c r="AF176" s="48">
        <f t="shared" si="120"/>
        <v>1971</v>
      </c>
      <c r="AG176" s="49">
        <f t="shared" si="121"/>
        <v>47964</v>
      </c>
      <c r="AH176" s="48">
        <f t="shared" ca="1" si="122"/>
        <v>5</v>
      </c>
      <c r="AI176" s="48">
        <f t="shared" ca="1" si="123"/>
        <v>4</v>
      </c>
      <c r="AJ176" s="48">
        <f t="shared" ca="1" si="124"/>
        <v>15</v>
      </c>
      <c r="AK176" s="48" t="str">
        <f t="shared" ca="1" si="125"/>
        <v>5year/4months/15Days</v>
      </c>
      <c r="AL176" s="365"/>
      <c r="AM176" s="371" t="s">
        <v>1765</v>
      </c>
      <c r="AN176" s="373" t="s">
        <v>1766</v>
      </c>
      <c r="AO176" s="365"/>
      <c r="AP176" s="365"/>
      <c r="AQ176" s="365"/>
      <c r="AR176" s="365"/>
      <c r="AS176" s="365"/>
      <c r="AT176" s="365"/>
      <c r="AU176" s="365"/>
      <c r="AV176" s="365"/>
      <c r="AW176" s="365"/>
      <c r="AX176" s="365"/>
      <c r="AY176" s="365">
        <v>2020</v>
      </c>
      <c r="AZ176" s="45">
        <v>2</v>
      </c>
      <c r="BA176" s="365">
        <v>766</v>
      </c>
      <c r="BB176" s="365">
        <v>233</v>
      </c>
      <c r="BC176" s="365" t="s">
        <v>498</v>
      </c>
      <c r="BD176" s="365" t="s">
        <v>498</v>
      </c>
      <c r="BE176" s="365">
        <v>533</v>
      </c>
      <c r="BF176" s="74">
        <f>BE176/BA176*100</f>
        <v>69.582245430809394</v>
      </c>
      <c r="BG176" s="365" t="s">
        <v>498</v>
      </c>
      <c r="BH176" s="365" t="s">
        <v>498</v>
      </c>
      <c r="BI176" s="365">
        <v>766</v>
      </c>
      <c r="BJ176" s="365"/>
      <c r="BK176" s="365"/>
      <c r="BL176" s="233">
        <v>44728</v>
      </c>
      <c r="BM176" s="316"/>
      <c r="BN176" s="316"/>
      <c r="BO176" s="316"/>
      <c r="BP176" s="316"/>
      <c r="BQ176" s="307"/>
      <c r="BR176" s="307"/>
      <c r="BS176" s="307"/>
      <c r="BT176" s="305"/>
      <c r="BU176" s="867" t="s">
        <v>2600</v>
      </c>
      <c r="BV176" s="868"/>
      <c r="BW176" s="868"/>
      <c r="BX176" s="869"/>
      <c r="BY176" s="305"/>
      <c r="BZ176" s="305"/>
      <c r="CA176" s="305"/>
      <c r="CB176" s="305"/>
      <c r="CC176" s="27"/>
    </row>
    <row r="177" spans="1:81" s="8" customFormat="1" ht="40.35" customHeight="1" x14ac:dyDescent="0.3">
      <c r="A177" s="58" t="s">
        <v>1573</v>
      </c>
      <c r="B177" s="185" t="s">
        <v>1423</v>
      </c>
      <c r="C177" s="19" t="s">
        <v>447</v>
      </c>
      <c r="D177" s="3" t="s">
        <v>448</v>
      </c>
      <c r="E177" s="3" t="s">
        <v>12</v>
      </c>
      <c r="F177" s="3">
        <v>166</v>
      </c>
      <c r="G177" s="207" t="s">
        <v>13</v>
      </c>
      <c r="H177" s="20" t="s">
        <v>29</v>
      </c>
      <c r="I177" s="20" t="s">
        <v>448</v>
      </c>
      <c r="J177" s="20" t="s">
        <v>29</v>
      </c>
      <c r="K177" s="9" t="s">
        <v>29</v>
      </c>
      <c r="L177" s="215" t="s">
        <v>29</v>
      </c>
      <c r="M177" s="371" t="s">
        <v>1527</v>
      </c>
      <c r="N177" s="371"/>
      <c r="O177" s="371"/>
      <c r="P177" s="253"/>
      <c r="Q177" s="371" t="s">
        <v>499</v>
      </c>
      <c r="R177" s="371">
        <v>3</v>
      </c>
      <c r="S177" s="371" t="s">
        <v>500</v>
      </c>
      <c r="T177" s="371"/>
      <c r="U177" s="371"/>
      <c r="V177" s="60"/>
      <c r="W177" s="371"/>
      <c r="X177" s="371"/>
      <c r="Y177" s="371"/>
      <c r="Z177" s="371"/>
      <c r="AA177" s="371"/>
      <c r="AB177" s="371"/>
      <c r="AC177" s="55">
        <v>26833</v>
      </c>
      <c r="AD177" s="48">
        <f t="shared" si="118"/>
        <v>18</v>
      </c>
      <c r="AE177" s="48">
        <f t="shared" si="119"/>
        <v>6</v>
      </c>
      <c r="AF177" s="48">
        <f t="shared" si="120"/>
        <v>1973</v>
      </c>
      <c r="AG177" s="49">
        <f t="shared" si="121"/>
        <v>48748</v>
      </c>
      <c r="AH177" s="48">
        <f t="shared" ca="1" si="122"/>
        <v>7</v>
      </c>
      <c r="AI177" s="48">
        <f t="shared" ca="1" si="123"/>
        <v>6</v>
      </c>
      <c r="AJ177" s="48">
        <f t="shared" ca="1" si="124"/>
        <v>7</v>
      </c>
      <c r="AK177" s="48" t="str">
        <f t="shared" ca="1" si="125"/>
        <v>7year/6months/7Days</v>
      </c>
      <c r="AL177" s="371"/>
      <c r="AM177" s="371" t="s">
        <v>1767</v>
      </c>
      <c r="AN177" s="373" t="s">
        <v>1768</v>
      </c>
      <c r="AO177" s="371"/>
      <c r="AP177" s="371"/>
      <c r="AQ177" s="371"/>
      <c r="AR177" s="371"/>
      <c r="AS177" s="371"/>
      <c r="AT177" s="371"/>
      <c r="AU177" s="371"/>
      <c r="AV177" s="371"/>
      <c r="AW177" s="371"/>
      <c r="AX177" s="371"/>
      <c r="AY177" s="371"/>
      <c r="AZ177" s="59"/>
      <c r="BA177" s="371"/>
      <c r="BB177" s="371"/>
      <c r="BC177" s="371"/>
      <c r="BD177" s="371"/>
      <c r="BE177" s="371"/>
      <c r="BF177" s="74"/>
      <c r="BG177" s="371"/>
      <c r="BH177" s="371"/>
      <c r="BI177" s="371"/>
      <c r="BJ177" s="371"/>
      <c r="BK177" s="371"/>
      <c r="BL177" s="151"/>
      <c r="BM177" s="313"/>
      <c r="BN177" s="305"/>
      <c r="BO177" s="305"/>
      <c r="BP177" s="305"/>
      <c r="BQ177" s="305"/>
      <c r="BR177" s="305"/>
      <c r="BS177" s="305"/>
      <c r="BT177" s="305"/>
      <c r="BU177" s="313" t="s">
        <v>2601</v>
      </c>
      <c r="BV177" s="305"/>
      <c r="BW177" s="305"/>
      <c r="BX177" s="305"/>
      <c r="BY177" s="305"/>
      <c r="BZ177" s="305"/>
      <c r="CA177" s="305"/>
      <c r="CB177" s="305"/>
      <c r="CC177" s="27"/>
    </row>
    <row r="178" spans="1:81" s="23" customFormat="1" ht="40.35" customHeight="1" x14ac:dyDescent="0.25">
      <c r="A178" s="20">
        <v>215</v>
      </c>
      <c r="B178" s="185" t="s">
        <v>1424</v>
      </c>
      <c r="C178" s="19" t="s">
        <v>450</v>
      </c>
      <c r="D178" s="7" t="s">
        <v>160</v>
      </c>
      <c r="E178" s="22" t="s">
        <v>12</v>
      </c>
      <c r="F178" s="381">
        <v>167</v>
      </c>
      <c r="G178" s="207" t="s">
        <v>13</v>
      </c>
      <c r="H178" s="20" t="s">
        <v>29</v>
      </c>
      <c r="I178" s="20" t="s">
        <v>160</v>
      </c>
      <c r="J178" s="20" t="s">
        <v>29</v>
      </c>
      <c r="K178" s="9" t="s">
        <v>29</v>
      </c>
      <c r="L178" s="220" t="s">
        <v>451</v>
      </c>
      <c r="M178" s="78" t="s">
        <v>1528</v>
      </c>
      <c r="N178" s="78"/>
      <c r="O178" s="78"/>
      <c r="P178" s="258"/>
      <c r="Q178" s="78" t="s">
        <v>499</v>
      </c>
      <c r="R178" s="78" t="s">
        <v>557</v>
      </c>
      <c r="S178" s="78" t="s">
        <v>500</v>
      </c>
      <c r="T178" s="78" t="s">
        <v>524</v>
      </c>
      <c r="U178" s="225" t="s">
        <v>561</v>
      </c>
      <c r="V178" s="234" t="s">
        <v>503</v>
      </c>
      <c r="W178" s="50" t="s">
        <v>527</v>
      </c>
      <c r="X178" s="141" t="s">
        <v>1529</v>
      </c>
      <c r="Y178" s="78"/>
      <c r="Z178" s="78"/>
      <c r="AA178" s="96"/>
      <c r="AB178" s="50"/>
      <c r="AC178" s="55">
        <v>26834</v>
      </c>
      <c r="AD178" s="48">
        <f t="shared" si="118"/>
        <v>19</v>
      </c>
      <c r="AE178" s="48">
        <f t="shared" si="119"/>
        <v>6</v>
      </c>
      <c r="AF178" s="48">
        <f t="shared" si="120"/>
        <v>1973</v>
      </c>
      <c r="AG178" s="49">
        <f t="shared" si="121"/>
        <v>48749</v>
      </c>
      <c r="AH178" s="48">
        <f t="shared" ca="1" si="122"/>
        <v>7</v>
      </c>
      <c r="AI178" s="48">
        <f t="shared" ca="1" si="123"/>
        <v>6</v>
      </c>
      <c r="AJ178" s="48">
        <f t="shared" ca="1" si="124"/>
        <v>8</v>
      </c>
      <c r="AK178" s="48" t="str">
        <f t="shared" ca="1" si="125"/>
        <v>7year/6months/8Days</v>
      </c>
      <c r="AL178" s="384"/>
      <c r="AM178" s="384" t="s">
        <v>1769</v>
      </c>
      <c r="AN178" s="276">
        <v>1011</v>
      </c>
      <c r="AO178" s="384"/>
      <c r="AP178" s="384"/>
      <c r="AQ178" s="384"/>
      <c r="AR178" s="384"/>
      <c r="AS178" s="384"/>
      <c r="AT178" s="384"/>
      <c r="AU178" s="384"/>
      <c r="AV178" s="384"/>
      <c r="AW178" s="384"/>
      <c r="AX178" s="384"/>
      <c r="AY178" s="50">
        <v>2022</v>
      </c>
      <c r="AZ178" s="107">
        <v>4</v>
      </c>
      <c r="BA178" s="78">
        <v>2150</v>
      </c>
      <c r="BB178" s="78">
        <v>2126</v>
      </c>
      <c r="BC178" s="78" t="s">
        <v>498</v>
      </c>
      <c r="BD178" s="78" t="s">
        <v>498</v>
      </c>
      <c r="BE178" s="78">
        <v>24</v>
      </c>
      <c r="BF178" s="74">
        <f t="shared" ref="BF178:BF188" si="144">BE178/BA178*100</f>
        <v>1.1162790697674418</v>
      </c>
      <c r="BG178" s="78" t="s">
        <v>498</v>
      </c>
      <c r="BH178" s="78" t="s">
        <v>498</v>
      </c>
      <c r="BI178" s="78">
        <v>2150</v>
      </c>
      <c r="BJ178" s="78" t="s">
        <v>498</v>
      </c>
      <c r="BK178" s="78" t="s">
        <v>498</v>
      </c>
      <c r="BL178" s="76">
        <v>44831</v>
      </c>
      <c r="BM178" s="379"/>
      <c r="BN178" s="379"/>
      <c r="BO178" s="379"/>
      <c r="BP178" s="379"/>
      <c r="BQ178" s="379"/>
      <c r="BR178" s="379"/>
      <c r="BS178" s="379"/>
      <c r="BT178" s="379"/>
      <c r="BU178" s="472"/>
      <c r="BV178" s="472"/>
      <c r="BW178" s="472"/>
      <c r="BX178" s="472"/>
      <c r="BY178" s="472"/>
      <c r="BZ178" s="472"/>
      <c r="CA178" s="472"/>
      <c r="CB178" s="472"/>
      <c r="CC178" s="28"/>
    </row>
    <row r="179" spans="1:81" s="8" customFormat="1" ht="40.35" customHeight="1" x14ac:dyDescent="0.3">
      <c r="A179" s="58" t="s">
        <v>1574</v>
      </c>
      <c r="B179" s="118" t="s">
        <v>597</v>
      </c>
      <c r="C179" s="13" t="s">
        <v>453</v>
      </c>
      <c r="D179" s="3" t="s">
        <v>454</v>
      </c>
      <c r="E179" s="3" t="s">
        <v>12</v>
      </c>
      <c r="F179" s="3">
        <v>168</v>
      </c>
      <c r="G179" s="198" t="s">
        <v>13</v>
      </c>
      <c r="H179" s="9" t="s">
        <v>14</v>
      </c>
      <c r="I179" s="9" t="s">
        <v>454</v>
      </c>
      <c r="J179" s="9" t="s">
        <v>412</v>
      </c>
      <c r="K179" s="9" t="s">
        <v>14</v>
      </c>
      <c r="L179" s="9" t="s">
        <v>203</v>
      </c>
      <c r="M179" s="50" t="s">
        <v>594</v>
      </c>
      <c r="N179" s="63"/>
      <c r="O179" s="63"/>
      <c r="P179" s="245"/>
      <c r="Q179" s="365" t="s">
        <v>499</v>
      </c>
      <c r="R179" s="365" t="s">
        <v>560</v>
      </c>
      <c r="S179" s="365" t="s">
        <v>500</v>
      </c>
      <c r="T179" s="365" t="s">
        <v>524</v>
      </c>
      <c r="U179" s="45" t="s">
        <v>561</v>
      </c>
      <c r="V179" s="365" t="s">
        <v>503</v>
      </c>
      <c r="W179" s="365" t="s">
        <v>504</v>
      </c>
      <c r="X179" s="371" t="s">
        <v>595</v>
      </c>
      <c r="Y179" s="60" t="s">
        <v>1534</v>
      </c>
      <c r="Z179" s="371" t="s">
        <v>596</v>
      </c>
      <c r="AA179" s="50" t="s">
        <v>538</v>
      </c>
      <c r="AB179" s="365" t="s">
        <v>563</v>
      </c>
      <c r="AC179" s="55">
        <v>24977</v>
      </c>
      <c r="AD179" s="48">
        <f t="shared" si="118"/>
        <v>19</v>
      </c>
      <c r="AE179" s="48">
        <f t="shared" si="119"/>
        <v>5</v>
      </c>
      <c r="AF179" s="48">
        <f t="shared" si="120"/>
        <v>1968</v>
      </c>
      <c r="AG179" s="49">
        <f t="shared" si="121"/>
        <v>46892</v>
      </c>
      <c r="AH179" s="48">
        <f t="shared" ca="1" si="122"/>
        <v>2</v>
      </c>
      <c r="AI179" s="48">
        <f t="shared" ca="1" si="123"/>
        <v>5</v>
      </c>
      <c r="AJ179" s="48">
        <f t="shared" ca="1" si="124"/>
        <v>8</v>
      </c>
      <c r="AK179" s="48" t="str">
        <f t="shared" ca="1" si="125"/>
        <v>2year/5months/8Days</v>
      </c>
      <c r="AL179" s="365"/>
      <c r="AM179" s="60" t="s">
        <v>1770</v>
      </c>
      <c r="AN179" s="275" t="s">
        <v>1771</v>
      </c>
      <c r="AO179" s="50"/>
      <c r="AP179" s="365"/>
      <c r="AQ179" s="365"/>
      <c r="AR179" s="365"/>
      <c r="AS179" s="365"/>
      <c r="AT179" s="365"/>
      <c r="AU179" s="365"/>
      <c r="AV179" s="365"/>
      <c r="AW179" s="365"/>
      <c r="AX179" s="365"/>
      <c r="AY179" s="365">
        <v>2019</v>
      </c>
      <c r="AZ179" s="45">
        <v>1</v>
      </c>
      <c r="BA179" s="365">
        <v>380</v>
      </c>
      <c r="BB179" s="365">
        <v>155</v>
      </c>
      <c r="BC179" s="365" t="s">
        <v>498</v>
      </c>
      <c r="BD179" s="365" t="s">
        <v>498</v>
      </c>
      <c r="BE179" s="365">
        <v>225</v>
      </c>
      <c r="BF179" s="74">
        <f t="shared" si="144"/>
        <v>59.210526315789465</v>
      </c>
      <c r="BG179" s="365" t="s">
        <v>498</v>
      </c>
      <c r="BH179" s="365" t="s">
        <v>498</v>
      </c>
      <c r="BI179" s="365">
        <v>225</v>
      </c>
      <c r="BJ179" s="365" t="s">
        <v>498</v>
      </c>
      <c r="BK179" s="365" t="s">
        <v>498</v>
      </c>
      <c r="BL179" s="76">
        <v>44646</v>
      </c>
      <c r="BM179" s="867" t="s">
        <v>1799</v>
      </c>
      <c r="BN179" s="868"/>
      <c r="BO179" s="868"/>
      <c r="BP179" s="869"/>
      <c r="BQ179" s="305"/>
      <c r="BR179" s="305"/>
      <c r="BS179" s="305"/>
      <c r="BT179" s="305"/>
      <c r="BU179" s="867" t="s">
        <v>2650</v>
      </c>
      <c r="BV179" s="868"/>
      <c r="BW179" s="868"/>
      <c r="BX179" s="869"/>
      <c r="BY179" s="305"/>
      <c r="BZ179" s="305"/>
      <c r="CA179" s="305"/>
      <c r="CB179" s="305"/>
      <c r="CC179" s="27"/>
    </row>
    <row r="180" spans="1:81" s="8" customFormat="1" ht="40.35" customHeight="1" x14ac:dyDescent="0.25">
      <c r="A180" s="9">
        <v>218</v>
      </c>
      <c r="B180" s="183" t="s">
        <v>1339</v>
      </c>
      <c r="C180" s="11" t="s">
        <v>456</v>
      </c>
      <c r="D180" s="7" t="s">
        <v>1340</v>
      </c>
      <c r="E180" s="3" t="s">
        <v>12</v>
      </c>
      <c r="F180" s="381">
        <v>169</v>
      </c>
      <c r="G180" s="198" t="s">
        <v>69</v>
      </c>
      <c r="H180" s="9" t="s">
        <v>96</v>
      </c>
      <c r="I180" s="9" t="s">
        <v>99</v>
      </c>
      <c r="J180" s="9" t="s">
        <v>29</v>
      </c>
      <c r="K180" s="9" t="s">
        <v>98</v>
      </c>
      <c r="L180" s="9" t="s">
        <v>99</v>
      </c>
      <c r="M180" s="366" t="s">
        <v>1334</v>
      </c>
      <c r="N180" s="50" t="s">
        <v>498</v>
      </c>
      <c r="O180" s="51" t="s">
        <v>1335</v>
      </c>
      <c r="P180" s="244" t="s">
        <v>1494</v>
      </c>
      <c r="Q180" s="50" t="s">
        <v>499</v>
      </c>
      <c r="R180" s="50" t="s">
        <v>557</v>
      </c>
      <c r="S180" s="50" t="s">
        <v>500</v>
      </c>
      <c r="T180" s="50" t="s">
        <v>652</v>
      </c>
      <c r="U180" s="52" t="s">
        <v>667</v>
      </c>
      <c r="V180" s="60" t="s">
        <v>526</v>
      </c>
      <c r="W180" s="365" t="s">
        <v>654</v>
      </c>
      <c r="X180" s="53" t="s">
        <v>681</v>
      </c>
      <c r="Y180" s="50" t="s">
        <v>682</v>
      </c>
      <c r="Z180" s="372" t="s">
        <v>1338</v>
      </c>
      <c r="AA180" s="50" t="s">
        <v>593</v>
      </c>
      <c r="AB180" s="365" t="s">
        <v>655</v>
      </c>
      <c r="AC180" s="55">
        <v>30062</v>
      </c>
      <c r="AD180" s="48">
        <f t="shared" si="118"/>
        <v>21</v>
      </c>
      <c r="AE180" s="48">
        <f t="shared" si="119"/>
        <v>4</v>
      </c>
      <c r="AF180" s="48">
        <f t="shared" si="120"/>
        <v>1982</v>
      </c>
      <c r="AG180" s="49">
        <f t="shared" si="121"/>
        <v>51977</v>
      </c>
      <c r="AH180" s="48">
        <f t="shared" ca="1" si="122"/>
        <v>16</v>
      </c>
      <c r="AI180" s="48">
        <f t="shared" ca="1" si="123"/>
        <v>4</v>
      </c>
      <c r="AJ180" s="48">
        <f t="shared" ca="1" si="124"/>
        <v>10</v>
      </c>
      <c r="AK180" s="48" t="str">
        <f t="shared" ca="1" si="125"/>
        <v>16year/4months/10Days</v>
      </c>
      <c r="AL180" s="149"/>
      <c r="AM180" s="149" t="s">
        <v>1772</v>
      </c>
      <c r="AN180" s="283">
        <v>755</v>
      </c>
      <c r="AO180" s="149"/>
      <c r="AP180" s="149"/>
      <c r="AQ180" s="149"/>
      <c r="AR180" s="149"/>
      <c r="AS180" s="149"/>
      <c r="AT180" s="149"/>
      <c r="AU180" s="149"/>
      <c r="AV180" s="149"/>
      <c r="AW180" s="149"/>
      <c r="AX180" s="149"/>
      <c r="AY180" s="50">
        <v>2023</v>
      </c>
      <c r="AZ180" s="225" t="s">
        <v>2082</v>
      </c>
      <c r="BA180" s="78">
        <v>1356</v>
      </c>
      <c r="BB180" s="78">
        <v>628</v>
      </c>
      <c r="BC180" s="78">
        <v>7</v>
      </c>
      <c r="BD180" s="78">
        <v>5</v>
      </c>
      <c r="BE180" s="78">
        <v>689</v>
      </c>
      <c r="BF180" s="74">
        <f t="shared" si="144"/>
        <v>50.811209439528028</v>
      </c>
      <c r="BG180" s="78">
        <v>27</v>
      </c>
      <c r="BH180" s="78" t="s">
        <v>498</v>
      </c>
      <c r="BI180" s="78">
        <v>1356</v>
      </c>
      <c r="BJ180" s="78" t="s">
        <v>498</v>
      </c>
      <c r="BK180" s="78" t="s">
        <v>498</v>
      </c>
      <c r="BL180" s="76">
        <v>45358</v>
      </c>
      <c r="BM180" s="867" t="s">
        <v>1843</v>
      </c>
      <c r="BN180" s="868"/>
      <c r="BO180" s="868"/>
      <c r="BP180" s="869"/>
      <c r="BQ180" s="867" t="s">
        <v>2083</v>
      </c>
      <c r="BR180" s="868"/>
      <c r="BS180" s="868"/>
      <c r="BT180" s="869"/>
      <c r="BU180" s="867" t="s">
        <v>2605</v>
      </c>
      <c r="BV180" s="868"/>
      <c r="BW180" s="868"/>
      <c r="BX180" s="869"/>
      <c r="BY180" s="315"/>
      <c r="BZ180" s="315"/>
      <c r="CA180" s="315"/>
      <c r="CB180" s="315"/>
      <c r="CC180" s="27"/>
    </row>
    <row r="181" spans="1:81" s="8" customFormat="1" ht="40.35" customHeight="1" x14ac:dyDescent="0.25">
      <c r="A181" s="9">
        <v>219</v>
      </c>
      <c r="B181" s="183" t="s">
        <v>1347</v>
      </c>
      <c r="C181" s="11" t="s">
        <v>458</v>
      </c>
      <c r="D181" s="3" t="s">
        <v>1348</v>
      </c>
      <c r="E181" s="3" t="s">
        <v>12</v>
      </c>
      <c r="F181" s="3">
        <v>170</v>
      </c>
      <c r="G181" s="9" t="s">
        <v>13</v>
      </c>
      <c r="H181" s="202" t="s">
        <v>29</v>
      </c>
      <c r="I181" s="212" t="s">
        <v>459</v>
      </c>
      <c r="J181" s="9" t="s">
        <v>29</v>
      </c>
      <c r="K181" s="9" t="s">
        <v>38</v>
      </c>
      <c r="L181" s="9" t="s">
        <v>38</v>
      </c>
      <c r="M181" s="60" t="s">
        <v>1341</v>
      </c>
      <c r="N181" s="50" t="s">
        <v>498</v>
      </c>
      <c r="O181" s="51" t="s">
        <v>1342</v>
      </c>
      <c r="P181" s="243" t="s">
        <v>1343</v>
      </c>
      <c r="Q181" s="50" t="s">
        <v>499</v>
      </c>
      <c r="R181" s="50">
        <v>3</v>
      </c>
      <c r="S181" s="50" t="s">
        <v>500</v>
      </c>
      <c r="T181" s="50" t="s">
        <v>524</v>
      </c>
      <c r="U181" s="97" t="s">
        <v>535</v>
      </c>
      <c r="V181" s="60" t="s">
        <v>503</v>
      </c>
      <c r="W181" s="50" t="s">
        <v>527</v>
      </c>
      <c r="X181" s="113" t="s">
        <v>1344</v>
      </c>
      <c r="Y181" s="384" t="s">
        <v>1345</v>
      </c>
      <c r="Z181" s="384" t="s">
        <v>1346</v>
      </c>
      <c r="AA181" s="50" t="s">
        <v>562</v>
      </c>
      <c r="AB181" s="50" t="s">
        <v>614</v>
      </c>
      <c r="AC181" s="55">
        <v>26837</v>
      </c>
      <c r="AD181" s="48">
        <f t="shared" si="118"/>
        <v>22</v>
      </c>
      <c r="AE181" s="48">
        <f t="shared" si="119"/>
        <v>6</v>
      </c>
      <c r="AF181" s="48">
        <f t="shared" si="120"/>
        <v>1973</v>
      </c>
      <c r="AG181" s="49">
        <f t="shared" si="121"/>
        <v>48752</v>
      </c>
      <c r="AH181" s="48">
        <f t="shared" ca="1" si="122"/>
        <v>7</v>
      </c>
      <c r="AI181" s="48">
        <f t="shared" ca="1" si="123"/>
        <v>6</v>
      </c>
      <c r="AJ181" s="48">
        <f t="shared" ca="1" si="124"/>
        <v>11</v>
      </c>
      <c r="AK181" s="48" t="str">
        <f t="shared" ca="1" si="125"/>
        <v>7year/6months/11Days</v>
      </c>
      <c r="AL181" s="384"/>
      <c r="AM181" s="384" t="s">
        <v>1773</v>
      </c>
      <c r="AN181" s="276">
        <v>850</v>
      </c>
      <c r="AO181" s="384"/>
      <c r="AP181" s="384"/>
      <c r="AQ181" s="384"/>
      <c r="AR181" s="384"/>
      <c r="AS181" s="384"/>
      <c r="AT181" s="384"/>
      <c r="AU181" s="384"/>
      <c r="AV181" s="384"/>
      <c r="AW181" s="384"/>
      <c r="AX181" s="384"/>
      <c r="AY181" s="50">
        <v>2022</v>
      </c>
      <c r="AZ181" s="107">
        <v>1</v>
      </c>
      <c r="BA181" s="78">
        <v>82</v>
      </c>
      <c r="BB181" s="78">
        <v>75</v>
      </c>
      <c r="BC181" s="78">
        <v>2</v>
      </c>
      <c r="BD181" s="78" t="s">
        <v>498</v>
      </c>
      <c r="BE181" s="78">
        <v>5</v>
      </c>
      <c r="BF181" s="74">
        <f t="shared" si="144"/>
        <v>6.0975609756097562</v>
      </c>
      <c r="BG181" s="78" t="s">
        <v>498</v>
      </c>
      <c r="BH181" s="78" t="s">
        <v>498</v>
      </c>
      <c r="BI181" s="78">
        <v>82</v>
      </c>
      <c r="BJ181" s="78" t="s">
        <v>498</v>
      </c>
      <c r="BK181" s="78" t="s">
        <v>498</v>
      </c>
      <c r="BL181" s="76">
        <v>44817</v>
      </c>
      <c r="BM181" s="867" t="s">
        <v>1864</v>
      </c>
      <c r="BN181" s="868"/>
      <c r="BO181" s="868"/>
      <c r="BP181" s="869"/>
      <c r="BQ181" s="379"/>
      <c r="BR181" s="379"/>
      <c r="BS181" s="379"/>
      <c r="BT181" s="379"/>
      <c r="BU181" s="315"/>
      <c r="BV181" s="315"/>
      <c r="BW181" s="315"/>
      <c r="BX181" s="315"/>
      <c r="BY181" s="472"/>
      <c r="BZ181" s="472"/>
      <c r="CA181" s="472"/>
      <c r="CB181" s="472"/>
      <c r="CC181" s="27"/>
    </row>
    <row r="182" spans="1:81" s="8" customFormat="1" ht="40.35" customHeight="1" x14ac:dyDescent="0.25">
      <c r="A182" s="9">
        <v>220</v>
      </c>
      <c r="B182" s="183" t="s">
        <v>1354</v>
      </c>
      <c r="C182" s="11" t="s">
        <v>461</v>
      </c>
      <c r="D182" s="7" t="s">
        <v>1973</v>
      </c>
      <c r="E182" s="3" t="s">
        <v>12</v>
      </c>
      <c r="F182" s="381">
        <v>171</v>
      </c>
      <c r="G182" s="198" t="s">
        <v>69</v>
      </c>
      <c r="H182" s="9" t="s">
        <v>125</v>
      </c>
      <c r="I182" s="9" t="s">
        <v>125</v>
      </c>
      <c r="J182" s="9" t="s">
        <v>29</v>
      </c>
      <c r="K182" s="9" t="s">
        <v>98</v>
      </c>
      <c r="L182" s="9" t="s">
        <v>125</v>
      </c>
      <c r="M182" s="50" t="s">
        <v>1349</v>
      </c>
      <c r="N182" s="50" t="s">
        <v>498</v>
      </c>
      <c r="O182" s="51" t="s">
        <v>1350</v>
      </c>
      <c r="P182" s="244" t="s">
        <v>1974</v>
      </c>
      <c r="Q182" s="50" t="s">
        <v>499</v>
      </c>
      <c r="R182" s="50">
        <v>3</v>
      </c>
      <c r="S182" s="50" t="s">
        <v>500</v>
      </c>
      <c r="T182" s="50" t="s">
        <v>652</v>
      </c>
      <c r="U182" s="52" t="s">
        <v>1351</v>
      </c>
      <c r="V182" s="50" t="s">
        <v>503</v>
      </c>
      <c r="W182" s="365" t="s">
        <v>654</v>
      </c>
      <c r="X182" s="70" t="s">
        <v>1874</v>
      </c>
      <c r="Y182" s="60" t="s">
        <v>1875</v>
      </c>
      <c r="Z182" s="60" t="s">
        <v>1353</v>
      </c>
      <c r="AA182" s="60" t="s">
        <v>593</v>
      </c>
      <c r="AB182" s="224" t="s">
        <v>698</v>
      </c>
      <c r="AC182" s="55">
        <v>30530</v>
      </c>
      <c r="AD182" s="48">
        <f t="shared" si="118"/>
        <v>2</v>
      </c>
      <c r="AE182" s="48">
        <f t="shared" si="119"/>
        <v>8</v>
      </c>
      <c r="AF182" s="48">
        <f t="shared" si="120"/>
        <v>1983</v>
      </c>
      <c r="AG182" s="49">
        <f t="shared" si="121"/>
        <v>52445</v>
      </c>
      <c r="AH182" s="48">
        <f t="shared" ca="1" si="122"/>
        <v>17</v>
      </c>
      <c r="AI182" s="48">
        <f t="shared" ca="1" si="123"/>
        <v>7</v>
      </c>
      <c r="AJ182" s="48">
        <f t="shared" ca="1" si="124"/>
        <v>22</v>
      </c>
      <c r="AK182" s="48" t="str">
        <f t="shared" ca="1" si="125"/>
        <v>17year/7months/22Days</v>
      </c>
      <c r="AL182" s="384"/>
      <c r="AM182" s="384" t="s">
        <v>1774</v>
      </c>
      <c r="AN182" s="276">
        <v>886</v>
      </c>
      <c r="AO182" s="384"/>
      <c r="AP182" s="384"/>
      <c r="AQ182" s="384"/>
      <c r="AR182" s="384"/>
      <c r="AS182" s="384"/>
      <c r="AT182" s="384"/>
      <c r="AU182" s="384"/>
      <c r="AV182" s="384"/>
      <c r="AW182" s="384"/>
      <c r="AX182" s="384"/>
      <c r="AY182" s="50">
        <v>2023</v>
      </c>
      <c r="AZ182" s="107">
        <v>4</v>
      </c>
      <c r="BA182" s="78">
        <v>573</v>
      </c>
      <c r="BB182" s="78">
        <v>120</v>
      </c>
      <c r="BC182" s="78" t="s">
        <v>498</v>
      </c>
      <c r="BD182" s="78">
        <v>31</v>
      </c>
      <c r="BE182" s="78">
        <v>420</v>
      </c>
      <c r="BF182" s="74">
        <f t="shared" si="144"/>
        <v>73.298429319371721</v>
      </c>
      <c r="BG182" s="78" t="s">
        <v>498</v>
      </c>
      <c r="BH182" s="78">
        <v>2</v>
      </c>
      <c r="BI182" s="78">
        <v>573</v>
      </c>
      <c r="BJ182" s="78" t="s">
        <v>498</v>
      </c>
      <c r="BK182" s="78" t="s">
        <v>498</v>
      </c>
      <c r="BL182" s="76">
        <v>45324</v>
      </c>
      <c r="BM182" s="867" t="s">
        <v>1792</v>
      </c>
      <c r="BN182" s="868"/>
      <c r="BO182" s="868"/>
      <c r="BP182" s="869"/>
      <c r="BQ182" s="870">
        <v>45542</v>
      </c>
      <c r="BR182" s="871"/>
      <c r="BS182" s="871"/>
      <c r="BT182" s="872"/>
      <c r="BU182" s="867" t="s">
        <v>2639</v>
      </c>
      <c r="BV182" s="868"/>
      <c r="BW182" s="868"/>
      <c r="BX182" s="869"/>
      <c r="BY182" s="476"/>
      <c r="BZ182" s="476"/>
      <c r="CA182" s="476"/>
      <c r="CB182" s="476"/>
      <c r="CC182" s="27"/>
    </row>
    <row r="183" spans="1:81" s="8" customFormat="1" ht="40.35" customHeight="1" x14ac:dyDescent="0.3">
      <c r="A183" s="558">
        <v>221</v>
      </c>
      <c r="B183" s="183" t="s">
        <v>1366</v>
      </c>
      <c r="C183" s="11" t="s">
        <v>463</v>
      </c>
      <c r="D183" s="3" t="s">
        <v>2768</v>
      </c>
      <c r="E183" s="3" t="s">
        <v>12</v>
      </c>
      <c r="F183" s="3">
        <v>172</v>
      </c>
      <c r="G183" s="198" t="s">
        <v>69</v>
      </c>
      <c r="H183" s="9" t="s">
        <v>125</v>
      </c>
      <c r="I183" s="9" t="s">
        <v>125</v>
      </c>
      <c r="J183" s="9" t="s">
        <v>29</v>
      </c>
      <c r="K183" s="9" t="s">
        <v>98</v>
      </c>
      <c r="L183" s="9" t="s">
        <v>125</v>
      </c>
      <c r="M183" s="50" t="s">
        <v>1363</v>
      </c>
      <c r="N183" s="50" t="s">
        <v>1363</v>
      </c>
      <c r="O183" s="51" t="s">
        <v>2769</v>
      </c>
      <c r="P183" s="243" t="s">
        <v>2770</v>
      </c>
      <c r="Q183" s="50" t="s">
        <v>499</v>
      </c>
      <c r="R183" s="50">
        <v>1</v>
      </c>
      <c r="S183" s="50" t="s">
        <v>645</v>
      </c>
      <c r="T183" s="50" t="s">
        <v>886</v>
      </c>
      <c r="U183" s="52" t="s">
        <v>1351</v>
      </c>
      <c r="V183" s="50" t="s">
        <v>503</v>
      </c>
      <c r="W183" s="50" t="s">
        <v>527</v>
      </c>
      <c r="X183" s="70" t="s">
        <v>1364</v>
      </c>
      <c r="Y183" s="50" t="s">
        <v>1365</v>
      </c>
      <c r="Z183" s="60" t="s">
        <v>2771</v>
      </c>
      <c r="AA183" s="50" t="s">
        <v>709</v>
      </c>
      <c r="AB183" s="50" t="s">
        <v>710</v>
      </c>
      <c r="AC183" s="55">
        <v>24592</v>
      </c>
      <c r="AD183" s="48">
        <f t="shared" si="118"/>
        <v>30</v>
      </c>
      <c r="AE183" s="48">
        <f t="shared" si="119"/>
        <v>4</v>
      </c>
      <c r="AF183" s="48">
        <f t="shared" si="120"/>
        <v>1967</v>
      </c>
      <c r="AG183" s="49">
        <f t="shared" si="121"/>
        <v>46507</v>
      </c>
      <c r="AH183" s="48">
        <f t="shared" ca="1" si="122"/>
        <v>1</v>
      </c>
      <c r="AI183" s="48">
        <f t="shared" ca="1" si="123"/>
        <v>4</v>
      </c>
      <c r="AJ183" s="48">
        <f t="shared" ca="1" si="124"/>
        <v>19</v>
      </c>
      <c r="AK183" s="48" t="str">
        <f t="shared" ca="1" si="125"/>
        <v>1year/4months/19Days</v>
      </c>
      <c r="AL183" s="384"/>
      <c r="AM183" s="384" t="s">
        <v>1775</v>
      </c>
      <c r="AN183" s="276">
        <v>1948</v>
      </c>
      <c r="AO183" s="384"/>
      <c r="AP183" s="384"/>
      <c r="AQ183" s="384"/>
      <c r="AR183" s="384"/>
      <c r="AS183" s="384"/>
      <c r="AT183" s="384"/>
      <c r="AU183" s="384"/>
      <c r="AV183" s="384"/>
      <c r="AW183" s="384"/>
      <c r="AX183" s="384"/>
      <c r="AY183" s="78">
        <v>2024</v>
      </c>
      <c r="AZ183" s="107">
        <v>5</v>
      </c>
      <c r="BA183" s="78">
        <v>821</v>
      </c>
      <c r="BB183" s="78" t="s">
        <v>498</v>
      </c>
      <c r="BC183" s="78">
        <v>597</v>
      </c>
      <c r="BD183" s="78">
        <v>15</v>
      </c>
      <c r="BE183" s="78">
        <v>108</v>
      </c>
      <c r="BF183" s="74">
        <f t="shared" si="144"/>
        <v>13.15468940316687</v>
      </c>
      <c r="BG183" s="78">
        <v>95</v>
      </c>
      <c r="BH183" s="78" t="s">
        <v>498</v>
      </c>
      <c r="BI183" s="78" t="s">
        <v>498</v>
      </c>
      <c r="BJ183" s="78">
        <v>821</v>
      </c>
      <c r="BK183" s="50" t="s">
        <v>498</v>
      </c>
      <c r="BL183" s="76">
        <v>45601</v>
      </c>
      <c r="BM183" s="867" t="s">
        <v>1799</v>
      </c>
      <c r="BN183" s="868"/>
      <c r="BO183" s="868"/>
      <c r="BP183" s="869"/>
      <c r="BQ183" s="305"/>
      <c r="BR183" s="305"/>
      <c r="BS183" s="305"/>
      <c r="BT183" s="305"/>
      <c r="BU183" s="867" t="s">
        <v>2637</v>
      </c>
      <c r="BV183" s="868"/>
      <c r="BW183" s="868"/>
      <c r="BX183" s="869"/>
      <c r="BY183" s="870" t="s">
        <v>2764</v>
      </c>
      <c r="BZ183" s="871"/>
      <c r="CA183" s="871"/>
      <c r="CB183" s="872"/>
      <c r="CC183" s="27"/>
    </row>
    <row r="184" spans="1:81" s="23" customFormat="1" ht="40.35" customHeight="1" x14ac:dyDescent="0.25">
      <c r="A184" s="581">
        <v>222</v>
      </c>
      <c r="B184" s="186" t="s">
        <v>1362</v>
      </c>
      <c r="C184" s="167" t="s">
        <v>465</v>
      </c>
      <c r="D184" s="168" t="s">
        <v>125</v>
      </c>
      <c r="E184" s="190" t="s">
        <v>12</v>
      </c>
      <c r="F184" s="191">
        <v>173</v>
      </c>
      <c r="G184" s="208" t="s">
        <v>69</v>
      </c>
      <c r="H184" s="189" t="s">
        <v>125</v>
      </c>
      <c r="I184" s="189" t="s">
        <v>125</v>
      </c>
      <c r="J184" s="189" t="s">
        <v>29</v>
      </c>
      <c r="K184" s="189" t="s">
        <v>98</v>
      </c>
      <c r="L184" s="189" t="s">
        <v>125</v>
      </c>
      <c r="M184" s="50" t="s">
        <v>1355</v>
      </c>
      <c r="N184" s="50" t="s">
        <v>1356</v>
      </c>
      <c r="O184" s="51" t="s">
        <v>1357</v>
      </c>
      <c r="P184" s="244" t="s">
        <v>1358</v>
      </c>
      <c r="Q184" s="50" t="s">
        <v>499</v>
      </c>
      <c r="R184" s="50" t="s">
        <v>557</v>
      </c>
      <c r="S184" s="50" t="s">
        <v>637</v>
      </c>
      <c r="T184" s="50" t="s">
        <v>652</v>
      </c>
      <c r="U184" s="52" t="s">
        <v>583</v>
      </c>
      <c r="V184" s="50" t="s">
        <v>503</v>
      </c>
      <c r="W184" s="50" t="s">
        <v>654</v>
      </c>
      <c r="X184" s="70" t="s">
        <v>1933</v>
      </c>
      <c r="Y184" s="60" t="s">
        <v>1359</v>
      </c>
      <c r="Z184" s="60" t="s">
        <v>1360</v>
      </c>
      <c r="AA184" s="50" t="s">
        <v>562</v>
      </c>
      <c r="AB184" s="50" t="s">
        <v>1361</v>
      </c>
      <c r="AC184" s="55">
        <v>23731</v>
      </c>
      <c r="AD184" s="48">
        <f t="shared" si="118"/>
        <v>20</v>
      </c>
      <c r="AE184" s="48">
        <f t="shared" si="119"/>
        <v>12</v>
      </c>
      <c r="AF184" s="48">
        <f t="shared" si="120"/>
        <v>1964</v>
      </c>
      <c r="AG184" s="49">
        <f t="shared" si="121"/>
        <v>45646</v>
      </c>
      <c r="AH184" s="48" t="e">
        <f t="shared" ca="1" si="122"/>
        <v>#NUM!</v>
      </c>
      <c r="AI184" s="48" t="e">
        <f t="shared" ca="1" si="123"/>
        <v>#NUM!</v>
      </c>
      <c r="AJ184" s="48" t="e">
        <f t="shared" ca="1" si="124"/>
        <v>#NUM!</v>
      </c>
      <c r="AK184" s="48" t="e">
        <f t="shared" ca="1" si="125"/>
        <v>#NUM!</v>
      </c>
      <c r="AL184" s="384"/>
      <c r="AM184" s="384" t="s">
        <v>1776</v>
      </c>
      <c r="AN184" s="276">
        <v>1909</v>
      </c>
      <c r="AO184" s="384"/>
      <c r="AP184" s="384"/>
      <c r="AQ184" s="384"/>
      <c r="AR184" s="384"/>
      <c r="AS184" s="384"/>
      <c r="AT184" s="384"/>
      <c r="AU184" s="384"/>
      <c r="AV184" s="384"/>
      <c r="AW184" s="384"/>
      <c r="AX184" s="384"/>
      <c r="AY184" s="50">
        <v>2024</v>
      </c>
      <c r="AZ184" s="107">
        <v>5</v>
      </c>
      <c r="BA184" s="78">
        <v>1753</v>
      </c>
      <c r="BB184" s="78">
        <v>468</v>
      </c>
      <c r="BC184" s="78">
        <v>294</v>
      </c>
      <c r="BD184" s="78">
        <v>84</v>
      </c>
      <c r="BE184" s="78">
        <v>907</v>
      </c>
      <c r="BF184" s="74">
        <f t="shared" si="144"/>
        <v>51.739874500855677</v>
      </c>
      <c r="BG184" s="78" t="s">
        <v>498</v>
      </c>
      <c r="BH184" s="78" t="s">
        <v>498</v>
      </c>
      <c r="BI184" s="78">
        <v>1349</v>
      </c>
      <c r="BJ184" s="78">
        <v>404</v>
      </c>
      <c r="BK184" s="78" t="s">
        <v>498</v>
      </c>
      <c r="BL184" s="76">
        <v>45597</v>
      </c>
      <c r="BM184" s="867" t="s">
        <v>1792</v>
      </c>
      <c r="BN184" s="868"/>
      <c r="BO184" s="868"/>
      <c r="BP184" s="869"/>
      <c r="BQ184" s="867">
        <v>39692</v>
      </c>
      <c r="BR184" s="868"/>
      <c r="BS184" s="868"/>
      <c r="BT184" s="869"/>
      <c r="BU184" s="867" t="s">
        <v>2637</v>
      </c>
      <c r="BV184" s="868"/>
      <c r="BW184" s="868"/>
      <c r="BX184" s="869"/>
      <c r="BY184" s="867" t="s">
        <v>2739</v>
      </c>
      <c r="BZ184" s="868"/>
      <c r="CA184" s="868"/>
      <c r="CB184" s="869"/>
      <c r="CC184" s="28"/>
    </row>
    <row r="185" spans="1:81" s="203" customFormat="1" ht="40.35" customHeight="1" x14ac:dyDescent="0.3">
      <c r="A185" s="585">
        <v>223</v>
      </c>
      <c r="B185" s="113" t="s">
        <v>1448</v>
      </c>
      <c r="C185" s="201"/>
      <c r="D185" s="199" t="s">
        <v>1957</v>
      </c>
      <c r="E185" s="204" t="s">
        <v>1439</v>
      </c>
      <c r="F185" s="22">
        <v>5</v>
      </c>
      <c r="G185" s="202" t="s">
        <v>69</v>
      </c>
      <c r="H185" s="202" t="s">
        <v>125</v>
      </c>
      <c r="I185" s="202" t="s">
        <v>125</v>
      </c>
      <c r="J185" s="202" t="s">
        <v>29</v>
      </c>
      <c r="K185" s="202" t="s">
        <v>99</v>
      </c>
      <c r="L185" s="202" t="s">
        <v>125</v>
      </c>
      <c r="M185" s="50" t="s">
        <v>1450</v>
      </c>
      <c r="N185" s="50" t="s">
        <v>1450</v>
      </c>
      <c r="O185" s="51" t="s">
        <v>1451</v>
      </c>
      <c r="P185" s="244" t="s">
        <v>1958</v>
      </c>
      <c r="Q185" s="50" t="s">
        <v>556</v>
      </c>
      <c r="R185" s="50" t="s">
        <v>557</v>
      </c>
      <c r="S185" s="50" t="s">
        <v>573</v>
      </c>
      <c r="T185" s="50" t="s">
        <v>671</v>
      </c>
      <c r="U185" s="52" t="s">
        <v>561</v>
      </c>
      <c r="V185" s="50" t="s">
        <v>503</v>
      </c>
      <c r="W185" s="50" t="s">
        <v>567</v>
      </c>
      <c r="X185" s="53" t="s">
        <v>1959</v>
      </c>
      <c r="Y185" s="70" t="s">
        <v>1453</v>
      </c>
      <c r="Z185" s="53" t="s">
        <v>1454</v>
      </c>
      <c r="AA185" s="50" t="s">
        <v>1455</v>
      </c>
      <c r="AB185" s="50" t="s">
        <v>710</v>
      </c>
      <c r="AC185" s="55">
        <v>24453</v>
      </c>
      <c r="AD185" s="48">
        <f t="shared" si="118"/>
        <v>12</v>
      </c>
      <c r="AE185" s="48">
        <f t="shared" si="119"/>
        <v>12</v>
      </c>
      <c r="AF185" s="48">
        <f t="shared" si="120"/>
        <v>1966</v>
      </c>
      <c r="AG185" s="49">
        <f t="shared" si="121"/>
        <v>46368</v>
      </c>
      <c r="AH185" s="48">
        <f t="shared" ca="1" si="122"/>
        <v>1</v>
      </c>
      <c r="AI185" s="48">
        <f t="shared" ca="1" si="123"/>
        <v>0</v>
      </c>
      <c r="AJ185" s="48">
        <f t="shared" ca="1" si="124"/>
        <v>1</v>
      </c>
      <c r="AK185" s="48" t="str">
        <f t="shared" ca="1" si="125"/>
        <v>1year/0months/1Days</v>
      </c>
      <c r="AL185" s="384"/>
      <c r="AM185" s="384" t="s">
        <v>1777</v>
      </c>
      <c r="AN185" s="276"/>
      <c r="AO185" s="384"/>
      <c r="AP185" s="384"/>
      <c r="AQ185" s="384"/>
      <c r="AR185" s="384"/>
      <c r="AS185" s="384"/>
      <c r="AT185" s="384"/>
      <c r="AU185" s="384"/>
      <c r="AV185" s="384"/>
      <c r="AW185" s="384"/>
      <c r="AX185" s="384"/>
      <c r="AY185" s="50">
        <v>2024</v>
      </c>
      <c r="AZ185" s="107" t="s">
        <v>1910</v>
      </c>
      <c r="BA185" s="78">
        <v>2270</v>
      </c>
      <c r="BB185" s="78">
        <v>493</v>
      </c>
      <c r="BC185" s="78">
        <v>261</v>
      </c>
      <c r="BD185" s="78">
        <v>100</v>
      </c>
      <c r="BE185" s="78">
        <v>1273</v>
      </c>
      <c r="BF185" s="86">
        <f t="shared" si="144"/>
        <v>56.079295154185026</v>
      </c>
      <c r="BG185" s="78">
        <v>62</v>
      </c>
      <c r="BH185" s="78" t="s">
        <v>498</v>
      </c>
      <c r="BI185" s="78">
        <v>1753</v>
      </c>
      <c r="BJ185" s="78">
        <v>369</v>
      </c>
      <c r="BK185" s="78">
        <v>148</v>
      </c>
      <c r="BL185" s="76">
        <v>45624</v>
      </c>
      <c r="BM185" s="867" t="s">
        <v>1792</v>
      </c>
      <c r="BN185" s="868"/>
      <c r="BO185" s="868"/>
      <c r="BP185" s="869"/>
      <c r="BQ185" s="867" t="s">
        <v>1837</v>
      </c>
      <c r="BR185" s="868"/>
      <c r="BS185" s="868"/>
      <c r="BT185" s="869"/>
      <c r="BU185" s="867" t="s">
        <v>2637</v>
      </c>
      <c r="BV185" s="868"/>
      <c r="BW185" s="868"/>
      <c r="BX185" s="869"/>
      <c r="BY185" s="867" t="s">
        <v>2800</v>
      </c>
      <c r="BZ185" s="868"/>
      <c r="CA185" s="868"/>
      <c r="CB185" s="869"/>
      <c r="CC185" s="28"/>
    </row>
    <row r="186" spans="1:81" s="28" customFormat="1" ht="40.35" customHeight="1" x14ac:dyDescent="0.3">
      <c r="A186" s="239"/>
      <c r="B186" s="238" t="s">
        <v>1530</v>
      </c>
      <c r="C186" s="236"/>
      <c r="D186" s="60" t="s">
        <v>1531</v>
      </c>
      <c r="E186" s="237"/>
      <c r="F186" s="235"/>
      <c r="G186" s="206" t="s">
        <v>26</v>
      </c>
      <c r="H186" s="50" t="s">
        <v>1532</v>
      </c>
      <c r="I186" s="4" t="s">
        <v>146</v>
      </c>
      <c r="J186" s="50" t="s">
        <v>29</v>
      </c>
      <c r="K186" s="50" t="s">
        <v>26</v>
      </c>
      <c r="L186" s="50" t="s">
        <v>1532</v>
      </c>
      <c r="M186" s="50" t="s">
        <v>1533</v>
      </c>
      <c r="N186" s="50" t="s">
        <v>498</v>
      </c>
      <c r="O186" s="51" t="s">
        <v>2728</v>
      </c>
      <c r="P186" s="244" t="s">
        <v>2729</v>
      </c>
      <c r="Q186" s="50" t="s">
        <v>499</v>
      </c>
      <c r="R186" s="50">
        <v>2</v>
      </c>
      <c r="S186" s="50" t="s">
        <v>500</v>
      </c>
      <c r="T186" s="50" t="s">
        <v>886</v>
      </c>
      <c r="U186" s="97" t="s">
        <v>502</v>
      </c>
      <c r="V186" s="60" t="s">
        <v>503</v>
      </c>
      <c r="W186" s="60"/>
      <c r="X186" s="113"/>
      <c r="Y186" s="50"/>
      <c r="Z186" s="60"/>
      <c r="AA186" s="50"/>
      <c r="AB186" s="50" t="s">
        <v>710</v>
      </c>
      <c r="AC186" s="55"/>
      <c r="AD186" s="48"/>
      <c r="AE186" s="48"/>
      <c r="AF186" s="48"/>
      <c r="AG186" s="49"/>
      <c r="AH186" s="48"/>
      <c r="AI186" s="48"/>
      <c r="AJ186" s="48"/>
      <c r="AK186" s="48"/>
      <c r="AL186" s="142"/>
      <c r="AM186" s="136"/>
      <c r="AN186" s="284"/>
      <c r="AO186" s="119"/>
      <c r="AP186" s="119"/>
      <c r="AQ186" s="119"/>
      <c r="AR186" s="119"/>
      <c r="AS186" s="119"/>
      <c r="AT186" s="119"/>
      <c r="AU186" s="119"/>
      <c r="AV186" s="119"/>
      <c r="AW186" s="119"/>
      <c r="AX186" s="119"/>
      <c r="AY186" s="78">
        <v>2024</v>
      </c>
      <c r="AZ186" s="107">
        <v>1</v>
      </c>
      <c r="BA186" s="78">
        <v>241</v>
      </c>
      <c r="BB186" s="78">
        <v>55</v>
      </c>
      <c r="BC186" s="78" t="s">
        <v>498</v>
      </c>
      <c r="BD186" s="78" t="s">
        <v>498</v>
      </c>
      <c r="BE186" s="78">
        <v>184</v>
      </c>
      <c r="BF186" s="74">
        <f t="shared" si="144"/>
        <v>76.348547717842322</v>
      </c>
      <c r="BG186" s="78" t="s">
        <v>498</v>
      </c>
      <c r="BH186" s="78" t="s">
        <v>498</v>
      </c>
      <c r="BI186" s="78">
        <v>241</v>
      </c>
      <c r="BJ186" s="78" t="s">
        <v>498</v>
      </c>
      <c r="BK186" s="78" t="s">
        <v>498</v>
      </c>
      <c r="BL186" s="76">
        <v>45596</v>
      </c>
      <c r="BM186" s="313"/>
      <c r="BN186" s="305"/>
      <c r="BO186" s="305"/>
      <c r="BP186" s="305"/>
      <c r="BQ186" s="305"/>
      <c r="BR186" s="305"/>
      <c r="BS186" s="305"/>
      <c r="BT186" s="305"/>
      <c r="BU186" s="867" t="s">
        <v>2650</v>
      </c>
      <c r="BV186" s="868"/>
      <c r="BW186" s="868"/>
      <c r="BX186" s="869"/>
      <c r="BY186" s="870" t="s">
        <v>2730</v>
      </c>
      <c r="BZ186" s="871"/>
      <c r="CA186" s="871"/>
      <c r="CB186" s="872"/>
    </row>
    <row r="187" spans="1:81" s="8" customFormat="1" ht="40.35" customHeight="1" x14ac:dyDescent="0.3">
      <c r="A187" s="590">
        <v>224</v>
      </c>
      <c r="B187" s="182" t="s">
        <v>1368</v>
      </c>
      <c r="C187" s="36" t="s">
        <v>467</v>
      </c>
      <c r="D187" s="381" t="s">
        <v>1369</v>
      </c>
      <c r="E187" s="381" t="s">
        <v>12</v>
      </c>
      <c r="F187" s="381">
        <v>174</v>
      </c>
      <c r="G187" s="206" t="s">
        <v>26</v>
      </c>
      <c r="H187" s="4" t="s">
        <v>31</v>
      </c>
      <c r="I187" s="4" t="s">
        <v>146</v>
      </c>
      <c r="J187" s="4" t="s">
        <v>29</v>
      </c>
      <c r="K187" s="4" t="s">
        <v>30</v>
      </c>
      <c r="L187" s="218" t="s">
        <v>31</v>
      </c>
      <c r="M187" s="366" t="s">
        <v>1367</v>
      </c>
      <c r="N187" s="366"/>
      <c r="O187" s="125" t="s">
        <v>2808</v>
      </c>
      <c r="P187" s="262" t="s">
        <v>2809</v>
      </c>
      <c r="Q187" s="366" t="s">
        <v>499</v>
      </c>
      <c r="R187" s="366">
        <v>2</v>
      </c>
      <c r="S187" s="366" t="s">
        <v>645</v>
      </c>
      <c r="T187" s="366" t="s">
        <v>886</v>
      </c>
      <c r="U187" s="147" t="s">
        <v>502</v>
      </c>
      <c r="V187" s="60" t="s">
        <v>526</v>
      </c>
      <c r="W187" s="60" t="s">
        <v>527</v>
      </c>
      <c r="X187" s="148" t="s">
        <v>2810</v>
      </c>
      <c r="Y187" s="366" t="s">
        <v>2792</v>
      </c>
      <c r="Z187" s="366" t="s">
        <v>2811</v>
      </c>
      <c r="AA187" s="366" t="s">
        <v>2793</v>
      </c>
      <c r="AB187" s="366" t="s">
        <v>2673</v>
      </c>
      <c r="AC187" s="55">
        <v>27082</v>
      </c>
      <c r="AD187" s="48">
        <f t="shared" ref="AD187" si="145">DAY(AC187)</f>
        <v>22</v>
      </c>
      <c r="AE187" s="48">
        <f t="shared" ref="AE187" si="146">MONTH(AC187)</f>
        <v>2</v>
      </c>
      <c r="AF187" s="48">
        <f t="shared" ref="AF187" si="147">YEAR(AC187)</f>
        <v>1974</v>
      </c>
      <c r="AG187" s="49">
        <f t="shared" ref="AG187" si="148">EDATE(AC187,12*60)</f>
        <v>48997</v>
      </c>
      <c r="AH187" s="48">
        <f t="shared" ref="AH187" ca="1" si="149">DATEDIF($A$4,AG187, "Y" )</f>
        <v>8</v>
      </c>
      <c r="AI187" s="48">
        <f t="shared" ref="AI187" ca="1" si="150">DATEDIF($A$4,AG187, "YM" )</f>
        <v>2</v>
      </c>
      <c r="AJ187" s="48">
        <f t="shared" ref="AJ187" ca="1" si="151">DATEDIF($A$4,AG187, "MD" )</f>
        <v>11</v>
      </c>
      <c r="AK187" s="48" t="str">
        <f t="shared" ref="AK187" ca="1" si="152">CONCATENATE(AH187,"year","/",AI187,"months","/",AJ187,"Days")</f>
        <v>8year/2months/11Days</v>
      </c>
      <c r="AL187" s="200"/>
      <c r="AM187" s="149" t="s">
        <v>1778</v>
      </c>
      <c r="AN187" s="283">
        <v>1951</v>
      </c>
      <c r="AO187" s="200"/>
      <c r="AP187" s="200"/>
      <c r="AQ187" s="200"/>
      <c r="AR187" s="200"/>
      <c r="AS187" s="200"/>
      <c r="AT187" s="200"/>
      <c r="AU187" s="200"/>
      <c r="AV187" s="200"/>
      <c r="AW187" s="200"/>
      <c r="AX187" s="200"/>
      <c r="AY187" s="137">
        <v>2024</v>
      </c>
      <c r="AZ187" s="150">
        <v>1</v>
      </c>
      <c r="BA187" s="137">
        <v>51</v>
      </c>
      <c r="BB187" s="137" t="s">
        <v>498</v>
      </c>
      <c r="BC187" s="137">
        <v>27</v>
      </c>
      <c r="BD187" s="137" t="s">
        <v>498</v>
      </c>
      <c r="BE187" s="137">
        <v>24</v>
      </c>
      <c r="BF187" s="86">
        <f t="shared" si="144"/>
        <v>47.058823529411761</v>
      </c>
      <c r="BG187" s="137" t="s">
        <v>498</v>
      </c>
      <c r="BH187" s="137" t="s">
        <v>498</v>
      </c>
      <c r="BI187" s="137" t="s">
        <v>498</v>
      </c>
      <c r="BJ187" s="137">
        <v>51</v>
      </c>
      <c r="BK187" s="78" t="s">
        <v>498</v>
      </c>
      <c r="BL187" s="151">
        <v>45636</v>
      </c>
      <c r="BM187" s="312"/>
      <c r="BN187" s="309"/>
      <c r="BO187" s="309"/>
      <c r="BP187" s="309"/>
      <c r="BQ187" s="309"/>
      <c r="BR187" s="309"/>
      <c r="BS187" s="309"/>
      <c r="BT187" s="305"/>
      <c r="BU187" s="867" t="s">
        <v>2650</v>
      </c>
      <c r="BV187" s="868"/>
      <c r="BW187" s="868"/>
      <c r="BX187" s="869"/>
      <c r="BY187" s="879" t="s">
        <v>2812</v>
      </c>
      <c r="BZ187" s="880"/>
      <c r="CA187" s="880"/>
      <c r="CB187" s="881"/>
      <c r="CC187" s="27"/>
    </row>
    <row r="188" spans="1:81" s="8" customFormat="1" ht="40.35" customHeight="1" x14ac:dyDescent="0.25">
      <c r="A188" s="587">
        <v>225</v>
      </c>
      <c r="B188" s="184" t="s">
        <v>1425</v>
      </c>
      <c r="C188" s="17" t="s">
        <v>469</v>
      </c>
      <c r="D188" s="7" t="s">
        <v>1426</v>
      </c>
      <c r="E188" s="3" t="s">
        <v>12</v>
      </c>
      <c r="F188" s="3">
        <v>175</v>
      </c>
      <c r="G188" s="198" t="s">
        <v>69</v>
      </c>
      <c r="H188" s="202" t="s">
        <v>80</v>
      </c>
      <c r="I188" s="212" t="s">
        <v>293</v>
      </c>
      <c r="J188" s="9" t="s">
        <v>29</v>
      </c>
      <c r="K188" s="9" t="s">
        <v>29</v>
      </c>
      <c r="L188" s="215" t="s">
        <v>29</v>
      </c>
      <c r="M188" s="1"/>
      <c r="N188" s="1"/>
      <c r="O188" s="1"/>
      <c r="P188" s="588">
        <v>1179</v>
      </c>
      <c r="Q188" s="586" t="s">
        <v>499</v>
      </c>
      <c r="R188" s="3">
        <v>3</v>
      </c>
      <c r="S188" s="3" t="s">
        <v>500</v>
      </c>
      <c r="T188" s="586" t="s">
        <v>886</v>
      </c>
      <c r="U188" s="3" t="s">
        <v>658</v>
      </c>
      <c r="V188" s="50" t="s">
        <v>503</v>
      </c>
      <c r="W188" s="50" t="s">
        <v>542</v>
      </c>
      <c r="X188" s="1" t="s">
        <v>2805</v>
      </c>
      <c r="Y188" s="3" t="s">
        <v>2806</v>
      </c>
      <c r="Z188" s="1" t="s">
        <v>2807</v>
      </c>
      <c r="AA188" s="3" t="s">
        <v>538</v>
      </c>
      <c r="AB188" s="3" t="s">
        <v>506</v>
      </c>
      <c r="AC188" s="55">
        <v>29401</v>
      </c>
      <c r="AD188" s="48">
        <f t="shared" si="118"/>
        <v>29</v>
      </c>
      <c r="AE188" s="48">
        <f t="shared" si="119"/>
        <v>6</v>
      </c>
      <c r="AF188" s="48">
        <f t="shared" si="120"/>
        <v>1980</v>
      </c>
      <c r="AG188" s="49">
        <f t="shared" si="121"/>
        <v>51316</v>
      </c>
      <c r="AH188" s="48">
        <f t="shared" ca="1" si="122"/>
        <v>14</v>
      </c>
      <c r="AI188" s="48">
        <f t="shared" ca="1" si="123"/>
        <v>6</v>
      </c>
      <c r="AJ188" s="48">
        <f t="shared" ca="1" si="124"/>
        <v>18</v>
      </c>
      <c r="AK188" s="48" t="str">
        <f t="shared" ca="1" si="125"/>
        <v>14year/6months/18Days</v>
      </c>
      <c r="AL188" s="1"/>
      <c r="AM188" s="3" t="s">
        <v>1779</v>
      </c>
      <c r="AN188" s="3">
        <v>537</v>
      </c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3">
        <v>2024</v>
      </c>
      <c r="AZ188" s="246" t="s">
        <v>1917</v>
      </c>
      <c r="BA188" s="3">
        <v>27</v>
      </c>
      <c r="BB188" s="3">
        <v>14</v>
      </c>
      <c r="BC188" s="3" t="s">
        <v>498</v>
      </c>
      <c r="BD188" s="3" t="s">
        <v>498</v>
      </c>
      <c r="BE188" s="3">
        <v>13</v>
      </c>
      <c r="BF188" s="589">
        <f t="shared" si="144"/>
        <v>48.148148148148145</v>
      </c>
      <c r="BG188" s="137" t="s">
        <v>498</v>
      </c>
      <c r="BH188" s="137" t="s">
        <v>498</v>
      </c>
      <c r="BI188" s="3">
        <v>27</v>
      </c>
      <c r="BJ188" s="3"/>
      <c r="BK188" s="3"/>
      <c r="BL188" s="151">
        <v>45636</v>
      </c>
      <c r="BM188" s="306"/>
      <c r="BN188" s="306"/>
      <c r="BO188" s="306"/>
      <c r="BP188" s="306"/>
      <c r="BQ188" s="306"/>
      <c r="BR188" s="306"/>
      <c r="BS188" s="306"/>
      <c r="BT188" s="306"/>
      <c r="BU188" s="879" t="s">
        <v>2650</v>
      </c>
      <c r="BV188" s="880"/>
      <c r="BW188" s="880"/>
      <c r="BX188" s="881"/>
      <c r="BY188" s="879" t="s">
        <v>2796</v>
      </c>
      <c r="BZ188" s="880"/>
      <c r="CA188" s="880"/>
      <c r="CB188" s="881"/>
      <c r="CC188" s="27"/>
    </row>
    <row r="189" spans="1:81" s="8" customFormat="1" ht="40.35" customHeight="1" x14ac:dyDescent="0.25">
      <c r="A189" s="4">
        <v>226</v>
      </c>
      <c r="B189" s="187" t="s">
        <v>879</v>
      </c>
      <c r="C189" s="26" t="s">
        <v>471</v>
      </c>
      <c r="D189" s="381" t="s">
        <v>880</v>
      </c>
      <c r="E189" s="381" t="s">
        <v>12</v>
      </c>
      <c r="F189" s="381">
        <v>176</v>
      </c>
      <c r="G189" s="198" t="s">
        <v>13</v>
      </c>
      <c r="H189" s="171" t="s">
        <v>19</v>
      </c>
      <c r="I189" s="171" t="s">
        <v>357</v>
      </c>
      <c r="J189" s="171" t="s">
        <v>110</v>
      </c>
      <c r="K189" s="171" t="s">
        <v>22</v>
      </c>
      <c r="L189" s="171" t="s">
        <v>23</v>
      </c>
      <c r="M189" s="50" t="s">
        <v>872</v>
      </c>
      <c r="N189" s="50" t="s">
        <v>498</v>
      </c>
      <c r="O189" s="51" t="s">
        <v>873</v>
      </c>
      <c r="P189" s="250" t="s">
        <v>874</v>
      </c>
      <c r="Q189" s="50" t="s">
        <v>499</v>
      </c>
      <c r="R189" s="50">
        <v>2</v>
      </c>
      <c r="S189" s="50" t="s">
        <v>500</v>
      </c>
      <c r="T189" s="50" t="s">
        <v>524</v>
      </c>
      <c r="U189" s="52" t="s">
        <v>865</v>
      </c>
      <c r="V189" s="50" t="s">
        <v>589</v>
      </c>
      <c r="W189" s="50" t="s">
        <v>542</v>
      </c>
      <c r="X189" s="70" t="s">
        <v>875</v>
      </c>
      <c r="Y189" s="50" t="s">
        <v>876</v>
      </c>
      <c r="Z189" s="60" t="s">
        <v>877</v>
      </c>
      <c r="AA189" s="50" t="s">
        <v>538</v>
      </c>
      <c r="AB189" s="50" t="s">
        <v>614</v>
      </c>
      <c r="AC189" s="55">
        <v>29355</v>
      </c>
      <c r="AD189" s="48">
        <f t="shared" si="118"/>
        <v>14</v>
      </c>
      <c r="AE189" s="48">
        <f t="shared" si="119"/>
        <v>5</v>
      </c>
      <c r="AF189" s="48">
        <f t="shared" si="120"/>
        <v>1980</v>
      </c>
      <c r="AG189" s="49">
        <f t="shared" si="121"/>
        <v>51270</v>
      </c>
      <c r="AH189" s="48">
        <f t="shared" ca="1" si="122"/>
        <v>14</v>
      </c>
      <c r="AI189" s="48">
        <f t="shared" ca="1" si="123"/>
        <v>5</v>
      </c>
      <c r="AJ189" s="48">
        <f t="shared" ca="1" si="124"/>
        <v>3</v>
      </c>
      <c r="AK189" s="48" t="str">
        <f t="shared" ca="1" si="125"/>
        <v>14year/5months/3Days</v>
      </c>
      <c r="AL189" s="106" t="s">
        <v>878</v>
      </c>
      <c r="AM189" s="106" t="s">
        <v>1780</v>
      </c>
      <c r="AN189" s="282">
        <v>1889</v>
      </c>
      <c r="AO189" s="106"/>
      <c r="AP189" s="106"/>
      <c r="AQ189" s="106"/>
      <c r="AR189" s="106"/>
      <c r="AS189" s="106"/>
      <c r="AT189" s="106"/>
      <c r="AU189" s="106"/>
      <c r="AV189" s="106"/>
      <c r="AW189" s="106"/>
      <c r="AX189" s="106"/>
      <c r="AY189" s="50">
        <v>2022</v>
      </c>
      <c r="AZ189" s="107">
        <v>1</v>
      </c>
      <c r="BA189" s="78">
        <v>284</v>
      </c>
      <c r="BB189" s="78">
        <v>227</v>
      </c>
      <c r="BC189" s="78" t="s">
        <v>498</v>
      </c>
      <c r="BD189" s="78" t="s">
        <v>498</v>
      </c>
      <c r="BE189" s="78">
        <v>57</v>
      </c>
      <c r="BF189" s="74">
        <f>BE189/BA189*100</f>
        <v>20.070422535211268</v>
      </c>
      <c r="BG189" s="78" t="s">
        <v>498</v>
      </c>
      <c r="BH189" s="78" t="s">
        <v>498</v>
      </c>
      <c r="BI189" s="78">
        <v>284</v>
      </c>
      <c r="BJ189" s="50" t="s">
        <v>498</v>
      </c>
      <c r="BK189" s="50" t="s">
        <v>498</v>
      </c>
      <c r="BL189" s="151">
        <v>44826</v>
      </c>
      <c r="BM189" s="379"/>
      <c r="BN189" s="379"/>
      <c r="BO189" s="379"/>
      <c r="BP189" s="379"/>
      <c r="BQ189" s="379"/>
      <c r="BR189" s="379"/>
      <c r="BS189" s="379"/>
      <c r="BT189" s="379"/>
      <c r="BU189" s="867" t="s">
        <v>2600</v>
      </c>
      <c r="BV189" s="868"/>
      <c r="BW189" s="868"/>
      <c r="BX189" s="869"/>
      <c r="BY189" s="472"/>
      <c r="BZ189" s="472"/>
      <c r="CA189" s="472"/>
      <c r="CB189" s="472"/>
      <c r="CC189" s="27"/>
    </row>
    <row r="190" spans="1:81" s="8" customFormat="1" ht="40.35" customHeight="1" x14ac:dyDescent="0.25">
      <c r="A190" s="558">
        <v>227</v>
      </c>
      <c r="B190" s="183" t="s">
        <v>884</v>
      </c>
      <c r="C190" s="11" t="s">
        <v>2840</v>
      </c>
      <c r="D190" s="7" t="s">
        <v>2839</v>
      </c>
      <c r="E190" s="3" t="s">
        <v>12</v>
      </c>
      <c r="F190" s="3">
        <v>177</v>
      </c>
      <c r="G190" s="209" t="s">
        <v>13</v>
      </c>
      <c r="H190" s="215" t="s">
        <v>19</v>
      </c>
      <c r="I190" s="9" t="s">
        <v>473</v>
      </c>
      <c r="J190" s="9" t="s">
        <v>110</v>
      </c>
      <c r="K190" s="58" t="s">
        <v>250</v>
      </c>
      <c r="L190" s="198" t="s">
        <v>474</v>
      </c>
      <c r="M190" s="50" t="s">
        <v>881</v>
      </c>
      <c r="N190" s="50" t="s">
        <v>498</v>
      </c>
      <c r="O190" s="51" t="s">
        <v>882</v>
      </c>
      <c r="P190" s="250" t="s">
        <v>883</v>
      </c>
      <c r="Q190" s="50" t="s">
        <v>499</v>
      </c>
      <c r="R190" s="50">
        <v>2</v>
      </c>
      <c r="S190" s="50" t="s">
        <v>500</v>
      </c>
      <c r="T190" s="50" t="s">
        <v>524</v>
      </c>
      <c r="U190" s="52" t="s">
        <v>865</v>
      </c>
      <c r="V190" s="60" t="s">
        <v>1065</v>
      </c>
      <c r="W190" s="50" t="s">
        <v>567</v>
      </c>
      <c r="X190" s="70" t="s">
        <v>2004</v>
      </c>
      <c r="Y190" s="60" t="s">
        <v>2005</v>
      </c>
      <c r="Z190" s="60" t="s">
        <v>2006</v>
      </c>
      <c r="AA190" s="50" t="s">
        <v>538</v>
      </c>
      <c r="AB190" s="50" t="s">
        <v>710</v>
      </c>
      <c r="AC190" s="55">
        <v>27254</v>
      </c>
      <c r="AD190" s="48">
        <f t="shared" si="118"/>
        <v>13</v>
      </c>
      <c r="AE190" s="48">
        <f t="shared" si="119"/>
        <v>8</v>
      </c>
      <c r="AF190" s="48">
        <f t="shared" si="120"/>
        <v>1974</v>
      </c>
      <c r="AG190" s="49">
        <f t="shared" si="121"/>
        <v>49169</v>
      </c>
      <c r="AH190" s="48">
        <f t="shared" ca="1" si="122"/>
        <v>8</v>
      </c>
      <c r="AI190" s="48">
        <f t="shared" ca="1" si="123"/>
        <v>8</v>
      </c>
      <c r="AJ190" s="48">
        <f t="shared" ca="1" si="124"/>
        <v>2</v>
      </c>
      <c r="AK190" s="48" t="str">
        <f t="shared" ca="1" si="125"/>
        <v>8year/8months/2Days</v>
      </c>
      <c r="AL190" s="384"/>
      <c r="AM190" s="384" t="s">
        <v>1781</v>
      </c>
      <c r="AN190" s="276">
        <v>1012</v>
      </c>
      <c r="AO190" s="384"/>
      <c r="AP190" s="384"/>
      <c r="AQ190" s="384"/>
      <c r="AR190" s="384"/>
      <c r="AS190" s="384"/>
      <c r="AT190" s="384"/>
      <c r="AU190" s="384"/>
      <c r="AV190" s="384"/>
      <c r="AW190" s="384"/>
      <c r="AX190" s="384"/>
      <c r="AY190" s="50">
        <v>2024</v>
      </c>
      <c r="AZ190" s="107">
        <v>1</v>
      </c>
      <c r="BA190" s="78">
        <v>227</v>
      </c>
      <c r="BB190" s="78">
        <v>158</v>
      </c>
      <c r="BC190" s="78" t="s">
        <v>498</v>
      </c>
      <c r="BD190" s="78">
        <v>2</v>
      </c>
      <c r="BE190" s="78">
        <v>67</v>
      </c>
      <c r="BF190" s="74">
        <f>BE190/BA190*100</f>
        <v>29.515418502202646</v>
      </c>
      <c r="BG190" s="78" t="s">
        <v>498</v>
      </c>
      <c r="BH190" s="78" t="s">
        <v>498</v>
      </c>
      <c r="BI190" s="78">
        <v>227</v>
      </c>
      <c r="BJ190" s="78" t="s">
        <v>498</v>
      </c>
      <c r="BK190" s="78" t="s">
        <v>498</v>
      </c>
      <c r="BL190" s="76">
        <v>45601</v>
      </c>
      <c r="BM190" s="867" t="s">
        <v>1799</v>
      </c>
      <c r="BN190" s="868"/>
      <c r="BO190" s="868"/>
      <c r="BP190" s="869"/>
      <c r="BQ190" s="888" t="s">
        <v>1851</v>
      </c>
      <c r="BR190" s="889"/>
      <c r="BS190" s="889"/>
      <c r="BT190" s="890"/>
      <c r="BU190" s="867" t="s">
        <v>2650</v>
      </c>
      <c r="BV190" s="868"/>
      <c r="BW190" s="868"/>
      <c r="BX190" s="869"/>
      <c r="BY190" s="888" t="s">
        <v>2773</v>
      </c>
      <c r="BZ190" s="889"/>
      <c r="CA190" s="889"/>
      <c r="CB190" s="890"/>
      <c r="CC190" s="27"/>
    </row>
    <row r="191" spans="1:81" s="8" customFormat="1" ht="40.35" customHeight="1" x14ac:dyDescent="0.3">
      <c r="A191" s="58" t="s">
        <v>1575</v>
      </c>
      <c r="B191" s="183" t="s">
        <v>1374</v>
      </c>
      <c r="C191" s="11" t="s">
        <v>476</v>
      </c>
      <c r="D191" s="3" t="s">
        <v>1375</v>
      </c>
      <c r="E191" s="3" t="s">
        <v>12</v>
      </c>
      <c r="F191" s="381">
        <v>178</v>
      </c>
      <c r="G191" s="210" t="s">
        <v>69</v>
      </c>
      <c r="H191" s="198" t="s">
        <v>125</v>
      </c>
      <c r="I191" s="9" t="s">
        <v>126</v>
      </c>
      <c r="J191" s="9" t="s">
        <v>29</v>
      </c>
      <c r="K191" s="9" t="s">
        <v>98</v>
      </c>
      <c r="L191" s="9" t="s">
        <v>125</v>
      </c>
      <c r="M191" s="365" t="s">
        <v>1370</v>
      </c>
      <c r="N191" s="365"/>
      <c r="O191" s="44" t="s">
        <v>1371</v>
      </c>
      <c r="P191" s="249"/>
      <c r="Q191" s="365" t="s">
        <v>499</v>
      </c>
      <c r="R191" s="365">
        <v>2</v>
      </c>
      <c r="S191" s="365" t="s">
        <v>500</v>
      </c>
      <c r="T191" s="365" t="s">
        <v>524</v>
      </c>
      <c r="U191" s="52" t="s">
        <v>502</v>
      </c>
      <c r="V191" s="365" t="s">
        <v>503</v>
      </c>
      <c r="W191" s="365" t="s">
        <v>527</v>
      </c>
      <c r="X191" s="46" t="s">
        <v>1372</v>
      </c>
      <c r="Y191" s="371" t="s">
        <v>1793</v>
      </c>
      <c r="Z191" s="371" t="s">
        <v>1373</v>
      </c>
      <c r="AA191" s="365" t="s">
        <v>538</v>
      </c>
      <c r="AB191" s="50" t="s">
        <v>710</v>
      </c>
      <c r="AC191" s="55">
        <v>24855</v>
      </c>
      <c r="AD191" s="48">
        <f t="shared" si="118"/>
        <v>18</v>
      </c>
      <c r="AE191" s="48">
        <f t="shared" si="119"/>
        <v>1</v>
      </c>
      <c r="AF191" s="48">
        <f t="shared" si="120"/>
        <v>1968</v>
      </c>
      <c r="AG191" s="49">
        <f t="shared" si="121"/>
        <v>46770</v>
      </c>
      <c r="AH191" s="48">
        <f t="shared" ca="1" si="122"/>
        <v>2</v>
      </c>
      <c r="AI191" s="48">
        <f t="shared" ca="1" si="123"/>
        <v>1</v>
      </c>
      <c r="AJ191" s="48">
        <f t="shared" ca="1" si="124"/>
        <v>7</v>
      </c>
      <c r="AK191" s="48" t="str">
        <f t="shared" ca="1" si="125"/>
        <v>2year/1months/7Days</v>
      </c>
      <c r="AL191" s="365"/>
      <c r="AM191" s="365" t="s">
        <v>1782</v>
      </c>
      <c r="AN191" s="374">
        <v>1922</v>
      </c>
      <c r="AO191" s="365"/>
      <c r="AP191" s="365"/>
      <c r="AQ191" s="365"/>
      <c r="AR191" s="365"/>
      <c r="AS191" s="365"/>
      <c r="AT191" s="365"/>
      <c r="AU191" s="365"/>
      <c r="AV191" s="365"/>
      <c r="AW191" s="365"/>
      <c r="AX191" s="365"/>
      <c r="AY191" s="365">
        <v>2020</v>
      </c>
      <c r="AZ191" s="45">
        <v>1</v>
      </c>
      <c r="BA191" s="365">
        <v>234</v>
      </c>
      <c r="BB191" s="365">
        <v>64</v>
      </c>
      <c r="BC191" s="365" t="s">
        <v>498</v>
      </c>
      <c r="BD191" s="365" t="s">
        <v>498</v>
      </c>
      <c r="BE191" s="365">
        <v>99</v>
      </c>
      <c r="BF191" s="74">
        <f>BE191/BA191*100</f>
        <v>42.307692307692307</v>
      </c>
      <c r="BG191" s="365">
        <v>71</v>
      </c>
      <c r="BH191" s="365" t="s">
        <v>498</v>
      </c>
      <c r="BI191" s="365">
        <v>234</v>
      </c>
      <c r="BJ191" s="365"/>
      <c r="BK191" s="365"/>
      <c r="BL191" s="76">
        <v>44650</v>
      </c>
      <c r="BM191" s="867" t="s">
        <v>1799</v>
      </c>
      <c r="BN191" s="868"/>
      <c r="BO191" s="868"/>
      <c r="BP191" s="869"/>
      <c r="BQ191" s="305"/>
      <c r="BR191" s="305"/>
      <c r="BS191" s="305"/>
      <c r="BT191" s="305"/>
      <c r="BU191" s="867" t="s">
        <v>2650</v>
      </c>
      <c r="BV191" s="868"/>
      <c r="BW191" s="868"/>
      <c r="BX191" s="869"/>
      <c r="BY191" s="305"/>
      <c r="BZ191" s="305"/>
      <c r="CA191" s="305"/>
      <c r="CB191" s="305"/>
      <c r="CC191" s="27"/>
    </row>
    <row r="192" spans="1:81" s="8" customFormat="1" ht="40.35" customHeight="1" x14ac:dyDescent="0.25">
      <c r="A192" s="578">
        <v>230</v>
      </c>
      <c r="B192" s="183" t="s">
        <v>1383</v>
      </c>
      <c r="C192" s="11" t="s">
        <v>478</v>
      </c>
      <c r="D192" s="7" t="s">
        <v>1384</v>
      </c>
      <c r="E192" s="3" t="s">
        <v>12</v>
      </c>
      <c r="F192" s="3">
        <v>179</v>
      </c>
      <c r="G192" s="210" t="s">
        <v>69</v>
      </c>
      <c r="H192" s="3" t="s">
        <v>67</v>
      </c>
      <c r="I192" s="3" t="s">
        <v>479</v>
      </c>
      <c r="J192" s="221" t="s">
        <v>29</v>
      </c>
      <c r="K192" s="3" t="s">
        <v>30</v>
      </c>
      <c r="L192" s="3" t="s">
        <v>69</v>
      </c>
      <c r="M192" s="365" t="s">
        <v>1376</v>
      </c>
      <c r="N192" s="365" t="s">
        <v>498</v>
      </c>
      <c r="O192" s="44" t="s">
        <v>1377</v>
      </c>
      <c r="P192" s="245" t="s">
        <v>1378</v>
      </c>
      <c r="Q192" s="365" t="s">
        <v>499</v>
      </c>
      <c r="R192" s="365">
        <v>3</v>
      </c>
      <c r="S192" s="365" t="s">
        <v>500</v>
      </c>
      <c r="T192" s="365" t="s">
        <v>524</v>
      </c>
      <c r="U192" s="59" t="s">
        <v>535</v>
      </c>
      <c r="V192" s="365" t="s">
        <v>503</v>
      </c>
      <c r="W192" s="365" t="s">
        <v>585</v>
      </c>
      <c r="X192" s="46" t="s">
        <v>1379</v>
      </c>
      <c r="Y192" s="365" t="s">
        <v>1380</v>
      </c>
      <c r="Z192" s="365" t="s">
        <v>1381</v>
      </c>
      <c r="AA192" s="365" t="s">
        <v>538</v>
      </c>
      <c r="AB192" s="365" t="s">
        <v>506</v>
      </c>
      <c r="AC192" s="47">
        <v>26684</v>
      </c>
      <c r="AD192" s="48">
        <f t="shared" si="118"/>
        <v>20</v>
      </c>
      <c r="AE192" s="48">
        <f t="shared" si="119"/>
        <v>1</v>
      </c>
      <c r="AF192" s="48">
        <f t="shared" si="120"/>
        <v>1973</v>
      </c>
      <c r="AG192" s="49">
        <f t="shared" si="121"/>
        <v>48599</v>
      </c>
      <c r="AH192" s="48">
        <f t="shared" ca="1" si="122"/>
        <v>7</v>
      </c>
      <c r="AI192" s="48">
        <f t="shared" ca="1" si="123"/>
        <v>1</v>
      </c>
      <c r="AJ192" s="48">
        <f t="shared" ca="1" si="124"/>
        <v>9</v>
      </c>
      <c r="AK192" s="48" t="str">
        <f t="shared" ca="1" si="125"/>
        <v>7year/1months/9Days</v>
      </c>
      <c r="AL192" s="365"/>
      <c r="AM192" s="915" t="s">
        <v>1783</v>
      </c>
      <c r="AN192" s="917" t="s">
        <v>1784</v>
      </c>
      <c r="AO192" s="365"/>
      <c r="AP192" s="365"/>
      <c r="AQ192" s="365"/>
      <c r="AR192" s="365"/>
      <c r="AS192" s="365"/>
      <c r="AT192" s="365"/>
      <c r="AU192" s="365"/>
      <c r="AV192" s="365"/>
      <c r="AW192" s="365"/>
      <c r="AX192" s="365"/>
      <c r="AY192" s="365">
        <v>2022</v>
      </c>
      <c r="AZ192" s="45">
        <v>1</v>
      </c>
      <c r="BA192" s="365">
        <v>67</v>
      </c>
      <c r="BB192" s="365">
        <v>11</v>
      </c>
      <c r="BC192" s="365" t="s">
        <v>498</v>
      </c>
      <c r="BD192" s="365" t="s">
        <v>498</v>
      </c>
      <c r="BE192" s="365">
        <v>56</v>
      </c>
      <c r="BF192" s="74">
        <f>BE192/BA192*100</f>
        <v>83.582089552238799</v>
      </c>
      <c r="BG192" s="365" t="s">
        <v>498</v>
      </c>
      <c r="BH192" s="365" t="s">
        <v>498</v>
      </c>
      <c r="BI192" s="365">
        <v>67</v>
      </c>
      <c r="BJ192" s="365" t="s">
        <v>498</v>
      </c>
      <c r="BK192" s="365" t="s">
        <v>498</v>
      </c>
      <c r="BL192" s="76">
        <v>44847</v>
      </c>
      <c r="BM192" s="867" t="s">
        <v>1855</v>
      </c>
      <c r="BN192" s="868"/>
      <c r="BO192" s="868"/>
      <c r="BP192" s="869"/>
      <c r="BQ192" s="318"/>
      <c r="BR192" s="318"/>
      <c r="BS192" s="318"/>
      <c r="BT192" s="318"/>
      <c r="BU192" s="867" t="s">
        <v>2637</v>
      </c>
      <c r="BV192" s="868"/>
      <c r="BW192" s="868"/>
      <c r="BX192" s="869"/>
      <c r="BY192" s="318"/>
      <c r="BZ192" s="318"/>
      <c r="CA192" s="318"/>
      <c r="CB192" s="318"/>
      <c r="CC192" s="27"/>
    </row>
    <row r="193" spans="1:81" s="232" customFormat="1" ht="40.35" customHeight="1" x14ac:dyDescent="0.25">
      <c r="A193" s="582">
        <v>231</v>
      </c>
      <c r="B193" s="227" t="s">
        <v>1427</v>
      </c>
      <c r="C193" s="228" t="s">
        <v>480</v>
      </c>
      <c r="D193" s="229" t="s">
        <v>1384</v>
      </c>
      <c r="E193" s="229" t="s">
        <v>327</v>
      </c>
      <c r="F193" s="375"/>
      <c r="G193" s="335" t="s">
        <v>69</v>
      </c>
      <c r="H193" s="229" t="s">
        <v>67</v>
      </c>
      <c r="I193" s="229" t="s">
        <v>479</v>
      </c>
      <c r="J193" s="336" t="s">
        <v>29</v>
      </c>
      <c r="K193" s="229" t="s">
        <v>30</v>
      </c>
      <c r="L193" s="229" t="s">
        <v>69</v>
      </c>
      <c r="M193" s="50" t="s">
        <v>1382</v>
      </c>
      <c r="N193" s="50" t="s">
        <v>1382</v>
      </c>
      <c r="O193" s="51" t="s">
        <v>1490</v>
      </c>
      <c r="P193" s="243" t="s">
        <v>1491</v>
      </c>
      <c r="Q193" s="50" t="s">
        <v>499</v>
      </c>
      <c r="R193" s="50" t="s">
        <v>557</v>
      </c>
      <c r="S193" s="50" t="s">
        <v>500</v>
      </c>
      <c r="T193" s="50" t="s">
        <v>524</v>
      </c>
      <c r="U193" s="97" t="s">
        <v>583</v>
      </c>
      <c r="V193" s="60" t="s">
        <v>503</v>
      </c>
      <c r="W193" s="50" t="s">
        <v>542</v>
      </c>
      <c r="X193" s="53" t="s">
        <v>2018</v>
      </c>
      <c r="Y193" s="50" t="s">
        <v>2019</v>
      </c>
      <c r="Z193" s="60" t="s">
        <v>2020</v>
      </c>
      <c r="AA193" s="365" t="s">
        <v>538</v>
      </c>
      <c r="AB193" s="365" t="s">
        <v>506</v>
      </c>
      <c r="AC193" s="55">
        <v>28401</v>
      </c>
      <c r="AD193" s="48">
        <f t="shared" si="118"/>
        <v>3</v>
      </c>
      <c r="AE193" s="48">
        <f t="shared" si="119"/>
        <v>10</v>
      </c>
      <c r="AF193" s="48">
        <f t="shared" si="120"/>
        <v>1977</v>
      </c>
      <c r="AG193" s="49">
        <f t="shared" si="121"/>
        <v>50316</v>
      </c>
      <c r="AH193" s="48">
        <f t="shared" ca="1" si="122"/>
        <v>11</v>
      </c>
      <c r="AI193" s="48">
        <f t="shared" ca="1" si="123"/>
        <v>9</v>
      </c>
      <c r="AJ193" s="48">
        <f t="shared" ca="1" si="124"/>
        <v>22</v>
      </c>
      <c r="AK193" s="48" t="str">
        <f t="shared" ca="1" si="125"/>
        <v>11year/9months/22Days</v>
      </c>
      <c r="AL193" s="50"/>
      <c r="AM193" s="916"/>
      <c r="AN193" s="918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>
        <v>2024</v>
      </c>
      <c r="AZ193" s="52" t="s">
        <v>1917</v>
      </c>
      <c r="BA193" s="50">
        <v>187</v>
      </c>
      <c r="BB193" s="50">
        <v>18</v>
      </c>
      <c r="BC193" s="50">
        <v>2</v>
      </c>
      <c r="BD193" s="50" t="s">
        <v>498</v>
      </c>
      <c r="BE193" s="50">
        <v>150</v>
      </c>
      <c r="BF193" s="86">
        <f>BE193/BA193*100</f>
        <v>80.213903743315512</v>
      </c>
      <c r="BG193" s="50">
        <v>17</v>
      </c>
      <c r="BH193" s="50" t="s">
        <v>498</v>
      </c>
      <c r="BI193" s="50">
        <v>187</v>
      </c>
      <c r="BJ193" s="365" t="s">
        <v>498</v>
      </c>
      <c r="BK193" s="365" t="s">
        <v>498</v>
      </c>
      <c r="BL193" s="117">
        <v>45597</v>
      </c>
      <c r="BM193" s="867" t="s">
        <v>1855</v>
      </c>
      <c r="BN193" s="868"/>
      <c r="BO193" s="868"/>
      <c r="BP193" s="869"/>
      <c r="BQ193" s="888" t="s">
        <v>2021</v>
      </c>
      <c r="BR193" s="889"/>
      <c r="BS193" s="889"/>
      <c r="BT193" s="890"/>
      <c r="BU193" s="867" t="s">
        <v>2637</v>
      </c>
      <c r="BV193" s="868"/>
      <c r="BW193" s="868"/>
      <c r="BX193" s="869"/>
      <c r="BY193" s="888" t="s">
        <v>2735</v>
      </c>
      <c r="BZ193" s="889"/>
      <c r="CA193" s="889"/>
      <c r="CB193" s="890"/>
      <c r="CC193" s="231"/>
    </row>
    <row r="194" spans="1:81" s="8" customFormat="1" ht="40.35" customHeight="1" x14ac:dyDescent="0.3">
      <c r="A194" s="171">
        <v>232</v>
      </c>
      <c r="B194" s="188" t="s">
        <v>1392</v>
      </c>
      <c r="C194" s="172" t="s">
        <v>482</v>
      </c>
      <c r="D194" s="179" t="s">
        <v>1393</v>
      </c>
      <c r="E194" s="380" t="s">
        <v>12</v>
      </c>
      <c r="F194" s="380">
        <v>180</v>
      </c>
      <c r="G194" s="211" t="s">
        <v>69</v>
      </c>
      <c r="H194" s="216" t="s">
        <v>483</v>
      </c>
      <c r="I194" s="217" t="s">
        <v>310</v>
      </c>
      <c r="J194" s="171" t="s">
        <v>29</v>
      </c>
      <c r="K194" s="171" t="s">
        <v>30</v>
      </c>
      <c r="L194" s="171" t="s">
        <v>69</v>
      </c>
      <c r="M194" s="365" t="s">
        <v>1385</v>
      </c>
      <c r="N194" s="365"/>
      <c r="O194" s="365"/>
      <c r="P194" s="245"/>
      <c r="Q194" s="365" t="s">
        <v>499</v>
      </c>
      <c r="R194" s="365">
        <v>3</v>
      </c>
      <c r="S194" s="365" t="s">
        <v>500</v>
      </c>
      <c r="T194" s="365"/>
      <c r="U194" s="45"/>
      <c r="V194" s="365"/>
      <c r="W194" s="365"/>
      <c r="X194" s="138"/>
      <c r="Y194" s="365"/>
      <c r="Z194" s="365"/>
      <c r="AA194" s="365"/>
      <c r="AB194" s="365"/>
      <c r="AC194" s="47"/>
      <c r="AD194" s="48"/>
      <c r="AE194" s="48"/>
      <c r="AF194" s="48"/>
      <c r="AG194" s="49"/>
      <c r="AH194" s="48"/>
      <c r="AI194" s="48"/>
      <c r="AJ194" s="48"/>
      <c r="AK194" s="48"/>
      <c r="AL194" s="99"/>
      <c r="AM194" s="99" t="s">
        <v>1785</v>
      </c>
      <c r="AN194" s="281">
        <v>845</v>
      </c>
      <c r="AO194" s="99"/>
      <c r="AP194" s="99"/>
      <c r="AQ194" s="99"/>
      <c r="AR194" s="99"/>
      <c r="AS194" s="99"/>
      <c r="AT194" s="99"/>
      <c r="AU194" s="99"/>
      <c r="AV194" s="99"/>
      <c r="AW194" s="99"/>
      <c r="AX194" s="99"/>
      <c r="AY194" s="365"/>
      <c r="AZ194" s="343"/>
      <c r="BA194" s="180"/>
      <c r="BB194" s="180"/>
      <c r="BC194" s="180"/>
      <c r="BD194" s="180"/>
      <c r="BE194" s="180"/>
      <c r="BF194" s="74"/>
      <c r="BG194" s="180"/>
      <c r="BH194" s="180"/>
      <c r="BI194" s="180"/>
      <c r="BJ194" s="180"/>
      <c r="BK194" s="180"/>
      <c r="BL194" s="353"/>
      <c r="BM194" s="314"/>
      <c r="BN194" s="307"/>
      <c r="BO194" s="307"/>
      <c r="BP194" s="307"/>
      <c r="BQ194" s="307"/>
      <c r="BR194" s="307"/>
      <c r="BS194" s="307"/>
      <c r="BT194" s="305"/>
      <c r="BU194" s="867" t="s">
        <v>2593</v>
      </c>
      <c r="BV194" s="868"/>
      <c r="BW194" s="868"/>
      <c r="BX194" s="869"/>
      <c r="BY194" s="305"/>
      <c r="BZ194" s="305"/>
      <c r="CA194" s="305"/>
      <c r="CB194" s="305"/>
      <c r="CC194" s="27"/>
    </row>
    <row r="195" spans="1:81" s="8" customFormat="1" ht="40.35" customHeight="1" x14ac:dyDescent="0.25">
      <c r="A195" s="584" t="s">
        <v>1576</v>
      </c>
      <c r="B195" s="184" t="s">
        <v>1428</v>
      </c>
      <c r="C195" s="17" t="s">
        <v>485</v>
      </c>
      <c r="D195" s="3" t="s">
        <v>38</v>
      </c>
      <c r="E195" s="3" t="s">
        <v>12</v>
      </c>
      <c r="F195" s="3">
        <v>181</v>
      </c>
      <c r="G195" s="3" t="s">
        <v>13</v>
      </c>
      <c r="H195" s="3" t="s">
        <v>29</v>
      </c>
      <c r="I195" s="3" t="s">
        <v>154</v>
      </c>
      <c r="J195" s="3" t="s">
        <v>29</v>
      </c>
      <c r="K195" s="3" t="s">
        <v>38</v>
      </c>
      <c r="L195" s="3" t="s">
        <v>38</v>
      </c>
      <c r="M195" s="50" t="s">
        <v>1386</v>
      </c>
      <c r="N195" s="50" t="s">
        <v>498</v>
      </c>
      <c r="O195" s="51" t="s">
        <v>1387</v>
      </c>
      <c r="P195" s="244" t="s">
        <v>1388</v>
      </c>
      <c r="Q195" s="50" t="s">
        <v>499</v>
      </c>
      <c r="R195" s="50">
        <v>2</v>
      </c>
      <c r="S195" s="50" t="s">
        <v>500</v>
      </c>
      <c r="T195" s="50" t="s">
        <v>524</v>
      </c>
      <c r="U195" s="52" t="s">
        <v>502</v>
      </c>
      <c r="V195" s="60" t="s">
        <v>690</v>
      </c>
      <c r="W195" s="50" t="s">
        <v>527</v>
      </c>
      <c r="X195" s="54" t="s">
        <v>1389</v>
      </c>
      <c r="Y195" s="50" t="s">
        <v>1390</v>
      </c>
      <c r="Z195" s="60" t="s">
        <v>1391</v>
      </c>
      <c r="AA195" s="50" t="s">
        <v>538</v>
      </c>
      <c r="AB195" s="50" t="s">
        <v>506</v>
      </c>
      <c r="AC195" s="55">
        <v>29786</v>
      </c>
      <c r="AD195" s="169">
        <f>DAY(AC195)</f>
        <v>19</v>
      </c>
      <c r="AE195" s="169">
        <f>MONTH(AC195)</f>
        <v>7</v>
      </c>
      <c r="AF195" s="169">
        <f>YEAR(AC195)</f>
        <v>1981</v>
      </c>
      <c r="AG195" s="170">
        <f>EDATE(AC195,12*60)</f>
        <v>51701</v>
      </c>
      <c r="AH195" s="169">
        <f t="shared" ref="AH195" ca="1" si="153">DATEDIF($A$4,AG195, "Y" )</f>
        <v>15</v>
      </c>
      <c r="AI195" s="169">
        <f t="shared" ref="AI195" ca="1" si="154">DATEDIF($A$4,AG195, "YM" )</f>
        <v>7</v>
      </c>
      <c r="AJ195" s="169">
        <f t="shared" ref="AJ195" ca="1" si="155">DATEDIF($A$4,AG195, "MD" )</f>
        <v>8</v>
      </c>
      <c r="AK195" s="169" t="str">
        <f t="shared" ref="AK195" ca="1" si="156">CONCATENATE(AH195,"year","/",AI195,"months","/",AJ195,"Days")</f>
        <v>15year/7months/8Days</v>
      </c>
      <c r="AL195" s="60"/>
      <c r="AM195" s="60" t="s">
        <v>1786</v>
      </c>
      <c r="AN195" s="275" t="s">
        <v>1787</v>
      </c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50">
        <v>2024</v>
      </c>
      <c r="AZ195" s="52" t="s">
        <v>1917</v>
      </c>
      <c r="BA195" s="50">
        <v>402</v>
      </c>
      <c r="BB195" s="50">
        <v>325</v>
      </c>
      <c r="BC195" s="50" t="s">
        <v>498</v>
      </c>
      <c r="BD195" s="50" t="s">
        <v>498</v>
      </c>
      <c r="BE195" s="50">
        <v>77</v>
      </c>
      <c r="BF195" s="86">
        <f>BE195/BA195*100</f>
        <v>19.154228855721392</v>
      </c>
      <c r="BG195" s="50" t="s">
        <v>498</v>
      </c>
      <c r="BH195" s="50" t="s">
        <v>498</v>
      </c>
      <c r="BI195" s="50">
        <v>402</v>
      </c>
      <c r="BJ195" s="50" t="s">
        <v>498</v>
      </c>
      <c r="BK195" s="50" t="s">
        <v>498</v>
      </c>
      <c r="BL195" s="76">
        <v>45604</v>
      </c>
      <c r="BM195" s="867" t="s">
        <v>1864</v>
      </c>
      <c r="BN195" s="868"/>
      <c r="BO195" s="868"/>
      <c r="BP195" s="869"/>
      <c r="BQ195" s="867" t="s">
        <v>1871</v>
      </c>
      <c r="BR195" s="868"/>
      <c r="BS195" s="868"/>
      <c r="BT195" s="869"/>
      <c r="BU195" s="867" t="s">
        <v>2639</v>
      </c>
      <c r="BV195" s="868"/>
      <c r="BW195" s="868"/>
      <c r="BX195" s="869"/>
      <c r="BY195" s="867" t="s">
        <v>2783</v>
      </c>
      <c r="BZ195" s="868"/>
      <c r="CA195" s="868"/>
      <c r="CB195" s="869"/>
      <c r="CC195" s="27"/>
    </row>
    <row r="196" spans="1:81" s="27" customFormat="1" x14ac:dyDescent="0.3">
      <c r="A196" s="173"/>
      <c r="D196" s="173"/>
      <c r="E196" s="173"/>
      <c r="F196" s="173"/>
      <c r="G196" s="173"/>
      <c r="H196" s="173"/>
      <c r="I196" s="173"/>
      <c r="J196" s="173"/>
      <c r="K196" s="173"/>
      <c r="L196" s="173"/>
      <c r="AM196" s="173"/>
      <c r="AN196" s="173"/>
      <c r="AZ196" s="337"/>
      <c r="BL196" s="349"/>
      <c r="BM196" s="300"/>
      <c r="BN196" s="300"/>
      <c r="BO196" s="300"/>
      <c r="BP196" s="300"/>
      <c r="BQ196" s="300"/>
      <c r="BR196" s="300"/>
      <c r="BS196" s="300"/>
      <c r="BT196" s="300"/>
      <c r="BU196" s="300"/>
      <c r="BV196" s="300"/>
      <c r="BW196" s="300"/>
      <c r="BX196" s="300"/>
      <c r="BY196" s="300"/>
      <c r="BZ196" s="300"/>
      <c r="CA196" s="300"/>
      <c r="CB196" s="300"/>
    </row>
    <row r="197" spans="1:81" s="27" customFormat="1" ht="40.35" customHeight="1" x14ac:dyDescent="0.3">
      <c r="A197" s="173"/>
      <c r="D197" s="173"/>
      <c r="E197" s="174"/>
      <c r="F197" s="174"/>
      <c r="G197" s="173"/>
      <c r="H197" s="173"/>
      <c r="I197" s="173"/>
      <c r="J197" s="173"/>
      <c r="K197" s="173"/>
      <c r="L197" s="173"/>
      <c r="AM197" s="173"/>
      <c r="AN197" s="173"/>
      <c r="AZ197" s="337"/>
      <c r="BL197" s="349"/>
      <c r="BM197" s="300"/>
      <c r="BN197" s="300"/>
      <c r="BO197" s="300"/>
      <c r="BP197" s="300"/>
      <c r="BQ197" s="300"/>
      <c r="BR197" s="300"/>
      <c r="BS197" s="300"/>
      <c r="BT197" s="300"/>
      <c r="BU197" s="300"/>
      <c r="BV197" s="300"/>
      <c r="BW197" s="300"/>
      <c r="BX197" s="300"/>
      <c r="BY197" s="300"/>
      <c r="BZ197" s="300"/>
      <c r="CA197" s="300"/>
      <c r="CB197" s="300"/>
    </row>
    <row r="198" spans="1:81" s="27" customFormat="1" ht="40.35" customHeight="1" x14ac:dyDescent="0.3">
      <c r="A198" s="173"/>
      <c r="D198" s="173"/>
      <c r="E198" s="174"/>
      <c r="F198" s="174"/>
      <c r="G198" s="173"/>
      <c r="H198" s="173"/>
      <c r="I198" s="173"/>
      <c r="J198" s="173"/>
      <c r="K198" s="173"/>
      <c r="L198" s="173"/>
      <c r="AM198" s="173"/>
      <c r="AN198" s="173"/>
      <c r="AZ198" s="337"/>
      <c r="BL198" s="349"/>
      <c r="BM198" s="300"/>
      <c r="BN198" s="300"/>
      <c r="BO198" s="300"/>
      <c r="BP198" s="300"/>
      <c r="BQ198" s="300"/>
      <c r="BR198" s="300"/>
      <c r="BS198" s="300"/>
      <c r="BT198" s="300"/>
      <c r="BU198" s="300"/>
      <c r="BV198" s="300"/>
      <c r="BW198" s="300"/>
      <c r="BX198" s="300"/>
      <c r="BY198" s="300"/>
      <c r="BZ198" s="300"/>
      <c r="CA198" s="300"/>
      <c r="CB198" s="300"/>
    </row>
    <row r="199" spans="1:81" s="27" customFormat="1" ht="40.35" customHeight="1" x14ac:dyDescent="0.3">
      <c r="A199" s="173"/>
      <c r="D199" s="173"/>
      <c r="E199" s="173"/>
      <c r="F199" s="173"/>
      <c r="G199" s="173"/>
      <c r="H199" s="173"/>
      <c r="I199" s="173"/>
      <c r="J199" s="173"/>
      <c r="K199" s="173"/>
      <c r="L199" s="173"/>
      <c r="AM199" s="173"/>
      <c r="AN199" s="173"/>
      <c r="AZ199" s="337"/>
      <c r="BL199" s="349"/>
      <c r="BM199" s="300"/>
      <c r="BN199" s="300"/>
      <c r="BO199" s="300"/>
      <c r="BP199" s="300"/>
      <c r="BQ199" s="300"/>
      <c r="BR199" s="300"/>
      <c r="BS199" s="300"/>
      <c r="BT199" s="300"/>
      <c r="BU199" s="300"/>
      <c r="BV199" s="300"/>
      <c r="BW199" s="300"/>
      <c r="BX199" s="300"/>
      <c r="BY199" s="300"/>
      <c r="BZ199" s="300"/>
      <c r="CA199" s="300"/>
      <c r="CB199" s="300"/>
    </row>
    <row r="200" spans="1:81" s="27" customFormat="1" ht="40.35" customHeight="1" x14ac:dyDescent="0.3">
      <c r="A200" s="173"/>
      <c r="D200" s="173"/>
      <c r="E200" s="173"/>
      <c r="F200" s="173"/>
      <c r="G200" s="173"/>
      <c r="H200" s="173"/>
      <c r="I200" s="173"/>
      <c r="J200" s="173"/>
      <c r="K200" s="173"/>
      <c r="L200" s="173"/>
      <c r="AM200" s="173"/>
      <c r="AN200" s="173"/>
      <c r="AZ200" s="337"/>
      <c r="BL200" s="349"/>
      <c r="BM200" s="300"/>
      <c r="BN200" s="300"/>
      <c r="BO200" s="300"/>
      <c r="BP200" s="300"/>
      <c r="BQ200" s="300"/>
      <c r="BR200" s="300"/>
      <c r="BS200" s="300"/>
      <c r="BT200" s="300"/>
      <c r="BU200" s="300"/>
      <c r="BV200" s="300"/>
      <c r="BW200" s="300"/>
      <c r="BX200" s="300"/>
      <c r="BY200" s="300"/>
      <c r="BZ200" s="300"/>
      <c r="CA200" s="300"/>
      <c r="CB200" s="300"/>
    </row>
    <row r="201" spans="1:81" s="27" customFormat="1" ht="40.35" customHeight="1" x14ac:dyDescent="0.3">
      <c r="A201" s="173"/>
      <c r="D201" s="173"/>
      <c r="E201" s="173"/>
      <c r="F201" s="173"/>
      <c r="G201" s="173"/>
      <c r="H201" s="173"/>
      <c r="I201" s="173"/>
      <c r="J201" s="173"/>
      <c r="K201" s="173"/>
      <c r="L201" s="173"/>
      <c r="AM201" s="173"/>
      <c r="AN201" s="173"/>
      <c r="AZ201" s="337"/>
      <c r="BL201" s="349"/>
      <c r="BM201" s="300"/>
      <c r="BN201" s="300"/>
      <c r="BO201" s="300"/>
      <c r="BP201" s="300"/>
      <c r="BQ201" s="300"/>
      <c r="BR201" s="300"/>
      <c r="BS201" s="300"/>
      <c r="BT201" s="300"/>
      <c r="BU201" s="300"/>
      <c r="BV201" s="300"/>
      <c r="BW201" s="300"/>
      <c r="BX201" s="300"/>
      <c r="BY201" s="300"/>
      <c r="BZ201" s="300"/>
      <c r="CA201" s="300"/>
      <c r="CB201" s="300"/>
    </row>
    <row r="202" spans="1:81" s="27" customFormat="1" ht="40.35" customHeight="1" x14ac:dyDescent="0.3">
      <c r="A202" s="173"/>
      <c r="D202" s="173"/>
      <c r="E202" s="173"/>
      <c r="F202" s="173"/>
      <c r="G202" s="173"/>
      <c r="H202" s="173"/>
      <c r="I202" s="173"/>
      <c r="J202" s="173"/>
      <c r="K202" s="173"/>
      <c r="L202" s="173"/>
      <c r="AM202" s="173"/>
      <c r="AN202" s="173"/>
      <c r="AZ202" s="337"/>
      <c r="BL202" s="349"/>
      <c r="BM202" s="300"/>
      <c r="BN202" s="300"/>
      <c r="BO202" s="300"/>
      <c r="BP202" s="300"/>
      <c r="BQ202" s="300"/>
      <c r="BR202" s="300"/>
      <c r="BS202" s="300"/>
      <c r="BT202" s="300"/>
      <c r="BU202" s="300"/>
      <c r="BV202" s="300"/>
      <c r="BW202" s="300"/>
      <c r="BX202" s="300"/>
      <c r="BY202" s="300"/>
      <c r="BZ202" s="300"/>
      <c r="CA202" s="300"/>
      <c r="CB202" s="300"/>
    </row>
    <row r="203" spans="1:81" s="27" customFormat="1" x14ac:dyDescent="0.3">
      <c r="A203" s="173"/>
      <c r="D203" s="173"/>
      <c r="E203" s="173"/>
      <c r="F203" s="173"/>
      <c r="G203" s="173"/>
      <c r="H203" s="173"/>
      <c r="I203" s="173"/>
      <c r="J203" s="173"/>
      <c r="K203" s="173"/>
      <c r="L203" s="173"/>
      <c r="AM203" s="173"/>
      <c r="AN203" s="173"/>
      <c r="AZ203" s="337"/>
      <c r="BL203" s="349"/>
      <c r="BM203" s="300"/>
      <c r="BN203" s="300"/>
      <c r="BO203" s="300"/>
      <c r="BP203" s="300"/>
      <c r="BQ203" s="300"/>
      <c r="BR203" s="300"/>
      <c r="BS203" s="300"/>
      <c r="BT203" s="300"/>
      <c r="BU203" s="300"/>
      <c r="BV203" s="300"/>
      <c r="BW203" s="300"/>
      <c r="BX203" s="300"/>
      <c r="BY203" s="300"/>
      <c r="BZ203" s="300"/>
      <c r="CA203" s="300"/>
      <c r="CB203" s="300"/>
    </row>
    <row r="204" spans="1:81" s="27" customFormat="1" x14ac:dyDescent="0.3">
      <c r="A204" s="173"/>
      <c r="D204" s="173"/>
      <c r="E204" s="173"/>
      <c r="F204" s="173"/>
      <c r="G204" s="173"/>
      <c r="H204" s="173"/>
      <c r="I204" s="173"/>
      <c r="J204" s="173"/>
      <c r="K204" s="173"/>
      <c r="L204" s="173"/>
      <c r="AM204" s="173"/>
      <c r="AN204" s="173"/>
      <c r="AZ204" s="337"/>
      <c r="BL204" s="349"/>
      <c r="BM204" s="300"/>
      <c r="BN204" s="300"/>
      <c r="BO204" s="300"/>
      <c r="BP204" s="300"/>
      <c r="BQ204" s="300"/>
      <c r="BR204" s="300"/>
      <c r="BS204" s="300"/>
      <c r="BT204" s="300"/>
      <c r="BU204" s="300"/>
      <c r="BV204" s="300"/>
      <c r="BW204" s="300"/>
      <c r="BX204" s="300"/>
      <c r="BY204" s="300"/>
      <c r="BZ204" s="300"/>
      <c r="CA204" s="300"/>
      <c r="CB204" s="300"/>
    </row>
    <row r="205" spans="1:81" s="27" customFormat="1" x14ac:dyDescent="0.3">
      <c r="A205" s="173"/>
      <c r="D205" s="173"/>
      <c r="E205" s="173"/>
      <c r="F205" s="173"/>
      <c r="G205" s="173"/>
      <c r="H205" s="173"/>
      <c r="I205" s="173"/>
      <c r="J205" s="173"/>
      <c r="K205" s="173"/>
      <c r="L205" s="173"/>
      <c r="AM205" s="173"/>
      <c r="AN205" s="173"/>
      <c r="AZ205" s="337"/>
      <c r="BL205" s="349"/>
      <c r="BM205" s="300"/>
      <c r="BN205" s="300"/>
      <c r="BO205" s="300"/>
      <c r="BP205" s="300"/>
      <c r="BQ205" s="300"/>
      <c r="BR205" s="300"/>
      <c r="BS205" s="300"/>
      <c r="BT205" s="300"/>
      <c r="BU205" s="300"/>
      <c r="BV205" s="300"/>
      <c r="BW205" s="300"/>
      <c r="BX205" s="300"/>
      <c r="BY205" s="300"/>
      <c r="BZ205" s="300"/>
      <c r="CA205" s="300"/>
      <c r="CB205" s="300"/>
    </row>
    <row r="206" spans="1:81" s="27" customFormat="1" x14ac:dyDescent="0.3">
      <c r="A206" s="173"/>
      <c r="D206" s="173"/>
      <c r="E206" s="173"/>
      <c r="F206" s="173"/>
      <c r="G206" s="173"/>
      <c r="H206" s="173"/>
      <c r="I206" s="173"/>
      <c r="J206" s="173"/>
      <c r="K206" s="173"/>
      <c r="L206" s="173"/>
      <c r="AM206" s="173"/>
      <c r="AN206" s="173"/>
      <c r="AZ206" s="337"/>
      <c r="BL206" s="349"/>
      <c r="BM206" s="300"/>
      <c r="BN206" s="300"/>
      <c r="BO206" s="300"/>
      <c r="BP206" s="300"/>
      <c r="BQ206" s="300"/>
      <c r="BR206" s="300"/>
      <c r="BS206" s="300"/>
      <c r="BT206" s="300"/>
      <c r="BU206" s="300"/>
      <c r="BV206" s="300"/>
      <c r="BW206" s="300"/>
      <c r="BX206" s="300"/>
      <c r="BY206" s="300"/>
      <c r="BZ206" s="300"/>
      <c r="CA206" s="300"/>
      <c r="CB206" s="300"/>
    </row>
    <row r="207" spans="1:81" s="27" customFormat="1" x14ac:dyDescent="0.3">
      <c r="A207" s="173"/>
      <c r="D207" s="173"/>
      <c r="E207" s="173"/>
      <c r="F207" s="173"/>
      <c r="G207" s="173"/>
      <c r="H207" s="173"/>
      <c r="I207" s="173"/>
      <c r="J207" s="173"/>
      <c r="K207" s="173"/>
      <c r="L207" s="173"/>
      <c r="AM207" s="173"/>
      <c r="AN207" s="173"/>
      <c r="AZ207" s="337"/>
      <c r="BL207" s="349"/>
      <c r="BM207" s="300"/>
      <c r="BN207" s="300"/>
      <c r="BO207" s="300"/>
      <c r="BP207" s="300"/>
      <c r="BQ207" s="300"/>
      <c r="BR207" s="300"/>
      <c r="BS207" s="300"/>
      <c r="BT207" s="300"/>
      <c r="BU207" s="300"/>
      <c r="BV207" s="300"/>
      <c r="BW207" s="300"/>
      <c r="BX207" s="300"/>
      <c r="BY207" s="300"/>
      <c r="BZ207" s="300"/>
      <c r="CA207" s="300"/>
      <c r="CB207" s="300"/>
    </row>
    <row r="208" spans="1:81" s="27" customFormat="1" x14ac:dyDescent="0.3">
      <c r="A208" s="173"/>
      <c r="D208" s="173"/>
      <c r="E208" s="173"/>
      <c r="F208" s="173"/>
      <c r="G208" s="173"/>
      <c r="H208" s="173"/>
      <c r="I208" s="173"/>
      <c r="J208" s="173"/>
      <c r="K208" s="173"/>
      <c r="L208" s="173"/>
      <c r="AM208" s="173"/>
      <c r="AN208" s="173"/>
      <c r="AZ208" s="337"/>
      <c r="BL208" s="349"/>
      <c r="BM208" s="300"/>
      <c r="BN208" s="300"/>
      <c r="BO208" s="300"/>
      <c r="BP208" s="300"/>
      <c r="BQ208" s="300"/>
      <c r="BR208" s="300"/>
      <c r="BS208" s="300"/>
      <c r="BT208" s="300"/>
      <c r="BU208" s="300"/>
      <c r="BV208" s="300"/>
      <c r="BW208" s="300"/>
      <c r="BX208" s="300"/>
      <c r="BY208" s="300"/>
      <c r="BZ208" s="300"/>
      <c r="CA208" s="300"/>
      <c r="CB208" s="300"/>
    </row>
    <row r="209" spans="1:80" s="27" customFormat="1" x14ac:dyDescent="0.3">
      <c r="A209" s="173"/>
      <c r="D209" s="173"/>
      <c r="E209" s="173"/>
      <c r="F209" s="173"/>
      <c r="G209" s="173"/>
      <c r="H209" s="173"/>
      <c r="I209" s="173"/>
      <c r="J209" s="173"/>
      <c r="K209" s="173"/>
      <c r="L209" s="173"/>
      <c r="AM209" s="173"/>
      <c r="AN209" s="173"/>
      <c r="AZ209" s="337"/>
      <c r="BL209" s="349"/>
      <c r="BM209" s="300"/>
      <c r="BN209" s="300"/>
      <c r="BO209" s="300"/>
      <c r="BP209" s="300"/>
      <c r="BQ209" s="300"/>
      <c r="BR209" s="300"/>
      <c r="BS209" s="300"/>
      <c r="BT209" s="300"/>
      <c r="BU209" s="300"/>
      <c r="BV209" s="300"/>
      <c r="BW209" s="300"/>
      <c r="BX209" s="300"/>
      <c r="BY209" s="300"/>
      <c r="BZ209" s="300"/>
      <c r="CA209" s="300"/>
      <c r="CB209" s="300"/>
    </row>
    <row r="210" spans="1:80" s="27" customFormat="1" x14ac:dyDescent="0.3">
      <c r="A210" s="173"/>
      <c r="D210" s="173"/>
      <c r="E210" s="173"/>
      <c r="F210" s="173"/>
      <c r="G210" s="173"/>
      <c r="H210" s="173"/>
      <c r="I210" s="173"/>
      <c r="J210" s="173"/>
      <c r="K210" s="173"/>
      <c r="L210" s="173"/>
      <c r="AM210" s="173"/>
      <c r="AN210" s="173"/>
      <c r="AZ210" s="337"/>
      <c r="BL210" s="349"/>
      <c r="BM210" s="300"/>
      <c r="BN210" s="300"/>
      <c r="BO210" s="300"/>
      <c r="BP210" s="300"/>
      <c r="BQ210" s="300"/>
      <c r="BR210" s="300"/>
      <c r="BS210" s="300"/>
      <c r="BT210" s="300"/>
      <c r="BU210" s="300"/>
      <c r="BV210" s="300"/>
      <c r="BW210" s="300"/>
      <c r="BX210" s="300"/>
      <c r="BY210" s="300"/>
      <c r="BZ210" s="300"/>
      <c r="CA210" s="300"/>
      <c r="CB210" s="300"/>
    </row>
    <row r="211" spans="1:80" s="27" customFormat="1" x14ac:dyDescent="0.3">
      <c r="A211" s="173"/>
      <c r="D211" s="173"/>
      <c r="E211" s="173"/>
      <c r="F211" s="173"/>
      <c r="G211" s="173"/>
      <c r="H211" s="173"/>
      <c r="I211" s="173"/>
      <c r="J211" s="173"/>
      <c r="K211" s="173"/>
      <c r="L211" s="173"/>
      <c r="AM211" s="173"/>
      <c r="AN211" s="173"/>
      <c r="AZ211" s="337"/>
      <c r="BL211" s="349"/>
      <c r="BM211" s="300"/>
      <c r="BN211" s="300"/>
      <c r="BO211" s="300"/>
      <c r="BP211" s="300"/>
      <c r="BQ211" s="300"/>
      <c r="BR211" s="300"/>
      <c r="BS211" s="300"/>
      <c r="BT211" s="300"/>
      <c r="BU211" s="300"/>
      <c r="BV211" s="300"/>
      <c r="BW211" s="300"/>
      <c r="BX211" s="300"/>
      <c r="BY211" s="300"/>
      <c r="BZ211" s="300"/>
      <c r="CA211" s="300"/>
      <c r="CB211" s="300"/>
    </row>
    <row r="212" spans="1:80" s="27" customFormat="1" x14ac:dyDescent="0.3">
      <c r="A212" s="173"/>
      <c r="D212" s="173"/>
      <c r="E212" s="173"/>
      <c r="F212" s="173"/>
      <c r="G212" s="173"/>
      <c r="H212" s="173"/>
      <c r="I212" s="173"/>
      <c r="J212" s="173"/>
      <c r="K212" s="173"/>
      <c r="L212" s="173"/>
      <c r="AM212" s="173"/>
      <c r="AN212" s="173"/>
      <c r="AZ212" s="337"/>
      <c r="BL212" s="349"/>
      <c r="BM212" s="300"/>
      <c r="BN212" s="300"/>
      <c r="BO212" s="300"/>
      <c r="BP212" s="300"/>
      <c r="BQ212" s="300"/>
      <c r="BR212" s="300"/>
      <c r="BS212" s="300"/>
      <c r="BT212" s="300"/>
      <c r="BU212" s="300"/>
      <c r="BV212" s="300"/>
      <c r="BW212" s="300"/>
      <c r="BX212" s="300"/>
      <c r="BY212" s="300"/>
      <c r="BZ212" s="300"/>
      <c r="CA212" s="300"/>
      <c r="CB212" s="300"/>
    </row>
    <row r="213" spans="1:80" s="27" customFormat="1" x14ac:dyDescent="0.3">
      <c r="A213" s="173"/>
      <c r="D213" s="173"/>
      <c r="E213" s="173"/>
      <c r="F213" s="173"/>
      <c r="G213" s="173"/>
      <c r="H213" s="173"/>
      <c r="I213" s="173"/>
      <c r="J213" s="173"/>
      <c r="K213" s="173"/>
      <c r="L213" s="173"/>
      <c r="AM213" s="173"/>
      <c r="AN213" s="173"/>
      <c r="AZ213" s="337"/>
      <c r="BL213" s="349"/>
      <c r="BM213" s="300"/>
      <c r="BN213" s="300"/>
      <c r="BO213" s="300"/>
      <c r="BP213" s="300"/>
      <c r="BQ213" s="300"/>
      <c r="BR213" s="300"/>
      <c r="BS213" s="300"/>
      <c r="BT213" s="300"/>
      <c r="BU213" s="300"/>
      <c r="BV213" s="300"/>
      <c r="BW213" s="300"/>
      <c r="BX213" s="300"/>
      <c r="BY213" s="300"/>
      <c r="BZ213" s="300"/>
      <c r="CA213" s="300"/>
      <c r="CB213" s="300"/>
    </row>
    <row r="214" spans="1:80" s="27" customFormat="1" x14ac:dyDescent="0.3">
      <c r="A214" s="173"/>
      <c r="D214" s="173"/>
      <c r="E214" s="173"/>
      <c r="F214" s="173"/>
      <c r="G214" s="173"/>
      <c r="H214" s="173"/>
      <c r="I214" s="173"/>
      <c r="J214" s="173"/>
      <c r="K214" s="173"/>
      <c r="L214" s="173"/>
      <c r="AM214" s="173"/>
      <c r="AN214" s="173"/>
      <c r="AZ214" s="337"/>
      <c r="BL214" s="349"/>
      <c r="BM214" s="300"/>
      <c r="BN214" s="300"/>
      <c r="BO214" s="300"/>
      <c r="BP214" s="300"/>
      <c r="BQ214" s="300"/>
      <c r="BR214" s="300"/>
      <c r="BS214" s="300"/>
      <c r="BT214" s="300"/>
      <c r="BU214" s="300"/>
      <c r="BV214" s="300"/>
      <c r="BW214" s="300"/>
      <c r="BX214" s="300"/>
      <c r="BY214" s="300"/>
      <c r="BZ214" s="300"/>
      <c r="CA214" s="300"/>
      <c r="CB214" s="300"/>
    </row>
    <row r="215" spans="1:80" s="27" customFormat="1" x14ac:dyDescent="0.3">
      <c r="A215" s="173"/>
      <c r="D215" s="173"/>
      <c r="E215" s="173"/>
      <c r="F215" s="173"/>
      <c r="G215" s="173"/>
      <c r="H215" s="173"/>
      <c r="I215" s="173"/>
      <c r="J215" s="173"/>
      <c r="K215" s="173"/>
      <c r="L215" s="173"/>
      <c r="AM215" s="173"/>
      <c r="AN215" s="173"/>
      <c r="AZ215" s="337"/>
      <c r="BL215" s="349"/>
      <c r="BM215" s="300"/>
      <c r="BN215" s="300"/>
      <c r="BO215" s="300"/>
      <c r="BP215" s="300"/>
      <c r="BQ215" s="300"/>
      <c r="BR215" s="300"/>
      <c r="BS215" s="300"/>
      <c r="BT215" s="300"/>
      <c r="BU215" s="300"/>
      <c r="BV215" s="300"/>
      <c r="BW215" s="300"/>
      <c r="BX215" s="300"/>
      <c r="BY215" s="300"/>
      <c r="BZ215" s="300"/>
      <c r="CA215" s="300"/>
      <c r="CB215" s="300"/>
    </row>
    <row r="216" spans="1:80" s="27" customFormat="1" x14ac:dyDescent="0.3">
      <c r="A216" s="173"/>
      <c r="D216" s="173"/>
      <c r="E216" s="173"/>
      <c r="F216" s="173"/>
      <c r="G216" s="173"/>
      <c r="H216" s="173"/>
      <c r="I216" s="173"/>
      <c r="J216" s="173"/>
      <c r="K216" s="173"/>
      <c r="L216" s="173"/>
      <c r="AM216" s="173"/>
      <c r="AN216" s="173"/>
      <c r="AZ216" s="337"/>
      <c r="BL216" s="349"/>
      <c r="BM216" s="300"/>
      <c r="BN216" s="300"/>
      <c r="BO216" s="300"/>
      <c r="BP216" s="300"/>
      <c r="BQ216" s="300"/>
      <c r="BR216" s="300"/>
      <c r="BS216" s="300"/>
      <c r="BT216" s="300"/>
      <c r="BU216" s="300"/>
      <c r="BV216" s="300"/>
      <c r="BW216" s="300"/>
      <c r="BX216" s="300"/>
      <c r="BY216" s="300"/>
      <c r="BZ216" s="300"/>
      <c r="CA216" s="300"/>
      <c r="CB216" s="300"/>
    </row>
    <row r="217" spans="1:80" s="27" customFormat="1" x14ac:dyDescent="0.3">
      <c r="A217" s="173"/>
      <c r="D217" s="173"/>
      <c r="E217" s="173"/>
      <c r="F217" s="173"/>
      <c r="G217" s="173"/>
      <c r="H217" s="173"/>
      <c r="I217" s="173"/>
      <c r="J217" s="173"/>
      <c r="K217" s="173"/>
      <c r="L217" s="173"/>
      <c r="AM217" s="173"/>
      <c r="AN217" s="173"/>
      <c r="AZ217" s="337"/>
      <c r="BL217" s="349"/>
      <c r="BM217" s="300"/>
      <c r="BN217" s="300"/>
      <c r="BO217" s="300"/>
      <c r="BP217" s="300"/>
      <c r="BQ217" s="300"/>
      <c r="BR217" s="300"/>
      <c r="BS217" s="300"/>
      <c r="BT217" s="300"/>
      <c r="BU217" s="300"/>
      <c r="BV217" s="300"/>
      <c r="BW217" s="300"/>
      <c r="BX217" s="300"/>
      <c r="BY217" s="300"/>
      <c r="BZ217" s="300"/>
      <c r="CA217" s="300"/>
      <c r="CB217" s="300"/>
    </row>
    <row r="218" spans="1:80" s="27" customFormat="1" x14ac:dyDescent="0.3">
      <c r="A218" s="173"/>
      <c r="D218" s="173"/>
      <c r="E218" s="173"/>
      <c r="F218" s="173"/>
      <c r="G218" s="173"/>
      <c r="H218" s="173"/>
      <c r="I218" s="173"/>
      <c r="J218" s="173"/>
      <c r="K218" s="173"/>
      <c r="L218" s="173"/>
      <c r="AM218" s="173"/>
      <c r="AN218" s="173"/>
      <c r="AZ218" s="337"/>
      <c r="BL218" s="349"/>
      <c r="BM218" s="300"/>
      <c r="BN218" s="300"/>
      <c r="BO218" s="300"/>
      <c r="BP218" s="300"/>
      <c r="BQ218" s="300"/>
      <c r="BR218" s="300"/>
      <c r="BS218" s="300"/>
      <c r="BT218" s="300"/>
      <c r="BU218" s="300"/>
      <c r="BV218" s="300"/>
      <c r="BW218" s="300"/>
      <c r="BX218" s="300"/>
      <c r="BY218" s="300"/>
      <c r="BZ218" s="300"/>
      <c r="CA218" s="300"/>
      <c r="CB218" s="300"/>
    </row>
    <row r="219" spans="1:80" s="27" customFormat="1" x14ac:dyDescent="0.3">
      <c r="A219" s="173"/>
      <c r="D219" s="173"/>
      <c r="E219" s="173"/>
      <c r="F219" s="173"/>
      <c r="G219" s="173"/>
      <c r="H219" s="173"/>
      <c r="I219" s="173"/>
      <c r="J219" s="173"/>
      <c r="K219" s="173"/>
      <c r="L219" s="173"/>
      <c r="AM219" s="173"/>
      <c r="AN219" s="173"/>
      <c r="AZ219" s="337"/>
      <c r="BL219" s="349"/>
      <c r="BM219" s="300"/>
      <c r="BN219" s="300"/>
      <c r="BO219" s="300"/>
      <c r="BP219" s="300"/>
      <c r="BQ219" s="300"/>
      <c r="BR219" s="300"/>
      <c r="BS219" s="300"/>
      <c r="BT219" s="300"/>
      <c r="BU219" s="300"/>
      <c r="BV219" s="300"/>
      <c r="BW219" s="300"/>
      <c r="BX219" s="300"/>
      <c r="BY219" s="300"/>
      <c r="BZ219" s="300"/>
      <c r="CA219" s="300"/>
      <c r="CB219" s="300"/>
    </row>
    <row r="220" spans="1:80" s="27" customFormat="1" x14ac:dyDescent="0.3">
      <c r="A220" s="173"/>
      <c r="D220" s="173"/>
      <c r="E220" s="173"/>
      <c r="F220" s="173"/>
      <c r="G220" s="173"/>
      <c r="H220" s="173"/>
      <c r="I220" s="173"/>
      <c r="J220" s="173"/>
      <c r="K220" s="173"/>
      <c r="L220" s="173"/>
      <c r="AM220" s="173"/>
      <c r="AN220" s="173"/>
      <c r="AZ220" s="337"/>
      <c r="BL220" s="349"/>
      <c r="BM220" s="300"/>
      <c r="BN220" s="300"/>
      <c r="BO220" s="300"/>
      <c r="BP220" s="300"/>
      <c r="BQ220" s="300"/>
      <c r="BR220" s="300"/>
      <c r="BS220" s="300"/>
      <c r="BT220" s="300"/>
      <c r="BU220" s="300"/>
      <c r="BV220" s="300"/>
      <c r="BW220" s="300"/>
      <c r="BX220" s="300"/>
      <c r="BY220" s="300"/>
      <c r="BZ220" s="300"/>
      <c r="CA220" s="300"/>
      <c r="CB220" s="300"/>
    </row>
    <row r="221" spans="1:80" s="27" customFormat="1" x14ac:dyDescent="0.3">
      <c r="A221" s="173"/>
      <c r="D221" s="173"/>
      <c r="E221" s="173"/>
      <c r="F221" s="173"/>
      <c r="G221" s="173"/>
      <c r="H221" s="173"/>
      <c r="I221" s="173"/>
      <c r="J221" s="173"/>
      <c r="K221" s="173"/>
      <c r="L221" s="173"/>
      <c r="AM221" s="173"/>
      <c r="AN221" s="173"/>
      <c r="AZ221" s="337"/>
      <c r="BL221" s="349"/>
      <c r="BM221" s="300"/>
      <c r="BN221" s="300"/>
      <c r="BO221" s="300"/>
      <c r="BP221" s="300"/>
      <c r="BQ221" s="300"/>
      <c r="BR221" s="300"/>
      <c r="BS221" s="300"/>
      <c r="BT221" s="300"/>
      <c r="BU221" s="300"/>
      <c r="BV221" s="300"/>
      <c r="BW221" s="300"/>
      <c r="BX221" s="300"/>
      <c r="BY221" s="300"/>
      <c r="BZ221" s="300"/>
      <c r="CA221" s="300"/>
      <c r="CB221" s="300"/>
    </row>
    <row r="222" spans="1:80" s="27" customFormat="1" x14ac:dyDescent="0.3">
      <c r="A222" s="173"/>
      <c r="D222" s="173"/>
      <c r="E222" s="173"/>
      <c r="F222" s="173"/>
      <c r="G222" s="173"/>
      <c r="H222" s="173"/>
      <c r="I222" s="173"/>
      <c r="J222" s="173"/>
      <c r="K222" s="173"/>
      <c r="L222" s="173"/>
      <c r="AM222" s="173"/>
      <c r="AN222" s="173"/>
      <c r="AZ222" s="337"/>
      <c r="BL222" s="349"/>
      <c r="BM222" s="300"/>
      <c r="BN222" s="300"/>
      <c r="BO222" s="300"/>
      <c r="BP222" s="300"/>
      <c r="BQ222" s="300"/>
      <c r="BR222" s="300"/>
      <c r="BS222" s="300"/>
      <c r="BT222" s="300"/>
      <c r="BU222" s="300"/>
      <c r="BV222" s="300"/>
      <c r="BW222" s="300"/>
      <c r="BX222" s="300"/>
      <c r="BY222" s="300"/>
      <c r="BZ222" s="300"/>
      <c r="CA222" s="300"/>
      <c r="CB222" s="300"/>
    </row>
    <row r="223" spans="1:80" s="27" customFormat="1" x14ac:dyDescent="0.3">
      <c r="A223" s="173"/>
      <c r="D223" s="173"/>
      <c r="E223" s="173"/>
      <c r="F223" s="173"/>
      <c r="G223" s="173"/>
      <c r="H223" s="173"/>
      <c r="I223" s="173"/>
      <c r="J223" s="173"/>
      <c r="K223" s="173"/>
      <c r="L223" s="173"/>
      <c r="AM223" s="173"/>
      <c r="AN223" s="173"/>
      <c r="AZ223" s="337"/>
      <c r="BL223" s="349"/>
      <c r="BM223" s="300"/>
      <c r="BN223" s="300"/>
      <c r="BO223" s="300"/>
      <c r="BP223" s="300"/>
      <c r="BQ223" s="300"/>
      <c r="BR223" s="300"/>
      <c r="BS223" s="300"/>
      <c r="BT223" s="300"/>
      <c r="BU223" s="300"/>
      <c r="BV223" s="300"/>
      <c r="BW223" s="300"/>
      <c r="BX223" s="300"/>
      <c r="BY223" s="300"/>
      <c r="BZ223" s="300"/>
      <c r="CA223" s="300"/>
      <c r="CB223" s="300"/>
    </row>
    <row r="224" spans="1:80" s="27" customFormat="1" x14ac:dyDescent="0.3">
      <c r="A224" s="173"/>
      <c r="D224" s="173"/>
      <c r="E224" s="173"/>
      <c r="F224" s="173"/>
      <c r="G224" s="173"/>
      <c r="H224" s="173"/>
      <c r="I224" s="173"/>
      <c r="J224" s="173"/>
      <c r="K224" s="173"/>
      <c r="L224" s="173"/>
      <c r="AM224" s="173"/>
      <c r="AN224" s="173"/>
      <c r="AZ224" s="337"/>
      <c r="BL224" s="349"/>
      <c r="BM224" s="300"/>
      <c r="BN224" s="300"/>
      <c r="BO224" s="300"/>
      <c r="BP224" s="300"/>
      <c r="BQ224" s="300"/>
      <c r="BR224" s="300"/>
      <c r="BS224" s="300"/>
      <c r="BT224" s="300"/>
      <c r="BU224" s="300"/>
      <c r="BV224" s="300"/>
      <c r="BW224" s="300"/>
      <c r="BX224" s="300"/>
      <c r="BY224" s="300"/>
      <c r="BZ224" s="300"/>
      <c r="CA224" s="300"/>
      <c r="CB224" s="300"/>
    </row>
    <row r="225" spans="1:80" s="27" customFormat="1" x14ac:dyDescent="0.3">
      <c r="A225" s="173"/>
      <c r="D225" s="173"/>
      <c r="E225" s="173"/>
      <c r="F225" s="173"/>
      <c r="G225" s="173"/>
      <c r="H225" s="173"/>
      <c r="I225" s="173"/>
      <c r="J225" s="173"/>
      <c r="K225" s="173"/>
      <c r="L225" s="173"/>
      <c r="AM225" s="173"/>
      <c r="AN225" s="173"/>
      <c r="AZ225" s="337"/>
      <c r="BL225" s="349"/>
      <c r="BM225" s="300"/>
      <c r="BN225" s="300"/>
      <c r="BO225" s="300"/>
      <c r="BP225" s="300"/>
      <c r="BQ225" s="300"/>
      <c r="BR225" s="300"/>
      <c r="BS225" s="300"/>
      <c r="BT225" s="300"/>
      <c r="BU225" s="300"/>
      <c r="BV225" s="300"/>
      <c r="BW225" s="300"/>
      <c r="BX225" s="300"/>
      <c r="BY225" s="300"/>
      <c r="BZ225" s="300"/>
      <c r="CA225" s="300"/>
      <c r="CB225" s="300"/>
    </row>
    <row r="226" spans="1:80" s="27" customFormat="1" x14ac:dyDescent="0.3">
      <c r="A226" s="173"/>
      <c r="D226" s="173"/>
      <c r="E226" s="173"/>
      <c r="F226" s="173"/>
      <c r="G226" s="173"/>
      <c r="H226" s="173"/>
      <c r="I226" s="173"/>
      <c r="J226" s="173"/>
      <c r="K226" s="173"/>
      <c r="L226" s="173"/>
      <c r="AM226" s="173"/>
      <c r="AN226" s="173"/>
      <c r="AZ226" s="337"/>
      <c r="BL226" s="349"/>
      <c r="BM226" s="300"/>
      <c r="BN226" s="300"/>
      <c r="BO226" s="300"/>
      <c r="BP226" s="300"/>
      <c r="BQ226" s="300"/>
      <c r="BR226" s="300"/>
      <c r="BS226" s="300"/>
      <c r="BT226" s="300"/>
      <c r="BU226" s="300"/>
      <c r="BV226" s="300"/>
      <c r="BW226" s="300"/>
      <c r="BX226" s="300"/>
      <c r="BY226" s="300"/>
      <c r="BZ226" s="300"/>
      <c r="CA226" s="300"/>
      <c r="CB226" s="300"/>
    </row>
    <row r="227" spans="1:80" s="27" customFormat="1" x14ac:dyDescent="0.3">
      <c r="A227" s="173"/>
      <c r="D227" s="173"/>
      <c r="E227" s="173"/>
      <c r="F227" s="173"/>
      <c r="G227" s="173"/>
      <c r="H227" s="173"/>
      <c r="I227" s="173"/>
      <c r="J227" s="173"/>
      <c r="K227" s="173"/>
      <c r="L227" s="173"/>
      <c r="AM227" s="173"/>
      <c r="AN227" s="173"/>
      <c r="AZ227" s="337"/>
      <c r="BL227" s="349"/>
      <c r="BM227" s="300"/>
      <c r="BN227" s="300"/>
      <c r="BO227" s="300"/>
      <c r="BP227" s="300"/>
      <c r="BQ227" s="300"/>
      <c r="BR227" s="300"/>
      <c r="BS227" s="300"/>
      <c r="BT227" s="300"/>
      <c r="BU227" s="300"/>
      <c r="BV227" s="300"/>
      <c r="BW227" s="300"/>
      <c r="BX227" s="300"/>
      <c r="BY227" s="300"/>
      <c r="BZ227" s="300"/>
      <c r="CA227" s="300"/>
      <c r="CB227" s="300"/>
    </row>
    <row r="228" spans="1:80" s="27" customFormat="1" x14ac:dyDescent="0.3">
      <c r="A228" s="173"/>
      <c r="D228" s="173"/>
      <c r="E228" s="173"/>
      <c r="F228" s="173"/>
      <c r="G228" s="173"/>
      <c r="H228" s="173"/>
      <c r="I228" s="173"/>
      <c r="J228" s="173"/>
      <c r="K228" s="173"/>
      <c r="L228" s="173"/>
      <c r="AM228" s="173"/>
      <c r="AN228" s="173"/>
      <c r="AZ228" s="337"/>
      <c r="BL228" s="349"/>
      <c r="BM228" s="300"/>
      <c r="BN228" s="300"/>
      <c r="BO228" s="300"/>
      <c r="BP228" s="300"/>
      <c r="BQ228" s="300"/>
      <c r="BR228" s="300"/>
      <c r="BS228" s="300"/>
      <c r="BT228" s="300"/>
      <c r="BU228" s="300"/>
      <c r="BV228" s="300"/>
      <c r="BW228" s="300"/>
      <c r="BX228" s="300"/>
      <c r="BY228" s="300"/>
      <c r="BZ228" s="300"/>
      <c r="CA228" s="300"/>
      <c r="CB228" s="300"/>
    </row>
    <row r="229" spans="1:80" s="27" customFormat="1" x14ac:dyDescent="0.3">
      <c r="A229" s="173"/>
      <c r="D229" s="173"/>
      <c r="E229" s="173"/>
      <c r="F229" s="173"/>
      <c r="G229" s="173"/>
      <c r="H229" s="173"/>
      <c r="I229" s="173"/>
      <c r="J229" s="173"/>
      <c r="K229" s="173"/>
      <c r="L229" s="173"/>
      <c r="AM229" s="173"/>
      <c r="AN229" s="173"/>
      <c r="AZ229" s="337"/>
      <c r="BL229" s="349"/>
      <c r="BM229" s="300"/>
      <c r="BN229" s="300"/>
      <c r="BO229" s="300"/>
      <c r="BP229" s="300"/>
      <c r="BQ229" s="300"/>
      <c r="BR229" s="300"/>
      <c r="BS229" s="300"/>
      <c r="BT229" s="300"/>
      <c r="BU229" s="300"/>
      <c r="BV229" s="300"/>
      <c r="BW229" s="300"/>
      <c r="BX229" s="300"/>
      <c r="BY229" s="300"/>
      <c r="BZ229" s="300"/>
      <c r="CA229" s="300"/>
      <c r="CB229" s="300"/>
    </row>
    <row r="230" spans="1:80" s="27" customFormat="1" x14ac:dyDescent="0.3">
      <c r="A230" s="173"/>
      <c r="D230" s="173"/>
      <c r="E230" s="173"/>
      <c r="F230" s="173"/>
      <c r="G230" s="173"/>
      <c r="H230" s="173"/>
      <c r="I230" s="173"/>
      <c r="J230" s="173"/>
      <c r="K230" s="173"/>
      <c r="L230" s="173"/>
      <c r="AM230" s="173"/>
      <c r="AN230" s="173"/>
      <c r="AZ230" s="337"/>
      <c r="BL230" s="349"/>
      <c r="BM230" s="300"/>
      <c r="BN230" s="300"/>
      <c r="BO230" s="300"/>
      <c r="BP230" s="300"/>
      <c r="BQ230" s="300"/>
      <c r="BR230" s="300"/>
      <c r="BS230" s="300"/>
      <c r="BT230" s="300"/>
      <c r="BU230" s="300"/>
      <c r="BV230" s="300"/>
      <c r="BW230" s="300"/>
      <c r="BX230" s="300"/>
      <c r="BY230" s="300"/>
      <c r="BZ230" s="300"/>
      <c r="CA230" s="300"/>
      <c r="CB230" s="300"/>
    </row>
    <row r="231" spans="1:80" s="27" customFormat="1" x14ac:dyDescent="0.3">
      <c r="A231" s="173"/>
      <c r="D231" s="173"/>
      <c r="E231" s="173"/>
      <c r="F231" s="173"/>
      <c r="G231" s="173"/>
      <c r="H231" s="173"/>
      <c r="I231" s="173"/>
      <c r="J231" s="173"/>
      <c r="K231" s="173"/>
      <c r="L231" s="173"/>
      <c r="AM231" s="173"/>
      <c r="AN231" s="173"/>
      <c r="AZ231" s="337"/>
      <c r="BL231" s="349"/>
      <c r="BM231" s="300"/>
      <c r="BN231" s="300"/>
      <c r="BO231" s="300"/>
      <c r="BP231" s="300"/>
      <c r="BQ231" s="300"/>
      <c r="BR231" s="300"/>
      <c r="BS231" s="300"/>
      <c r="BT231" s="300"/>
      <c r="BU231" s="300"/>
      <c r="BV231" s="300"/>
      <c r="BW231" s="300"/>
      <c r="BX231" s="300"/>
      <c r="BY231" s="300"/>
      <c r="BZ231" s="300"/>
      <c r="CA231" s="300"/>
      <c r="CB231" s="300"/>
    </row>
    <row r="232" spans="1:80" s="27" customFormat="1" x14ac:dyDescent="0.3">
      <c r="A232" s="173"/>
      <c r="D232" s="173"/>
      <c r="E232" s="173"/>
      <c r="F232" s="173"/>
      <c r="G232" s="173"/>
      <c r="H232" s="173"/>
      <c r="I232" s="173"/>
      <c r="J232" s="173"/>
      <c r="K232" s="173"/>
      <c r="L232" s="173"/>
      <c r="AM232" s="173"/>
      <c r="AN232" s="173"/>
      <c r="AZ232" s="337"/>
      <c r="BL232" s="349"/>
      <c r="BM232" s="300"/>
      <c r="BN232" s="300"/>
      <c r="BO232" s="300"/>
      <c r="BP232" s="300"/>
      <c r="BQ232" s="300"/>
      <c r="BR232" s="300"/>
      <c r="BS232" s="300"/>
      <c r="BT232" s="300"/>
      <c r="BU232" s="300"/>
      <c r="BV232" s="300"/>
      <c r="BW232" s="300"/>
      <c r="BX232" s="300"/>
      <c r="BY232" s="300"/>
      <c r="BZ232" s="300"/>
      <c r="CA232" s="300"/>
      <c r="CB232" s="300"/>
    </row>
    <row r="233" spans="1:80" s="27" customFormat="1" x14ac:dyDescent="0.3">
      <c r="A233" s="173"/>
      <c r="D233" s="173"/>
      <c r="E233" s="173"/>
      <c r="F233" s="173"/>
      <c r="G233" s="173"/>
      <c r="H233" s="173"/>
      <c r="I233" s="173"/>
      <c r="J233" s="173"/>
      <c r="K233" s="173"/>
      <c r="L233" s="173"/>
      <c r="AM233" s="173"/>
      <c r="AN233" s="173"/>
      <c r="AZ233" s="337"/>
      <c r="BL233" s="349"/>
      <c r="BM233" s="300"/>
      <c r="BN233" s="300"/>
      <c r="BO233" s="300"/>
      <c r="BP233" s="300"/>
      <c r="BQ233" s="300"/>
      <c r="BR233" s="300"/>
      <c r="BS233" s="300"/>
      <c r="BT233" s="300"/>
      <c r="BU233" s="300"/>
      <c r="BV233" s="300"/>
      <c r="BW233" s="300"/>
      <c r="BX233" s="300"/>
      <c r="BY233" s="300"/>
      <c r="BZ233" s="300"/>
      <c r="CA233" s="300"/>
      <c r="CB233" s="300"/>
    </row>
    <row r="234" spans="1:80" s="27" customFormat="1" x14ac:dyDescent="0.3">
      <c r="A234" s="173"/>
      <c r="D234" s="173"/>
      <c r="E234" s="173"/>
      <c r="F234" s="173"/>
      <c r="G234" s="173"/>
      <c r="H234" s="173"/>
      <c r="I234" s="173"/>
      <c r="J234" s="173"/>
      <c r="K234" s="173"/>
      <c r="L234" s="173"/>
      <c r="AM234" s="173"/>
      <c r="AN234" s="173"/>
      <c r="AZ234" s="337"/>
      <c r="BL234" s="349"/>
      <c r="BM234" s="300"/>
      <c r="BN234" s="300"/>
      <c r="BO234" s="300"/>
      <c r="BP234" s="300"/>
      <c r="BQ234" s="300"/>
      <c r="BR234" s="300"/>
      <c r="BS234" s="300"/>
      <c r="BT234" s="300"/>
      <c r="BU234" s="300"/>
      <c r="BV234" s="300"/>
      <c r="BW234" s="300"/>
      <c r="BX234" s="300"/>
      <c r="BY234" s="300"/>
      <c r="BZ234" s="300"/>
      <c r="CA234" s="300"/>
      <c r="CB234" s="300"/>
    </row>
    <row r="235" spans="1:80" s="27" customFormat="1" x14ac:dyDescent="0.3">
      <c r="A235" s="173"/>
      <c r="D235" s="173"/>
      <c r="E235" s="173"/>
      <c r="F235" s="173"/>
      <c r="G235" s="173"/>
      <c r="H235" s="173"/>
      <c r="I235" s="173"/>
      <c r="J235" s="173"/>
      <c r="K235" s="173"/>
      <c r="L235" s="173"/>
      <c r="AM235" s="173"/>
      <c r="AN235" s="173"/>
      <c r="AZ235" s="337"/>
      <c r="BL235" s="349"/>
      <c r="BM235" s="300"/>
      <c r="BN235" s="300"/>
      <c r="BO235" s="300"/>
      <c r="BP235" s="300"/>
      <c r="BQ235" s="300"/>
      <c r="BR235" s="300"/>
      <c r="BS235" s="300"/>
      <c r="BT235" s="300"/>
      <c r="BU235" s="300"/>
      <c r="BV235" s="300"/>
      <c r="BW235" s="300"/>
      <c r="BX235" s="300"/>
      <c r="BY235" s="300"/>
      <c r="BZ235" s="300"/>
      <c r="CA235" s="300"/>
      <c r="CB235" s="300"/>
    </row>
    <row r="236" spans="1:80" s="27" customFormat="1" x14ac:dyDescent="0.3">
      <c r="A236" s="173"/>
      <c r="D236" s="173"/>
      <c r="E236" s="173"/>
      <c r="F236" s="173"/>
      <c r="G236" s="173"/>
      <c r="H236" s="173"/>
      <c r="I236" s="173"/>
      <c r="J236" s="173"/>
      <c r="K236" s="173"/>
      <c r="L236" s="173"/>
      <c r="AM236" s="173"/>
      <c r="AN236" s="173"/>
      <c r="AZ236" s="337"/>
      <c r="BL236" s="349"/>
      <c r="BM236" s="300"/>
      <c r="BN236" s="300"/>
      <c r="BO236" s="300"/>
      <c r="BP236" s="300"/>
      <c r="BQ236" s="300"/>
      <c r="BR236" s="300"/>
      <c r="BS236" s="300"/>
      <c r="BT236" s="300"/>
      <c r="BU236" s="300"/>
      <c r="BV236" s="300"/>
      <c r="BW236" s="300"/>
      <c r="BX236" s="300"/>
      <c r="BY236" s="300"/>
      <c r="BZ236" s="300"/>
      <c r="CA236" s="300"/>
      <c r="CB236" s="300"/>
    </row>
    <row r="237" spans="1:80" s="27" customFormat="1" x14ac:dyDescent="0.3">
      <c r="A237" s="173"/>
      <c r="D237" s="173"/>
      <c r="E237" s="173"/>
      <c r="F237" s="173"/>
      <c r="G237" s="173"/>
      <c r="H237" s="173"/>
      <c r="I237" s="173"/>
      <c r="J237" s="173"/>
      <c r="K237" s="173"/>
      <c r="L237" s="173"/>
      <c r="AM237" s="173"/>
      <c r="AN237" s="173"/>
      <c r="AZ237" s="337"/>
      <c r="BL237" s="349"/>
      <c r="BM237" s="300"/>
      <c r="BN237" s="300"/>
      <c r="BO237" s="300"/>
      <c r="BP237" s="300"/>
      <c r="BQ237" s="300"/>
      <c r="BR237" s="300"/>
      <c r="BS237" s="300"/>
      <c r="BT237" s="300"/>
      <c r="BU237" s="300"/>
      <c r="BV237" s="300"/>
      <c r="BW237" s="300"/>
      <c r="BX237" s="300"/>
      <c r="BY237" s="300"/>
      <c r="BZ237" s="300"/>
      <c r="CA237" s="300"/>
      <c r="CB237" s="300"/>
    </row>
    <row r="238" spans="1:80" s="27" customFormat="1" x14ac:dyDescent="0.3">
      <c r="A238" s="173"/>
      <c r="D238" s="173"/>
      <c r="E238" s="173"/>
      <c r="F238" s="173"/>
      <c r="G238" s="173"/>
      <c r="H238" s="173"/>
      <c r="I238" s="173"/>
      <c r="J238" s="173"/>
      <c r="K238" s="173"/>
      <c r="L238" s="173"/>
      <c r="AM238" s="173"/>
      <c r="AN238" s="173"/>
      <c r="AZ238" s="337"/>
      <c r="BL238" s="349"/>
      <c r="BM238" s="300"/>
      <c r="BN238" s="300"/>
      <c r="BO238" s="300"/>
      <c r="BP238" s="300"/>
      <c r="BQ238" s="300"/>
      <c r="BR238" s="300"/>
      <c r="BS238" s="300"/>
      <c r="BT238" s="300"/>
      <c r="BU238" s="300"/>
      <c r="BV238" s="300"/>
      <c r="BW238" s="300"/>
      <c r="BX238" s="300"/>
      <c r="BY238" s="300"/>
      <c r="BZ238" s="300"/>
      <c r="CA238" s="300"/>
      <c r="CB238" s="300"/>
    </row>
    <row r="239" spans="1:80" s="27" customFormat="1" x14ac:dyDescent="0.3">
      <c r="A239" s="173"/>
      <c r="D239" s="173"/>
      <c r="E239" s="173"/>
      <c r="F239" s="173"/>
      <c r="G239" s="173"/>
      <c r="H239" s="173"/>
      <c r="I239" s="173"/>
      <c r="J239" s="173"/>
      <c r="K239" s="173"/>
      <c r="L239" s="173"/>
      <c r="AM239" s="173"/>
      <c r="AN239" s="173"/>
      <c r="AZ239" s="337"/>
      <c r="BL239" s="349"/>
      <c r="BM239" s="300"/>
      <c r="BN239" s="300"/>
      <c r="BO239" s="300"/>
      <c r="BP239" s="300"/>
      <c r="BQ239" s="300"/>
      <c r="BR239" s="300"/>
      <c r="BS239" s="300"/>
      <c r="BT239" s="300"/>
      <c r="BU239" s="300"/>
      <c r="BV239" s="300"/>
      <c r="BW239" s="300"/>
      <c r="BX239" s="300"/>
      <c r="BY239" s="300"/>
      <c r="BZ239" s="300"/>
      <c r="CA239" s="300"/>
      <c r="CB239" s="300"/>
    </row>
    <row r="240" spans="1:80" s="27" customFormat="1" x14ac:dyDescent="0.3">
      <c r="A240" s="173"/>
      <c r="D240" s="173"/>
      <c r="E240" s="173"/>
      <c r="F240" s="173"/>
      <c r="G240" s="173"/>
      <c r="H240" s="173"/>
      <c r="I240" s="173"/>
      <c r="J240" s="173"/>
      <c r="K240" s="173"/>
      <c r="L240" s="173"/>
      <c r="AM240" s="173"/>
      <c r="AN240" s="173"/>
      <c r="AZ240" s="337"/>
      <c r="BL240" s="349"/>
      <c r="BM240" s="300"/>
      <c r="BN240" s="300"/>
      <c r="BO240" s="300"/>
      <c r="BP240" s="300"/>
      <c r="BQ240" s="300"/>
      <c r="BR240" s="300"/>
      <c r="BS240" s="300"/>
      <c r="BT240" s="300"/>
      <c r="BU240" s="300"/>
      <c r="BV240" s="300"/>
      <c r="BW240" s="300"/>
      <c r="BX240" s="300"/>
      <c r="BY240" s="300"/>
      <c r="BZ240" s="300"/>
      <c r="CA240" s="300"/>
      <c r="CB240" s="300"/>
    </row>
    <row r="241" spans="1:80" s="27" customFormat="1" x14ac:dyDescent="0.3">
      <c r="A241" s="173"/>
      <c r="D241" s="173"/>
      <c r="E241" s="173"/>
      <c r="F241" s="173"/>
      <c r="G241" s="173"/>
      <c r="H241" s="173"/>
      <c r="I241" s="173"/>
      <c r="J241" s="173"/>
      <c r="K241" s="173"/>
      <c r="L241" s="173"/>
      <c r="AM241" s="173"/>
      <c r="AN241" s="173"/>
      <c r="AZ241" s="337"/>
      <c r="BL241" s="349"/>
      <c r="BM241" s="300"/>
      <c r="BN241" s="300"/>
      <c r="BO241" s="300"/>
      <c r="BP241" s="300"/>
      <c r="BQ241" s="300"/>
      <c r="BR241" s="300"/>
      <c r="BS241" s="300"/>
      <c r="BT241" s="300"/>
      <c r="BU241" s="300"/>
      <c r="BV241" s="300"/>
      <c r="BW241" s="300"/>
      <c r="BX241" s="300"/>
      <c r="BY241" s="300"/>
      <c r="BZ241" s="300"/>
      <c r="CA241" s="300"/>
      <c r="CB241" s="300"/>
    </row>
    <row r="242" spans="1:80" s="27" customFormat="1" x14ac:dyDescent="0.3">
      <c r="A242" s="173"/>
      <c r="D242" s="173"/>
      <c r="E242" s="173"/>
      <c r="F242" s="173"/>
      <c r="G242" s="173"/>
      <c r="H242" s="173"/>
      <c r="I242" s="173"/>
      <c r="J242" s="173"/>
      <c r="K242" s="173"/>
      <c r="L242" s="173"/>
      <c r="AM242" s="173"/>
      <c r="AN242" s="173"/>
      <c r="AZ242" s="337"/>
      <c r="BL242" s="349"/>
      <c r="BM242" s="300"/>
      <c r="BN242" s="300"/>
      <c r="BO242" s="300"/>
      <c r="BP242" s="300"/>
      <c r="BQ242" s="300"/>
      <c r="BR242" s="300"/>
      <c r="BS242" s="300"/>
      <c r="BT242" s="300"/>
      <c r="BU242" s="300"/>
      <c r="BV242" s="300"/>
      <c r="BW242" s="300"/>
      <c r="BX242" s="300"/>
      <c r="BY242" s="300"/>
      <c r="BZ242" s="300"/>
      <c r="CA242" s="300"/>
      <c r="CB242" s="300"/>
    </row>
    <row r="243" spans="1:80" s="27" customFormat="1" x14ac:dyDescent="0.3">
      <c r="A243" s="173"/>
      <c r="D243" s="173"/>
      <c r="E243" s="173"/>
      <c r="F243" s="173"/>
      <c r="G243" s="173"/>
      <c r="H243" s="173"/>
      <c r="I243" s="173"/>
      <c r="J243" s="173"/>
      <c r="K243" s="173"/>
      <c r="L243" s="173"/>
      <c r="AM243" s="173"/>
      <c r="AN243" s="173"/>
      <c r="AZ243" s="337"/>
      <c r="BL243" s="349"/>
      <c r="BM243" s="300"/>
      <c r="BN243" s="300"/>
      <c r="BO243" s="300"/>
      <c r="BP243" s="300"/>
      <c r="BQ243" s="300"/>
      <c r="BR243" s="300"/>
      <c r="BS243" s="300"/>
      <c r="BT243" s="300"/>
      <c r="BU243" s="300"/>
      <c r="BV243" s="300"/>
      <c r="BW243" s="300"/>
      <c r="BX243" s="300"/>
      <c r="BY243" s="300"/>
      <c r="BZ243" s="300"/>
      <c r="CA243" s="300"/>
      <c r="CB243" s="300"/>
    </row>
    <row r="244" spans="1:80" s="27" customFormat="1" x14ac:dyDescent="0.3">
      <c r="A244" s="173"/>
      <c r="D244" s="173"/>
      <c r="E244" s="173"/>
      <c r="F244" s="173"/>
      <c r="G244" s="173"/>
      <c r="H244" s="173"/>
      <c r="I244" s="173"/>
      <c r="J244" s="173"/>
      <c r="K244" s="173"/>
      <c r="L244" s="173"/>
      <c r="AM244" s="173"/>
      <c r="AN244" s="173"/>
      <c r="AZ244" s="337"/>
      <c r="BL244" s="349"/>
      <c r="BM244" s="300"/>
      <c r="BN244" s="300"/>
      <c r="BO244" s="300"/>
      <c r="BP244" s="300"/>
      <c r="BQ244" s="300"/>
      <c r="BR244" s="300"/>
      <c r="BS244" s="300"/>
      <c r="BT244" s="300"/>
      <c r="BU244" s="300"/>
      <c r="BV244" s="300"/>
      <c r="BW244" s="300"/>
      <c r="BX244" s="300"/>
      <c r="BY244" s="300"/>
      <c r="BZ244" s="300"/>
      <c r="CA244" s="300"/>
      <c r="CB244" s="300"/>
    </row>
    <row r="245" spans="1:80" s="27" customFormat="1" x14ac:dyDescent="0.3">
      <c r="A245" s="173"/>
      <c r="D245" s="173"/>
      <c r="E245" s="173"/>
      <c r="F245" s="173"/>
      <c r="G245" s="173"/>
      <c r="H245" s="173"/>
      <c r="I245" s="173"/>
      <c r="J245" s="173"/>
      <c r="K245" s="173"/>
      <c r="L245" s="173"/>
      <c r="AM245" s="173"/>
      <c r="AN245" s="173"/>
      <c r="AZ245" s="337"/>
      <c r="BL245" s="349"/>
      <c r="BM245" s="300"/>
      <c r="BN245" s="300"/>
      <c r="BO245" s="300"/>
      <c r="BP245" s="300"/>
      <c r="BQ245" s="300"/>
      <c r="BR245" s="300"/>
      <c r="BS245" s="300"/>
      <c r="BT245" s="300"/>
      <c r="BU245" s="300"/>
      <c r="BV245" s="300"/>
      <c r="BW245" s="300"/>
      <c r="BX245" s="300"/>
      <c r="BY245" s="300"/>
      <c r="BZ245" s="300"/>
      <c r="CA245" s="300"/>
      <c r="CB245" s="300"/>
    </row>
    <row r="246" spans="1:80" s="27" customFormat="1" x14ac:dyDescent="0.3">
      <c r="A246" s="173"/>
      <c r="D246" s="173"/>
      <c r="E246" s="173"/>
      <c r="F246" s="173"/>
      <c r="G246" s="173"/>
      <c r="H246" s="173"/>
      <c r="I246" s="173"/>
      <c r="J246" s="173"/>
      <c r="K246" s="173"/>
      <c r="L246" s="173"/>
      <c r="AM246" s="173"/>
      <c r="AN246" s="173"/>
      <c r="AZ246" s="337"/>
      <c r="BL246" s="349"/>
      <c r="BM246" s="300"/>
      <c r="BN246" s="300"/>
      <c r="BO246" s="300"/>
      <c r="BP246" s="300"/>
      <c r="BQ246" s="300"/>
      <c r="BR246" s="300"/>
      <c r="BS246" s="300"/>
      <c r="BT246" s="300"/>
      <c r="BU246" s="300"/>
      <c r="BV246" s="300"/>
      <c r="BW246" s="300"/>
      <c r="BX246" s="300"/>
      <c r="BY246" s="300"/>
      <c r="BZ246" s="300"/>
      <c r="CA246" s="300"/>
      <c r="CB246" s="300"/>
    </row>
    <row r="247" spans="1:80" s="27" customFormat="1" x14ac:dyDescent="0.3">
      <c r="A247" s="173"/>
      <c r="D247" s="173"/>
      <c r="E247" s="173"/>
      <c r="F247" s="173"/>
      <c r="G247" s="173"/>
      <c r="H247" s="173"/>
      <c r="I247" s="173"/>
      <c r="J247" s="173"/>
      <c r="K247" s="173"/>
      <c r="L247" s="173"/>
      <c r="AM247" s="173"/>
      <c r="AN247" s="173"/>
      <c r="AZ247" s="337"/>
      <c r="BL247" s="349"/>
      <c r="BM247" s="300"/>
      <c r="BN247" s="300"/>
      <c r="BO247" s="300"/>
      <c r="BP247" s="300"/>
      <c r="BQ247" s="300"/>
      <c r="BR247" s="300"/>
      <c r="BS247" s="300"/>
      <c r="BT247" s="300"/>
      <c r="BU247" s="300"/>
      <c r="BV247" s="300"/>
      <c r="BW247" s="300"/>
      <c r="BX247" s="300"/>
      <c r="BY247" s="300"/>
      <c r="BZ247" s="300"/>
      <c r="CA247" s="300"/>
      <c r="CB247" s="300"/>
    </row>
    <row r="248" spans="1:80" s="27" customFormat="1" x14ac:dyDescent="0.3">
      <c r="A248" s="173"/>
      <c r="D248" s="173"/>
      <c r="E248" s="173"/>
      <c r="F248" s="173"/>
      <c r="G248" s="173"/>
      <c r="H248" s="173"/>
      <c r="I248" s="173"/>
      <c r="J248" s="173"/>
      <c r="K248" s="173"/>
      <c r="L248" s="173"/>
      <c r="AM248" s="173"/>
      <c r="AN248" s="173"/>
      <c r="AZ248" s="337"/>
      <c r="BL248" s="349"/>
      <c r="BM248" s="300"/>
      <c r="BN248" s="300"/>
      <c r="BO248" s="300"/>
      <c r="BP248" s="300"/>
      <c r="BQ248" s="300"/>
      <c r="BR248" s="300"/>
      <c r="BS248" s="300"/>
      <c r="BT248" s="300"/>
      <c r="BU248" s="300"/>
      <c r="BV248" s="300"/>
      <c r="BW248" s="300"/>
      <c r="BX248" s="300"/>
      <c r="BY248" s="300"/>
      <c r="BZ248" s="300"/>
      <c r="CA248" s="300"/>
      <c r="CB248" s="300"/>
    </row>
    <row r="249" spans="1:80" s="27" customFormat="1" x14ac:dyDescent="0.3">
      <c r="A249" s="173"/>
      <c r="D249" s="173"/>
      <c r="E249" s="173"/>
      <c r="F249" s="173"/>
      <c r="G249" s="173"/>
      <c r="H249" s="173"/>
      <c r="I249" s="173"/>
      <c r="J249" s="173"/>
      <c r="K249" s="173"/>
      <c r="L249" s="173"/>
      <c r="AM249" s="173"/>
      <c r="AN249" s="173"/>
      <c r="AZ249" s="337"/>
      <c r="BL249" s="349"/>
      <c r="BM249" s="300"/>
      <c r="BN249" s="300"/>
      <c r="BO249" s="300"/>
      <c r="BP249" s="300"/>
      <c r="BQ249" s="300"/>
      <c r="BR249" s="300"/>
      <c r="BS249" s="300"/>
      <c r="BT249" s="300"/>
      <c r="BU249" s="300"/>
      <c r="BV249" s="300"/>
      <c r="BW249" s="300"/>
      <c r="BX249" s="300"/>
      <c r="BY249" s="300"/>
      <c r="BZ249" s="300"/>
      <c r="CA249" s="300"/>
      <c r="CB249" s="300"/>
    </row>
    <row r="250" spans="1:80" s="27" customFormat="1" x14ac:dyDescent="0.3">
      <c r="A250" s="173"/>
      <c r="D250" s="173"/>
      <c r="E250" s="173"/>
      <c r="F250" s="173"/>
      <c r="G250" s="173"/>
      <c r="H250" s="173"/>
      <c r="I250" s="173"/>
      <c r="J250" s="173"/>
      <c r="K250" s="173"/>
      <c r="L250" s="173"/>
      <c r="AM250" s="173"/>
      <c r="AN250" s="173"/>
      <c r="AZ250" s="337"/>
      <c r="BL250" s="349"/>
      <c r="BM250" s="300"/>
      <c r="BN250" s="300"/>
      <c r="BO250" s="300"/>
      <c r="BP250" s="300"/>
      <c r="BQ250" s="300"/>
      <c r="BR250" s="300"/>
      <c r="BS250" s="300"/>
      <c r="BT250" s="300"/>
      <c r="BU250" s="300"/>
      <c r="BV250" s="300"/>
      <c r="BW250" s="300"/>
      <c r="BX250" s="300"/>
      <c r="BY250" s="300"/>
      <c r="BZ250" s="300"/>
      <c r="CA250" s="300"/>
      <c r="CB250" s="300"/>
    </row>
    <row r="251" spans="1:80" s="27" customFormat="1" x14ac:dyDescent="0.3">
      <c r="A251" s="173"/>
      <c r="D251" s="173"/>
      <c r="E251" s="173"/>
      <c r="F251" s="173"/>
      <c r="G251" s="173"/>
      <c r="H251" s="173"/>
      <c r="I251" s="173"/>
      <c r="J251" s="173"/>
      <c r="K251" s="173"/>
      <c r="L251" s="173"/>
      <c r="AM251" s="173"/>
      <c r="AN251" s="173"/>
      <c r="AZ251" s="337"/>
      <c r="BL251" s="349"/>
      <c r="BM251" s="300"/>
      <c r="BN251" s="300"/>
      <c r="BO251" s="300"/>
      <c r="BP251" s="300"/>
      <c r="BQ251" s="300"/>
      <c r="BR251" s="300"/>
      <c r="BS251" s="300"/>
      <c r="BT251" s="300"/>
      <c r="BU251" s="300"/>
      <c r="BV251" s="300"/>
      <c r="BW251" s="300"/>
      <c r="BX251" s="300"/>
      <c r="BY251" s="300"/>
      <c r="BZ251" s="300"/>
      <c r="CA251" s="300"/>
      <c r="CB251" s="300"/>
    </row>
    <row r="252" spans="1:80" s="27" customFormat="1" x14ac:dyDescent="0.3">
      <c r="A252" s="173"/>
      <c r="D252" s="173"/>
      <c r="E252" s="173"/>
      <c r="F252" s="173"/>
      <c r="G252" s="173"/>
      <c r="H252" s="173"/>
      <c r="I252" s="173"/>
      <c r="J252" s="173"/>
      <c r="K252" s="173"/>
      <c r="L252" s="173"/>
      <c r="AM252" s="173"/>
      <c r="AN252" s="173"/>
      <c r="AZ252" s="337"/>
      <c r="BL252" s="349"/>
      <c r="BM252" s="300"/>
      <c r="BN252" s="300"/>
      <c r="BO252" s="300"/>
      <c r="BP252" s="300"/>
      <c r="BQ252" s="300"/>
      <c r="BR252" s="300"/>
      <c r="BS252" s="300"/>
      <c r="BT252" s="300"/>
      <c r="BU252" s="300"/>
      <c r="BV252" s="300"/>
      <c r="BW252" s="300"/>
      <c r="BX252" s="300"/>
      <c r="BY252" s="300"/>
      <c r="BZ252" s="300"/>
      <c r="CA252" s="300"/>
      <c r="CB252" s="300"/>
    </row>
    <row r="253" spans="1:80" s="27" customFormat="1" x14ac:dyDescent="0.3">
      <c r="A253" s="173"/>
      <c r="D253" s="173"/>
      <c r="E253" s="173"/>
      <c r="F253" s="173"/>
      <c r="G253" s="173"/>
      <c r="H253" s="173"/>
      <c r="I253" s="173"/>
      <c r="J253" s="173"/>
      <c r="K253" s="173"/>
      <c r="L253" s="173"/>
      <c r="AM253" s="173"/>
      <c r="AN253" s="173"/>
      <c r="AZ253" s="337"/>
      <c r="BL253" s="349"/>
      <c r="BM253" s="300"/>
      <c r="BN253" s="300"/>
      <c r="BO253" s="300"/>
      <c r="BP253" s="300"/>
      <c r="BQ253" s="300"/>
      <c r="BR253" s="300"/>
      <c r="BS253" s="300"/>
      <c r="BT253" s="300"/>
      <c r="BU253" s="300"/>
      <c r="BV253" s="300"/>
      <c r="BW253" s="300"/>
      <c r="BX253" s="300"/>
      <c r="BY253" s="300"/>
      <c r="BZ253" s="300"/>
      <c r="CA253" s="300"/>
      <c r="CB253" s="300"/>
    </row>
    <row r="254" spans="1:80" s="27" customFormat="1" x14ac:dyDescent="0.3">
      <c r="A254" s="173"/>
      <c r="D254" s="173"/>
      <c r="E254" s="173"/>
      <c r="F254" s="173"/>
      <c r="G254" s="173"/>
      <c r="H254" s="173"/>
      <c r="I254" s="173"/>
      <c r="J254" s="173"/>
      <c r="K254" s="173"/>
      <c r="L254" s="173"/>
      <c r="AM254" s="173"/>
      <c r="AN254" s="173"/>
      <c r="AZ254" s="337"/>
      <c r="BL254" s="349"/>
      <c r="BM254" s="300"/>
      <c r="BN254" s="300"/>
      <c r="BO254" s="300"/>
      <c r="BP254" s="300"/>
      <c r="BQ254" s="300"/>
      <c r="BR254" s="300"/>
      <c r="BS254" s="300"/>
      <c r="BT254" s="300"/>
      <c r="BU254" s="300"/>
      <c r="BV254" s="300"/>
      <c r="BW254" s="300"/>
      <c r="BX254" s="300"/>
      <c r="BY254" s="300"/>
      <c r="BZ254" s="300"/>
      <c r="CA254" s="300"/>
      <c r="CB254" s="300"/>
    </row>
    <row r="255" spans="1:80" s="27" customFormat="1" x14ac:dyDescent="0.3">
      <c r="A255" s="173"/>
      <c r="D255" s="173"/>
      <c r="E255" s="173"/>
      <c r="F255" s="173"/>
      <c r="G255" s="173"/>
      <c r="H255" s="173"/>
      <c r="I255" s="173"/>
      <c r="J255" s="173"/>
      <c r="K255" s="173"/>
      <c r="L255" s="173"/>
      <c r="AM255" s="173"/>
      <c r="AN255" s="173"/>
      <c r="AZ255" s="337"/>
      <c r="BL255" s="349"/>
      <c r="BM255" s="300"/>
      <c r="BN255" s="300"/>
      <c r="BO255" s="300"/>
      <c r="BP255" s="300"/>
      <c r="BQ255" s="300"/>
      <c r="BR255" s="300"/>
      <c r="BS255" s="300"/>
      <c r="BT255" s="300"/>
      <c r="BU255" s="300"/>
      <c r="BV255" s="300"/>
      <c r="BW255" s="300"/>
      <c r="BX255" s="300"/>
      <c r="BY255" s="300"/>
      <c r="BZ255" s="300"/>
      <c r="CA255" s="300"/>
      <c r="CB255" s="300"/>
    </row>
    <row r="256" spans="1:80" s="27" customFormat="1" x14ac:dyDescent="0.3">
      <c r="A256" s="173"/>
      <c r="D256" s="173"/>
      <c r="E256" s="173"/>
      <c r="F256" s="173"/>
      <c r="G256" s="173"/>
      <c r="H256" s="173"/>
      <c r="I256" s="173"/>
      <c r="J256" s="173"/>
      <c r="K256" s="173"/>
      <c r="L256" s="173"/>
      <c r="AM256" s="173"/>
      <c r="AN256" s="173"/>
      <c r="AZ256" s="337"/>
      <c r="BL256" s="349"/>
      <c r="BM256" s="300"/>
      <c r="BN256" s="300"/>
      <c r="BO256" s="300"/>
      <c r="BP256" s="300"/>
      <c r="BQ256" s="300"/>
      <c r="BR256" s="300"/>
      <c r="BS256" s="300"/>
      <c r="BT256" s="300"/>
      <c r="BU256" s="300"/>
      <c r="BV256" s="300"/>
      <c r="BW256" s="300"/>
      <c r="BX256" s="300"/>
      <c r="BY256" s="300"/>
      <c r="BZ256" s="300"/>
      <c r="CA256" s="300"/>
      <c r="CB256" s="300"/>
    </row>
    <row r="257" spans="1:80" s="27" customFormat="1" x14ac:dyDescent="0.3">
      <c r="A257" s="173"/>
      <c r="D257" s="173"/>
      <c r="E257" s="173"/>
      <c r="F257" s="173"/>
      <c r="G257" s="173"/>
      <c r="H257" s="173"/>
      <c r="I257" s="173"/>
      <c r="J257" s="173"/>
      <c r="K257" s="173"/>
      <c r="L257" s="173"/>
      <c r="AM257" s="173"/>
      <c r="AN257" s="173"/>
      <c r="AZ257" s="337"/>
      <c r="BL257" s="349"/>
      <c r="BM257" s="300"/>
      <c r="BN257" s="300"/>
      <c r="BO257" s="300"/>
      <c r="BP257" s="300"/>
      <c r="BQ257" s="300"/>
      <c r="BR257" s="300"/>
      <c r="BS257" s="300"/>
      <c r="BT257" s="300"/>
      <c r="BU257" s="300"/>
      <c r="BV257" s="300"/>
      <c r="BW257" s="300"/>
      <c r="BX257" s="300"/>
      <c r="BY257" s="300"/>
      <c r="BZ257" s="300"/>
      <c r="CA257" s="300"/>
      <c r="CB257" s="300"/>
    </row>
    <row r="258" spans="1:80" s="27" customFormat="1" x14ac:dyDescent="0.3">
      <c r="A258" s="173"/>
      <c r="D258" s="173"/>
      <c r="E258" s="173"/>
      <c r="F258" s="173"/>
      <c r="G258" s="173"/>
      <c r="H258" s="173"/>
      <c r="I258" s="173"/>
      <c r="J258" s="173"/>
      <c r="K258" s="173"/>
      <c r="L258" s="173"/>
      <c r="AM258" s="173"/>
      <c r="AN258" s="173"/>
      <c r="AZ258" s="337"/>
      <c r="BL258" s="349"/>
      <c r="BM258" s="300"/>
      <c r="BN258" s="300"/>
      <c r="BO258" s="300"/>
      <c r="BP258" s="300"/>
      <c r="BQ258" s="300"/>
      <c r="BR258" s="300"/>
      <c r="BS258" s="300"/>
      <c r="BT258" s="300"/>
      <c r="BU258" s="300"/>
      <c r="BV258" s="300"/>
      <c r="BW258" s="300"/>
      <c r="BX258" s="300"/>
      <c r="BY258" s="300"/>
      <c r="BZ258" s="300"/>
      <c r="CA258" s="300"/>
      <c r="CB258" s="300"/>
    </row>
    <row r="259" spans="1:80" s="27" customFormat="1" x14ac:dyDescent="0.3">
      <c r="A259" s="173"/>
      <c r="D259" s="173"/>
      <c r="E259" s="173"/>
      <c r="F259" s="173"/>
      <c r="G259" s="173"/>
      <c r="H259" s="173"/>
      <c r="I259" s="173"/>
      <c r="J259" s="173"/>
      <c r="K259" s="173"/>
      <c r="L259" s="173"/>
      <c r="AM259" s="173"/>
      <c r="AN259" s="173"/>
      <c r="AZ259" s="337"/>
      <c r="BL259" s="349"/>
      <c r="BM259" s="300"/>
      <c r="BN259" s="300"/>
      <c r="BO259" s="300"/>
      <c r="BP259" s="300"/>
      <c r="BQ259" s="300"/>
      <c r="BR259" s="300"/>
      <c r="BS259" s="300"/>
      <c r="BT259" s="300"/>
      <c r="BU259" s="300"/>
      <c r="BV259" s="300"/>
      <c r="BW259" s="300"/>
      <c r="BX259" s="300"/>
      <c r="BY259" s="300"/>
      <c r="BZ259" s="300"/>
      <c r="CA259" s="300"/>
      <c r="CB259" s="300"/>
    </row>
    <row r="260" spans="1:80" s="27" customFormat="1" x14ac:dyDescent="0.3">
      <c r="A260" s="173"/>
      <c r="D260" s="173"/>
      <c r="E260" s="173"/>
      <c r="F260" s="173"/>
      <c r="G260" s="173"/>
      <c r="H260" s="173"/>
      <c r="I260" s="173"/>
      <c r="J260" s="173"/>
      <c r="K260" s="173"/>
      <c r="L260" s="173"/>
      <c r="AM260" s="173"/>
      <c r="AN260" s="173"/>
      <c r="AZ260" s="337"/>
      <c r="BL260" s="349"/>
      <c r="BM260" s="300"/>
      <c r="BN260" s="300"/>
      <c r="BO260" s="300"/>
      <c r="BP260" s="300"/>
      <c r="BQ260" s="300"/>
      <c r="BR260" s="300"/>
      <c r="BS260" s="300"/>
      <c r="BT260" s="300"/>
      <c r="BU260" s="300"/>
      <c r="BV260" s="300"/>
      <c r="BW260" s="300"/>
      <c r="BX260" s="300"/>
      <c r="BY260" s="300"/>
      <c r="BZ260" s="300"/>
      <c r="CA260" s="300"/>
      <c r="CB260" s="300"/>
    </row>
    <row r="261" spans="1:80" s="27" customFormat="1" x14ac:dyDescent="0.3">
      <c r="A261" s="173"/>
      <c r="D261" s="173"/>
      <c r="E261" s="173"/>
      <c r="F261" s="173"/>
      <c r="G261" s="173"/>
      <c r="H261" s="173"/>
      <c r="I261" s="173"/>
      <c r="J261" s="173"/>
      <c r="K261" s="173"/>
      <c r="L261" s="173"/>
      <c r="AM261" s="173"/>
      <c r="AN261" s="173"/>
      <c r="AZ261" s="337"/>
      <c r="BL261" s="349"/>
      <c r="BM261" s="300"/>
      <c r="BN261" s="300"/>
      <c r="BO261" s="300"/>
      <c r="BP261" s="300"/>
      <c r="BQ261" s="300"/>
      <c r="BR261" s="300"/>
      <c r="BS261" s="300"/>
      <c r="BT261" s="300"/>
      <c r="BU261" s="300"/>
      <c r="BV261" s="300"/>
      <c r="BW261" s="300"/>
      <c r="BX261" s="300"/>
      <c r="BY261" s="300"/>
      <c r="BZ261" s="300"/>
      <c r="CA261" s="300"/>
      <c r="CB261" s="300"/>
    </row>
    <row r="262" spans="1:80" s="27" customFormat="1" x14ac:dyDescent="0.3">
      <c r="A262" s="173"/>
      <c r="D262" s="173"/>
      <c r="E262" s="173"/>
      <c r="F262" s="173"/>
      <c r="G262" s="173"/>
      <c r="H262" s="173"/>
      <c r="I262" s="173"/>
      <c r="J262" s="173"/>
      <c r="K262" s="173"/>
      <c r="L262" s="173"/>
      <c r="AM262" s="173"/>
      <c r="AN262" s="173"/>
      <c r="AZ262" s="337"/>
      <c r="BL262" s="349"/>
      <c r="BM262" s="300"/>
      <c r="BN262" s="300"/>
      <c r="BO262" s="300"/>
      <c r="BP262" s="300"/>
      <c r="BQ262" s="300"/>
      <c r="BR262" s="300"/>
      <c r="BS262" s="300"/>
      <c r="BT262" s="300"/>
      <c r="BU262" s="300"/>
      <c r="BV262" s="300"/>
      <c r="BW262" s="300"/>
      <c r="BX262" s="300"/>
      <c r="BY262" s="300"/>
      <c r="BZ262" s="300"/>
      <c r="CA262" s="300"/>
      <c r="CB262" s="300"/>
    </row>
    <row r="263" spans="1:80" s="27" customFormat="1" x14ac:dyDescent="0.3">
      <c r="A263" s="173"/>
      <c r="D263" s="173"/>
      <c r="E263" s="173"/>
      <c r="F263" s="173"/>
      <c r="G263" s="173"/>
      <c r="H263" s="173"/>
      <c r="I263" s="173"/>
      <c r="J263" s="173"/>
      <c r="K263" s="173"/>
      <c r="L263" s="173"/>
      <c r="AM263" s="173"/>
      <c r="AN263" s="173"/>
      <c r="AZ263" s="337"/>
      <c r="BL263" s="349"/>
      <c r="BM263" s="300"/>
      <c r="BN263" s="300"/>
      <c r="BO263" s="300"/>
      <c r="BP263" s="300"/>
      <c r="BQ263" s="300"/>
      <c r="BR263" s="300"/>
      <c r="BS263" s="300"/>
      <c r="BT263" s="300"/>
      <c r="BU263" s="300"/>
      <c r="BV263" s="300"/>
      <c r="BW263" s="300"/>
      <c r="BX263" s="300"/>
      <c r="BY263" s="300"/>
      <c r="BZ263" s="300"/>
      <c r="CA263" s="300"/>
      <c r="CB263" s="300"/>
    </row>
    <row r="264" spans="1:80" s="27" customFormat="1" x14ac:dyDescent="0.3">
      <c r="A264" s="173"/>
      <c r="D264" s="173"/>
      <c r="E264" s="173"/>
      <c r="F264" s="173"/>
      <c r="G264" s="173"/>
      <c r="H264" s="173"/>
      <c r="I264" s="173"/>
      <c r="J264" s="173"/>
      <c r="K264" s="173"/>
      <c r="L264" s="173"/>
      <c r="AM264" s="173"/>
      <c r="AN264" s="173"/>
      <c r="AZ264" s="337"/>
      <c r="BL264" s="349"/>
      <c r="BM264" s="300"/>
      <c r="BN264" s="300"/>
      <c r="BO264" s="300"/>
      <c r="BP264" s="300"/>
      <c r="BQ264" s="300"/>
      <c r="BR264" s="300"/>
      <c r="BS264" s="300"/>
      <c r="BT264" s="300"/>
      <c r="BU264" s="300"/>
      <c r="BV264" s="300"/>
      <c r="BW264" s="300"/>
      <c r="BX264" s="300"/>
      <c r="BY264" s="300"/>
      <c r="BZ264" s="300"/>
      <c r="CA264" s="300"/>
      <c r="CB264" s="300"/>
    </row>
    <row r="265" spans="1:80" s="27" customFormat="1" x14ac:dyDescent="0.3">
      <c r="A265" s="173"/>
      <c r="D265" s="173"/>
      <c r="E265" s="173"/>
      <c r="F265" s="173"/>
      <c r="G265" s="173"/>
      <c r="H265" s="173"/>
      <c r="I265" s="173"/>
      <c r="J265" s="173"/>
      <c r="K265" s="173"/>
      <c r="L265" s="173"/>
      <c r="AM265" s="173"/>
      <c r="AN265" s="173"/>
      <c r="AZ265" s="337"/>
      <c r="BL265" s="349"/>
      <c r="BM265" s="300"/>
      <c r="BN265" s="300"/>
      <c r="BO265" s="300"/>
      <c r="BP265" s="300"/>
      <c r="BQ265" s="300"/>
      <c r="BR265" s="300"/>
      <c r="BS265" s="300"/>
      <c r="BT265" s="300"/>
      <c r="BU265" s="300"/>
      <c r="BV265" s="300"/>
      <c r="BW265" s="300"/>
      <c r="BX265" s="300"/>
      <c r="BY265" s="300"/>
      <c r="BZ265" s="300"/>
      <c r="CA265" s="300"/>
      <c r="CB265" s="300"/>
    </row>
    <row r="266" spans="1:80" s="27" customFormat="1" x14ac:dyDescent="0.3">
      <c r="A266" s="173"/>
      <c r="D266" s="173"/>
      <c r="E266" s="173"/>
      <c r="F266" s="173"/>
      <c r="G266" s="173"/>
      <c r="H266" s="173"/>
      <c r="I266" s="173"/>
      <c r="J266" s="173"/>
      <c r="K266" s="173"/>
      <c r="L266" s="173"/>
      <c r="AM266" s="173"/>
      <c r="AN266" s="173"/>
      <c r="AZ266" s="337"/>
      <c r="BL266" s="349"/>
      <c r="BM266" s="300"/>
      <c r="BN266" s="300"/>
      <c r="BO266" s="300"/>
      <c r="BP266" s="300"/>
      <c r="BQ266" s="300"/>
      <c r="BR266" s="300"/>
      <c r="BS266" s="300"/>
      <c r="BT266" s="300"/>
      <c r="BU266" s="300"/>
      <c r="BV266" s="300"/>
      <c r="BW266" s="300"/>
      <c r="BX266" s="300"/>
      <c r="BY266" s="300"/>
      <c r="BZ266" s="300"/>
      <c r="CA266" s="300"/>
      <c r="CB266" s="300"/>
    </row>
    <row r="267" spans="1:80" s="27" customFormat="1" x14ac:dyDescent="0.3">
      <c r="A267" s="173"/>
      <c r="D267" s="173"/>
      <c r="E267" s="173"/>
      <c r="F267" s="173"/>
      <c r="G267" s="173"/>
      <c r="H267" s="173"/>
      <c r="I267" s="173"/>
      <c r="J267" s="173"/>
      <c r="K267" s="173"/>
      <c r="L267" s="173"/>
      <c r="AM267" s="173"/>
      <c r="AN267" s="173"/>
      <c r="AZ267" s="337"/>
      <c r="BL267" s="349"/>
      <c r="BM267" s="300"/>
      <c r="BN267" s="300"/>
      <c r="BO267" s="300"/>
      <c r="BP267" s="300"/>
      <c r="BQ267" s="300"/>
      <c r="BR267" s="300"/>
      <c r="BS267" s="300"/>
      <c r="BT267" s="300"/>
      <c r="BU267" s="300"/>
      <c r="BV267" s="300"/>
      <c r="BW267" s="300"/>
      <c r="BX267" s="300"/>
      <c r="BY267" s="300"/>
      <c r="BZ267" s="300"/>
      <c r="CA267" s="300"/>
      <c r="CB267" s="300"/>
    </row>
    <row r="268" spans="1:80" s="27" customFormat="1" x14ac:dyDescent="0.3">
      <c r="A268" s="173"/>
      <c r="D268" s="173"/>
      <c r="E268" s="173"/>
      <c r="F268" s="173"/>
      <c r="G268" s="173"/>
      <c r="H268" s="173"/>
      <c r="I268" s="173"/>
      <c r="J268" s="173"/>
      <c r="K268" s="173"/>
      <c r="L268" s="173"/>
      <c r="AM268" s="173"/>
      <c r="AN268" s="173"/>
      <c r="AZ268" s="337"/>
      <c r="BL268" s="349"/>
      <c r="BM268" s="300"/>
      <c r="BN268" s="300"/>
      <c r="BO268" s="300"/>
      <c r="BP268" s="300"/>
      <c r="BQ268" s="300"/>
      <c r="BR268" s="300"/>
      <c r="BS268" s="300"/>
      <c r="BT268" s="300"/>
      <c r="BU268" s="300"/>
      <c r="BV268" s="300"/>
      <c r="BW268" s="300"/>
      <c r="BX268" s="300"/>
      <c r="BY268" s="300"/>
      <c r="BZ268" s="300"/>
      <c r="CA268" s="300"/>
      <c r="CB268" s="300"/>
    </row>
    <row r="269" spans="1:80" s="27" customFormat="1" x14ac:dyDescent="0.3">
      <c r="A269" s="173"/>
      <c r="D269" s="173"/>
      <c r="E269" s="173"/>
      <c r="F269" s="173"/>
      <c r="G269" s="173"/>
      <c r="H269" s="173"/>
      <c r="I269" s="173"/>
      <c r="J269" s="173"/>
      <c r="K269" s="173"/>
      <c r="L269" s="173"/>
      <c r="AM269" s="173"/>
      <c r="AN269" s="173"/>
      <c r="AZ269" s="337"/>
      <c r="BL269" s="349"/>
      <c r="BM269" s="300"/>
      <c r="BN269" s="300"/>
      <c r="BO269" s="300"/>
      <c r="BP269" s="300"/>
      <c r="BQ269" s="300"/>
      <c r="BR269" s="300"/>
      <c r="BS269" s="300"/>
      <c r="BT269" s="300"/>
      <c r="BU269" s="300"/>
      <c r="BV269" s="300"/>
      <c r="BW269" s="300"/>
      <c r="BX269" s="300"/>
      <c r="BY269" s="300"/>
      <c r="BZ269" s="300"/>
      <c r="CA269" s="300"/>
      <c r="CB269" s="300"/>
    </row>
    <row r="270" spans="1:80" s="27" customFormat="1" x14ac:dyDescent="0.3">
      <c r="A270" s="173"/>
      <c r="D270" s="173"/>
      <c r="E270" s="173"/>
      <c r="F270" s="173"/>
      <c r="G270" s="173"/>
      <c r="H270" s="173"/>
      <c r="I270" s="173"/>
      <c r="J270" s="173"/>
      <c r="K270" s="173"/>
      <c r="L270" s="173"/>
      <c r="AM270" s="173"/>
      <c r="AN270" s="173"/>
      <c r="AZ270" s="337"/>
      <c r="BL270" s="349"/>
      <c r="BM270" s="300"/>
      <c r="BN270" s="300"/>
      <c r="BO270" s="300"/>
      <c r="BP270" s="300"/>
      <c r="BQ270" s="300"/>
      <c r="BR270" s="300"/>
      <c r="BS270" s="300"/>
      <c r="BT270" s="300"/>
      <c r="BU270" s="300"/>
      <c r="BV270" s="300"/>
      <c r="BW270" s="300"/>
      <c r="BX270" s="300"/>
      <c r="BY270" s="300"/>
      <c r="BZ270" s="300"/>
      <c r="CA270" s="300"/>
      <c r="CB270" s="300"/>
    </row>
    <row r="271" spans="1:80" s="27" customFormat="1" x14ac:dyDescent="0.3">
      <c r="A271" s="173"/>
      <c r="D271" s="173"/>
      <c r="E271" s="173"/>
      <c r="F271" s="173"/>
      <c r="G271" s="173"/>
      <c r="H271" s="173"/>
      <c r="I271" s="173"/>
      <c r="J271" s="173"/>
      <c r="K271" s="173"/>
      <c r="L271" s="173"/>
      <c r="AM271" s="173"/>
      <c r="AN271" s="173"/>
      <c r="AZ271" s="337"/>
      <c r="BL271" s="349"/>
      <c r="BM271" s="300"/>
      <c r="BN271" s="300"/>
      <c r="BO271" s="300"/>
      <c r="BP271" s="300"/>
      <c r="BQ271" s="300"/>
      <c r="BR271" s="300"/>
      <c r="BS271" s="300"/>
      <c r="BT271" s="300"/>
      <c r="BU271" s="300"/>
      <c r="BV271" s="300"/>
      <c r="BW271" s="300"/>
      <c r="BX271" s="300"/>
      <c r="BY271" s="300"/>
      <c r="BZ271" s="300"/>
      <c r="CA271" s="300"/>
      <c r="CB271" s="300"/>
    </row>
    <row r="272" spans="1:80" s="27" customFormat="1" x14ac:dyDescent="0.3">
      <c r="A272" s="173"/>
      <c r="D272" s="173"/>
      <c r="E272" s="173"/>
      <c r="F272" s="173"/>
      <c r="G272" s="173"/>
      <c r="H272" s="173"/>
      <c r="I272" s="173"/>
      <c r="J272" s="173"/>
      <c r="K272" s="173"/>
      <c r="L272" s="173"/>
      <c r="AM272" s="173"/>
      <c r="AN272" s="173"/>
      <c r="AZ272" s="337"/>
      <c r="BL272" s="349"/>
      <c r="BM272" s="300"/>
      <c r="BN272" s="300"/>
      <c r="BO272" s="300"/>
      <c r="BP272" s="300"/>
      <c r="BQ272" s="300"/>
      <c r="BR272" s="300"/>
      <c r="BS272" s="300"/>
      <c r="BT272" s="300"/>
      <c r="BU272" s="300"/>
      <c r="BV272" s="300"/>
      <c r="BW272" s="300"/>
      <c r="BX272" s="300"/>
      <c r="BY272" s="300"/>
      <c r="BZ272" s="300"/>
      <c r="CA272" s="300"/>
      <c r="CB272" s="300"/>
    </row>
    <row r="273" spans="1:80" s="27" customFormat="1" x14ac:dyDescent="0.3">
      <c r="A273" s="173"/>
      <c r="D273" s="173"/>
      <c r="E273" s="173"/>
      <c r="F273" s="173"/>
      <c r="G273" s="173"/>
      <c r="H273" s="173"/>
      <c r="I273" s="173"/>
      <c r="J273" s="173"/>
      <c r="K273" s="173"/>
      <c r="L273" s="173"/>
      <c r="AM273" s="173"/>
      <c r="AN273" s="173"/>
      <c r="AZ273" s="337"/>
      <c r="BL273" s="349"/>
      <c r="BM273" s="300"/>
      <c r="BN273" s="300"/>
      <c r="BO273" s="300"/>
      <c r="BP273" s="300"/>
      <c r="BQ273" s="300"/>
      <c r="BR273" s="300"/>
      <c r="BS273" s="300"/>
      <c r="BT273" s="300"/>
      <c r="BU273" s="300"/>
      <c r="BV273" s="300"/>
      <c r="BW273" s="300"/>
      <c r="BX273" s="300"/>
      <c r="BY273" s="300"/>
      <c r="BZ273" s="300"/>
      <c r="CA273" s="300"/>
      <c r="CB273" s="300"/>
    </row>
    <row r="274" spans="1:80" s="27" customFormat="1" x14ac:dyDescent="0.3">
      <c r="A274" s="173"/>
      <c r="D274" s="173"/>
      <c r="E274" s="173"/>
      <c r="F274" s="173"/>
      <c r="G274" s="173"/>
      <c r="H274" s="173"/>
      <c r="I274" s="173"/>
      <c r="J274" s="173"/>
      <c r="K274" s="173"/>
      <c r="L274" s="173"/>
      <c r="AM274" s="173"/>
      <c r="AN274" s="173"/>
      <c r="AZ274" s="337"/>
      <c r="BL274" s="349"/>
      <c r="BM274" s="300"/>
      <c r="BN274" s="300"/>
      <c r="BO274" s="300"/>
      <c r="BP274" s="300"/>
      <c r="BQ274" s="300"/>
      <c r="BR274" s="300"/>
      <c r="BS274" s="300"/>
      <c r="BT274" s="300"/>
      <c r="BU274" s="300"/>
      <c r="BV274" s="300"/>
      <c r="BW274" s="300"/>
      <c r="BX274" s="300"/>
      <c r="BY274" s="300"/>
      <c r="BZ274" s="300"/>
      <c r="CA274" s="300"/>
      <c r="CB274" s="300"/>
    </row>
    <row r="275" spans="1:80" s="27" customFormat="1" x14ac:dyDescent="0.3">
      <c r="A275" s="173"/>
      <c r="D275" s="173"/>
      <c r="E275" s="173"/>
      <c r="F275" s="173"/>
      <c r="G275" s="173"/>
      <c r="H275" s="173"/>
      <c r="I275" s="173"/>
      <c r="J275" s="173"/>
      <c r="K275" s="173"/>
      <c r="L275" s="173"/>
      <c r="AM275" s="173"/>
      <c r="AN275" s="173"/>
      <c r="AZ275" s="337"/>
      <c r="BL275" s="349"/>
      <c r="BM275" s="300"/>
      <c r="BN275" s="300"/>
      <c r="BO275" s="300"/>
      <c r="BP275" s="300"/>
      <c r="BQ275" s="300"/>
      <c r="BR275" s="300"/>
      <c r="BS275" s="300"/>
      <c r="BT275" s="300"/>
      <c r="BU275" s="300"/>
      <c r="BV275" s="300"/>
      <c r="BW275" s="300"/>
      <c r="BX275" s="300"/>
      <c r="BY275" s="300"/>
      <c r="BZ275" s="300"/>
      <c r="CA275" s="300"/>
      <c r="CB275" s="300"/>
    </row>
    <row r="276" spans="1:80" s="27" customFormat="1" x14ac:dyDescent="0.3">
      <c r="A276" s="173"/>
      <c r="D276" s="173"/>
      <c r="E276" s="173"/>
      <c r="F276" s="173"/>
      <c r="G276" s="173"/>
      <c r="H276" s="173"/>
      <c r="I276" s="173"/>
      <c r="J276" s="173"/>
      <c r="K276" s="173"/>
      <c r="L276" s="173"/>
      <c r="AM276" s="173"/>
      <c r="AN276" s="173"/>
      <c r="AZ276" s="337"/>
      <c r="BL276" s="349"/>
      <c r="BM276" s="300"/>
      <c r="BN276" s="300"/>
      <c r="BO276" s="300"/>
      <c r="BP276" s="300"/>
      <c r="BQ276" s="300"/>
      <c r="BR276" s="300"/>
      <c r="BS276" s="300"/>
      <c r="BT276" s="300"/>
      <c r="BU276" s="300"/>
      <c r="BV276" s="300"/>
      <c r="BW276" s="300"/>
      <c r="BX276" s="300"/>
      <c r="BY276" s="300"/>
      <c r="BZ276" s="300"/>
      <c r="CA276" s="300"/>
      <c r="CB276" s="300"/>
    </row>
    <row r="277" spans="1:80" s="27" customFormat="1" x14ac:dyDescent="0.3">
      <c r="A277" s="173"/>
      <c r="D277" s="173"/>
      <c r="E277" s="173"/>
      <c r="F277" s="173"/>
      <c r="G277" s="173"/>
      <c r="H277" s="173"/>
      <c r="I277" s="173"/>
      <c r="J277" s="173"/>
      <c r="K277" s="173"/>
      <c r="L277" s="173"/>
      <c r="AM277" s="173"/>
      <c r="AN277" s="173"/>
      <c r="AZ277" s="337"/>
      <c r="BL277" s="349"/>
      <c r="BM277" s="300"/>
      <c r="BN277" s="300"/>
      <c r="BO277" s="300"/>
      <c r="BP277" s="300"/>
      <c r="BQ277" s="300"/>
      <c r="BR277" s="300"/>
      <c r="BS277" s="300"/>
      <c r="BT277" s="300"/>
      <c r="BU277" s="300"/>
      <c r="BV277" s="300"/>
      <c r="BW277" s="300"/>
      <c r="BX277" s="300"/>
      <c r="BY277" s="300"/>
      <c r="BZ277" s="300"/>
      <c r="CA277" s="300"/>
      <c r="CB277" s="300"/>
    </row>
    <row r="278" spans="1:80" s="27" customFormat="1" x14ac:dyDescent="0.3">
      <c r="A278" s="173"/>
      <c r="D278" s="173"/>
      <c r="E278" s="173"/>
      <c r="F278" s="173"/>
      <c r="G278" s="173"/>
      <c r="H278" s="173"/>
      <c r="I278" s="173"/>
      <c r="J278" s="173"/>
      <c r="K278" s="173"/>
      <c r="L278" s="173"/>
      <c r="AM278" s="173"/>
      <c r="AN278" s="173"/>
      <c r="AZ278" s="337"/>
      <c r="BL278" s="349"/>
      <c r="BM278" s="300"/>
      <c r="BN278" s="300"/>
      <c r="BO278" s="300"/>
      <c r="BP278" s="300"/>
      <c r="BQ278" s="300"/>
      <c r="BR278" s="300"/>
      <c r="BS278" s="300"/>
      <c r="BT278" s="300"/>
      <c r="BU278" s="300"/>
      <c r="BV278" s="300"/>
      <c r="BW278" s="300"/>
      <c r="BX278" s="300"/>
      <c r="BY278" s="300"/>
      <c r="BZ278" s="300"/>
      <c r="CA278" s="300"/>
      <c r="CB278" s="300"/>
    </row>
    <row r="279" spans="1:80" s="27" customFormat="1" x14ac:dyDescent="0.3">
      <c r="A279" s="173"/>
      <c r="D279" s="173"/>
      <c r="E279" s="173"/>
      <c r="F279" s="173"/>
      <c r="G279" s="173"/>
      <c r="H279" s="173"/>
      <c r="I279" s="173"/>
      <c r="J279" s="173"/>
      <c r="K279" s="173"/>
      <c r="L279" s="173"/>
      <c r="AM279" s="173"/>
      <c r="AN279" s="173"/>
      <c r="AZ279" s="337"/>
      <c r="BL279" s="349"/>
      <c r="BM279" s="300"/>
      <c r="BN279" s="300"/>
      <c r="BO279" s="300"/>
      <c r="BP279" s="300"/>
      <c r="BQ279" s="300"/>
      <c r="BR279" s="300"/>
      <c r="BS279" s="300"/>
      <c r="BT279" s="300"/>
      <c r="BU279" s="300"/>
      <c r="BV279" s="300"/>
      <c r="BW279" s="300"/>
      <c r="BX279" s="300"/>
      <c r="BY279" s="300"/>
      <c r="BZ279" s="300"/>
      <c r="CA279" s="300"/>
      <c r="CB279" s="300"/>
    </row>
    <row r="280" spans="1:80" s="27" customFormat="1" x14ac:dyDescent="0.3">
      <c r="A280" s="173"/>
      <c r="D280" s="173"/>
      <c r="E280" s="173"/>
      <c r="F280" s="173"/>
      <c r="G280" s="173"/>
      <c r="H280" s="173"/>
      <c r="I280" s="173"/>
      <c r="J280" s="173"/>
      <c r="K280" s="173"/>
      <c r="L280" s="173"/>
      <c r="AM280" s="173"/>
      <c r="AN280" s="173"/>
      <c r="AZ280" s="337"/>
      <c r="BL280" s="349"/>
      <c r="BM280" s="300"/>
      <c r="BN280" s="300"/>
      <c r="BO280" s="300"/>
      <c r="BP280" s="300"/>
      <c r="BQ280" s="300"/>
      <c r="BR280" s="300"/>
      <c r="BS280" s="300"/>
      <c r="BT280" s="300"/>
      <c r="BU280" s="300"/>
      <c r="BV280" s="300"/>
      <c r="BW280" s="300"/>
      <c r="BX280" s="300"/>
      <c r="BY280" s="300"/>
      <c r="BZ280" s="300"/>
      <c r="CA280" s="300"/>
      <c r="CB280" s="300"/>
    </row>
    <row r="281" spans="1:80" s="27" customFormat="1" x14ac:dyDescent="0.3">
      <c r="A281" s="173"/>
      <c r="D281" s="173"/>
      <c r="E281" s="173"/>
      <c r="F281" s="173"/>
      <c r="G281" s="173"/>
      <c r="H281" s="173"/>
      <c r="I281" s="173"/>
      <c r="J281" s="173"/>
      <c r="K281" s="173"/>
      <c r="L281" s="173"/>
      <c r="AM281" s="173"/>
      <c r="AN281" s="173"/>
      <c r="AZ281" s="337"/>
      <c r="BL281" s="349"/>
      <c r="BM281" s="300"/>
      <c r="BN281" s="300"/>
      <c r="BO281" s="300"/>
      <c r="BP281" s="300"/>
      <c r="BQ281" s="300"/>
      <c r="BR281" s="300"/>
      <c r="BS281" s="300"/>
      <c r="BT281" s="300"/>
      <c r="BU281" s="300"/>
      <c r="BV281" s="300"/>
      <c r="BW281" s="300"/>
      <c r="BX281" s="300"/>
      <c r="BY281" s="300"/>
      <c r="BZ281" s="300"/>
      <c r="CA281" s="300"/>
      <c r="CB281" s="300"/>
    </row>
    <row r="282" spans="1:80" s="27" customFormat="1" x14ac:dyDescent="0.3">
      <c r="A282" s="173"/>
      <c r="D282" s="173"/>
      <c r="E282" s="173"/>
      <c r="F282" s="173"/>
      <c r="G282" s="173"/>
      <c r="H282" s="173"/>
      <c r="I282" s="173"/>
      <c r="J282" s="173"/>
      <c r="K282" s="173"/>
      <c r="L282" s="173"/>
      <c r="AM282" s="173"/>
      <c r="AN282" s="173"/>
      <c r="AZ282" s="337"/>
      <c r="BL282" s="349"/>
      <c r="BM282" s="300"/>
      <c r="BN282" s="300"/>
      <c r="BO282" s="300"/>
      <c r="BP282" s="300"/>
      <c r="BQ282" s="300"/>
      <c r="BR282" s="300"/>
      <c r="BS282" s="300"/>
      <c r="BT282" s="300"/>
      <c r="BU282" s="300"/>
      <c r="BV282" s="300"/>
      <c r="BW282" s="300"/>
      <c r="BX282" s="300"/>
      <c r="BY282" s="300"/>
      <c r="BZ282" s="300"/>
      <c r="CA282" s="300"/>
      <c r="CB282" s="300"/>
    </row>
    <row r="283" spans="1:80" s="27" customFormat="1" x14ac:dyDescent="0.3">
      <c r="A283" s="173"/>
      <c r="D283" s="173"/>
      <c r="E283" s="173"/>
      <c r="F283" s="173"/>
      <c r="G283" s="173"/>
      <c r="H283" s="173"/>
      <c r="I283" s="173"/>
      <c r="J283" s="173"/>
      <c r="K283" s="173"/>
      <c r="L283" s="173"/>
      <c r="AM283" s="173"/>
      <c r="AN283" s="173"/>
      <c r="AZ283" s="337"/>
      <c r="BL283" s="349"/>
      <c r="BM283" s="300"/>
      <c r="BN283" s="300"/>
      <c r="BO283" s="300"/>
      <c r="BP283" s="300"/>
      <c r="BQ283" s="300"/>
      <c r="BR283" s="300"/>
      <c r="BS283" s="300"/>
      <c r="BT283" s="300"/>
      <c r="BU283" s="300"/>
      <c r="BV283" s="300"/>
      <c r="BW283" s="300"/>
      <c r="BX283" s="300"/>
      <c r="BY283" s="300"/>
      <c r="BZ283" s="300"/>
      <c r="CA283" s="300"/>
      <c r="CB283" s="300"/>
    </row>
    <row r="284" spans="1:80" s="27" customFormat="1" x14ac:dyDescent="0.3">
      <c r="A284" s="173"/>
      <c r="D284" s="173"/>
      <c r="E284" s="173"/>
      <c r="F284" s="173"/>
      <c r="G284" s="173"/>
      <c r="H284" s="173"/>
      <c r="I284" s="173"/>
      <c r="J284" s="173"/>
      <c r="K284" s="173"/>
      <c r="L284" s="173"/>
      <c r="AM284" s="173"/>
      <c r="AN284" s="173"/>
      <c r="AZ284" s="337"/>
      <c r="BL284" s="349"/>
      <c r="BM284" s="300"/>
      <c r="BN284" s="300"/>
      <c r="BO284" s="300"/>
      <c r="BP284" s="300"/>
      <c r="BQ284" s="300"/>
      <c r="BR284" s="300"/>
      <c r="BS284" s="300"/>
      <c r="BT284" s="300"/>
      <c r="BU284" s="300"/>
      <c r="BV284" s="300"/>
      <c r="BW284" s="300"/>
      <c r="BX284" s="300"/>
      <c r="BY284" s="300"/>
      <c r="BZ284" s="300"/>
      <c r="CA284" s="300"/>
      <c r="CB284" s="300"/>
    </row>
    <row r="285" spans="1:80" s="27" customFormat="1" x14ac:dyDescent="0.3">
      <c r="A285" s="173"/>
      <c r="D285" s="173"/>
      <c r="E285" s="173"/>
      <c r="F285" s="173"/>
      <c r="G285" s="173"/>
      <c r="H285" s="173"/>
      <c r="I285" s="173"/>
      <c r="J285" s="173"/>
      <c r="K285" s="173"/>
      <c r="L285" s="173"/>
      <c r="AM285" s="173"/>
      <c r="AN285" s="173"/>
      <c r="AZ285" s="337"/>
      <c r="BL285" s="349"/>
      <c r="BM285" s="300"/>
      <c r="BN285" s="300"/>
      <c r="BO285" s="300"/>
      <c r="BP285" s="300"/>
      <c r="BQ285" s="300"/>
      <c r="BR285" s="300"/>
      <c r="BS285" s="300"/>
      <c r="BT285" s="300"/>
      <c r="BU285" s="300"/>
      <c r="BV285" s="300"/>
      <c r="BW285" s="300"/>
      <c r="BX285" s="300"/>
      <c r="BY285" s="300"/>
      <c r="BZ285" s="300"/>
      <c r="CA285" s="300"/>
      <c r="CB285" s="300"/>
    </row>
    <row r="286" spans="1:80" s="27" customFormat="1" x14ac:dyDescent="0.3">
      <c r="A286" s="173"/>
      <c r="D286" s="173"/>
      <c r="E286" s="173"/>
      <c r="F286" s="173"/>
      <c r="G286" s="173"/>
      <c r="H286" s="173"/>
      <c r="I286" s="173"/>
      <c r="J286" s="173"/>
      <c r="K286" s="173"/>
      <c r="L286" s="173"/>
      <c r="AM286" s="173"/>
      <c r="AN286" s="173"/>
      <c r="AZ286" s="337"/>
      <c r="BL286" s="349"/>
      <c r="BM286" s="300"/>
      <c r="BN286" s="300"/>
      <c r="BO286" s="300"/>
      <c r="BP286" s="300"/>
      <c r="BQ286" s="300"/>
      <c r="BR286" s="300"/>
      <c r="BS286" s="300"/>
      <c r="BT286" s="300"/>
      <c r="BU286" s="300"/>
      <c r="BV286" s="300"/>
      <c r="BW286" s="300"/>
      <c r="BX286" s="300"/>
      <c r="BY286" s="300"/>
      <c r="BZ286" s="300"/>
      <c r="CA286" s="300"/>
      <c r="CB286" s="300"/>
    </row>
    <row r="287" spans="1:80" s="27" customFormat="1" x14ac:dyDescent="0.3">
      <c r="A287" s="173"/>
      <c r="D287" s="173"/>
      <c r="E287" s="173"/>
      <c r="F287" s="173"/>
      <c r="G287" s="173"/>
      <c r="H287" s="173"/>
      <c r="I287" s="173"/>
      <c r="J287" s="173"/>
      <c r="K287" s="173"/>
      <c r="L287" s="173"/>
      <c r="AM287" s="173"/>
      <c r="AN287" s="173"/>
      <c r="AZ287" s="337"/>
      <c r="BL287" s="349"/>
      <c r="BM287" s="300"/>
      <c r="BN287" s="300"/>
      <c r="BO287" s="300"/>
      <c r="BP287" s="300"/>
      <c r="BQ287" s="300"/>
      <c r="BR287" s="300"/>
      <c r="BS287" s="300"/>
      <c r="BT287" s="300"/>
      <c r="BU287" s="300"/>
      <c r="BV287" s="300"/>
      <c r="BW287" s="300"/>
      <c r="BX287" s="300"/>
      <c r="BY287" s="300"/>
      <c r="BZ287" s="300"/>
      <c r="CA287" s="300"/>
      <c r="CB287" s="300"/>
    </row>
    <row r="288" spans="1:80" s="27" customFormat="1" x14ac:dyDescent="0.3">
      <c r="A288" s="173"/>
      <c r="D288" s="173"/>
      <c r="E288" s="173"/>
      <c r="F288" s="173"/>
      <c r="G288" s="173"/>
      <c r="H288" s="173"/>
      <c r="I288" s="173"/>
      <c r="J288" s="173"/>
      <c r="K288" s="173"/>
      <c r="L288" s="173"/>
      <c r="AM288" s="173"/>
      <c r="AN288" s="173"/>
      <c r="AZ288" s="337"/>
      <c r="BL288" s="349"/>
      <c r="BM288" s="300"/>
      <c r="BN288" s="300"/>
      <c r="BO288" s="300"/>
      <c r="BP288" s="300"/>
      <c r="BQ288" s="300"/>
      <c r="BR288" s="300"/>
      <c r="BS288" s="300"/>
      <c r="BT288" s="300"/>
      <c r="BU288" s="300"/>
      <c r="BV288" s="300"/>
      <c r="BW288" s="300"/>
      <c r="BX288" s="300"/>
      <c r="BY288" s="300"/>
      <c r="BZ288" s="300"/>
      <c r="CA288" s="300"/>
      <c r="CB288" s="300"/>
    </row>
    <row r="289" spans="1:80" s="27" customFormat="1" x14ac:dyDescent="0.3">
      <c r="A289" s="173"/>
      <c r="D289" s="173"/>
      <c r="E289" s="173"/>
      <c r="F289" s="173"/>
      <c r="G289" s="173"/>
      <c r="H289" s="173"/>
      <c r="I289" s="173"/>
      <c r="J289" s="173"/>
      <c r="K289" s="173"/>
      <c r="L289" s="173"/>
      <c r="AM289" s="173"/>
      <c r="AN289" s="173"/>
      <c r="AZ289" s="337"/>
      <c r="BL289" s="349"/>
      <c r="BM289" s="300"/>
      <c r="BN289" s="300"/>
      <c r="BO289" s="300"/>
      <c r="BP289" s="300"/>
      <c r="BQ289" s="300"/>
      <c r="BR289" s="300"/>
      <c r="BS289" s="300"/>
      <c r="BT289" s="300"/>
      <c r="BU289" s="300"/>
      <c r="BV289" s="300"/>
      <c r="BW289" s="300"/>
      <c r="BX289" s="300"/>
      <c r="BY289" s="300"/>
      <c r="BZ289" s="300"/>
      <c r="CA289" s="300"/>
      <c r="CB289" s="300"/>
    </row>
    <row r="290" spans="1:80" s="27" customFormat="1" x14ac:dyDescent="0.3">
      <c r="A290" s="173"/>
      <c r="D290" s="173"/>
      <c r="E290" s="173"/>
      <c r="F290" s="173"/>
      <c r="G290" s="173"/>
      <c r="H290" s="173"/>
      <c r="I290" s="173"/>
      <c r="J290" s="173"/>
      <c r="K290" s="173"/>
      <c r="L290" s="173"/>
      <c r="AM290" s="173"/>
      <c r="AN290" s="173"/>
      <c r="AZ290" s="337"/>
      <c r="BL290" s="349"/>
      <c r="BM290" s="300"/>
      <c r="BN290" s="300"/>
      <c r="BO290" s="300"/>
      <c r="BP290" s="300"/>
      <c r="BQ290" s="300"/>
      <c r="BR290" s="300"/>
      <c r="BS290" s="300"/>
      <c r="BT290" s="300"/>
      <c r="BU290" s="300"/>
      <c r="BV290" s="300"/>
      <c r="BW290" s="300"/>
      <c r="BX290" s="300"/>
      <c r="BY290" s="300"/>
      <c r="BZ290" s="300"/>
      <c r="CA290" s="300"/>
      <c r="CB290" s="300"/>
    </row>
    <row r="291" spans="1:80" s="27" customFormat="1" x14ac:dyDescent="0.3">
      <c r="A291" s="173"/>
      <c r="D291" s="173"/>
      <c r="E291" s="173"/>
      <c r="F291" s="173"/>
      <c r="G291" s="173"/>
      <c r="H291" s="173"/>
      <c r="I291" s="173"/>
      <c r="J291" s="173"/>
      <c r="K291" s="173"/>
      <c r="L291" s="173"/>
      <c r="AM291" s="173"/>
      <c r="AN291" s="173"/>
      <c r="AZ291" s="337"/>
      <c r="BL291" s="349"/>
      <c r="BM291" s="300"/>
      <c r="BN291" s="300"/>
      <c r="BO291" s="300"/>
      <c r="BP291" s="300"/>
      <c r="BQ291" s="300"/>
      <c r="BR291" s="300"/>
      <c r="BS291" s="300"/>
      <c r="BT291" s="300"/>
      <c r="BU291" s="300"/>
      <c r="BV291" s="300"/>
      <c r="BW291" s="300"/>
      <c r="BX291" s="300"/>
      <c r="BY291" s="300"/>
      <c r="BZ291" s="300"/>
      <c r="CA291" s="300"/>
      <c r="CB291" s="300"/>
    </row>
    <row r="292" spans="1:80" s="27" customFormat="1" x14ac:dyDescent="0.3">
      <c r="A292" s="173"/>
      <c r="D292" s="173"/>
      <c r="E292" s="173"/>
      <c r="F292" s="173"/>
      <c r="G292" s="173"/>
      <c r="H292" s="173"/>
      <c r="I292" s="173"/>
      <c r="J292" s="173"/>
      <c r="K292" s="173"/>
      <c r="L292" s="173"/>
      <c r="AM292" s="173"/>
      <c r="AN292" s="173"/>
      <c r="AZ292" s="337"/>
      <c r="BL292" s="349"/>
      <c r="BM292" s="300"/>
      <c r="BN292" s="300"/>
      <c r="BO292" s="300"/>
      <c r="BP292" s="300"/>
      <c r="BQ292" s="300"/>
      <c r="BR292" s="300"/>
      <c r="BS292" s="300"/>
      <c r="BT292" s="300"/>
      <c r="BU292" s="300"/>
      <c r="BV292" s="300"/>
      <c r="BW292" s="300"/>
      <c r="BX292" s="300"/>
      <c r="BY292" s="300"/>
      <c r="BZ292" s="300"/>
      <c r="CA292" s="300"/>
      <c r="CB292" s="300"/>
    </row>
    <row r="293" spans="1:80" s="27" customFormat="1" x14ac:dyDescent="0.3">
      <c r="A293" s="173"/>
      <c r="D293" s="173"/>
      <c r="E293" s="173"/>
      <c r="F293" s="173"/>
      <c r="G293" s="173"/>
      <c r="H293" s="173"/>
      <c r="I293" s="173"/>
      <c r="J293" s="173"/>
      <c r="K293" s="173"/>
      <c r="L293" s="173"/>
      <c r="AM293" s="173"/>
      <c r="AN293" s="173"/>
      <c r="AZ293" s="337"/>
      <c r="BL293" s="349"/>
      <c r="BM293" s="300"/>
      <c r="BN293" s="300"/>
      <c r="BO293" s="300"/>
      <c r="BP293" s="300"/>
      <c r="BQ293" s="300"/>
      <c r="BR293" s="300"/>
      <c r="BS293" s="300"/>
      <c r="BT293" s="300"/>
      <c r="BU293" s="300"/>
      <c r="BV293" s="300"/>
      <c r="BW293" s="300"/>
      <c r="BX293" s="300"/>
      <c r="BY293" s="300"/>
      <c r="BZ293" s="300"/>
      <c r="CA293" s="300"/>
      <c r="CB293" s="300"/>
    </row>
    <row r="294" spans="1:80" s="27" customFormat="1" x14ac:dyDescent="0.3">
      <c r="A294" s="173"/>
      <c r="D294" s="173"/>
      <c r="E294" s="173"/>
      <c r="F294" s="173"/>
      <c r="G294" s="173"/>
      <c r="H294" s="173"/>
      <c r="I294" s="173"/>
      <c r="J294" s="173"/>
      <c r="K294" s="173"/>
      <c r="L294" s="173"/>
      <c r="AM294" s="173"/>
      <c r="AN294" s="173"/>
      <c r="AZ294" s="337"/>
      <c r="BL294" s="349"/>
      <c r="BM294" s="300"/>
      <c r="BN294" s="300"/>
      <c r="BO294" s="300"/>
      <c r="BP294" s="300"/>
      <c r="BQ294" s="300"/>
      <c r="BR294" s="300"/>
      <c r="BS294" s="300"/>
      <c r="BT294" s="300"/>
      <c r="BU294" s="300"/>
      <c r="BV294" s="300"/>
      <c r="BW294" s="300"/>
      <c r="BX294" s="300"/>
      <c r="BY294" s="300"/>
      <c r="BZ294" s="300"/>
      <c r="CA294" s="300"/>
      <c r="CB294" s="300"/>
    </row>
    <row r="295" spans="1:80" s="27" customFormat="1" x14ac:dyDescent="0.3">
      <c r="A295" s="173"/>
      <c r="D295" s="173"/>
      <c r="E295" s="173"/>
      <c r="F295" s="173"/>
      <c r="G295" s="173"/>
      <c r="H295" s="173"/>
      <c r="I295" s="173"/>
      <c r="J295" s="173"/>
      <c r="K295" s="173"/>
      <c r="L295" s="173"/>
      <c r="AM295" s="173"/>
      <c r="AN295" s="173"/>
      <c r="AZ295" s="337"/>
      <c r="BL295" s="349"/>
      <c r="BM295" s="300"/>
      <c r="BN295" s="300"/>
      <c r="BO295" s="300"/>
      <c r="BP295" s="300"/>
      <c r="BQ295" s="300"/>
      <c r="BR295" s="300"/>
      <c r="BS295" s="300"/>
      <c r="BT295" s="300"/>
      <c r="BU295" s="300"/>
      <c r="BV295" s="300"/>
      <c r="BW295" s="300"/>
      <c r="BX295" s="300"/>
      <c r="BY295" s="300"/>
      <c r="BZ295" s="300"/>
      <c r="CA295" s="300"/>
      <c r="CB295" s="300"/>
    </row>
    <row r="296" spans="1:80" s="27" customFormat="1" x14ac:dyDescent="0.3">
      <c r="A296" s="173"/>
      <c r="D296" s="173"/>
      <c r="E296" s="173"/>
      <c r="F296" s="173"/>
      <c r="G296" s="173"/>
      <c r="H296" s="173"/>
      <c r="I296" s="173"/>
      <c r="J296" s="173"/>
      <c r="K296" s="173"/>
      <c r="L296" s="173"/>
      <c r="AM296" s="173"/>
      <c r="AN296" s="173"/>
      <c r="AZ296" s="337"/>
      <c r="BL296" s="349"/>
      <c r="BM296" s="300"/>
      <c r="BN296" s="300"/>
      <c r="BO296" s="300"/>
      <c r="BP296" s="300"/>
      <c r="BQ296" s="300"/>
      <c r="BR296" s="300"/>
      <c r="BS296" s="300"/>
      <c r="BT296" s="300"/>
      <c r="BU296" s="300"/>
      <c r="BV296" s="300"/>
      <c r="BW296" s="300"/>
      <c r="BX296" s="300"/>
      <c r="BY296" s="300"/>
      <c r="BZ296" s="300"/>
      <c r="CA296" s="300"/>
      <c r="CB296" s="300"/>
    </row>
    <row r="297" spans="1:80" s="27" customFormat="1" x14ac:dyDescent="0.3">
      <c r="A297" s="173"/>
      <c r="D297" s="173"/>
      <c r="E297" s="173"/>
      <c r="F297" s="173"/>
      <c r="G297" s="173"/>
      <c r="H297" s="173"/>
      <c r="I297" s="173"/>
      <c r="J297" s="173"/>
      <c r="K297" s="173"/>
      <c r="L297" s="173"/>
      <c r="AM297" s="173"/>
      <c r="AN297" s="173"/>
      <c r="AZ297" s="337"/>
      <c r="BL297" s="349"/>
      <c r="BM297" s="300"/>
      <c r="BN297" s="300"/>
      <c r="BO297" s="300"/>
      <c r="BP297" s="300"/>
      <c r="BQ297" s="300"/>
      <c r="BR297" s="300"/>
      <c r="BS297" s="300"/>
      <c r="BT297" s="300"/>
      <c r="BU297" s="300"/>
      <c r="BV297" s="300"/>
      <c r="BW297" s="300"/>
      <c r="BX297" s="300"/>
      <c r="BY297" s="300"/>
      <c r="BZ297" s="300"/>
      <c r="CA297" s="300"/>
      <c r="CB297" s="300"/>
    </row>
    <row r="298" spans="1:80" s="27" customFormat="1" x14ac:dyDescent="0.3">
      <c r="A298" s="173"/>
      <c r="D298" s="173"/>
      <c r="E298" s="173"/>
      <c r="F298" s="173"/>
      <c r="G298" s="173"/>
      <c r="H298" s="173"/>
      <c r="I298" s="173"/>
      <c r="J298" s="173"/>
      <c r="K298" s="173"/>
      <c r="L298" s="173"/>
      <c r="AM298" s="173"/>
      <c r="AN298" s="173"/>
      <c r="AZ298" s="337"/>
      <c r="BL298" s="349"/>
      <c r="BM298" s="300"/>
      <c r="BN298" s="300"/>
      <c r="BO298" s="300"/>
      <c r="BP298" s="300"/>
      <c r="BQ298" s="300"/>
      <c r="BR298" s="300"/>
      <c r="BS298" s="300"/>
      <c r="BT298" s="300"/>
      <c r="BU298" s="300"/>
      <c r="BV298" s="300"/>
      <c r="BW298" s="300"/>
      <c r="BX298" s="300"/>
      <c r="BY298" s="300"/>
      <c r="BZ298" s="300"/>
      <c r="CA298" s="300"/>
      <c r="CB298" s="300"/>
    </row>
    <row r="299" spans="1:80" s="27" customFormat="1" x14ac:dyDescent="0.3">
      <c r="A299" s="173"/>
      <c r="D299" s="173"/>
      <c r="E299" s="173"/>
      <c r="F299" s="173"/>
      <c r="G299" s="173"/>
      <c r="H299" s="173"/>
      <c r="I299" s="173"/>
      <c r="J299" s="173"/>
      <c r="K299" s="173"/>
      <c r="L299" s="173"/>
      <c r="AM299" s="173"/>
      <c r="AN299" s="173"/>
      <c r="AZ299" s="337"/>
      <c r="BL299" s="349"/>
      <c r="BM299" s="300"/>
      <c r="BN299" s="300"/>
      <c r="BO299" s="300"/>
      <c r="BP299" s="300"/>
      <c r="BQ299" s="300"/>
      <c r="BR299" s="300"/>
      <c r="BS299" s="300"/>
      <c r="BT299" s="300"/>
      <c r="BU299" s="300"/>
      <c r="BV299" s="300"/>
      <c r="BW299" s="300"/>
      <c r="BX299" s="300"/>
      <c r="BY299" s="300"/>
      <c r="BZ299" s="300"/>
      <c r="CA299" s="300"/>
      <c r="CB299" s="300"/>
    </row>
    <row r="300" spans="1:80" s="27" customFormat="1" x14ac:dyDescent="0.3">
      <c r="A300" s="173"/>
      <c r="D300" s="173"/>
      <c r="E300" s="173"/>
      <c r="F300" s="173"/>
      <c r="G300" s="173"/>
      <c r="H300" s="173"/>
      <c r="I300" s="173"/>
      <c r="J300" s="173"/>
      <c r="K300" s="173"/>
      <c r="L300" s="173"/>
      <c r="AM300" s="173"/>
      <c r="AN300" s="173"/>
      <c r="AZ300" s="337"/>
      <c r="BL300" s="349"/>
      <c r="BM300" s="300"/>
      <c r="BN300" s="300"/>
      <c r="BO300" s="300"/>
      <c r="BP300" s="300"/>
      <c r="BQ300" s="300"/>
      <c r="BR300" s="300"/>
      <c r="BS300" s="300"/>
      <c r="BT300" s="300"/>
      <c r="BU300" s="300"/>
      <c r="BV300" s="300"/>
      <c r="BW300" s="300"/>
      <c r="BX300" s="300"/>
      <c r="BY300" s="300"/>
      <c r="BZ300" s="300"/>
      <c r="CA300" s="300"/>
      <c r="CB300" s="300"/>
    </row>
    <row r="301" spans="1:80" s="27" customFormat="1" x14ac:dyDescent="0.3">
      <c r="A301" s="173"/>
      <c r="D301" s="173"/>
      <c r="E301" s="173"/>
      <c r="F301" s="173"/>
      <c r="G301" s="173"/>
      <c r="H301" s="173"/>
      <c r="I301" s="173"/>
      <c r="J301" s="173"/>
      <c r="K301" s="173"/>
      <c r="L301" s="173"/>
      <c r="AM301" s="173"/>
      <c r="AN301" s="173"/>
      <c r="AZ301" s="337"/>
      <c r="BL301" s="349"/>
      <c r="BM301" s="300"/>
      <c r="BN301" s="300"/>
      <c r="BO301" s="300"/>
      <c r="BP301" s="300"/>
      <c r="BQ301" s="300"/>
      <c r="BR301" s="300"/>
      <c r="BS301" s="300"/>
      <c r="BT301" s="300"/>
      <c r="BU301" s="300"/>
      <c r="BV301" s="300"/>
      <c r="BW301" s="300"/>
      <c r="BX301" s="300"/>
      <c r="BY301" s="300"/>
      <c r="BZ301" s="300"/>
      <c r="CA301" s="300"/>
      <c r="CB301" s="300"/>
    </row>
    <row r="302" spans="1:80" s="27" customFormat="1" x14ac:dyDescent="0.3">
      <c r="A302" s="173"/>
      <c r="D302" s="173"/>
      <c r="E302" s="173"/>
      <c r="F302" s="173"/>
      <c r="G302" s="173"/>
      <c r="H302" s="173"/>
      <c r="I302" s="173"/>
      <c r="J302" s="173"/>
      <c r="K302" s="173"/>
      <c r="L302" s="173"/>
      <c r="AM302" s="173"/>
      <c r="AN302" s="173"/>
      <c r="AZ302" s="337"/>
      <c r="BL302" s="349"/>
      <c r="BM302" s="300"/>
      <c r="BN302" s="300"/>
      <c r="BO302" s="300"/>
      <c r="BP302" s="300"/>
      <c r="BQ302" s="300"/>
      <c r="BR302" s="300"/>
      <c r="BS302" s="300"/>
      <c r="BT302" s="300"/>
      <c r="BU302" s="300"/>
      <c r="BV302" s="300"/>
      <c r="BW302" s="300"/>
      <c r="BX302" s="300"/>
      <c r="BY302" s="300"/>
      <c r="BZ302" s="300"/>
      <c r="CA302" s="300"/>
      <c r="CB302" s="300"/>
    </row>
    <row r="303" spans="1:80" s="27" customFormat="1" x14ac:dyDescent="0.3">
      <c r="A303" s="173"/>
      <c r="D303" s="173"/>
      <c r="E303" s="173"/>
      <c r="F303" s="173"/>
      <c r="G303" s="173"/>
      <c r="H303" s="173"/>
      <c r="I303" s="173"/>
      <c r="J303" s="173"/>
      <c r="K303" s="173"/>
      <c r="L303" s="173"/>
      <c r="AM303" s="173"/>
      <c r="AN303" s="173"/>
      <c r="AZ303" s="337"/>
      <c r="BL303" s="349"/>
      <c r="BM303" s="300"/>
      <c r="BN303" s="300"/>
      <c r="BO303" s="300"/>
      <c r="BP303" s="300"/>
      <c r="BQ303" s="300"/>
      <c r="BR303" s="300"/>
      <c r="BS303" s="300"/>
      <c r="BT303" s="300"/>
      <c r="BU303" s="300"/>
      <c r="BV303" s="300"/>
      <c r="BW303" s="300"/>
      <c r="BX303" s="300"/>
      <c r="BY303" s="300"/>
      <c r="BZ303" s="300"/>
      <c r="CA303" s="300"/>
      <c r="CB303" s="300"/>
    </row>
    <row r="304" spans="1:80" s="27" customFormat="1" x14ac:dyDescent="0.3">
      <c r="A304" s="173"/>
      <c r="D304" s="173"/>
      <c r="E304" s="173"/>
      <c r="F304" s="173"/>
      <c r="G304" s="173"/>
      <c r="H304" s="173"/>
      <c r="I304" s="173"/>
      <c r="J304" s="173"/>
      <c r="K304" s="173"/>
      <c r="L304" s="173"/>
      <c r="AM304" s="173"/>
      <c r="AN304" s="173"/>
      <c r="AZ304" s="337"/>
      <c r="BL304" s="349"/>
      <c r="BM304" s="300"/>
      <c r="BN304" s="300"/>
      <c r="BO304" s="300"/>
      <c r="BP304" s="300"/>
      <c r="BQ304" s="300"/>
      <c r="BR304" s="300"/>
      <c r="BS304" s="300"/>
      <c r="BT304" s="300"/>
      <c r="BU304" s="300"/>
      <c r="BV304" s="300"/>
      <c r="BW304" s="300"/>
      <c r="BX304" s="300"/>
      <c r="BY304" s="300"/>
      <c r="BZ304" s="300"/>
      <c r="CA304" s="300"/>
      <c r="CB304" s="300"/>
    </row>
    <row r="305" spans="1:80" s="27" customFormat="1" x14ac:dyDescent="0.3">
      <c r="A305" s="173"/>
      <c r="D305" s="173"/>
      <c r="E305" s="173"/>
      <c r="F305" s="173"/>
      <c r="G305" s="173"/>
      <c r="H305" s="173"/>
      <c r="I305" s="173"/>
      <c r="J305" s="173"/>
      <c r="K305" s="173"/>
      <c r="L305" s="173"/>
      <c r="AM305" s="173"/>
      <c r="AN305" s="173"/>
      <c r="AZ305" s="337"/>
      <c r="BL305" s="349"/>
      <c r="BM305" s="300"/>
      <c r="BN305" s="300"/>
      <c r="BO305" s="300"/>
      <c r="BP305" s="300"/>
      <c r="BQ305" s="300"/>
      <c r="BR305" s="300"/>
      <c r="BS305" s="300"/>
      <c r="BT305" s="300"/>
      <c r="BU305" s="300"/>
      <c r="BV305" s="300"/>
      <c r="BW305" s="300"/>
      <c r="BX305" s="300"/>
      <c r="BY305" s="300"/>
      <c r="BZ305" s="300"/>
      <c r="CA305" s="300"/>
      <c r="CB305" s="300"/>
    </row>
    <row r="306" spans="1:80" s="27" customFormat="1" x14ac:dyDescent="0.3">
      <c r="A306" s="173"/>
      <c r="D306" s="173"/>
      <c r="E306" s="173"/>
      <c r="F306" s="173"/>
      <c r="G306" s="173"/>
      <c r="H306" s="173"/>
      <c r="I306" s="173"/>
      <c r="J306" s="173"/>
      <c r="K306" s="173"/>
      <c r="L306" s="173"/>
      <c r="AM306" s="173"/>
      <c r="AN306" s="173"/>
      <c r="AZ306" s="337"/>
      <c r="BL306" s="349"/>
      <c r="BM306" s="300"/>
      <c r="BN306" s="300"/>
      <c r="BO306" s="300"/>
      <c r="BP306" s="300"/>
      <c r="BQ306" s="300"/>
      <c r="BR306" s="300"/>
      <c r="BS306" s="300"/>
      <c r="BT306" s="300"/>
      <c r="BU306" s="300"/>
      <c r="BV306" s="300"/>
      <c r="BW306" s="300"/>
      <c r="BX306" s="300"/>
      <c r="BY306" s="300"/>
      <c r="BZ306" s="300"/>
      <c r="CA306" s="300"/>
      <c r="CB306" s="300"/>
    </row>
    <row r="307" spans="1:80" s="27" customFormat="1" x14ac:dyDescent="0.3">
      <c r="A307" s="173"/>
      <c r="D307" s="173"/>
      <c r="E307" s="173"/>
      <c r="F307" s="173"/>
      <c r="G307" s="173"/>
      <c r="H307" s="173"/>
      <c r="I307" s="173"/>
      <c r="J307" s="173"/>
      <c r="K307" s="173"/>
      <c r="L307" s="173"/>
      <c r="AM307" s="173"/>
      <c r="AN307" s="173"/>
      <c r="AZ307" s="337"/>
      <c r="BL307" s="349"/>
      <c r="BM307" s="300"/>
      <c r="BN307" s="300"/>
      <c r="BO307" s="300"/>
      <c r="BP307" s="300"/>
      <c r="BQ307" s="300"/>
      <c r="BR307" s="300"/>
      <c r="BS307" s="300"/>
      <c r="BT307" s="300"/>
      <c r="BU307" s="300"/>
      <c r="BV307" s="300"/>
      <c r="BW307" s="300"/>
      <c r="BX307" s="300"/>
      <c r="BY307" s="300"/>
      <c r="BZ307" s="300"/>
      <c r="CA307" s="300"/>
      <c r="CB307" s="300"/>
    </row>
    <row r="308" spans="1:80" s="27" customFormat="1" x14ac:dyDescent="0.3">
      <c r="A308" s="173"/>
      <c r="D308" s="173"/>
      <c r="E308" s="173"/>
      <c r="F308" s="173"/>
      <c r="G308" s="173"/>
      <c r="H308" s="173"/>
      <c r="I308" s="173"/>
      <c r="J308" s="173"/>
      <c r="K308" s="173"/>
      <c r="L308" s="173"/>
      <c r="AM308" s="173"/>
      <c r="AN308" s="173"/>
      <c r="AZ308" s="337"/>
      <c r="BL308" s="349"/>
      <c r="BM308" s="300"/>
      <c r="BN308" s="300"/>
      <c r="BO308" s="300"/>
      <c r="BP308" s="300"/>
      <c r="BQ308" s="300"/>
      <c r="BR308" s="300"/>
      <c r="BS308" s="300"/>
      <c r="BT308" s="300"/>
      <c r="BU308" s="300"/>
      <c r="BV308" s="300"/>
      <c r="BW308" s="300"/>
      <c r="BX308" s="300"/>
      <c r="BY308" s="300"/>
      <c r="BZ308" s="300"/>
      <c r="CA308" s="300"/>
      <c r="CB308" s="300"/>
    </row>
    <row r="309" spans="1:80" s="27" customFormat="1" x14ac:dyDescent="0.3">
      <c r="A309" s="173"/>
      <c r="D309" s="173"/>
      <c r="E309" s="173"/>
      <c r="F309" s="173"/>
      <c r="G309" s="173"/>
      <c r="H309" s="173"/>
      <c r="I309" s="173"/>
      <c r="J309" s="173"/>
      <c r="K309" s="173"/>
      <c r="L309" s="173"/>
      <c r="AM309" s="173"/>
      <c r="AN309" s="173"/>
      <c r="AZ309" s="337"/>
      <c r="BL309" s="349"/>
      <c r="BM309" s="300"/>
      <c r="BN309" s="300"/>
      <c r="BO309" s="300"/>
      <c r="BP309" s="300"/>
      <c r="BQ309" s="300"/>
      <c r="BR309" s="300"/>
      <c r="BS309" s="300"/>
      <c r="BT309" s="300"/>
      <c r="BU309" s="300"/>
      <c r="BV309" s="300"/>
      <c r="BW309" s="300"/>
      <c r="BX309" s="300"/>
      <c r="BY309" s="300"/>
      <c r="BZ309" s="300"/>
      <c r="CA309" s="300"/>
      <c r="CB309" s="300"/>
    </row>
    <row r="310" spans="1:80" s="27" customFormat="1" x14ac:dyDescent="0.3">
      <c r="A310" s="173"/>
      <c r="D310" s="173"/>
      <c r="E310" s="173"/>
      <c r="F310" s="173"/>
      <c r="G310" s="173"/>
      <c r="H310" s="173"/>
      <c r="I310" s="173"/>
      <c r="J310" s="173"/>
      <c r="K310" s="173"/>
      <c r="L310" s="173"/>
      <c r="AM310" s="173"/>
      <c r="AN310" s="173"/>
      <c r="AZ310" s="337"/>
      <c r="BL310" s="349"/>
      <c r="BM310" s="300"/>
      <c r="BN310" s="300"/>
      <c r="BO310" s="300"/>
      <c r="BP310" s="300"/>
      <c r="BQ310" s="300"/>
      <c r="BR310" s="300"/>
      <c r="BS310" s="300"/>
      <c r="BT310" s="300"/>
      <c r="BU310" s="300"/>
      <c r="BV310" s="300"/>
      <c r="BW310" s="300"/>
      <c r="BX310" s="300"/>
      <c r="BY310" s="300"/>
      <c r="BZ310" s="300"/>
      <c r="CA310" s="300"/>
      <c r="CB310" s="300"/>
    </row>
    <row r="311" spans="1:80" s="27" customFormat="1" x14ac:dyDescent="0.3">
      <c r="A311" s="173"/>
      <c r="D311" s="173"/>
      <c r="E311" s="173"/>
      <c r="F311" s="173"/>
      <c r="G311" s="173"/>
      <c r="H311" s="173"/>
      <c r="I311" s="173"/>
      <c r="J311" s="173"/>
      <c r="K311" s="173"/>
      <c r="L311" s="173"/>
      <c r="AM311" s="173"/>
      <c r="AN311" s="173"/>
      <c r="AZ311" s="337"/>
      <c r="BL311" s="349"/>
      <c r="BM311" s="300"/>
      <c r="BN311" s="300"/>
      <c r="BO311" s="300"/>
      <c r="BP311" s="300"/>
      <c r="BQ311" s="300"/>
      <c r="BR311" s="300"/>
      <c r="BS311" s="300"/>
      <c r="BT311" s="300"/>
      <c r="BU311" s="300"/>
      <c r="BV311" s="300"/>
      <c r="BW311" s="300"/>
      <c r="BX311" s="300"/>
      <c r="BY311" s="300"/>
      <c r="BZ311" s="300"/>
      <c r="CA311" s="300"/>
      <c r="CB311" s="300"/>
    </row>
    <row r="312" spans="1:80" s="27" customFormat="1" x14ac:dyDescent="0.3">
      <c r="A312" s="173"/>
      <c r="D312" s="173"/>
      <c r="E312" s="173"/>
      <c r="F312" s="173"/>
      <c r="G312" s="173"/>
      <c r="H312" s="173"/>
      <c r="I312" s="173"/>
      <c r="J312" s="173"/>
      <c r="K312" s="173"/>
      <c r="L312" s="173"/>
      <c r="AM312" s="173"/>
      <c r="AN312" s="173"/>
      <c r="AZ312" s="337"/>
      <c r="BL312" s="349"/>
      <c r="BM312" s="300"/>
      <c r="BN312" s="300"/>
      <c r="BO312" s="300"/>
      <c r="BP312" s="300"/>
      <c r="BQ312" s="300"/>
      <c r="BR312" s="300"/>
      <c r="BS312" s="300"/>
      <c r="BT312" s="300"/>
      <c r="BU312" s="300"/>
      <c r="BV312" s="300"/>
      <c r="BW312" s="300"/>
      <c r="BX312" s="300"/>
      <c r="BY312" s="300"/>
      <c r="BZ312" s="300"/>
      <c r="CA312" s="300"/>
      <c r="CB312" s="300"/>
    </row>
    <row r="313" spans="1:80" s="27" customFormat="1" x14ac:dyDescent="0.3">
      <c r="A313" s="173"/>
      <c r="D313" s="173"/>
      <c r="E313" s="173"/>
      <c r="F313" s="173"/>
      <c r="G313" s="173"/>
      <c r="H313" s="173"/>
      <c r="I313" s="173"/>
      <c r="J313" s="173"/>
      <c r="K313" s="173"/>
      <c r="L313" s="173"/>
      <c r="AM313" s="173"/>
      <c r="AN313" s="173"/>
      <c r="AZ313" s="337"/>
      <c r="BL313" s="349"/>
      <c r="BM313" s="300"/>
      <c r="BN313" s="300"/>
      <c r="BO313" s="300"/>
      <c r="BP313" s="300"/>
      <c r="BQ313" s="300"/>
      <c r="BR313" s="300"/>
      <c r="BS313" s="300"/>
      <c r="BT313" s="300"/>
      <c r="BU313" s="300"/>
      <c r="BV313" s="300"/>
      <c r="BW313" s="300"/>
      <c r="BX313" s="300"/>
      <c r="BY313" s="300"/>
      <c r="BZ313" s="300"/>
      <c r="CA313" s="300"/>
      <c r="CB313" s="300"/>
    </row>
    <row r="314" spans="1:80" s="27" customFormat="1" x14ac:dyDescent="0.3">
      <c r="A314" s="173"/>
      <c r="D314" s="173"/>
      <c r="E314" s="173"/>
      <c r="F314" s="173"/>
      <c r="G314" s="173"/>
      <c r="H314" s="173"/>
      <c r="I314" s="173"/>
      <c r="J314" s="173"/>
      <c r="K314" s="173"/>
      <c r="L314" s="173"/>
      <c r="AM314" s="173"/>
      <c r="AN314" s="173"/>
      <c r="AZ314" s="337"/>
      <c r="BL314" s="349"/>
      <c r="BM314" s="300"/>
      <c r="BN314" s="300"/>
      <c r="BO314" s="300"/>
      <c r="BP314" s="300"/>
      <c r="BQ314" s="300"/>
      <c r="BR314" s="300"/>
      <c r="BS314" s="300"/>
      <c r="BT314" s="300"/>
      <c r="BU314" s="300"/>
      <c r="BV314" s="300"/>
      <c r="BW314" s="300"/>
      <c r="BX314" s="300"/>
      <c r="BY314" s="300"/>
      <c r="BZ314" s="300"/>
      <c r="CA314" s="300"/>
      <c r="CB314" s="300"/>
    </row>
    <row r="315" spans="1:80" s="27" customFormat="1" x14ac:dyDescent="0.3">
      <c r="A315" s="173"/>
      <c r="D315" s="173"/>
      <c r="E315" s="173"/>
      <c r="F315" s="173"/>
      <c r="G315" s="173"/>
      <c r="H315" s="173"/>
      <c r="I315" s="173"/>
      <c r="J315" s="173"/>
      <c r="K315" s="173"/>
      <c r="L315" s="173"/>
      <c r="AM315" s="173"/>
      <c r="AN315" s="173"/>
      <c r="AZ315" s="337"/>
      <c r="BL315" s="349"/>
      <c r="BM315" s="300"/>
      <c r="BN315" s="300"/>
      <c r="BO315" s="300"/>
      <c r="BP315" s="300"/>
      <c r="BQ315" s="300"/>
      <c r="BR315" s="300"/>
      <c r="BS315" s="300"/>
      <c r="BT315" s="300"/>
      <c r="BU315" s="300"/>
      <c r="BV315" s="300"/>
      <c r="BW315" s="300"/>
      <c r="BX315" s="300"/>
      <c r="BY315" s="300"/>
      <c r="BZ315" s="300"/>
      <c r="CA315" s="300"/>
      <c r="CB315" s="300"/>
    </row>
    <row r="316" spans="1:80" s="27" customFormat="1" x14ac:dyDescent="0.3">
      <c r="A316" s="173"/>
      <c r="D316" s="173"/>
      <c r="E316" s="173"/>
      <c r="F316" s="173"/>
      <c r="G316" s="173"/>
      <c r="H316" s="173"/>
      <c r="I316" s="173"/>
      <c r="J316" s="173"/>
      <c r="K316" s="173"/>
      <c r="L316" s="173"/>
      <c r="AM316" s="173"/>
      <c r="AN316" s="173"/>
      <c r="AZ316" s="337"/>
      <c r="BL316" s="349"/>
      <c r="BM316" s="300"/>
      <c r="BN316" s="300"/>
      <c r="BO316" s="300"/>
      <c r="BP316" s="300"/>
      <c r="BQ316" s="300"/>
      <c r="BR316" s="300"/>
      <c r="BS316" s="300"/>
      <c r="BT316" s="300"/>
      <c r="BU316" s="300"/>
      <c r="BV316" s="300"/>
      <c r="BW316" s="300"/>
      <c r="BX316" s="300"/>
      <c r="BY316" s="300"/>
      <c r="BZ316" s="300"/>
      <c r="CA316" s="300"/>
      <c r="CB316" s="300"/>
    </row>
    <row r="317" spans="1:80" s="27" customFormat="1" x14ac:dyDescent="0.3">
      <c r="A317" s="173"/>
      <c r="D317" s="173"/>
      <c r="E317" s="173"/>
      <c r="F317" s="173"/>
      <c r="G317" s="173"/>
      <c r="H317" s="173"/>
      <c r="I317" s="173"/>
      <c r="J317" s="173"/>
      <c r="K317" s="173"/>
      <c r="L317" s="173"/>
      <c r="AM317" s="173"/>
      <c r="AN317" s="173"/>
      <c r="AZ317" s="337"/>
      <c r="BL317" s="349"/>
      <c r="BM317" s="300"/>
      <c r="BN317" s="300"/>
      <c r="BO317" s="300"/>
      <c r="BP317" s="300"/>
      <c r="BQ317" s="300"/>
      <c r="BR317" s="300"/>
      <c r="BS317" s="300"/>
      <c r="BT317" s="300"/>
      <c r="BU317" s="300"/>
      <c r="BV317" s="300"/>
      <c r="BW317" s="300"/>
      <c r="BX317" s="300"/>
      <c r="BY317" s="300"/>
      <c r="BZ317" s="300"/>
      <c r="CA317" s="300"/>
      <c r="CB317" s="300"/>
    </row>
    <row r="318" spans="1:80" s="27" customFormat="1" x14ac:dyDescent="0.3">
      <c r="A318" s="173"/>
      <c r="D318" s="173"/>
      <c r="E318" s="173"/>
      <c r="F318" s="173"/>
      <c r="G318" s="173"/>
      <c r="H318" s="173"/>
      <c r="I318" s="173"/>
      <c r="J318" s="173"/>
      <c r="K318" s="173"/>
      <c r="L318" s="173"/>
      <c r="AM318" s="173"/>
      <c r="AN318" s="173"/>
      <c r="AZ318" s="337"/>
      <c r="BL318" s="349"/>
      <c r="BM318" s="300"/>
      <c r="BN318" s="300"/>
      <c r="BO318" s="300"/>
      <c r="BP318" s="300"/>
      <c r="BQ318" s="300"/>
      <c r="BR318" s="300"/>
      <c r="BS318" s="300"/>
      <c r="BT318" s="300"/>
      <c r="BU318" s="300"/>
      <c r="BV318" s="300"/>
      <c r="BW318" s="300"/>
      <c r="BX318" s="300"/>
      <c r="BY318" s="300"/>
      <c r="BZ318" s="300"/>
      <c r="CA318" s="300"/>
      <c r="CB318" s="300"/>
    </row>
    <row r="319" spans="1:80" s="27" customFormat="1" x14ac:dyDescent="0.3">
      <c r="A319" s="173"/>
      <c r="D319" s="173"/>
      <c r="E319" s="173"/>
      <c r="F319" s="173"/>
      <c r="G319" s="173"/>
      <c r="H319" s="173"/>
      <c r="I319" s="173"/>
      <c r="J319" s="173"/>
      <c r="K319" s="173"/>
      <c r="L319" s="173"/>
      <c r="AM319" s="173"/>
      <c r="AN319" s="173"/>
      <c r="AZ319" s="337"/>
      <c r="BL319" s="349"/>
      <c r="BM319" s="300"/>
      <c r="BN319" s="300"/>
      <c r="BO319" s="300"/>
      <c r="BP319" s="300"/>
      <c r="BQ319" s="300"/>
      <c r="BR319" s="300"/>
      <c r="BS319" s="300"/>
      <c r="BT319" s="300"/>
      <c r="BU319" s="300"/>
      <c r="BV319" s="300"/>
      <c r="BW319" s="300"/>
      <c r="BX319" s="300"/>
      <c r="BY319" s="300"/>
      <c r="BZ319" s="300"/>
      <c r="CA319" s="300"/>
      <c r="CB319" s="300"/>
    </row>
    <row r="320" spans="1:80" s="27" customFormat="1" x14ac:dyDescent="0.3">
      <c r="A320" s="173"/>
      <c r="D320" s="173"/>
      <c r="E320" s="173"/>
      <c r="F320" s="173"/>
      <c r="G320" s="173"/>
      <c r="H320" s="173"/>
      <c r="I320" s="173"/>
      <c r="J320" s="173"/>
      <c r="K320" s="173"/>
      <c r="L320" s="173"/>
      <c r="AM320" s="173"/>
      <c r="AN320" s="173"/>
      <c r="AZ320" s="337"/>
      <c r="BL320" s="349"/>
      <c r="BM320" s="300"/>
      <c r="BN320" s="300"/>
      <c r="BO320" s="300"/>
      <c r="BP320" s="300"/>
      <c r="BQ320" s="300"/>
      <c r="BR320" s="300"/>
      <c r="BS320" s="300"/>
      <c r="BT320" s="300"/>
      <c r="BU320" s="300"/>
      <c r="BV320" s="300"/>
      <c r="BW320" s="300"/>
      <c r="BX320" s="300"/>
      <c r="BY320" s="300"/>
      <c r="BZ320" s="300"/>
      <c r="CA320" s="300"/>
      <c r="CB320" s="300"/>
    </row>
    <row r="321" spans="1:80" s="27" customFormat="1" x14ac:dyDescent="0.3">
      <c r="A321" s="173"/>
      <c r="D321" s="173"/>
      <c r="E321" s="173"/>
      <c r="F321" s="173"/>
      <c r="G321" s="173"/>
      <c r="H321" s="173"/>
      <c r="I321" s="173"/>
      <c r="J321" s="173"/>
      <c r="K321" s="173"/>
      <c r="L321" s="173"/>
      <c r="AM321" s="173"/>
      <c r="AN321" s="173"/>
      <c r="AZ321" s="337"/>
      <c r="BL321" s="349"/>
      <c r="BM321" s="300"/>
      <c r="BN321" s="300"/>
      <c r="BO321" s="300"/>
      <c r="BP321" s="300"/>
      <c r="BQ321" s="300"/>
      <c r="BR321" s="300"/>
      <c r="BS321" s="300"/>
      <c r="BT321" s="300"/>
      <c r="BU321" s="300"/>
      <c r="BV321" s="300"/>
      <c r="BW321" s="300"/>
      <c r="BX321" s="300"/>
      <c r="BY321" s="300"/>
      <c r="BZ321" s="300"/>
      <c r="CA321" s="300"/>
      <c r="CB321" s="300"/>
    </row>
    <row r="322" spans="1:80" s="27" customFormat="1" x14ac:dyDescent="0.3">
      <c r="A322" s="173"/>
      <c r="D322" s="173"/>
      <c r="E322" s="173"/>
      <c r="F322" s="173"/>
      <c r="G322" s="173"/>
      <c r="H322" s="173"/>
      <c r="I322" s="173"/>
      <c r="J322" s="173"/>
      <c r="K322" s="173"/>
      <c r="L322" s="173"/>
      <c r="AM322" s="173"/>
      <c r="AN322" s="173"/>
      <c r="AZ322" s="337"/>
      <c r="BL322" s="349"/>
      <c r="BM322" s="300"/>
      <c r="BN322" s="300"/>
      <c r="BO322" s="300"/>
      <c r="BP322" s="300"/>
      <c r="BQ322" s="300"/>
      <c r="BR322" s="300"/>
      <c r="BS322" s="300"/>
      <c r="BT322" s="300"/>
      <c r="BU322" s="300"/>
      <c r="BV322" s="300"/>
      <c r="BW322" s="300"/>
      <c r="BX322" s="300"/>
      <c r="BY322" s="300"/>
      <c r="BZ322" s="300"/>
      <c r="CA322" s="300"/>
      <c r="CB322" s="300"/>
    </row>
    <row r="323" spans="1:80" s="27" customFormat="1" x14ac:dyDescent="0.3">
      <c r="A323" s="173"/>
      <c r="D323" s="173"/>
      <c r="E323" s="173"/>
      <c r="F323" s="173"/>
      <c r="G323" s="173"/>
      <c r="H323" s="173"/>
      <c r="I323" s="173"/>
      <c r="J323" s="173"/>
      <c r="K323" s="173"/>
      <c r="L323" s="173"/>
      <c r="AM323" s="173"/>
      <c r="AN323" s="173"/>
      <c r="AZ323" s="337"/>
      <c r="BL323" s="349"/>
      <c r="BM323" s="300"/>
      <c r="BN323" s="300"/>
      <c r="BO323" s="300"/>
      <c r="BP323" s="300"/>
      <c r="BQ323" s="300"/>
      <c r="BR323" s="300"/>
      <c r="BS323" s="300"/>
      <c r="BT323" s="300"/>
      <c r="BU323" s="300"/>
      <c r="BV323" s="300"/>
      <c r="BW323" s="300"/>
      <c r="BX323" s="300"/>
      <c r="BY323" s="300"/>
      <c r="BZ323" s="300"/>
      <c r="CA323" s="300"/>
      <c r="CB323" s="300"/>
    </row>
    <row r="324" spans="1:80" s="27" customFormat="1" x14ac:dyDescent="0.3">
      <c r="A324" s="173"/>
      <c r="D324" s="173"/>
      <c r="E324" s="173"/>
      <c r="F324" s="173"/>
      <c r="G324" s="173"/>
      <c r="H324" s="173"/>
      <c r="I324" s="173"/>
      <c r="J324" s="173"/>
      <c r="K324" s="173"/>
      <c r="L324" s="173"/>
      <c r="AM324" s="173"/>
      <c r="AN324" s="173"/>
      <c r="AZ324" s="337"/>
      <c r="BL324" s="349"/>
      <c r="BM324" s="300"/>
      <c r="BN324" s="300"/>
      <c r="BO324" s="300"/>
      <c r="BP324" s="300"/>
      <c r="BQ324" s="300"/>
      <c r="BR324" s="300"/>
      <c r="BS324" s="300"/>
      <c r="BT324" s="300"/>
      <c r="BU324" s="300"/>
      <c r="BV324" s="300"/>
      <c r="BW324" s="300"/>
      <c r="BX324" s="300"/>
      <c r="BY324" s="300"/>
      <c r="BZ324" s="300"/>
      <c r="CA324" s="300"/>
      <c r="CB324" s="300"/>
    </row>
    <row r="325" spans="1:80" s="27" customFormat="1" x14ac:dyDescent="0.3">
      <c r="A325" s="173"/>
      <c r="D325" s="173"/>
      <c r="E325" s="173"/>
      <c r="F325" s="173"/>
      <c r="G325" s="173"/>
      <c r="H325" s="173"/>
      <c r="I325" s="173"/>
      <c r="J325" s="173"/>
      <c r="K325" s="173"/>
      <c r="L325" s="173"/>
      <c r="AM325" s="173"/>
      <c r="AN325" s="173"/>
      <c r="AZ325" s="337"/>
      <c r="BL325" s="349"/>
      <c r="BM325" s="300"/>
      <c r="BN325" s="300"/>
      <c r="BO325" s="300"/>
      <c r="BP325" s="300"/>
      <c r="BQ325" s="300"/>
      <c r="BR325" s="300"/>
      <c r="BS325" s="300"/>
      <c r="BT325" s="300"/>
      <c r="BU325" s="300"/>
      <c r="BV325" s="300"/>
      <c r="BW325" s="300"/>
      <c r="BX325" s="300"/>
      <c r="BY325" s="300"/>
      <c r="BZ325" s="300"/>
      <c r="CA325" s="300"/>
      <c r="CB325" s="300"/>
    </row>
    <row r="326" spans="1:80" s="27" customFormat="1" x14ac:dyDescent="0.3">
      <c r="A326" s="173"/>
      <c r="D326" s="173"/>
      <c r="E326" s="173"/>
      <c r="F326" s="173"/>
      <c r="G326" s="173"/>
      <c r="H326" s="173"/>
      <c r="I326" s="173"/>
      <c r="J326" s="173"/>
      <c r="K326" s="173"/>
      <c r="L326" s="173"/>
      <c r="AM326" s="173"/>
      <c r="AN326" s="173"/>
      <c r="AZ326" s="337"/>
      <c r="BL326" s="349"/>
      <c r="BM326" s="300"/>
      <c r="BN326" s="300"/>
      <c r="BO326" s="300"/>
      <c r="BP326" s="300"/>
      <c r="BQ326" s="300"/>
      <c r="BR326" s="300"/>
      <c r="BS326" s="300"/>
      <c r="BT326" s="300"/>
      <c r="BU326" s="300"/>
      <c r="BV326" s="300"/>
      <c r="BW326" s="300"/>
      <c r="BX326" s="300"/>
      <c r="BY326" s="300"/>
      <c r="BZ326" s="300"/>
      <c r="CA326" s="300"/>
      <c r="CB326" s="300"/>
    </row>
    <row r="327" spans="1:80" s="27" customFormat="1" x14ac:dyDescent="0.3">
      <c r="A327" s="173"/>
      <c r="D327" s="173"/>
      <c r="E327" s="173"/>
      <c r="F327" s="173"/>
      <c r="G327" s="173"/>
      <c r="H327" s="173"/>
      <c r="I327" s="173"/>
      <c r="J327" s="173"/>
      <c r="K327" s="173"/>
      <c r="L327" s="173"/>
      <c r="AM327" s="173"/>
      <c r="AN327" s="173"/>
      <c r="AZ327" s="337"/>
      <c r="BL327" s="349"/>
      <c r="BM327" s="300"/>
      <c r="BN327" s="300"/>
      <c r="BO327" s="300"/>
      <c r="BP327" s="300"/>
      <c r="BQ327" s="300"/>
      <c r="BR327" s="300"/>
      <c r="BS327" s="300"/>
      <c r="BT327" s="300"/>
      <c r="BU327" s="300"/>
      <c r="BV327" s="300"/>
      <c r="BW327" s="300"/>
      <c r="BX327" s="300"/>
      <c r="BY327" s="300"/>
      <c r="BZ327" s="300"/>
      <c r="CA327" s="300"/>
      <c r="CB327" s="300"/>
    </row>
    <row r="328" spans="1:80" s="27" customFormat="1" x14ac:dyDescent="0.3">
      <c r="A328" s="173"/>
      <c r="D328" s="173"/>
      <c r="E328" s="173"/>
      <c r="F328" s="173"/>
      <c r="G328" s="173"/>
      <c r="H328" s="173"/>
      <c r="I328" s="173"/>
      <c r="J328" s="173"/>
      <c r="K328" s="173"/>
      <c r="L328" s="173"/>
      <c r="AM328" s="173"/>
      <c r="AN328" s="173"/>
      <c r="AZ328" s="337"/>
      <c r="BL328" s="349"/>
      <c r="BM328" s="300"/>
      <c r="BN328" s="300"/>
      <c r="BO328" s="300"/>
      <c r="BP328" s="300"/>
      <c r="BQ328" s="300"/>
      <c r="BR328" s="300"/>
      <c r="BS328" s="300"/>
      <c r="BT328" s="300"/>
      <c r="BU328" s="300"/>
      <c r="BV328" s="300"/>
      <c r="BW328" s="300"/>
      <c r="BX328" s="300"/>
      <c r="BY328" s="300"/>
      <c r="BZ328" s="300"/>
      <c r="CA328" s="300"/>
      <c r="CB328" s="300"/>
    </row>
    <row r="329" spans="1:80" s="27" customFormat="1" x14ac:dyDescent="0.3">
      <c r="A329" s="173"/>
      <c r="D329" s="173"/>
      <c r="E329" s="173"/>
      <c r="F329" s="173"/>
      <c r="G329" s="173"/>
      <c r="H329" s="173"/>
      <c r="I329" s="173"/>
      <c r="J329" s="173"/>
      <c r="K329" s="173"/>
      <c r="L329" s="173"/>
      <c r="AM329" s="173"/>
      <c r="AN329" s="173"/>
      <c r="AZ329" s="337"/>
      <c r="BL329" s="349"/>
      <c r="BM329" s="300"/>
      <c r="BN329" s="300"/>
      <c r="BO329" s="300"/>
      <c r="BP329" s="300"/>
      <c r="BQ329" s="300"/>
      <c r="BR329" s="300"/>
      <c r="BS329" s="300"/>
      <c r="BT329" s="300"/>
      <c r="BU329" s="300"/>
      <c r="BV329" s="300"/>
      <c r="BW329" s="300"/>
      <c r="BX329" s="300"/>
      <c r="BY329" s="300"/>
      <c r="BZ329" s="300"/>
      <c r="CA329" s="300"/>
      <c r="CB329" s="300"/>
    </row>
    <row r="330" spans="1:80" s="27" customFormat="1" x14ac:dyDescent="0.3">
      <c r="A330" s="173"/>
      <c r="D330" s="173"/>
      <c r="E330" s="173"/>
      <c r="F330" s="173"/>
      <c r="G330" s="173"/>
      <c r="H330" s="173"/>
      <c r="I330" s="173"/>
      <c r="J330" s="173"/>
      <c r="K330" s="173"/>
      <c r="L330" s="173"/>
      <c r="AM330" s="173"/>
      <c r="AN330" s="173"/>
      <c r="AZ330" s="337"/>
      <c r="BL330" s="349"/>
      <c r="BM330" s="300"/>
      <c r="BN330" s="300"/>
      <c r="BO330" s="300"/>
      <c r="BP330" s="300"/>
      <c r="BQ330" s="300"/>
      <c r="BR330" s="300"/>
      <c r="BS330" s="300"/>
      <c r="BT330" s="300"/>
      <c r="BU330" s="300"/>
      <c r="BV330" s="300"/>
      <c r="BW330" s="300"/>
      <c r="BX330" s="300"/>
      <c r="BY330" s="300"/>
      <c r="BZ330" s="300"/>
      <c r="CA330" s="300"/>
      <c r="CB330" s="300"/>
    </row>
    <row r="331" spans="1:80" s="27" customFormat="1" x14ac:dyDescent="0.3">
      <c r="A331" s="173"/>
      <c r="D331" s="173"/>
      <c r="E331" s="173"/>
      <c r="F331" s="173"/>
      <c r="G331" s="173"/>
      <c r="H331" s="173"/>
      <c r="I331" s="173"/>
      <c r="J331" s="173"/>
      <c r="K331" s="173"/>
      <c r="L331" s="173"/>
      <c r="AM331" s="173"/>
      <c r="AN331" s="173"/>
      <c r="AZ331" s="337"/>
      <c r="BL331" s="349"/>
      <c r="BM331" s="300"/>
      <c r="BN331" s="300"/>
      <c r="BO331" s="300"/>
      <c r="BP331" s="300"/>
      <c r="BQ331" s="300"/>
      <c r="BR331" s="300"/>
      <c r="BS331" s="300"/>
      <c r="BT331" s="300"/>
      <c r="BU331" s="300"/>
      <c r="BV331" s="300"/>
      <c r="BW331" s="300"/>
      <c r="BX331" s="300"/>
      <c r="BY331" s="300"/>
      <c r="BZ331" s="300"/>
      <c r="CA331" s="300"/>
      <c r="CB331" s="300"/>
    </row>
    <row r="332" spans="1:80" s="27" customFormat="1" x14ac:dyDescent="0.3">
      <c r="A332" s="173"/>
      <c r="D332" s="173"/>
      <c r="E332" s="173"/>
      <c r="F332" s="173"/>
      <c r="G332" s="173"/>
      <c r="H332" s="173"/>
      <c r="I332" s="173"/>
      <c r="J332" s="173"/>
      <c r="K332" s="173"/>
      <c r="L332" s="173"/>
      <c r="AM332" s="173"/>
      <c r="AN332" s="173"/>
      <c r="AZ332" s="337"/>
      <c r="BL332" s="349"/>
      <c r="BM332" s="300"/>
      <c r="BN332" s="300"/>
      <c r="BO332" s="300"/>
      <c r="BP332" s="300"/>
      <c r="BQ332" s="300"/>
      <c r="BR332" s="300"/>
      <c r="BS332" s="300"/>
      <c r="BT332" s="300"/>
      <c r="BU332" s="300"/>
      <c r="BV332" s="300"/>
      <c r="BW332" s="300"/>
      <c r="BX332" s="300"/>
      <c r="BY332" s="300"/>
      <c r="BZ332" s="300"/>
      <c r="CA332" s="300"/>
      <c r="CB332" s="300"/>
    </row>
    <row r="333" spans="1:80" s="27" customFormat="1" x14ac:dyDescent="0.3">
      <c r="A333" s="173"/>
      <c r="D333" s="173"/>
      <c r="E333" s="173"/>
      <c r="F333" s="173"/>
      <c r="G333" s="173"/>
      <c r="H333" s="173"/>
      <c r="I333" s="173"/>
      <c r="J333" s="173"/>
      <c r="K333" s="173"/>
      <c r="L333" s="173"/>
      <c r="AM333" s="173"/>
      <c r="AN333" s="173"/>
      <c r="AZ333" s="337"/>
      <c r="BL333" s="349"/>
      <c r="BM333" s="300"/>
      <c r="BN333" s="300"/>
      <c r="BO333" s="300"/>
      <c r="BP333" s="300"/>
      <c r="BQ333" s="300"/>
      <c r="BR333" s="300"/>
      <c r="BS333" s="300"/>
      <c r="BT333" s="300"/>
      <c r="BU333" s="300"/>
      <c r="BV333" s="300"/>
      <c r="BW333" s="300"/>
      <c r="BX333" s="300"/>
      <c r="BY333" s="300"/>
      <c r="BZ333" s="300"/>
      <c r="CA333" s="300"/>
      <c r="CB333" s="300"/>
    </row>
    <row r="334" spans="1:80" s="27" customFormat="1" x14ac:dyDescent="0.3">
      <c r="A334" s="173"/>
      <c r="D334" s="173"/>
      <c r="E334" s="173"/>
      <c r="F334" s="173"/>
      <c r="G334" s="173"/>
      <c r="H334" s="173"/>
      <c r="I334" s="173"/>
      <c r="J334" s="173"/>
      <c r="K334" s="173"/>
      <c r="L334" s="173"/>
      <c r="AM334" s="173"/>
      <c r="AN334" s="173"/>
      <c r="AZ334" s="337"/>
      <c r="BL334" s="349"/>
      <c r="BM334" s="300"/>
      <c r="BN334" s="300"/>
      <c r="BO334" s="300"/>
      <c r="BP334" s="300"/>
      <c r="BQ334" s="300"/>
      <c r="BR334" s="300"/>
      <c r="BS334" s="300"/>
      <c r="BT334" s="300"/>
      <c r="BU334" s="300"/>
      <c r="BV334" s="300"/>
      <c r="BW334" s="300"/>
      <c r="BX334" s="300"/>
      <c r="BY334" s="300"/>
      <c r="BZ334" s="300"/>
      <c r="CA334" s="300"/>
      <c r="CB334" s="300"/>
    </row>
    <row r="335" spans="1:80" s="27" customFormat="1" x14ac:dyDescent="0.3">
      <c r="A335" s="173"/>
      <c r="D335" s="173"/>
      <c r="E335" s="173"/>
      <c r="F335" s="173"/>
      <c r="G335" s="173"/>
      <c r="H335" s="173"/>
      <c r="I335" s="173"/>
      <c r="J335" s="173"/>
      <c r="K335" s="173"/>
      <c r="L335" s="173"/>
      <c r="AM335" s="173"/>
      <c r="AN335" s="173"/>
      <c r="AZ335" s="337"/>
      <c r="BL335" s="349"/>
      <c r="BM335" s="300"/>
      <c r="BN335" s="300"/>
      <c r="BO335" s="300"/>
      <c r="BP335" s="300"/>
      <c r="BQ335" s="300"/>
      <c r="BR335" s="300"/>
      <c r="BS335" s="300"/>
      <c r="BT335" s="300"/>
      <c r="BU335" s="300"/>
      <c r="BV335" s="300"/>
      <c r="BW335" s="300"/>
      <c r="BX335" s="300"/>
      <c r="BY335" s="300"/>
      <c r="BZ335" s="300"/>
      <c r="CA335" s="300"/>
      <c r="CB335" s="300"/>
    </row>
    <row r="336" spans="1:80" s="27" customFormat="1" x14ac:dyDescent="0.3">
      <c r="A336" s="173"/>
      <c r="D336" s="173"/>
      <c r="E336" s="173"/>
      <c r="F336" s="173"/>
      <c r="G336" s="173"/>
      <c r="H336" s="173"/>
      <c r="I336" s="173"/>
      <c r="J336" s="173"/>
      <c r="K336" s="173"/>
      <c r="L336" s="173"/>
      <c r="AM336" s="173"/>
      <c r="AN336" s="173"/>
      <c r="AZ336" s="337"/>
      <c r="BL336" s="349"/>
      <c r="BM336" s="300"/>
      <c r="BN336" s="300"/>
      <c r="BO336" s="300"/>
      <c r="BP336" s="300"/>
      <c r="BQ336" s="300"/>
      <c r="BR336" s="300"/>
      <c r="BS336" s="300"/>
      <c r="BT336" s="300"/>
      <c r="BU336" s="300"/>
      <c r="BV336" s="300"/>
      <c r="BW336" s="300"/>
      <c r="BX336" s="300"/>
      <c r="BY336" s="300"/>
      <c r="BZ336" s="300"/>
      <c r="CA336" s="300"/>
      <c r="CB336" s="300"/>
    </row>
    <row r="337" spans="1:80" s="27" customFormat="1" x14ac:dyDescent="0.3">
      <c r="A337" s="173"/>
      <c r="D337" s="173"/>
      <c r="E337" s="173"/>
      <c r="F337" s="173"/>
      <c r="G337" s="173"/>
      <c r="H337" s="173"/>
      <c r="I337" s="173"/>
      <c r="J337" s="173"/>
      <c r="K337" s="173"/>
      <c r="L337" s="173"/>
      <c r="AM337" s="173"/>
      <c r="AN337" s="173"/>
      <c r="AZ337" s="337"/>
      <c r="BL337" s="349"/>
      <c r="BM337" s="300"/>
      <c r="BN337" s="300"/>
      <c r="BO337" s="300"/>
      <c r="BP337" s="300"/>
      <c r="BQ337" s="300"/>
      <c r="BR337" s="300"/>
      <c r="BS337" s="300"/>
      <c r="BT337" s="300"/>
      <c r="BU337" s="300"/>
      <c r="BV337" s="300"/>
      <c r="BW337" s="300"/>
      <c r="BX337" s="300"/>
      <c r="BY337" s="300"/>
      <c r="BZ337" s="300"/>
      <c r="CA337" s="300"/>
      <c r="CB337" s="300"/>
    </row>
    <row r="338" spans="1:80" s="27" customFormat="1" x14ac:dyDescent="0.3">
      <c r="A338" s="173"/>
      <c r="D338" s="173"/>
      <c r="E338" s="173"/>
      <c r="F338" s="173"/>
      <c r="G338" s="173"/>
      <c r="H338" s="173"/>
      <c r="I338" s="173"/>
      <c r="J338" s="173"/>
      <c r="K338" s="173"/>
      <c r="L338" s="173"/>
      <c r="AM338" s="173"/>
      <c r="AN338" s="173"/>
      <c r="AZ338" s="337"/>
      <c r="BL338" s="349"/>
      <c r="BM338" s="300"/>
      <c r="BN338" s="300"/>
      <c r="BO338" s="300"/>
      <c r="BP338" s="300"/>
      <c r="BQ338" s="300"/>
      <c r="BR338" s="300"/>
      <c r="BS338" s="300"/>
      <c r="BT338" s="300"/>
      <c r="BU338" s="300"/>
      <c r="BV338" s="300"/>
      <c r="BW338" s="300"/>
      <c r="BX338" s="300"/>
      <c r="BY338" s="300"/>
      <c r="BZ338" s="300"/>
      <c r="CA338" s="300"/>
      <c r="CB338" s="300"/>
    </row>
    <row r="339" spans="1:80" s="27" customFormat="1" x14ac:dyDescent="0.3">
      <c r="A339" s="173"/>
      <c r="D339" s="173"/>
      <c r="E339" s="173"/>
      <c r="F339" s="173"/>
      <c r="G339" s="173"/>
      <c r="H339" s="173"/>
      <c r="I339" s="173"/>
      <c r="J339" s="173"/>
      <c r="K339" s="173"/>
      <c r="L339" s="173"/>
      <c r="AM339" s="173"/>
      <c r="AN339" s="173"/>
      <c r="AZ339" s="337"/>
      <c r="BL339" s="349"/>
      <c r="BM339" s="300"/>
      <c r="BN339" s="300"/>
      <c r="BO339" s="300"/>
      <c r="BP339" s="300"/>
      <c r="BQ339" s="300"/>
      <c r="BR339" s="300"/>
      <c r="BS339" s="300"/>
      <c r="BT339" s="300"/>
      <c r="BU339" s="300"/>
      <c r="BV339" s="300"/>
      <c r="BW339" s="300"/>
      <c r="BX339" s="300"/>
      <c r="BY339" s="300"/>
      <c r="BZ339" s="300"/>
      <c r="CA339" s="300"/>
      <c r="CB339" s="300"/>
    </row>
    <row r="340" spans="1:80" s="27" customFormat="1" x14ac:dyDescent="0.3">
      <c r="A340" s="173"/>
      <c r="D340" s="173"/>
      <c r="E340" s="173"/>
      <c r="F340" s="173"/>
      <c r="G340" s="173"/>
      <c r="H340" s="173"/>
      <c r="I340" s="173"/>
      <c r="J340" s="173"/>
      <c r="K340" s="173"/>
      <c r="L340" s="173"/>
      <c r="AM340" s="173"/>
      <c r="AN340" s="173"/>
      <c r="AZ340" s="337"/>
      <c r="BL340" s="349"/>
      <c r="BM340" s="300"/>
      <c r="BN340" s="300"/>
      <c r="BO340" s="300"/>
      <c r="BP340" s="300"/>
      <c r="BQ340" s="300"/>
      <c r="BR340" s="300"/>
      <c r="BS340" s="300"/>
      <c r="BT340" s="300"/>
      <c r="BU340" s="300"/>
      <c r="BV340" s="300"/>
      <c r="BW340" s="300"/>
      <c r="BX340" s="300"/>
      <c r="BY340" s="300"/>
      <c r="BZ340" s="300"/>
      <c r="CA340" s="300"/>
      <c r="CB340" s="300"/>
    </row>
    <row r="341" spans="1:80" s="27" customFormat="1" x14ac:dyDescent="0.3">
      <c r="A341" s="173"/>
      <c r="D341" s="173"/>
      <c r="E341" s="173"/>
      <c r="F341" s="173"/>
      <c r="G341" s="173"/>
      <c r="H341" s="173"/>
      <c r="I341" s="173"/>
      <c r="J341" s="173"/>
      <c r="K341" s="173"/>
      <c r="L341" s="173"/>
      <c r="AM341" s="173"/>
      <c r="AN341" s="173"/>
      <c r="AZ341" s="337"/>
      <c r="BL341" s="349"/>
      <c r="BM341" s="300"/>
      <c r="BN341" s="300"/>
      <c r="BO341" s="300"/>
      <c r="BP341" s="300"/>
      <c r="BQ341" s="300"/>
      <c r="BR341" s="300"/>
      <c r="BS341" s="300"/>
      <c r="BT341" s="300"/>
      <c r="BU341" s="300"/>
      <c r="BV341" s="300"/>
      <c r="BW341" s="300"/>
      <c r="BX341" s="300"/>
      <c r="BY341" s="300"/>
      <c r="BZ341" s="300"/>
      <c r="CA341" s="300"/>
      <c r="CB341" s="300"/>
    </row>
    <row r="342" spans="1:80" s="27" customFormat="1" x14ac:dyDescent="0.3">
      <c r="A342" s="173"/>
      <c r="D342" s="173"/>
      <c r="E342" s="173"/>
      <c r="F342" s="173"/>
      <c r="G342" s="173"/>
      <c r="H342" s="173"/>
      <c r="I342" s="173"/>
      <c r="J342" s="173"/>
      <c r="K342" s="173"/>
      <c r="L342" s="173"/>
      <c r="AM342" s="173"/>
      <c r="AN342" s="173"/>
      <c r="AZ342" s="337"/>
      <c r="BL342" s="349"/>
      <c r="BM342" s="300"/>
      <c r="BN342" s="300"/>
      <c r="BO342" s="300"/>
      <c r="BP342" s="300"/>
      <c r="BQ342" s="300"/>
      <c r="BR342" s="300"/>
      <c r="BS342" s="300"/>
      <c r="BT342" s="300"/>
      <c r="BU342" s="300"/>
      <c r="BV342" s="300"/>
      <c r="BW342" s="300"/>
      <c r="BX342" s="300"/>
      <c r="BY342" s="300"/>
      <c r="BZ342" s="300"/>
      <c r="CA342" s="300"/>
      <c r="CB342" s="300"/>
    </row>
    <row r="343" spans="1:80" s="27" customFormat="1" x14ac:dyDescent="0.3">
      <c r="A343" s="173"/>
      <c r="D343" s="173"/>
      <c r="E343" s="173"/>
      <c r="F343" s="173"/>
      <c r="G343" s="173"/>
      <c r="H343" s="173"/>
      <c r="I343" s="173"/>
      <c r="J343" s="173"/>
      <c r="K343" s="173"/>
      <c r="L343" s="173"/>
      <c r="AM343" s="173"/>
      <c r="AN343" s="173"/>
      <c r="AZ343" s="337"/>
      <c r="BL343" s="349"/>
      <c r="BM343" s="300"/>
      <c r="BN343" s="300"/>
      <c r="BO343" s="300"/>
      <c r="BP343" s="300"/>
      <c r="BQ343" s="300"/>
      <c r="BR343" s="300"/>
      <c r="BS343" s="300"/>
      <c r="BT343" s="300"/>
      <c r="BU343" s="300"/>
      <c r="BV343" s="300"/>
      <c r="BW343" s="300"/>
      <c r="BX343" s="300"/>
      <c r="BY343" s="300"/>
      <c r="BZ343" s="300"/>
      <c r="CA343" s="300"/>
      <c r="CB343" s="300"/>
    </row>
    <row r="344" spans="1:80" s="27" customFormat="1" x14ac:dyDescent="0.3">
      <c r="A344" s="173"/>
      <c r="D344" s="173"/>
      <c r="E344" s="173"/>
      <c r="F344" s="173"/>
      <c r="G344" s="173"/>
      <c r="H344" s="173"/>
      <c r="I344" s="173"/>
      <c r="J344" s="173"/>
      <c r="K344" s="173"/>
      <c r="L344" s="173"/>
      <c r="AM344" s="173"/>
      <c r="AN344" s="173"/>
      <c r="AZ344" s="337"/>
      <c r="BL344" s="349"/>
      <c r="BM344" s="300"/>
      <c r="BN344" s="300"/>
      <c r="BO344" s="300"/>
      <c r="BP344" s="300"/>
      <c r="BQ344" s="300"/>
      <c r="BR344" s="300"/>
      <c r="BS344" s="300"/>
      <c r="BT344" s="300"/>
      <c r="BU344" s="300"/>
      <c r="BV344" s="300"/>
      <c r="BW344" s="300"/>
      <c r="BX344" s="300"/>
      <c r="BY344" s="300"/>
      <c r="BZ344" s="300"/>
      <c r="CA344" s="300"/>
      <c r="CB344" s="300"/>
    </row>
    <row r="345" spans="1:80" s="27" customFormat="1" x14ac:dyDescent="0.3">
      <c r="A345" s="173"/>
      <c r="D345" s="173"/>
      <c r="E345" s="173"/>
      <c r="F345" s="173"/>
      <c r="G345" s="173"/>
      <c r="H345" s="173"/>
      <c r="I345" s="173"/>
      <c r="J345" s="173"/>
      <c r="K345" s="173"/>
      <c r="L345" s="173"/>
      <c r="AM345" s="173"/>
      <c r="AN345" s="173"/>
      <c r="AZ345" s="337"/>
      <c r="BL345" s="349"/>
      <c r="BM345" s="300"/>
      <c r="BN345" s="300"/>
      <c r="BO345" s="300"/>
      <c r="BP345" s="300"/>
      <c r="BQ345" s="300"/>
      <c r="BR345" s="300"/>
      <c r="BS345" s="300"/>
      <c r="BT345" s="300"/>
      <c r="BU345" s="300"/>
      <c r="BV345" s="300"/>
      <c r="BW345" s="300"/>
      <c r="BX345" s="300"/>
      <c r="BY345" s="300"/>
      <c r="BZ345" s="300"/>
      <c r="CA345" s="300"/>
      <c r="CB345" s="300"/>
    </row>
    <row r="346" spans="1:80" s="27" customFormat="1" x14ac:dyDescent="0.3">
      <c r="A346" s="173"/>
      <c r="D346" s="173"/>
      <c r="E346" s="173"/>
      <c r="F346" s="173"/>
      <c r="G346" s="173"/>
      <c r="H346" s="173"/>
      <c r="I346" s="173"/>
      <c r="J346" s="173"/>
      <c r="K346" s="173"/>
      <c r="L346" s="173"/>
      <c r="AM346" s="173"/>
      <c r="AN346" s="173"/>
      <c r="AZ346" s="337"/>
      <c r="BL346" s="349"/>
      <c r="BM346" s="300"/>
      <c r="BN346" s="300"/>
      <c r="BO346" s="300"/>
      <c r="BP346" s="300"/>
      <c r="BQ346" s="300"/>
      <c r="BR346" s="300"/>
      <c r="BS346" s="300"/>
      <c r="BT346" s="300"/>
      <c r="BU346" s="300"/>
      <c r="BV346" s="300"/>
      <c r="BW346" s="300"/>
      <c r="BX346" s="300"/>
      <c r="BY346" s="300"/>
      <c r="BZ346" s="300"/>
      <c r="CA346" s="300"/>
      <c r="CB346" s="300"/>
    </row>
    <row r="347" spans="1:80" s="27" customFormat="1" x14ac:dyDescent="0.3">
      <c r="A347" s="173"/>
      <c r="D347" s="173"/>
      <c r="E347" s="173"/>
      <c r="F347" s="173"/>
      <c r="G347" s="173"/>
      <c r="H347" s="173"/>
      <c r="I347" s="173"/>
      <c r="J347" s="173"/>
      <c r="K347" s="173"/>
      <c r="L347" s="173"/>
      <c r="AM347" s="173"/>
      <c r="AN347" s="173"/>
      <c r="AZ347" s="337"/>
      <c r="BL347" s="349"/>
      <c r="BM347" s="300"/>
      <c r="BN347" s="300"/>
      <c r="BO347" s="300"/>
      <c r="BP347" s="300"/>
      <c r="BQ347" s="300"/>
      <c r="BR347" s="300"/>
      <c r="BS347" s="300"/>
      <c r="BT347" s="300"/>
      <c r="BU347" s="300"/>
      <c r="BV347" s="300"/>
      <c r="BW347" s="300"/>
      <c r="BX347" s="300"/>
      <c r="BY347" s="300"/>
      <c r="BZ347" s="300"/>
      <c r="CA347" s="300"/>
      <c r="CB347" s="300"/>
    </row>
    <row r="348" spans="1:80" s="27" customFormat="1" x14ac:dyDescent="0.3">
      <c r="A348" s="173"/>
      <c r="D348" s="173"/>
      <c r="E348" s="173"/>
      <c r="F348" s="173"/>
      <c r="G348" s="173"/>
      <c r="H348" s="173"/>
      <c r="I348" s="173"/>
      <c r="J348" s="173"/>
      <c r="K348" s="173"/>
      <c r="L348" s="173"/>
      <c r="AM348" s="173"/>
      <c r="AN348" s="173"/>
      <c r="AZ348" s="337"/>
      <c r="BL348" s="349"/>
      <c r="BM348" s="300"/>
      <c r="BN348" s="300"/>
      <c r="BO348" s="300"/>
      <c r="BP348" s="300"/>
      <c r="BQ348" s="300"/>
      <c r="BR348" s="300"/>
      <c r="BS348" s="300"/>
      <c r="BT348" s="300"/>
      <c r="BU348" s="300"/>
      <c r="BV348" s="300"/>
      <c r="BW348" s="300"/>
      <c r="BX348" s="300"/>
      <c r="BY348" s="300"/>
      <c r="BZ348" s="300"/>
      <c r="CA348" s="300"/>
      <c r="CB348" s="300"/>
    </row>
    <row r="349" spans="1:80" s="27" customFormat="1" x14ac:dyDescent="0.3">
      <c r="A349" s="173"/>
      <c r="D349" s="173"/>
      <c r="E349" s="173"/>
      <c r="F349" s="173"/>
      <c r="G349" s="173"/>
      <c r="H349" s="173"/>
      <c r="I349" s="173"/>
      <c r="J349" s="173"/>
      <c r="K349" s="173"/>
      <c r="L349" s="173"/>
      <c r="AM349" s="173"/>
      <c r="AN349" s="173"/>
      <c r="AZ349" s="337"/>
      <c r="BL349" s="349"/>
      <c r="BM349" s="300"/>
      <c r="BN349" s="300"/>
      <c r="BO349" s="300"/>
      <c r="BP349" s="300"/>
      <c r="BQ349" s="300"/>
      <c r="BR349" s="300"/>
      <c r="BS349" s="300"/>
      <c r="BT349" s="300"/>
      <c r="BU349" s="300"/>
      <c r="BV349" s="300"/>
      <c r="BW349" s="300"/>
      <c r="BX349" s="300"/>
      <c r="BY349" s="300"/>
      <c r="BZ349" s="300"/>
      <c r="CA349" s="300"/>
      <c r="CB349" s="300"/>
    </row>
    <row r="350" spans="1:80" s="27" customFormat="1" x14ac:dyDescent="0.3">
      <c r="A350" s="173"/>
      <c r="D350" s="173"/>
      <c r="E350" s="173"/>
      <c r="F350" s="173"/>
      <c r="G350" s="173"/>
      <c r="H350" s="173"/>
      <c r="I350" s="173"/>
      <c r="J350" s="173"/>
      <c r="K350" s="173"/>
      <c r="L350" s="173"/>
      <c r="AM350" s="173"/>
      <c r="AN350" s="173"/>
      <c r="AZ350" s="337"/>
      <c r="BL350" s="349"/>
      <c r="BM350" s="300"/>
      <c r="BN350" s="300"/>
      <c r="BO350" s="300"/>
      <c r="BP350" s="300"/>
      <c r="BQ350" s="300"/>
      <c r="BR350" s="300"/>
      <c r="BS350" s="300"/>
      <c r="BT350" s="300"/>
      <c r="BU350" s="300"/>
      <c r="BV350" s="300"/>
      <c r="BW350" s="300"/>
      <c r="BX350" s="300"/>
      <c r="BY350" s="300"/>
      <c r="BZ350" s="300"/>
      <c r="CA350" s="300"/>
      <c r="CB350" s="300"/>
    </row>
    <row r="351" spans="1:80" s="27" customFormat="1" x14ac:dyDescent="0.3">
      <c r="A351" s="173"/>
      <c r="D351" s="173"/>
      <c r="E351" s="173"/>
      <c r="F351" s="173"/>
      <c r="G351" s="173"/>
      <c r="H351" s="173"/>
      <c r="I351" s="173"/>
      <c r="J351" s="173"/>
      <c r="K351" s="173"/>
      <c r="L351" s="173"/>
      <c r="AM351" s="173"/>
      <c r="AN351" s="173"/>
      <c r="AZ351" s="337"/>
      <c r="BL351" s="349"/>
      <c r="BM351" s="300"/>
      <c r="BN351" s="300"/>
      <c r="BO351" s="300"/>
      <c r="BP351" s="300"/>
      <c r="BQ351" s="300"/>
      <c r="BR351" s="300"/>
      <c r="BS351" s="300"/>
      <c r="BT351" s="300"/>
      <c r="BU351" s="300"/>
      <c r="BV351" s="300"/>
      <c r="BW351" s="300"/>
      <c r="BX351" s="300"/>
      <c r="BY351" s="300"/>
      <c r="BZ351" s="300"/>
      <c r="CA351" s="300"/>
      <c r="CB351" s="300"/>
    </row>
    <row r="352" spans="1:80" s="27" customFormat="1" x14ac:dyDescent="0.3">
      <c r="A352" s="173"/>
      <c r="D352" s="173"/>
      <c r="E352" s="173"/>
      <c r="F352" s="173"/>
      <c r="G352" s="173"/>
      <c r="H352" s="173"/>
      <c r="I352" s="173"/>
      <c r="J352" s="173"/>
      <c r="K352" s="173"/>
      <c r="L352" s="173"/>
      <c r="AM352" s="173"/>
      <c r="AN352" s="173"/>
      <c r="AZ352" s="337"/>
      <c r="BL352" s="349"/>
      <c r="BM352" s="300"/>
      <c r="BN352" s="300"/>
      <c r="BO352" s="300"/>
      <c r="BP352" s="300"/>
      <c r="BQ352" s="300"/>
      <c r="BR352" s="300"/>
      <c r="BS352" s="300"/>
      <c r="BT352" s="300"/>
      <c r="BU352" s="300"/>
      <c r="BV352" s="300"/>
      <c r="BW352" s="300"/>
      <c r="BX352" s="300"/>
      <c r="BY352" s="300"/>
      <c r="BZ352" s="300"/>
      <c r="CA352" s="300"/>
      <c r="CB352" s="300"/>
    </row>
    <row r="353" spans="1:80" s="27" customFormat="1" x14ac:dyDescent="0.3">
      <c r="A353" s="173"/>
      <c r="D353" s="173"/>
      <c r="E353" s="173"/>
      <c r="F353" s="173"/>
      <c r="G353" s="173"/>
      <c r="H353" s="173"/>
      <c r="I353" s="173"/>
      <c r="J353" s="173"/>
      <c r="K353" s="173"/>
      <c r="L353" s="173"/>
      <c r="AM353" s="173"/>
      <c r="AN353" s="173"/>
      <c r="AZ353" s="337"/>
      <c r="BL353" s="349"/>
      <c r="BM353" s="300"/>
      <c r="BN353" s="300"/>
      <c r="BO353" s="300"/>
      <c r="BP353" s="300"/>
      <c r="BQ353" s="300"/>
      <c r="BR353" s="300"/>
      <c r="BS353" s="300"/>
      <c r="BT353" s="300"/>
      <c r="BU353" s="300"/>
      <c r="BV353" s="300"/>
      <c r="BW353" s="300"/>
      <c r="BX353" s="300"/>
      <c r="BY353" s="300"/>
      <c r="BZ353" s="300"/>
      <c r="CA353" s="300"/>
      <c r="CB353" s="300"/>
    </row>
    <row r="354" spans="1:80" s="27" customFormat="1" x14ac:dyDescent="0.3">
      <c r="A354" s="173"/>
      <c r="D354" s="173"/>
      <c r="E354" s="173"/>
      <c r="F354" s="173"/>
      <c r="G354" s="173"/>
      <c r="H354" s="173"/>
      <c r="I354" s="173"/>
      <c r="J354" s="173"/>
      <c r="K354" s="173"/>
      <c r="L354" s="173"/>
      <c r="AM354" s="173"/>
      <c r="AN354" s="173"/>
      <c r="AZ354" s="337"/>
      <c r="BL354" s="349"/>
      <c r="BM354" s="300"/>
      <c r="BN354" s="300"/>
      <c r="BO354" s="300"/>
      <c r="BP354" s="300"/>
      <c r="BQ354" s="300"/>
      <c r="BR354" s="300"/>
      <c r="BS354" s="300"/>
      <c r="BT354" s="300"/>
      <c r="BU354" s="300"/>
      <c r="BV354" s="300"/>
      <c r="BW354" s="300"/>
      <c r="BX354" s="300"/>
      <c r="BY354" s="300"/>
      <c r="BZ354" s="300"/>
      <c r="CA354" s="300"/>
      <c r="CB354" s="300"/>
    </row>
    <row r="355" spans="1:80" s="27" customFormat="1" x14ac:dyDescent="0.3">
      <c r="A355" s="173"/>
      <c r="D355" s="173"/>
      <c r="E355" s="173"/>
      <c r="F355" s="173"/>
      <c r="G355" s="173"/>
      <c r="H355" s="173"/>
      <c r="I355" s="173"/>
      <c r="J355" s="173"/>
      <c r="K355" s="173"/>
      <c r="L355" s="173"/>
      <c r="AM355" s="173"/>
      <c r="AN355" s="173"/>
      <c r="AZ355" s="337"/>
      <c r="BL355" s="349"/>
      <c r="BM355" s="300"/>
      <c r="BN355" s="300"/>
      <c r="BO355" s="300"/>
      <c r="BP355" s="300"/>
      <c r="BQ355" s="300"/>
      <c r="BR355" s="300"/>
      <c r="BS355" s="300"/>
      <c r="BT355" s="300"/>
      <c r="BU355" s="300"/>
      <c r="BV355" s="300"/>
      <c r="BW355" s="300"/>
      <c r="BX355" s="300"/>
      <c r="BY355" s="300"/>
      <c r="BZ355" s="300"/>
      <c r="CA355" s="300"/>
      <c r="CB355" s="300"/>
    </row>
    <row r="356" spans="1:80" s="27" customFormat="1" x14ac:dyDescent="0.3">
      <c r="A356" s="173"/>
      <c r="D356" s="173"/>
      <c r="E356" s="173"/>
      <c r="F356" s="173"/>
      <c r="G356" s="173"/>
      <c r="H356" s="173"/>
      <c r="I356" s="173"/>
      <c r="J356" s="173"/>
      <c r="K356" s="173"/>
      <c r="L356" s="173"/>
      <c r="AM356" s="173"/>
      <c r="AN356" s="173"/>
      <c r="AZ356" s="337"/>
      <c r="BL356" s="349"/>
      <c r="BM356" s="300"/>
      <c r="BN356" s="300"/>
      <c r="BO356" s="300"/>
      <c r="BP356" s="300"/>
      <c r="BQ356" s="300"/>
      <c r="BR356" s="300"/>
      <c r="BS356" s="300"/>
      <c r="BT356" s="300"/>
      <c r="BU356" s="300"/>
      <c r="BV356" s="300"/>
      <c r="BW356" s="300"/>
      <c r="BX356" s="300"/>
      <c r="BY356" s="300"/>
      <c r="BZ356" s="300"/>
      <c r="CA356" s="300"/>
      <c r="CB356" s="300"/>
    </row>
    <row r="357" spans="1:80" s="27" customFormat="1" x14ac:dyDescent="0.3">
      <c r="A357" s="173"/>
      <c r="D357" s="173"/>
      <c r="E357" s="173"/>
      <c r="F357" s="173"/>
      <c r="G357" s="173"/>
      <c r="H357" s="173"/>
      <c r="I357" s="173"/>
      <c r="J357" s="173"/>
      <c r="K357" s="173"/>
      <c r="L357" s="173"/>
      <c r="AM357" s="173"/>
      <c r="AN357" s="173"/>
      <c r="AZ357" s="337"/>
      <c r="BL357" s="349"/>
      <c r="BM357" s="300"/>
      <c r="BN357" s="300"/>
      <c r="BO357" s="300"/>
      <c r="BP357" s="300"/>
      <c r="BQ357" s="300"/>
      <c r="BR357" s="300"/>
      <c r="BS357" s="300"/>
      <c r="BT357" s="300"/>
      <c r="BU357" s="300"/>
      <c r="BV357" s="300"/>
      <c r="BW357" s="300"/>
      <c r="BX357" s="300"/>
      <c r="BY357" s="300"/>
      <c r="BZ357" s="300"/>
      <c r="CA357" s="300"/>
      <c r="CB357" s="300"/>
    </row>
    <row r="358" spans="1:80" s="27" customFormat="1" x14ac:dyDescent="0.3">
      <c r="A358" s="173"/>
      <c r="D358" s="173"/>
      <c r="E358" s="173"/>
      <c r="F358" s="173"/>
      <c r="G358" s="173"/>
      <c r="H358" s="173"/>
      <c r="I358" s="173"/>
      <c r="J358" s="173"/>
      <c r="K358" s="173"/>
      <c r="L358" s="173"/>
      <c r="AM358" s="173"/>
      <c r="AN358" s="173"/>
      <c r="AZ358" s="337"/>
      <c r="BL358" s="349"/>
      <c r="BM358" s="300"/>
      <c r="BN358" s="300"/>
      <c r="BO358" s="300"/>
      <c r="BP358" s="300"/>
      <c r="BQ358" s="300"/>
      <c r="BR358" s="300"/>
      <c r="BS358" s="300"/>
      <c r="BT358" s="300"/>
      <c r="BU358" s="300"/>
      <c r="BV358" s="300"/>
      <c r="BW358" s="300"/>
      <c r="BX358" s="300"/>
      <c r="BY358" s="300"/>
      <c r="BZ358" s="300"/>
      <c r="CA358" s="300"/>
      <c r="CB358" s="300"/>
    </row>
    <row r="359" spans="1:80" s="27" customFormat="1" x14ac:dyDescent="0.3">
      <c r="A359" s="173"/>
      <c r="D359" s="173"/>
      <c r="E359" s="173"/>
      <c r="F359" s="173"/>
      <c r="G359" s="173"/>
      <c r="H359" s="173"/>
      <c r="I359" s="173"/>
      <c r="J359" s="173"/>
      <c r="K359" s="173"/>
      <c r="L359" s="173"/>
      <c r="AM359" s="173"/>
      <c r="AN359" s="173"/>
      <c r="AZ359" s="337"/>
      <c r="BL359" s="349"/>
      <c r="BM359" s="300"/>
      <c r="BN359" s="300"/>
      <c r="BO359" s="300"/>
      <c r="BP359" s="300"/>
      <c r="BQ359" s="300"/>
      <c r="BR359" s="300"/>
      <c r="BS359" s="300"/>
      <c r="BT359" s="300"/>
      <c r="BU359" s="300"/>
      <c r="BV359" s="300"/>
      <c r="BW359" s="300"/>
      <c r="BX359" s="300"/>
      <c r="BY359" s="300"/>
      <c r="BZ359" s="300"/>
      <c r="CA359" s="300"/>
      <c r="CB359" s="300"/>
    </row>
    <row r="360" spans="1:80" s="27" customFormat="1" x14ac:dyDescent="0.3">
      <c r="A360" s="173"/>
      <c r="D360" s="173"/>
      <c r="E360" s="173"/>
      <c r="F360" s="173"/>
      <c r="G360" s="173"/>
      <c r="H360" s="173"/>
      <c r="I360" s="173"/>
      <c r="J360" s="173"/>
      <c r="K360" s="173"/>
      <c r="L360" s="173"/>
      <c r="AM360" s="173"/>
      <c r="AN360" s="173"/>
      <c r="AZ360" s="337"/>
      <c r="BL360" s="349"/>
      <c r="BM360" s="300"/>
      <c r="BN360" s="300"/>
      <c r="BO360" s="300"/>
      <c r="BP360" s="300"/>
      <c r="BQ360" s="300"/>
      <c r="BR360" s="300"/>
      <c r="BS360" s="300"/>
      <c r="BT360" s="300"/>
      <c r="BU360" s="300"/>
      <c r="BV360" s="300"/>
      <c r="BW360" s="300"/>
      <c r="BX360" s="300"/>
      <c r="BY360" s="300"/>
      <c r="BZ360" s="300"/>
      <c r="CA360" s="300"/>
      <c r="CB360" s="300"/>
    </row>
    <row r="361" spans="1:80" s="27" customFormat="1" x14ac:dyDescent="0.3">
      <c r="A361" s="173"/>
      <c r="D361" s="173"/>
      <c r="E361" s="173"/>
      <c r="F361" s="173"/>
      <c r="G361" s="173"/>
      <c r="H361" s="173"/>
      <c r="I361" s="173"/>
      <c r="J361" s="173"/>
      <c r="K361" s="173"/>
      <c r="L361" s="173"/>
      <c r="AM361" s="173"/>
      <c r="AN361" s="173"/>
      <c r="AZ361" s="337"/>
      <c r="BL361" s="349"/>
      <c r="BM361" s="300"/>
      <c r="BN361" s="300"/>
      <c r="BO361" s="300"/>
      <c r="BP361" s="300"/>
      <c r="BQ361" s="300"/>
      <c r="BR361" s="300"/>
      <c r="BS361" s="300"/>
      <c r="BT361" s="300"/>
      <c r="BU361" s="300"/>
      <c r="BV361" s="300"/>
      <c r="BW361" s="300"/>
      <c r="BX361" s="300"/>
      <c r="BY361" s="300"/>
      <c r="BZ361" s="300"/>
      <c r="CA361" s="300"/>
      <c r="CB361" s="300"/>
    </row>
    <row r="362" spans="1:80" s="27" customFormat="1" x14ac:dyDescent="0.3">
      <c r="A362" s="173"/>
      <c r="D362" s="173"/>
      <c r="E362" s="173"/>
      <c r="F362" s="173"/>
      <c r="G362" s="173"/>
      <c r="H362" s="173"/>
      <c r="I362" s="173"/>
      <c r="J362" s="173"/>
      <c r="K362" s="173"/>
      <c r="L362" s="173"/>
      <c r="AM362" s="173"/>
      <c r="AN362" s="173"/>
      <c r="AZ362" s="337"/>
      <c r="BL362" s="349"/>
      <c r="BM362" s="300"/>
      <c r="BN362" s="300"/>
      <c r="BO362" s="300"/>
      <c r="BP362" s="300"/>
      <c r="BQ362" s="300"/>
      <c r="BR362" s="300"/>
      <c r="BS362" s="300"/>
      <c r="BT362" s="300"/>
      <c r="BU362" s="300"/>
      <c r="BV362" s="300"/>
      <c r="BW362" s="300"/>
      <c r="BX362" s="300"/>
      <c r="BY362" s="300"/>
      <c r="BZ362" s="300"/>
      <c r="CA362" s="300"/>
      <c r="CB362" s="300"/>
    </row>
    <row r="363" spans="1:80" s="27" customFormat="1" x14ac:dyDescent="0.3">
      <c r="A363" s="173"/>
      <c r="D363" s="173"/>
      <c r="E363" s="173"/>
      <c r="F363" s="173"/>
      <c r="G363" s="173"/>
      <c r="H363" s="173"/>
      <c r="I363" s="173"/>
      <c r="J363" s="173"/>
      <c r="K363" s="173"/>
      <c r="L363" s="173"/>
      <c r="AM363" s="173"/>
      <c r="AN363" s="173"/>
      <c r="AZ363" s="337"/>
      <c r="BL363" s="349"/>
      <c r="BM363" s="300"/>
      <c r="BN363" s="300"/>
      <c r="BO363" s="300"/>
      <c r="BP363" s="300"/>
      <c r="BQ363" s="300"/>
      <c r="BR363" s="300"/>
      <c r="BS363" s="300"/>
      <c r="BT363" s="300"/>
      <c r="BU363" s="300"/>
      <c r="BV363" s="300"/>
      <c r="BW363" s="300"/>
      <c r="BX363" s="300"/>
      <c r="BY363" s="300"/>
      <c r="BZ363" s="300"/>
      <c r="CA363" s="300"/>
      <c r="CB363" s="300"/>
    </row>
    <row r="364" spans="1:80" s="27" customFormat="1" x14ac:dyDescent="0.3">
      <c r="A364" s="173"/>
      <c r="D364" s="173"/>
      <c r="E364" s="173"/>
      <c r="F364" s="173"/>
      <c r="G364" s="173"/>
      <c r="H364" s="173"/>
      <c r="I364" s="173"/>
      <c r="J364" s="173"/>
      <c r="K364" s="173"/>
      <c r="L364" s="173"/>
      <c r="AM364" s="173"/>
      <c r="AN364" s="173"/>
      <c r="AZ364" s="337"/>
      <c r="BL364" s="349"/>
      <c r="BM364" s="300"/>
      <c r="BN364" s="300"/>
      <c r="BO364" s="300"/>
      <c r="BP364" s="300"/>
      <c r="BQ364" s="300"/>
      <c r="BR364" s="300"/>
      <c r="BS364" s="300"/>
      <c r="BT364" s="300"/>
      <c r="BU364" s="300"/>
      <c r="BV364" s="300"/>
      <c r="BW364" s="300"/>
      <c r="BX364" s="300"/>
      <c r="BY364" s="300"/>
      <c r="BZ364" s="300"/>
      <c r="CA364" s="300"/>
      <c r="CB364" s="300"/>
    </row>
    <row r="365" spans="1:80" s="27" customFormat="1" x14ac:dyDescent="0.3">
      <c r="A365" s="173"/>
      <c r="D365" s="173"/>
      <c r="E365" s="173"/>
      <c r="F365" s="173"/>
      <c r="G365" s="173"/>
      <c r="H365" s="173"/>
      <c r="I365" s="173"/>
      <c r="J365" s="173"/>
      <c r="K365" s="173"/>
      <c r="L365" s="173"/>
      <c r="AM365" s="173"/>
      <c r="AN365" s="173"/>
      <c r="AZ365" s="337"/>
      <c r="BL365" s="349"/>
      <c r="BM365" s="300"/>
      <c r="BN365" s="300"/>
      <c r="BO365" s="300"/>
      <c r="BP365" s="300"/>
      <c r="BQ365" s="300"/>
      <c r="BR365" s="300"/>
      <c r="BS365" s="300"/>
      <c r="BT365" s="300"/>
      <c r="BU365" s="300"/>
      <c r="BV365" s="300"/>
      <c r="BW365" s="300"/>
      <c r="BX365" s="300"/>
      <c r="BY365" s="300"/>
      <c r="BZ365" s="300"/>
      <c r="CA365" s="300"/>
      <c r="CB365" s="300"/>
    </row>
    <row r="366" spans="1:80" s="27" customFormat="1" x14ac:dyDescent="0.3">
      <c r="A366" s="173"/>
      <c r="D366" s="173"/>
      <c r="E366" s="173"/>
      <c r="F366" s="173"/>
      <c r="G366" s="173"/>
      <c r="H366" s="173"/>
      <c r="I366" s="173"/>
      <c r="J366" s="173"/>
      <c r="K366" s="173"/>
      <c r="L366" s="173"/>
      <c r="AM366" s="173"/>
      <c r="AN366" s="173"/>
      <c r="AZ366" s="337"/>
      <c r="BL366" s="349"/>
      <c r="BM366" s="300"/>
      <c r="BN366" s="300"/>
      <c r="BO366" s="300"/>
      <c r="BP366" s="300"/>
      <c r="BQ366" s="300"/>
      <c r="BR366" s="300"/>
      <c r="BS366" s="300"/>
      <c r="BT366" s="300"/>
      <c r="BU366" s="300"/>
      <c r="BV366" s="300"/>
      <c r="BW366" s="300"/>
      <c r="BX366" s="300"/>
      <c r="BY366" s="300"/>
      <c r="BZ366" s="300"/>
      <c r="CA366" s="300"/>
      <c r="CB366" s="300"/>
    </row>
    <row r="367" spans="1:80" s="27" customFormat="1" x14ac:dyDescent="0.3">
      <c r="A367" s="173"/>
      <c r="D367" s="173"/>
      <c r="E367" s="173"/>
      <c r="F367" s="173"/>
      <c r="G367" s="173"/>
      <c r="H367" s="173"/>
      <c r="I367" s="173"/>
      <c r="J367" s="173"/>
      <c r="K367" s="173"/>
      <c r="L367" s="173"/>
      <c r="AM367" s="173"/>
      <c r="AN367" s="173"/>
      <c r="AZ367" s="337"/>
      <c r="BL367" s="349"/>
      <c r="BM367" s="300"/>
      <c r="BN367" s="300"/>
      <c r="BO367" s="300"/>
      <c r="BP367" s="300"/>
      <c r="BQ367" s="300"/>
      <c r="BR367" s="300"/>
      <c r="BS367" s="300"/>
      <c r="BT367" s="300"/>
      <c r="BU367" s="300"/>
      <c r="BV367" s="300"/>
      <c r="BW367" s="300"/>
      <c r="BX367" s="300"/>
      <c r="BY367" s="300"/>
      <c r="BZ367" s="300"/>
      <c r="CA367" s="300"/>
      <c r="CB367" s="300"/>
    </row>
    <row r="368" spans="1:80" s="27" customFormat="1" x14ac:dyDescent="0.3">
      <c r="A368" s="173"/>
      <c r="D368" s="173"/>
      <c r="E368" s="173"/>
      <c r="F368" s="173"/>
      <c r="G368" s="173"/>
      <c r="H368" s="173"/>
      <c r="I368" s="173"/>
      <c r="J368" s="173"/>
      <c r="K368" s="173"/>
      <c r="L368" s="173"/>
      <c r="AM368" s="173"/>
      <c r="AN368" s="173"/>
      <c r="AZ368" s="337"/>
      <c r="BL368" s="349"/>
      <c r="BM368" s="300"/>
      <c r="BN368" s="300"/>
      <c r="BO368" s="300"/>
      <c r="BP368" s="300"/>
      <c r="BQ368" s="300"/>
      <c r="BR368" s="300"/>
      <c r="BS368" s="300"/>
      <c r="BT368" s="300"/>
      <c r="BU368" s="300"/>
      <c r="BV368" s="300"/>
      <c r="BW368" s="300"/>
      <c r="BX368" s="300"/>
      <c r="BY368" s="300"/>
      <c r="BZ368" s="300"/>
      <c r="CA368" s="300"/>
      <c r="CB368" s="300"/>
    </row>
    <row r="369" spans="1:80" s="27" customFormat="1" x14ac:dyDescent="0.3">
      <c r="A369" s="173"/>
      <c r="D369" s="173"/>
      <c r="E369" s="173"/>
      <c r="F369" s="173"/>
      <c r="G369" s="173"/>
      <c r="H369" s="173"/>
      <c r="I369" s="173"/>
      <c r="J369" s="173"/>
      <c r="K369" s="173"/>
      <c r="L369" s="173"/>
      <c r="AM369" s="173"/>
      <c r="AN369" s="173"/>
      <c r="AZ369" s="337"/>
      <c r="BL369" s="349"/>
      <c r="BM369" s="300"/>
      <c r="BN369" s="300"/>
      <c r="BO369" s="300"/>
      <c r="BP369" s="300"/>
      <c r="BQ369" s="300"/>
      <c r="BR369" s="300"/>
      <c r="BS369" s="300"/>
      <c r="BT369" s="300"/>
      <c r="BU369" s="300"/>
      <c r="BV369" s="300"/>
      <c r="BW369" s="300"/>
      <c r="BX369" s="300"/>
      <c r="BY369" s="300"/>
      <c r="BZ369" s="300"/>
      <c r="CA369" s="300"/>
      <c r="CB369" s="300"/>
    </row>
    <row r="370" spans="1:80" s="27" customFormat="1" x14ac:dyDescent="0.3">
      <c r="A370" s="173"/>
      <c r="D370" s="173"/>
      <c r="E370" s="173"/>
      <c r="F370" s="173"/>
      <c r="G370" s="173"/>
      <c r="H370" s="173"/>
      <c r="I370" s="173"/>
      <c r="J370" s="173"/>
      <c r="K370" s="173"/>
      <c r="L370" s="173"/>
      <c r="AM370" s="173"/>
      <c r="AN370" s="173"/>
      <c r="AZ370" s="337"/>
      <c r="BL370" s="349"/>
      <c r="BM370" s="300"/>
      <c r="BN370" s="300"/>
      <c r="BO370" s="300"/>
      <c r="BP370" s="300"/>
      <c r="BQ370" s="300"/>
      <c r="BR370" s="300"/>
      <c r="BS370" s="300"/>
      <c r="BT370" s="300"/>
      <c r="BU370" s="300"/>
      <c r="BV370" s="300"/>
      <c r="BW370" s="300"/>
      <c r="BX370" s="300"/>
      <c r="BY370" s="300"/>
      <c r="BZ370" s="300"/>
      <c r="CA370" s="300"/>
      <c r="CB370" s="300"/>
    </row>
    <row r="371" spans="1:80" s="27" customFormat="1" x14ac:dyDescent="0.3">
      <c r="A371" s="173"/>
      <c r="D371" s="173"/>
      <c r="E371" s="173"/>
      <c r="F371" s="173"/>
      <c r="G371" s="173"/>
      <c r="H371" s="173"/>
      <c r="I371" s="173"/>
      <c r="J371" s="173"/>
      <c r="K371" s="173"/>
      <c r="L371" s="173"/>
      <c r="AM371" s="173"/>
      <c r="AN371" s="173"/>
      <c r="AZ371" s="337"/>
      <c r="BL371" s="349"/>
      <c r="BM371" s="300"/>
      <c r="BN371" s="300"/>
      <c r="BO371" s="300"/>
      <c r="BP371" s="300"/>
      <c r="BQ371" s="300"/>
      <c r="BR371" s="300"/>
      <c r="BS371" s="300"/>
      <c r="BT371" s="300"/>
      <c r="BU371" s="300"/>
      <c r="BV371" s="300"/>
      <c r="BW371" s="300"/>
      <c r="BX371" s="300"/>
      <c r="BY371" s="300"/>
      <c r="BZ371" s="300"/>
      <c r="CA371" s="300"/>
      <c r="CB371" s="300"/>
    </row>
    <row r="372" spans="1:80" s="27" customFormat="1" x14ac:dyDescent="0.3">
      <c r="A372" s="173"/>
      <c r="D372" s="173"/>
      <c r="E372" s="173"/>
      <c r="F372" s="173"/>
      <c r="G372" s="173"/>
      <c r="H372" s="173"/>
      <c r="I372" s="173"/>
      <c r="J372" s="173"/>
      <c r="K372" s="173"/>
      <c r="L372" s="173"/>
      <c r="AM372" s="173"/>
      <c r="AN372" s="173"/>
      <c r="AZ372" s="337"/>
      <c r="BL372" s="349"/>
      <c r="BM372" s="300"/>
      <c r="BN372" s="300"/>
      <c r="BO372" s="300"/>
      <c r="BP372" s="300"/>
      <c r="BQ372" s="300"/>
      <c r="BR372" s="300"/>
      <c r="BS372" s="300"/>
      <c r="BT372" s="300"/>
      <c r="BU372" s="300"/>
      <c r="BV372" s="300"/>
      <c r="BW372" s="300"/>
      <c r="BX372" s="300"/>
      <c r="BY372" s="300"/>
      <c r="BZ372" s="300"/>
      <c r="CA372" s="300"/>
      <c r="CB372" s="300"/>
    </row>
    <row r="373" spans="1:80" s="27" customFormat="1" x14ac:dyDescent="0.3">
      <c r="A373" s="173"/>
      <c r="D373" s="173"/>
      <c r="E373" s="173"/>
      <c r="F373" s="173"/>
      <c r="G373" s="173"/>
      <c r="H373" s="173"/>
      <c r="I373" s="173"/>
      <c r="J373" s="173"/>
      <c r="K373" s="173"/>
      <c r="L373" s="173"/>
      <c r="AM373" s="173"/>
      <c r="AN373" s="173"/>
      <c r="AZ373" s="337"/>
      <c r="BL373" s="349"/>
      <c r="BM373" s="300"/>
      <c r="BN373" s="300"/>
      <c r="BO373" s="300"/>
      <c r="BP373" s="300"/>
      <c r="BQ373" s="300"/>
      <c r="BR373" s="300"/>
      <c r="BS373" s="300"/>
      <c r="BT373" s="300"/>
      <c r="BU373" s="300"/>
      <c r="BV373" s="300"/>
      <c r="BW373" s="300"/>
      <c r="BX373" s="300"/>
      <c r="BY373" s="300"/>
      <c r="BZ373" s="300"/>
      <c r="CA373" s="300"/>
      <c r="CB373" s="300"/>
    </row>
    <row r="374" spans="1:80" s="27" customFormat="1" x14ac:dyDescent="0.3">
      <c r="A374" s="173"/>
      <c r="D374" s="173"/>
      <c r="E374" s="173"/>
      <c r="F374" s="173"/>
      <c r="G374" s="173"/>
      <c r="H374" s="173"/>
      <c r="I374" s="173"/>
      <c r="J374" s="173"/>
      <c r="K374" s="173"/>
      <c r="L374" s="173"/>
      <c r="AM374" s="173"/>
      <c r="AN374" s="173"/>
      <c r="AZ374" s="337"/>
      <c r="BL374" s="349"/>
      <c r="BM374" s="300"/>
      <c r="BN374" s="300"/>
      <c r="BO374" s="300"/>
      <c r="BP374" s="300"/>
      <c r="BQ374" s="300"/>
      <c r="BR374" s="300"/>
      <c r="BS374" s="300"/>
      <c r="BT374" s="300"/>
      <c r="BU374" s="300"/>
      <c r="BV374" s="300"/>
      <c r="BW374" s="300"/>
      <c r="BX374" s="300"/>
      <c r="BY374" s="300"/>
      <c r="BZ374" s="300"/>
      <c r="CA374" s="300"/>
      <c r="CB374" s="300"/>
    </row>
    <row r="375" spans="1:80" s="27" customFormat="1" x14ac:dyDescent="0.3">
      <c r="A375" s="173"/>
      <c r="D375" s="173"/>
      <c r="E375" s="173"/>
      <c r="F375" s="173"/>
      <c r="G375" s="173"/>
      <c r="H375" s="173"/>
      <c r="I375" s="173"/>
      <c r="J375" s="173"/>
      <c r="K375" s="173"/>
      <c r="L375" s="173"/>
      <c r="AM375" s="173"/>
      <c r="AN375" s="173"/>
      <c r="AZ375" s="337"/>
      <c r="BL375" s="349"/>
      <c r="BM375" s="300"/>
      <c r="BN375" s="300"/>
      <c r="BO375" s="300"/>
      <c r="BP375" s="300"/>
      <c r="BQ375" s="300"/>
      <c r="BR375" s="300"/>
      <c r="BS375" s="300"/>
      <c r="BT375" s="300"/>
      <c r="BU375" s="300"/>
      <c r="BV375" s="300"/>
      <c r="BW375" s="300"/>
      <c r="BX375" s="300"/>
      <c r="BY375" s="300"/>
      <c r="BZ375" s="300"/>
      <c r="CA375" s="300"/>
      <c r="CB375" s="300"/>
    </row>
    <row r="376" spans="1:80" s="27" customFormat="1" x14ac:dyDescent="0.3">
      <c r="A376" s="173"/>
      <c r="D376" s="173"/>
      <c r="E376" s="173"/>
      <c r="F376" s="173"/>
      <c r="G376" s="173"/>
      <c r="H376" s="173"/>
      <c r="I376" s="173"/>
      <c r="J376" s="173"/>
      <c r="K376" s="173"/>
      <c r="L376" s="173"/>
      <c r="AM376" s="173"/>
      <c r="AN376" s="173"/>
      <c r="AZ376" s="337"/>
      <c r="BL376" s="349"/>
      <c r="BM376" s="300"/>
      <c r="BN376" s="300"/>
      <c r="BO376" s="300"/>
      <c r="BP376" s="300"/>
      <c r="BQ376" s="300"/>
      <c r="BR376" s="300"/>
      <c r="BS376" s="300"/>
      <c r="BT376" s="300"/>
      <c r="BU376" s="300"/>
      <c r="BV376" s="300"/>
      <c r="BW376" s="300"/>
      <c r="BX376" s="300"/>
      <c r="BY376" s="300"/>
      <c r="BZ376" s="300"/>
      <c r="CA376" s="300"/>
      <c r="CB376" s="300"/>
    </row>
    <row r="377" spans="1:80" s="27" customFormat="1" x14ac:dyDescent="0.3">
      <c r="A377" s="173"/>
      <c r="D377" s="173"/>
      <c r="E377" s="173"/>
      <c r="F377" s="173"/>
      <c r="G377" s="173"/>
      <c r="H377" s="173"/>
      <c r="I377" s="173"/>
      <c r="J377" s="173"/>
      <c r="K377" s="173"/>
      <c r="L377" s="173"/>
      <c r="AM377" s="173"/>
      <c r="AN377" s="173"/>
      <c r="AZ377" s="337"/>
      <c r="BL377" s="349"/>
      <c r="BM377" s="300"/>
      <c r="BN377" s="300"/>
      <c r="BO377" s="300"/>
      <c r="BP377" s="300"/>
      <c r="BQ377" s="300"/>
      <c r="BR377" s="300"/>
      <c r="BS377" s="300"/>
      <c r="BT377" s="300"/>
      <c r="BU377" s="300"/>
      <c r="BV377" s="300"/>
      <c r="BW377" s="300"/>
      <c r="BX377" s="300"/>
      <c r="BY377" s="300"/>
      <c r="BZ377" s="300"/>
      <c r="CA377" s="300"/>
      <c r="CB377" s="300"/>
    </row>
    <row r="378" spans="1:80" s="27" customFormat="1" x14ac:dyDescent="0.3">
      <c r="A378" s="173"/>
      <c r="D378" s="173"/>
      <c r="E378" s="173"/>
      <c r="F378" s="173"/>
      <c r="G378" s="173"/>
      <c r="H378" s="173"/>
      <c r="I378" s="173"/>
      <c r="J378" s="173"/>
      <c r="K378" s="173"/>
      <c r="L378" s="173"/>
      <c r="AM378" s="173"/>
      <c r="AN378" s="173"/>
      <c r="AZ378" s="337"/>
      <c r="BL378" s="349"/>
      <c r="BM378" s="300"/>
      <c r="BN378" s="300"/>
      <c r="BO378" s="300"/>
      <c r="BP378" s="300"/>
      <c r="BQ378" s="300"/>
      <c r="BR378" s="300"/>
      <c r="BS378" s="300"/>
      <c r="BT378" s="300"/>
      <c r="BU378" s="300"/>
      <c r="BV378" s="300"/>
      <c r="BW378" s="300"/>
      <c r="BX378" s="300"/>
      <c r="BY378" s="300"/>
      <c r="BZ378" s="300"/>
      <c r="CA378" s="300"/>
      <c r="CB378" s="300"/>
    </row>
    <row r="379" spans="1:80" s="27" customFormat="1" x14ac:dyDescent="0.3">
      <c r="A379" s="173"/>
      <c r="D379" s="173"/>
      <c r="E379" s="173"/>
      <c r="F379" s="173"/>
      <c r="G379" s="173"/>
      <c r="H379" s="173"/>
      <c r="I379" s="173"/>
      <c r="J379" s="173"/>
      <c r="K379" s="173"/>
      <c r="L379" s="173"/>
      <c r="AM379" s="173"/>
      <c r="AN379" s="173"/>
      <c r="AZ379" s="337"/>
      <c r="BL379" s="349"/>
      <c r="BM379" s="300"/>
      <c r="BN379" s="300"/>
      <c r="BO379" s="300"/>
      <c r="BP379" s="300"/>
      <c r="BQ379" s="300"/>
      <c r="BR379" s="300"/>
      <c r="BS379" s="300"/>
      <c r="BT379" s="300"/>
      <c r="BU379" s="300"/>
      <c r="BV379" s="300"/>
      <c r="BW379" s="300"/>
      <c r="BX379" s="300"/>
      <c r="BY379" s="300"/>
      <c r="BZ379" s="300"/>
      <c r="CA379" s="300"/>
      <c r="CB379" s="300"/>
    </row>
    <row r="380" spans="1:80" s="27" customFormat="1" x14ac:dyDescent="0.3">
      <c r="A380" s="173"/>
      <c r="D380" s="173"/>
      <c r="E380" s="173"/>
      <c r="F380" s="173"/>
      <c r="G380" s="173"/>
      <c r="H380" s="173"/>
      <c r="I380" s="173"/>
      <c r="J380" s="173"/>
      <c r="K380" s="173"/>
      <c r="L380" s="173"/>
      <c r="AM380" s="173"/>
      <c r="AN380" s="173"/>
      <c r="AZ380" s="337"/>
      <c r="BL380" s="349"/>
      <c r="BM380" s="300"/>
      <c r="BN380" s="300"/>
      <c r="BO380" s="300"/>
      <c r="BP380" s="300"/>
      <c r="BQ380" s="300"/>
      <c r="BR380" s="300"/>
      <c r="BS380" s="300"/>
      <c r="BT380" s="300"/>
      <c r="BU380" s="300"/>
      <c r="BV380" s="300"/>
      <c r="BW380" s="300"/>
      <c r="BX380" s="300"/>
      <c r="BY380" s="300"/>
      <c r="BZ380" s="300"/>
      <c r="CA380" s="300"/>
      <c r="CB380" s="300"/>
    </row>
    <row r="381" spans="1:80" s="27" customFormat="1" x14ac:dyDescent="0.3">
      <c r="A381" s="173"/>
      <c r="D381" s="173"/>
      <c r="E381" s="173"/>
      <c r="F381" s="173"/>
      <c r="G381" s="173"/>
      <c r="H381" s="173"/>
      <c r="I381" s="173"/>
      <c r="J381" s="173"/>
      <c r="K381" s="173"/>
      <c r="L381" s="173"/>
      <c r="AM381" s="173"/>
      <c r="AN381" s="173"/>
      <c r="AZ381" s="337"/>
      <c r="BL381" s="349"/>
      <c r="BM381" s="300"/>
      <c r="BN381" s="300"/>
      <c r="BO381" s="300"/>
      <c r="BP381" s="300"/>
      <c r="BQ381" s="300"/>
      <c r="BR381" s="300"/>
      <c r="BS381" s="300"/>
      <c r="BT381" s="300"/>
      <c r="BU381" s="300"/>
      <c r="BV381" s="300"/>
      <c r="BW381" s="300"/>
      <c r="BX381" s="300"/>
      <c r="BY381" s="300"/>
      <c r="BZ381" s="300"/>
      <c r="CA381" s="300"/>
      <c r="CB381" s="300"/>
    </row>
    <row r="382" spans="1:80" s="27" customFormat="1" x14ac:dyDescent="0.3">
      <c r="A382" s="173"/>
      <c r="D382" s="173"/>
      <c r="E382" s="173"/>
      <c r="F382" s="173"/>
      <c r="G382" s="173"/>
      <c r="H382" s="173"/>
      <c r="I382" s="173"/>
      <c r="J382" s="173"/>
      <c r="K382" s="173"/>
      <c r="L382" s="173"/>
      <c r="AM382" s="173"/>
      <c r="AN382" s="173"/>
      <c r="AZ382" s="337"/>
      <c r="BL382" s="349"/>
      <c r="BM382" s="300"/>
      <c r="BN382" s="300"/>
      <c r="BO382" s="300"/>
      <c r="BP382" s="300"/>
      <c r="BQ382" s="300"/>
      <c r="BR382" s="300"/>
      <c r="BS382" s="300"/>
      <c r="BT382" s="300"/>
      <c r="BU382" s="300"/>
      <c r="BV382" s="300"/>
      <c r="BW382" s="300"/>
      <c r="BX382" s="300"/>
      <c r="BY382" s="300"/>
      <c r="BZ382" s="300"/>
      <c r="CA382" s="300"/>
      <c r="CB382" s="300"/>
    </row>
    <row r="383" spans="1:80" s="27" customFormat="1" x14ac:dyDescent="0.3">
      <c r="A383" s="173"/>
      <c r="D383" s="173"/>
      <c r="E383" s="173"/>
      <c r="F383" s="173"/>
      <c r="G383" s="173"/>
      <c r="H383" s="173"/>
      <c r="I383" s="173"/>
      <c r="J383" s="173"/>
      <c r="K383" s="173"/>
      <c r="L383" s="173"/>
      <c r="AM383" s="173"/>
      <c r="AN383" s="173"/>
      <c r="AZ383" s="337"/>
      <c r="BL383" s="349"/>
      <c r="BM383" s="300"/>
      <c r="BN383" s="300"/>
      <c r="BO383" s="300"/>
      <c r="BP383" s="300"/>
      <c r="BQ383" s="300"/>
      <c r="BR383" s="300"/>
      <c r="BS383" s="300"/>
      <c r="BT383" s="300"/>
      <c r="BU383" s="300"/>
      <c r="BV383" s="300"/>
      <c r="BW383" s="300"/>
      <c r="BX383" s="300"/>
      <c r="BY383" s="300"/>
      <c r="BZ383" s="300"/>
      <c r="CA383" s="300"/>
      <c r="CB383" s="300"/>
    </row>
    <row r="384" spans="1:80" s="27" customFormat="1" x14ac:dyDescent="0.3">
      <c r="A384" s="173"/>
      <c r="D384" s="173"/>
      <c r="E384" s="173"/>
      <c r="F384" s="173"/>
      <c r="G384" s="173"/>
      <c r="H384" s="173"/>
      <c r="I384" s="173"/>
      <c r="J384" s="173"/>
      <c r="K384" s="173"/>
      <c r="L384" s="173"/>
      <c r="AM384" s="173"/>
      <c r="AN384" s="173"/>
      <c r="AZ384" s="337"/>
      <c r="BL384" s="349"/>
      <c r="BM384" s="300"/>
      <c r="BN384" s="300"/>
      <c r="BO384" s="300"/>
      <c r="BP384" s="300"/>
      <c r="BQ384" s="300"/>
      <c r="BR384" s="300"/>
      <c r="BS384" s="300"/>
      <c r="BT384" s="300"/>
      <c r="BU384" s="300"/>
      <c r="BV384" s="300"/>
      <c r="BW384" s="300"/>
      <c r="BX384" s="300"/>
      <c r="BY384" s="300"/>
      <c r="BZ384" s="300"/>
      <c r="CA384" s="300"/>
      <c r="CB384" s="300"/>
    </row>
    <row r="385" spans="1:80" s="27" customFormat="1" x14ac:dyDescent="0.3">
      <c r="A385" s="173"/>
      <c r="D385" s="173"/>
      <c r="E385" s="173"/>
      <c r="F385" s="173"/>
      <c r="G385" s="173"/>
      <c r="H385" s="173"/>
      <c r="I385" s="173"/>
      <c r="J385" s="173"/>
      <c r="K385" s="173"/>
      <c r="L385" s="173"/>
      <c r="AM385" s="173"/>
      <c r="AN385" s="173"/>
      <c r="AZ385" s="337"/>
      <c r="BL385" s="349"/>
      <c r="BM385" s="300"/>
      <c r="BN385" s="300"/>
      <c r="BO385" s="300"/>
      <c r="BP385" s="300"/>
      <c r="BQ385" s="300"/>
      <c r="BR385" s="300"/>
      <c r="BS385" s="300"/>
      <c r="BT385" s="300"/>
      <c r="BU385" s="300"/>
      <c r="BV385" s="300"/>
      <c r="BW385" s="300"/>
      <c r="BX385" s="300"/>
      <c r="BY385" s="300"/>
      <c r="BZ385" s="300"/>
      <c r="CA385" s="300"/>
      <c r="CB385" s="300"/>
    </row>
    <row r="386" spans="1:80" s="27" customFormat="1" x14ac:dyDescent="0.3">
      <c r="A386" s="173"/>
      <c r="D386" s="173"/>
      <c r="E386" s="173"/>
      <c r="F386" s="173"/>
      <c r="G386" s="173"/>
      <c r="H386" s="173"/>
      <c r="I386" s="173"/>
      <c r="J386" s="173"/>
      <c r="K386" s="173"/>
      <c r="L386" s="173"/>
      <c r="AM386" s="173"/>
      <c r="AN386" s="173"/>
      <c r="AZ386" s="337"/>
      <c r="BL386" s="349"/>
      <c r="BM386" s="300"/>
      <c r="BN386" s="300"/>
      <c r="BO386" s="300"/>
      <c r="BP386" s="300"/>
      <c r="BQ386" s="300"/>
      <c r="BR386" s="300"/>
      <c r="BS386" s="300"/>
      <c r="BT386" s="300"/>
      <c r="BU386" s="300"/>
      <c r="BV386" s="300"/>
      <c r="BW386" s="300"/>
      <c r="BX386" s="300"/>
      <c r="BY386" s="300"/>
      <c r="BZ386" s="300"/>
      <c r="CA386" s="300"/>
      <c r="CB386" s="300"/>
    </row>
    <row r="387" spans="1:80" s="27" customFormat="1" x14ac:dyDescent="0.3">
      <c r="A387" s="173"/>
      <c r="D387" s="173"/>
      <c r="E387" s="173"/>
      <c r="F387" s="173"/>
      <c r="G387" s="173"/>
      <c r="H387" s="173"/>
      <c r="I387" s="173"/>
      <c r="J387" s="173"/>
      <c r="K387" s="173"/>
      <c r="L387" s="173"/>
      <c r="AM387" s="173"/>
      <c r="AN387" s="173"/>
      <c r="AZ387" s="337"/>
      <c r="BL387" s="349"/>
      <c r="BM387" s="300"/>
      <c r="BN387" s="300"/>
      <c r="BO387" s="300"/>
      <c r="BP387" s="300"/>
      <c r="BQ387" s="300"/>
      <c r="BR387" s="300"/>
      <c r="BS387" s="300"/>
      <c r="BT387" s="300"/>
      <c r="BU387" s="300"/>
      <c r="BV387" s="300"/>
      <c r="BW387" s="300"/>
      <c r="BX387" s="300"/>
      <c r="BY387" s="300"/>
      <c r="BZ387" s="300"/>
      <c r="CA387" s="300"/>
      <c r="CB387" s="300"/>
    </row>
    <row r="388" spans="1:80" s="27" customFormat="1" x14ac:dyDescent="0.3">
      <c r="A388" s="173"/>
      <c r="D388" s="173"/>
      <c r="E388" s="173"/>
      <c r="F388" s="173"/>
      <c r="G388" s="173"/>
      <c r="H388" s="173"/>
      <c r="I388" s="173"/>
      <c r="J388" s="173"/>
      <c r="K388" s="173"/>
      <c r="L388" s="173"/>
      <c r="AM388" s="173"/>
      <c r="AN388" s="173"/>
      <c r="AZ388" s="337"/>
      <c r="BL388" s="349"/>
      <c r="BM388" s="300"/>
      <c r="BN388" s="300"/>
      <c r="BO388" s="300"/>
      <c r="BP388" s="300"/>
      <c r="BQ388" s="300"/>
      <c r="BR388" s="300"/>
      <c r="BS388" s="300"/>
      <c r="BT388" s="300"/>
      <c r="BU388" s="300"/>
      <c r="BV388" s="300"/>
      <c r="BW388" s="300"/>
      <c r="BX388" s="300"/>
      <c r="BY388" s="300"/>
      <c r="BZ388" s="300"/>
      <c r="CA388" s="300"/>
      <c r="CB388" s="300"/>
    </row>
    <row r="389" spans="1:80" s="27" customFormat="1" x14ac:dyDescent="0.3">
      <c r="A389" s="173"/>
      <c r="D389" s="173"/>
      <c r="E389" s="173"/>
      <c r="F389" s="173"/>
      <c r="G389" s="173"/>
      <c r="H389" s="173"/>
      <c r="I389" s="173"/>
      <c r="J389" s="173"/>
      <c r="K389" s="173"/>
      <c r="L389" s="173"/>
      <c r="AM389" s="173"/>
      <c r="AN389" s="173"/>
      <c r="AZ389" s="337"/>
      <c r="BL389" s="349"/>
      <c r="BM389" s="300"/>
      <c r="BN389" s="300"/>
      <c r="BO389" s="300"/>
      <c r="BP389" s="300"/>
      <c r="BQ389" s="300"/>
      <c r="BR389" s="300"/>
      <c r="BS389" s="300"/>
      <c r="BT389" s="300"/>
      <c r="BU389" s="300"/>
      <c r="BV389" s="300"/>
      <c r="BW389" s="300"/>
      <c r="BX389" s="300"/>
      <c r="BY389" s="300"/>
      <c r="BZ389" s="300"/>
      <c r="CA389" s="300"/>
      <c r="CB389" s="300"/>
    </row>
    <row r="390" spans="1:80" s="27" customFormat="1" x14ac:dyDescent="0.3">
      <c r="A390" s="173"/>
      <c r="D390" s="173"/>
      <c r="E390" s="173"/>
      <c r="F390" s="173"/>
      <c r="G390" s="173"/>
      <c r="H390" s="173"/>
      <c r="I390" s="173"/>
      <c r="J390" s="173"/>
      <c r="K390" s="173"/>
      <c r="L390" s="173"/>
      <c r="AM390" s="173"/>
      <c r="AN390" s="173"/>
      <c r="AZ390" s="337"/>
      <c r="BL390" s="349"/>
      <c r="BM390" s="300"/>
      <c r="BN390" s="300"/>
      <c r="BO390" s="300"/>
      <c r="BP390" s="300"/>
      <c r="BQ390" s="300"/>
      <c r="BR390" s="300"/>
      <c r="BS390" s="300"/>
      <c r="BT390" s="300"/>
      <c r="BU390" s="300"/>
      <c r="BV390" s="300"/>
      <c r="BW390" s="300"/>
      <c r="BX390" s="300"/>
      <c r="BY390" s="300"/>
      <c r="BZ390" s="300"/>
      <c r="CA390" s="300"/>
      <c r="CB390" s="300"/>
    </row>
    <row r="391" spans="1:80" s="27" customFormat="1" x14ac:dyDescent="0.3">
      <c r="A391" s="173"/>
      <c r="D391" s="173"/>
      <c r="E391" s="173"/>
      <c r="F391" s="173"/>
      <c r="G391" s="173"/>
      <c r="H391" s="173"/>
      <c r="I391" s="173"/>
      <c r="J391" s="173"/>
      <c r="K391" s="173"/>
      <c r="L391" s="173"/>
      <c r="AM391" s="173"/>
      <c r="AN391" s="173"/>
      <c r="AZ391" s="337"/>
      <c r="BL391" s="349"/>
      <c r="BM391" s="300"/>
      <c r="BN391" s="300"/>
      <c r="BO391" s="300"/>
      <c r="BP391" s="300"/>
      <c r="BQ391" s="300"/>
      <c r="BR391" s="300"/>
      <c r="BS391" s="300"/>
      <c r="BT391" s="300"/>
      <c r="BU391" s="300"/>
      <c r="BV391" s="300"/>
      <c r="BW391" s="300"/>
      <c r="BX391" s="300"/>
      <c r="BY391" s="300"/>
      <c r="BZ391" s="300"/>
      <c r="CA391" s="300"/>
      <c r="CB391" s="300"/>
    </row>
    <row r="392" spans="1:80" s="27" customFormat="1" x14ac:dyDescent="0.3">
      <c r="A392" s="173"/>
      <c r="D392" s="173"/>
      <c r="E392" s="173"/>
      <c r="F392" s="173"/>
      <c r="G392" s="173"/>
      <c r="H392" s="173"/>
      <c r="I392" s="173"/>
      <c r="J392" s="173"/>
      <c r="K392" s="173"/>
      <c r="L392" s="173"/>
      <c r="AM392" s="173"/>
      <c r="AN392" s="173"/>
      <c r="AZ392" s="337"/>
      <c r="BL392" s="349"/>
      <c r="BM392" s="300"/>
      <c r="BN392" s="300"/>
      <c r="BO392" s="300"/>
      <c r="BP392" s="300"/>
      <c r="BQ392" s="300"/>
      <c r="BR392" s="300"/>
      <c r="BS392" s="300"/>
      <c r="BT392" s="300"/>
      <c r="BU392" s="300"/>
      <c r="BV392" s="300"/>
      <c r="BW392" s="300"/>
      <c r="BX392" s="300"/>
      <c r="BY392" s="300"/>
      <c r="BZ392" s="300"/>
      <c r="CA392" s="300"/>
      <c r="CB392" s="300"/>
    </row>
    <row r="393" spans="1:80" s="27" customFormat="1" x14ac:dyDescent="0.3">
      <c r="A393" s="173"/>
      <c r="D393" s="173"/>
      <c r="E393" s="173"/>
      <c r="F393" s="173"/>
      <c r="G393" s="173"/>
      <c r="H393" s="173"/>
      <c r="I393" s="173"/>
      <c r="J393" s="173"/>
      <c r="K393" s="173"/>
      <c r="L393" s="173"/>
      <c r="AM393" s="173"/>
      <c r="AN393" s="173"/>
      <c r="AZ393" s="337"/>
      <c r="BL393" s="349"/>
      <c r="BM393" s="300"/>
      <c r="BN393" s="300"/>
      <c r="BO393" s="300"/>
      <c r="BP393" s="300"/>
      <c r="BQ393" s="300"/>
      <c r="BR393" s="300"/>
      <c r="BS393" s="300"/>
      <c r="BT393" s="300"/>
      <c r="BU393" s="300"/>
      <c r="BV393" s="300"/>
      <c r="BW393" s="300"/>
      <c r="BX393" s="300"/>
      <c r="BY393" s="300"/>
      <c r="BZ393" s="300"/>
      <c r="CA393" s="300"/>
      <c r="CB393" s="300"/>
    </row>
    <row r="394" spans="1:80" s="27" customFormat="1" x14ac:dyDescent="0.3">
      <c r="A394" s="173"/>
      <c r="D394" s="173"/>
      <c r="E394" s="173"/>
      <c r="F394" s="173"/>
      <c r="G394" s="173"/>
      <c r="H394" s="173"/>
      <c r="I394" s="173"/>
      <c r="J394" s="173"/>
      <c r="K394" s="173"/>
      <c r="L394" s="173"/>
      <c r="AM394" s="173"/>
      <c r="AN394" s="173"/>
      <c r="AZ394" s="337"/>
      <c r="BL394" s="349"/>
      <c r="BM394" s="300"/>
      <c r="BN394" s="300"/>
      <c r="BO394" s="300"/>
      <c r="BP394" s="300"/>
      <c r="BQ394" s="300"/>
      <c r="BR394" s="300"/>
      <c r="BS394" s="300"/>
      <c r="BT394" s="300"/>
      <c r="BU394" s="300"/>
      <c r="BV394" s="300"/>
      <c r="BW394" s="300"/>
      <c r="BX394" s="300"/>
      <c r="BY394" s="300"/>
      <c r="BZ394" s="300"/>
      <c r="CA394" s="300"/>
      <c r="CB394" s="300"/>
    </row>
    <row r="395" spans="1:80" s="27" customFormat="1" x14ac:dyDescent="0.3">
      <c r="A395" s="173"/>
      <c r="D395" s="173"/>
      <c r="E395" s="173"/>
      <c r="F395" s="173"/>
      <c r="G395" s="173"/>
      <c r="H395" s="173"/>
      <c r="I395" s="173"/>
      <c r="J395" s="173"/>
      <c r="K395" s="173"/>
      <c r="L395" s="173"/>
      <c r="AM395" s="173"/>
      <c r="AN395" s="173"/>
      <c r="AZ395" s="337"/>
      <c r="BL395" s="349"/>
      <c r="BM395" s="300"/>
      <c r="BN395" s="300"/>
      <c r="BO395" s="300"/>
      <c r="BP395" s="300"/>
      <c r="BQ395" s="300"/>
      <c r="BR395" s="300"/>
      <c r="BS395" s="300"/>
      <c r="BT395" s="300"/>
      <c r="BU395" s="300"/>
      <c r="BV395" s="300"/>
      <c r="BW395" s="300"/>
      <c r="BX395" s="300"/>
      <c r="BY395" s="300"/>
      <c r="BZ395" s="300"/>
      <c r="CA395" s="300"/>
      <c r="CB395" s="300"/>
    </row>
    <row r="396" spans="1:80" s="27" customFormat="1" x14ac:dyDescent="0.3">
      <c r="A396" s="173"/>
      <c r="D396" s="173"/>
      <c r="E396" s="173"/>
      <c r="F396" s="173"/>
      <c r="G396" s="173"/>
      <c r="H396" s="173"/>
      <c r="I396" s="173"/>
      <c r="J396" s="173"/>
      <c r="K396" s="173"/>
      <c r="L396" s="173"/>
      <c r="AM396" s="173"/>
      <c r="AN396" s="173"/>
      <c r="AZ396" s="337"/>
      <c r="BL396" s="349"/>
      <c r="BM396" s="300"/>
      <c r="BN396" s="300"/>
      <c r="BO396" s="300"/>
      <c r="BP396" s="300"/>
      <c r="BQ396" s="300"/>
      <c r="BR396" s="300"/>
      <c r="BS396" s="300"/>
      <c r="BT396" s="300"/>
      <c r="BU396" s="300"/>
      <c r="BV396" s="300"/>
      <c r="BW396" s="300"/>
      <c r="BX396" s="300"/>
      <c r="BY396" s="300"/>
      <c r="BZ396" s="300"/>
      <c r="CA396" s="300"/>
      <c r="CB396" s="300"/>
    </row>
    <row r="397" spans="1:80" s="27" customFormat="1" x14ac:dyDescent="0.3">
      <c r="A397" s="173"/>
      <c r="D397" s="173"/>
      <c r="E397" s="173"/>
      <c r="F397" s="173"/>
      <c r="G397" s="173"/>
      <c r="H397" s="173"/>
      <c r="I397" s="173"/>
      <c r="J397" s="173"/>
      <c r="K397" s="173"/>
      <c r="L397" s="173"/>
      <c r="AM397" s="173"/>
      <c r="AN397" s="173"/>
      <c r="AZ397" s="337"/>
      <c r="BL397" s="349"/>
      <c r="BM397" s="300"/>
      <c r="BN397" s="300"/>
      <c r="BO397" s="300"/>
      <c r="BP397" s="300"/>
      <c r="BQ397" s="300"/>
      <c r="BR397" s="300"/>
      <c r="BS397" s="300"/>
      <c r="BT397" s="300"/>
      <c r="BU397" s="300"/>
      <c r="BV397" s="300"/>
      <c r="BW397" s="300"/>
      <c r="BX397" s="300"/>
      <c r="BY397" s="300"/>
      <c r="BZ397" s="300"/>
      <c r="CA397" s="300"/>
      <c r="CB397" s="300"/>
    </row>
    <row r="398" spans="1:80" s="27" customFormat="1" x14ac:dyDescent="0.3">
      <c r="A398" s="173"/>
      <c r="D398" s="173"/>
      <c r="E398" s="173"/>
      <c r="F398" s="173"/>
      <c r="G398" s="173"/>
      <c r="H398" s="173"/>
      <c r="I398" s="173"/>
      <c r="J398" s="173"/>
      <c r="K398" s="173"/>
      <c r="L398" s="173"/>
      <c r="AM398" s="173"/>
      <c r="AN398" s="173"/>
      <c r="AZ398" s="337"/>
      <c r="BL398" s="349"/>
      <c r="BM398" s="300"/>
      <c r="BN398" s="300"/>
      <c r="BO398" s="300"/>
      <c r="BP398" s="300"/>
      <c r="BQ398" s="300"/>
      <c r="BR398" s="300"/>
      <c r="BS398" s="300"/>
      <c r="BT398" s="300"/>
      <c r="BU398" s="300"/>
      <c r="BV398" s="300"/>
      <c r="BW398" s="300"/>
      <c r="BX398" s="300"/>
      <c r="BY398" s="300"/>
      <c r="BZ398" s="300"/>
      <c r="CA398" s="300"/>
      <c r="CB398" s="300"/>
    </row>
    <row r="399" spans="1:80" s="27" customFormat="1" x14ac:dyDescent="0.3">
      <c r="A399" s="173"/>
      <c r="D399" s="173"/>
      <c r="E399" s="173"/>
      <c r="F399" s="173"/>
      <c r="G399" s="173"/>
      <c r="H399" s="173"/>
      <c r="I399" s="173"/>
      <c r="J399" s="173"/>
      <c r="K399" s="173"/>
      <c r="L399" s="173"/>
      <c r="AM399" s="173"/>
      <c r="AN399" s="173"/>
      <c r="AZ399" s="337"/>
      <c r="BL399" s="349"/>
      <c r="BM399" s="300"/>
      <c r="BN399" s="300"/>
      <c r="BO399" s="300"/>
      <c r="BP399" s="300"/>
      <c r="BQ399" s="300"/>
      <c r="BR399" s="300"/>
      <c r="BS399" s="300"/>
      <c r="BT399" s="300"/>
      <c r="BU399" s="300"/>
      <c r="BV399" s="300"/>
      <c r="BW399" s="300"/>
      <c r="BX399" s="300"/>
      <c r="BY399" s="300"/>
      <c r="BZ399" s="300"/>
      <c r="CA399" s="300"/>
      <c r="CB399" s="300"/>
    </row>
    <row r="400" spans="1:80" s="27" customFormat="1" x14ac:dyDescent="0.3">
      <c r="A400" s="173"/>
      <c r="D400" s="173"/>
      <c r="E400" s="173"/>
      <c r="F400" s="173"/>
      <c r="G400" s="173"/>
      <c r="H400" s="173"/>
      <c r="I400" s="173"/>
      <c r="J400" s="173"/>
      <c r="K400" s="173"/>
      <c r="L400" s="173"/>
      <c r="AM400" s="173"/>
      <c r="AN400" s="173"/>
      <c r="AZ400" s="337"/>
      <c r="BL400" s="349"/>
      <c r="BM400" s="300"/>
      <c r="BN400" s="300"/>
      <c r="BO400" s="300"/>
      <c r="BP400" s="300"/>
      <c r="BQ400" s="300"/>
      <c r="BR400" s="300"/>
      <c r="BS400" s="300"/>
      <c r="BT400" s="300"/>
      <c r="BU400" s="300"/>
      <c r="BV400" s="300"/>
      <c r="BW400" s="300"/>
      <c r="BX400" s="300"/>
      <c r="BY400" s="300"/>
      <c r="BZ400" s="300"/>
      <c r="CA400" s="300"/>
      <c r="CB400" s="300"/>
    </row>
    <row r="401" spans="1:80" s="27" customFormat="1" x14ac:dyDescent="0.3">
      <c r="A401" s="173"/>
      <c r="D401" s="173"/>
      <c r="E401" s="173"/>
      <c r="F401" s="173"/>
      <c r="G401" s="173"/>
      <c r="H401" s="173"/>
      <c r="I401" s="173"/>
      <c r="J401" s="173"/>
      <c r="K401" s="173"/>
      <c r="L401" s="173"/>
      <c r="AM401" s="173"/>
      <c r="AN401" s="173"/>
      <c r="AZ401" s="337"/>
      <c r="BL401" s="349"/>
      <c r="BM401" s="300"/>
      <c r="BN401" s="300"/>
      <c r="BO401" s="300"/>
      <c r="BP401" s="300"/>
      <c r="BQ401" s="300"/>
      <c r="BR401" s="300"/>
      <c r="BS401" s="300"/>
      <c r="BT401" s="300"/>
      <c r="BU401" s="300"/>
      <c r="BV401" s="300"/>
      <c r="BW401" s="300"/>
      <c r="BX401" s="300"/>
      <c r="BY401" s="300"/>
      <c r="BZ401" s="300"/>
      <c r="CA401" s="300"/>
      <c r="CB401" s="300"/>
    </row>
    <row r="402" spans="1:80" s="27" customFormat="1" x14ac:dyDescent="0.3">
      <c r="A402" s="173"/>
      <c r="D402" s="173"/>
      <c r="E402" s="173"/>
      <c r="F402" s="173"/>
      <c r="G402" s="173"/>
      <c r="H402" s="173"/>
      <c r="I402" s="173"/>
      <c r="J402" s="173"/>
      <c r="K402" s="173"/>
      <c r="L402" s="173"/>
      <c r="AM402" s="173"/>
      <c r="AN402" s="173"/>
      <c r="AZ402" s="337"/>
      <c r="BL402" s="349"/>
      <c r="BM402" s="300"/>
      <c r="BN402" s="300"/>
      <c r="BO402" s="300"/>
      <c r="BP402" s="300"/>
      <c r="BQ402" s="300"/>
      <c r="BR402" s="300"/>
      <c r="BS402" s="300"/>
      <c r="BT402" s="300"/>
      <c r="BU402" s="300"/>
      <c r="BV402" s="300"/>
      <c r="BW402" s="300"/>
      <c r="BX402" s="300"/>
      <c r="BY402" s="300"/>
      <c r="BZ402" s="300"/>
      <c r="CA402" s="300"/>
      <c r="CB402" s="300"/>
    </row>
    <row r="403" spans="1:80" s="27" customFormat="1" x14ac:dyDescent="0.3">
      <c r="A403" s="173"/>
      <c r="D403" s="173"/>
      <c r="E403" s="173"/>
      <c r="F403" s="173"/>
      <c r="G403" s="173"/>
      <c r="H403" s="173"/>
      <c r="I403" s="173"/>
      <c r="J403" s="173"/>
      <c r="K403" s="173"/>
      <c r="L403" s="173"/>
      <c r="AM403" s="173"/>
      <c r="AN403" s="173"/>
      <c r="AZ403" s="337"/>
      <c r="BL403" s="349"/>
      <c r="BM403" s="300"/>
      <c r="BN403" s="300"/>
      <c r="BO403" s="300"/>
      <c r="BP403" s="300"/>
      <c r="BQ403" s="300"/>
      <c r="BR403" s="300"/>
      <c r="BS403" s="300"/>
      <c r="BT403" s="300"/>
      <c r="BU403" s="300"/>
      <c r="BV403" s="300"/>
      <c r="BW403" s="300"/>
      <c r="BX403" s="300"/>
      <c r="BY403" s="300"/>
      <c r="BZ403" s="300"/>
      <c r="CA403" s="300"/>
      <c r="CB403" s="300"/>
    </row>
    <row r="404" spans="1:80" s="27" customFormat="1" x14ac:dyDescent="0.3">
      <c r="A404" s="173"/>
      <c r="D404" s="173"/>
      <c r="E404" s="173"/>
      <c r="F404" s="173"/>
      <c r="G404" s="173"/>
      <c r="H404" s="173"/>
      <c r="I404" s="173"/>
      <c r="J404" s="173"/>
      <c r="K404" s="173"/>
      <c r="L404" s="173"/>
      <c r="AM404" s="173"/>
      <c r="AN404" s="173"/>
      <c r="AZ404" s="337"/>
      <c r="BL404" s="349"/>
      <c r="BM404" s="300"/>
      <c r="BN404" s="300"/>
      <c r="BO404" s="300"/>
      <c r="BP404" s="300"/>
      <c r="BQ404" s="300"/>
      <c r="BR404" s="300"/>
      <c r="BS404" s="300"/>
      <c r="BT404" s="300"/>
      <c r="BU404" s="300"/>
      <c r="BV404" s="300"/>
      <c r="BW404" s="300"/>
      <c r="BX404" s="300"/>
      <c r="BY404" s="300"/>
      <c r="BZ404" s="300"/>
      <c r="CA404" s="300"/>
      <c r="CB404" s="300"/>
    </row>
    <row r="405" spans="1:80" s="27" customFormat="1" x14ac:dyDescent="0.3">
      <c r="A405" s="173"/>
      <c r="D405" s="173"/>
      <c r="E405" s="173"/>
      <c r="F405" s="173"/>
      <c r="G405" s="173"/>
      <c r="H405" s="173"/>
      <c r="I405" s="173"/>
      <c r="J405" s="173"/>
      <c r="K405" s="173"/>
      <c r="L405" s="173"/>
      <c r="AM405" s="173"/>
      <c r="AN405" s="173"/>
      <c r="AZ405" s="337"/>
      <c r="BL405" s="349"/>
      <c r="BM405" s="300"/>
      <c r="BN405" s="300"/>
      <c r="BO405" s="300"/>
      <c r="BP405" s="300"/>
      <c r="BQ405" s="300"/>
      <c r="BR405" s="300"/>
      <c r="BS405" s="300"/>
      <c r="BT405" s="300"/>
      <c r="BU405" s="300"/>
      <c r="BV405" s="300"/>
      <c r="BW405" s="300"/>
      <c r="BX405" s="300"/>
      <c r="BY405" s="300"/>
      <c r="BZ405" s="300"/>
      <c r="CA405" s="300"/>
      <c r="CB405" s="300"/>
    </row>
    <row r="406" spans="1:80" s="27" customFormat="1" x14ac:dyDescent="0.3">
      <c r="A406" s="173"/>
      <c r="D406" s="173"/>
      <c r="E406" s="173"/>
      <c r="F406" s="173"/>
      <c r="G406" s="173"/>
      <c r="H406" s="173"/>
      <c r="I406" s="173"/>
      <c r="J406" s="173"/>
      <c r="K406" s="173"/>
      <c r="L406" s="173"/>
      <c r="AM406" s="173"/>
      <c r="AN406" s="173"/>
      <c r="AZ406" s="337"/>
      <c r="BL406" s="349"/>
      <c r="BM406" s="300"/>
      <c r="BN406" s="300"/>
      <c r="BO406" s="300"/>
      <c r="BP406" s="300"/>
      <c r="BQ406" s="300"/>
      <c r="BR406" s="300"/>
      <c r="BS406" s="300"/>
      <c r="BT406" s="300"/>
      <c r="BU406" s="300"/>
      <c r="BV406" s="300"/>
      <c r="BW406" s="300"/>
      <c r="BX406" s="300"/>
      <c r="BY406" s="300"/>
      <c r="BZ406" s="300"/>
      <c r="CA406" s="300"/>
      <c r="CB406" s="300"/>
    </row>
    <row r="407" spans="1:80" s="27" customFormat="1" x14ac:dyDescent="0.3">
      <c r="A407" s="173"/>
      <c r="D407" s="173"/>
      <c r="E407" s="173"/>
      <c r="F407" s="173"/>
      <c r="G407" s="173"/>
      <c r="H407" s="173"/>
      <c r="I407" s="173"/>
      <c r="J407" s="173"/>
      <c r="K407" s="173"/>
      <c r="L407" s="173"/>
      <c r="AM407" s="173"/>
      <c r="AN407" s="173"/>
      <c r="AZ407" s="337"/>
      <c r="BL407" s="349"/>
      <c r="BM407" s="300"/>
      <c r="BN407" s="300"/>
      <c r="BO407" s="300"/>
      <c r="BP407" s="300"/>
      <c r="BQ407" s="300"/>
      <c r="BR407" s="300"/>
      <c r="BS407" s="300"/>
      <c r="BT407" s="300"/>
      <c r="BU407" s="300"/>
      <c r="BV407" s="300"/>
      <c r="BW407" s="300"/>
      <c r="BX407" s="300"/>
      <c r="BY407" s="300"/>
      <c r="BZ407" s="300"/>
      <c r="CA407" s="300"/>
      <c r="CB407" s="300"/>
    </row>
    <row r="408" spans="1:80" s="27" customFormat="1" x14ac:dyDescent="0.3">
      <c r="A408" s="173"/>
      <c r="D408" s="173"/>
      <c r="E408" s="173"/>
      <c r="F408" s="173"/>
      <c r="G408" s="173"/>
      <c r="H408" s="173"/>
      <c r="I408" s="173"/>
      <c r="J408" s="173"/>
      <c r="K408" s="173"/>
      <c r="L408" s="173"/>
      <c r="AM408" s="173"/>
      <c r="AN408" s="173"/>
      <c r="AZ408" s="337"/>
      <c r="BL408" s="349"/>
      <c r="BM408" s="300"/>
      <c r="BN408" s="300"/>
      <c r="BO408" s="300"/>
      <c r="BP408" s="300"/>
      <c r="BQ408" s="300"/>
      <c r="BR408" s="300"/>
      <c r="BS408" s="300"/>
      <c r="BT408" s="300"/>
      <c r="BU408" s="300"/>
      <c r="BV408" s="300"/>
      <c r="BW408" s="300"/>
      <c r="BX408" s="300"/>
      <c r="BY408" s="300"/>
      <c r="BZ408" s="300"/>
      <c r="CA408" s="300"/>
      <c r="CB408" s="300"/>
    </row>
    <row r="409" spans="1:80" s="27" customFormat="1" x14ac:dyDescent="0.3">
      <c r="A409" s="173"/>
      <c r="D409" s="173"/>
      <c r="E409" s="173"/>
      <c r="F409" s="173"/>
      <c r="G409" s="173"/>
      <c r="H409" s="173"/>
      <c r="I409" s="173"/>
      <c r="J409" s="173"/>
      <c r="K409" s="173"/>
      <c r="L409" s="173"/>
      <c r="AM409" s="173"/>
      <c r="AN409" s="173"/>
      <c r="AZ409" s="337"/>
      <c r="BL409" s="349"/>
      <c r="BM409" s="300"/>
      <c r="BN409" s="300"/>
      <c r="BO409" s="300"/>
      <c r="BP409" s="300"/>
      <c r="BQ409" s="300"/>
      <c r="BR409" s="300"/>
      <c r="BS409" s="300"/>
      <c r="BT409" s="300"/>
      <c r="BU409" s="300"/>
      <c r="BV409" s="300"/>
      <c r="BW409" s="300"/>
      <c r="BX409" s="300"/>
      <c r="BY409" s="300"/>
      <c r="BZ409" s="300"/>
      <c r="CA409" s="300"/>
      <c r="CB409" s="300"/>
    </row>
    <row r="410" spans="1:80" s="27" customFormat="1" x14ac:dyDescent="0.3">
      <c r="A410" s="173"/>
      <c r="D410" s="173"/>
      <c r="E410" s="173"/>
      <c r="F410" s="173"/>
      <c r="G410" s="173"/>
      <c r="H410" s="173"/>
      <c r="I410" s="173"/>
      <c r="J410" s="173"/>
      <c r="K410" s="173"/>
      <c r="L410" s="173"/>
      <c r="AM410" s="173"/>
      <c r="AN410" s="173"/>
      <c r="AZ410" s="337"/>
      <c r="BL410" s="349"/>
      <c r="BM410" s="300"/>
      <c r="BN410" s="300"/>
      <c r="BO410" s="300"/>
      <c r="BP410" s="300"/>
      <c r="BQ410" s="300"/>
      <c r="BR410" s="300"/>
      <c r="BS410" s="300"/>
      <c r="BT410" s="300"/>
      <c r="BU410" s="300"/>
      <c r="BV410" s="300"/>
      <c r="BW410" s="300"/>
      <c r="BX410" s="300"/>
      <c r="BY410" s="300"/>
      <c r="BZ410" s="300"/>
      <c r="CA410" s="300"/>
      <c r="CB410" s="300"/>
    </row>
    <row r="411" spans="1:80" s="27" customFormat="1" x14ac:dyDescent="0.3">
      <c r="A411" s="173"/>
      <c r="D411" s="173"/>
      <c r="E411" s="173"/>
      <c r="F411" s="173"/>
      <c r="G411" s="173"/>
      <c r="H411" s="173"/>
      <c r="I411" s="173"/>
      <c r="J411" s="173"/>
      <c r="K411" s="173"/>
      <c r="L411" s="173"/>
      <c r="AM411" s="173"/>
      <c r="AN411" s="173"/>
      <c r="AZ411" s="337"/>
      <c r="BL411" s="349"/>
      <c r="BM411" s="300"/>
      <c r="BN411" s="300"/>
      <c r="BO411" s="300"/>
      <c r="BP411" s="300"/>
      <c r="BQ411" s="300"/>
      <c r="BR411" s="300"/>
      <c r="BS411" s="300"/>
      <c r="BT411" s="300"/>
      <c r="BU411" s="300"/>
      <c r="BV411" s="300"/>
      <c r="BW411" s="300"/>
      <c r="BX411" s="300"/>
      <c r="BY411" s="300"/>
      <c r="BZ411" s="300"/>
      <c r="CA411" s="300"/>
      <c r="CB411" s="300"/>
    </row>
    <row r="412" spans="1:80" s="27" customFormat="1" x14ac:dyDescent="0.3">
      <c r="A412" s="173"/>
      <c r="D412" s="173"/>
      <c r="E412" s="173"/>
      <c r="F412" s="173"/>
      <c r="G412" s="173"/>
      <c r="H412" s="173"/>
      <c r="I412" s="173"/>
      <c r="J412" s="173"/>
      <c r="K412" s="173"/>
      <c r="L412" s="173"/>
      <c r="AM412" s="173"/>
      <c r="AN412" s="173"/>
      <c r="AZ412" s="337"/>
      <c r="BL412" s="349"/>
      <c r="BM412" s="300"/>
      <c r="BN412" s="300"/>
      <c r="BO412" s="300"/>
      <c r="BP412" s="300"/>
      <c r="BQ412" s="300"/>
      <c r="BR412" s="300"/>
      <c r="BS412" s="300"/>
      <c r="BT412" s="300"/>
      <c r="BU412" s="300"/>
      <c r="BV412" s="300"/>
      <c r="BW412" s="300"/>
      <c r="BX412" s="300"/>
      <c r="BY412" s="300"/>
      <c r="BZ412" s="300"/>
      <c r="CA412" s="300"/>
      <c r="CB412" s="300"/>
    </row>
    <row r="413" spans="1:80" s="27" customFormat="1" x14ac:dyDescent="0.3">
      <c r="A413" s="173"/>
      <c r="D413" s="173"/>
      <c r="E413" s="173"/>
      <c r="F413" s="173"/>
      <c r="G413" s="173"/>
      <c r="H413" s="173"/>
      <c r="I413" s="173"/>
      <c r="J413" s="173"/>
      <c r="K413" s="173"/>
      <c r="L413" s="173"/>
      <c r="AM413" s="173"/>
      <c r="AN413" s="173"/>
      <c r="AZ413" s="337"/>
      <c r="BL413" s="349"/>
      <c r="BM413" s="300"/>
      <c r="BN413" s="300"/>
      <c r="BO413" s="300"/>
      <c r="BP413" s="300"/>
      <c r="BQ413" s="300"/>
      <c r="BR413" s="300"/>
      <c r="BS413" s="300"/>
      <c r="BT413" s="300"/>
      <c r="BU413" s="300"/>
      <c r="BV413" s="300"/>
      <c r="BW413" s="300"/>
      <c r="BX413" s="300"/>
      <c r="BY413" s="300"/>
      <c r="BZ413" s="300"/>
      <c r="CA413" s="300"/>
      <c r="CB413" s="300"/>
    </row>
    <row r="414" spans="1:80" s="27" customFormat="1" x14ac:dyDescent="0.3">
      <c r="A414" s="173"/>
      <c r="D414" s="173"/>
      <c r="E414" s="173"/>
      <c r="F414" s="173"/>
      <c r="G414" s="173"/>
      <c r="H414" s="173"/>
      <c r="I414" s="173"/>
      <c r="J414" s="173"/>
      <c r="K414" s="173"/>
      <c r="L414" s="173"/>
      <c r="AM414" s="173"/>
      <c r="AN414" s="173"/>
      <c r="AZ414" s="337"/>
      <c r="BL414" s="349"/>
      <c r="BM414" s="300"/>
      <c r="BN414" s="300"/>
      <c r="BO414" s="300"/>
      <c r="BP414" s="300"/>
      <c r="BQ414" s="300"/>
      <c r="BR414" s="300"/>
      <c r="BS414" s="300"/>
      <c r="BT414" s="300"/>
      <c r="BU414" s="300"/>
      <c r="BV414" s="300"/>
      <c r="BW414" s="300"/>
      <c r="BX414" s="300"/>
      <c r="BY414" s="300"/>
      <c r="BZ414" s="300"/>
      <c r="CA414" s="300"/>
      <c r="CB414" s="300"/>
    </row>
    <row r="415" spans="1:80" s="27" customFormat="1" x14ac:dyDescent="0.3">
      <c r="A415" s="173"/>
      <c r="D415" s="173"/>
      <c r="E415" s="173"/>
      <c r="F415" s="173"/>
      <c r="G415" s="173"/>
      <c r="H415" s="173"/>
      <c r="I415" s="173"/>
      <c r="J415" s="173"/>
      <c r="K415" s="173"/>
      <c r="L415" s="173"/>
      <c r="AM415" s="173"/>
      <c r="AN415" s="173"/>
      <c r="AZ415" s="337"/>
      <c r="BL415" s="349"/>
      <c r="BM415" s="300"/>
      <c r="BN415" s="300"/>
      <c r="BO415" s="300"/>
      <c r="BP415" s="300"/>
      <c r="BQ415" s="300"/>
      <c r="BR415" s="300"/>
      <c r="BS415" s="300"/>
      <c r="BT415" s="300"/>
      <c r="BU415" s="300"/>
      <c r="BV415" s="300"/>
      <c r="BW415" s="300"/>
      <c r="BX415" s="300"/>
      <c r="BY415" s="300"/>
      <c r="BZ415" s="300"/>
      <c r="CA415" s="300"/>
      <c r="CB415" s="300"/>
    </row>
    <row r="416" spans="1:80" s="27" customFormat="1" x14ac:dyDescent="0.3">
      <c r="A416" s="173"/>
      <c r="D416" s="173"/>
      <c r="E416" s="173"/>
      <c r="F416" s="173"/>
      <c r="G416" s="173"/>
      <c r="H416" s="173"/>
      <c r="I416" s="173"/>
      <c r="J416" s="173"/>
      <c r="K416" s="173"/>
      <c r="L416" s="173"/>
      <c r="AM416" s="173"/>
      <c r="AN416" s="173"/>
      <c r="AZ416" s="337"/>
      <c r="BL416" s="349"/>
      <c r="BM416" s="300"/>
      <c r="BN416" s="300"/>
      <c r="BO416" s="300"/>
      <c r="BP416" s="300"/>
      <c r="BQ416" s="300"/>
      <c r="BR416" s="300"/>
      <c r="BS416" s="300"/>
      <c r="BT416" s="300"/>
      <c r="BU416" s="300"/>
      <c r="BV416" s="300"/>
      <c r="BW416" s="300"/>
      <c r="BX416" s="300"/>
      <c r="BY416" s="300"/>
      <c r="BZ416" s="300"/>
      <c r="CA416" s="300"/>
      <c r="CB416" s="300"/>
    </row>
    <row r="417" spans="1:80" s="27" customFormat="1" x14ac:dyDescent="0.3">
      <c r="A417" s="173"/>
      <c r="D417" s="173"/>
      <c r="E417" s="173"/>
      <c r="F417" s="173"/>
      <c r="G417" s="173"/>
      <c r="H417" s="173"/>
      <c r="I417" s="173"/>
      <c r="J417" s="173"/>
      <c r="K417" s="173"/>
      <c r="L417" s="173"/>
      <c r="AM417" s="173"/>
      <c r="AN417" s="173"/>
      <c r="AZ417" s="337"/>
      <c r="BL417" s="349"/>
      <c r="BM417" s="300"/>
      <c r="BN417" s="300"/>
      <c r="BO417" s="300"/>
      <c r="BP417" s="300"/>
      <c r="BQ417" s="300"/>
      <c r="BR417" s="300"/>
      <c r="BS417" s="300"/>
      <c r="BT417" s="300"/>
      <c r="BU417" s="300"/>
      <c r="BV417" s="300"/>
      <c r="BW417" s="300"/>
      <c r="BX417" s="300"/>
      <c r="BY417" s="300"/>
      <c r="BZ417" s="300"/>
      <c r="CA417" s="300"/>
      <c r="CB417" s="300"/>
    </row>
    <row r="418" spans="1:80" s="27" customFormat="1" x14ac:dyDescent="0.3">
      <c r="A418" s="173"/>
      <c r="D418" s="173"/>
      <c r="E418" s="173"/>
      <c r="F418" s="173"/>
      <c r="G418" s="173"/>
      <c r="H418" s="173"/>
      <c r="I418" s="173"/>
      <c r="J418" s="173"/>
      <c r="K418" s="173"/>
      <c r="L418" s="173"/>
      <c r="AM418" s="173"/>
      <c r="AN418" s="173"/>
      <c r="AZ418" s="337"/>
      <c r="BL418" s="349"/>
      <c r="BM418" s="300"/>
      <c r="BN418" s="300"/>
      <c r="BO418" s="300"/>
      <c r="BP418" s="300"/>
      <c r="BQ418" s="300"/>
      <c r="BR418" s="300"/>
      <c r="BS418" s="300"/>
      <c r="BT418" s="300"/>
      <c r="BU418" s="300"/>
      <c r="BV418" s="300"/>
      <c r="BW418" s="300"/>
      <c r="BX418" s="300"/>
      <c r="BY418" s="300"/>
      <c r="BZ418" s="300"/>
      <c r="CA418" s="300"/>
      <c r="CB418" s="300"/>
    </row>
    <row r="419" spans="1:80" s="27" customFormat="1" x14ac:dyDescent="0.3">
      <c r="A419" s="173"/>
      <c r="D419" s="173"/>
      <c r="E419" s="173"/>
      <c r="F419" s="173"/>
      <c r="G419" s="173"/>
      <c r="H419" s="173"/>
      <c r="I419" s="173"/>
      <c r="J419" s="173"/>
      <c r="K419" s="173"/>
      <c r="L419" s="173"/>
      <c r="AM419" s="173"/>
      <c r="AN419" s="173"/>
      <c r="AZ419" s="337"/>
      <c r="BL419" s="349"/>
      <c r="BM419" s="300"/>
      <c r="BN419" s="300"/>
      <c r="BO419" s="300"/>
      <c r="BP419" s="300"/>
      <c r="BQ419" s="300"/>
      <c r="BR419" s="300"/>
      <c r="BS419" s="300"/>
      <c r="BT419" s="300"/>
      <c r="BU419" s="300"/>
      <c r="BV419" s="300"/>
      <c r="BW419" s="300"/>
      <c r="BX419" s="300"/>
      <c r="BY419" s="300"/>
      <c r="BZ419" s="300"/>
      <c r="CA419" s="300"/>
      <c r="CB419" s="300"/>
    </row>
    <row r="420" spans="1:80" s="27" customFormat="1" x14ac:dyDescent="0.3">
      <c r="A420" s="173"/>
      <c r="D420" s="173"/>
      <c r="E420" s="173"/>
      <c r="F420" s="173"/>
      <c r="G420" s="173"/>
      <c r="H420" s="173"/>
      <c r="I420" s="173"/>
      <c r="J420" s="173"/>
      <c r="K420" s="173"/>
      <c r="L420" s="173"/>
      <c r="AM420" s="173"/>
      <c r="AN420" s="173"/>
      <c r="AZ420" s="337"/>
      <c r="BL420" s="349"/>
      <c r="BM420" s="300"/>
      <c r="BN420" s="300"/>
      <c r="BO420" s="300"/>
      <c r="BP420" s="300"/>
      <c r="BQ420" s="300"/>
      <c r="BR420" s="300"/>
      <c r="BS420" s="300"/>
      <c r="BT420" s="300"/>
      <c r="BU420" s="300"/>
      <c r="BV420" s="300"/>
      <c r="BW420" s="300"/>
      <c r="BX420" s="300"/>
      <c r="BY420" s="300"/>
      <c r="BZ420" s="300"/>
      <c r="CA420" s="300"/>
      <c r="CB420" s="300"/>
    </row>
    <row r="421" spans="1:80" s="27" customFormat="1" x14ac:dyDescent="0.3">
      <c r="A421" s="173"/>
      <c r="D421" s="173"/>
      <c r="E421" s="173"/>
      <c r="F421" s="173"/>
      <c r="G421" s="173"/>
      <c r="H421" s="173"/>
      <c r="I421" s="173"/>
      <c r="J421" s="173"/>
      <c r="K421" s="173"/>
      <c r="L421" s="173"/>
      <c r="AM421" s="173"/>
      <c r="AN421" s="173"/>
      <c r="AZ421" s="337"/>
      <c r="BL421" s="349"/>
      <c r="BM421" s="300"/>
      <c r="BN421" s="300"/>
      <c r="BO421" s="300"/>
      <c r="BP421" s="300"/>
      <c r="BQ421" s="300"/>
      <c r="BR421" s="300"/>
      <c r="BS421" s="300"/>
      <c r="BT421" s="300"/>
      <c r="BU421" s="300"/>
      <c r="BV421" s="300"/>
      <c r="BW421" s="300"/>
      <c r="BX421" s="300"/>
      <c r="BY421" s="300"/>
      <c r="BZ421" s="300"/>
      <c r="CA421" s="300"/>
      <c r="CB421" s="300"/>
    </row>
    <row r="422" spans="1:80" s="27" customFormat="1" x14ac:dyDescent="0.3">
      <c r="A422" s="173"/>
      <c r="D422" s="173"/>
      <c r="E422" s="173"/>
      <c r="F422" s="173"/>
      <c r="G422" s="173"/>
      <c r="H422" s="173"/>
      <c r="I422" s="173"/>
      <c r="J422" s="173"/>
      <c r="K422" s="173"/>
      <c r="L422" s="173"/>
      <c r="AM422" s="173"/>
      <c r="AN422" s="173"/>
      <c r="AZ422" s="337"/>
      <c r="BL422" s="349"/>
      <c r="BM422" s="300"/>
      <c r="BN422" s="300"/>
      <c r="BO422" s="300"/>
      <c r="BP422" s="300"/>
      <c r="BQ422" s="300"/>
      <c r="BR422" s="300"/>
      <c r="BS422" s="300"/>
      <c r="BT422" s="300"/>
      <c r="BU422" s="300"/>
      <c r="BV422" s="300"/>
      <c r="BW422" s="300"/>
      <c r="BX422" s="300"/>
      <c r="BY422" s="300"/>
      <c r="BZ422" s="300"/>
      <c r="CA422" s="300"/>
      <c r="CB422" s="300"/>
    </row>
    <row r="423" spans="1:80" s="27" customFormat="1" x14ac:dyDescent="0.3">
      <c r="A423" s="173"/>
      <c r="D423" s="173"/>
      <c r="E423" s="173"/>
      <c r="F423" s="173"/>
      <c r="G423" s="173"/>
      <c r="H423" s="173"/>
      <c r="I423" s="173"/>
      <c r="J423" s="173"/>
      <c r="K423" s="173"/>
      <c r="L423" s="173"/>
      <c r="AM423" s="173"/>
      <c r="AN423" s="173"/>
      <c r="AZ423" s="337"/>
      <c r="BL423" s="349"/>
      <c r="BM423" s="300"/>
      <c r="BN423" s="300"/>
      <c r="BO423" s="300"/>
      <c r="BP423" s="300"/>
      <c r="BQ423" s="300"/>
      <c r="BR423" s="300"/>
      <c r="BS423" s="300"/>
      <c r="BT423" s="300"/>
      <c r="BU423" s="300"/>
      <c r="BV423" s="300"/>
      <c r="BW423" s="300"/>
      <c r="BX423" s="300"/>
      <c r="BY423" s="300"/>
      <c r="BZ423" s="300"/>
      <c r="CA423" s="300"/>
      <c r="CB423" s="300"/>
    </row>
    <row r="424" spans="1:80" s="27" customFormat="1" x14ac:dyDescent="0.3">
      <c r="A424" s="173"/>
      <c r="D424" s="173"/>
      <c r="E424" s="173"/>
      <c r="F424" s="173"/>
      <c r="G424" s="173"/>
      <c r="H424" s="173"/>
      <c r="I424" s="173"/>
      <c r="J424" s="173"/>
      <c r="K424" s="173"/>
      <c r="L424" s="173"/>
      <c r="AM424" s="173"/>
      <c r="AN424" s="173"/>
      <c r="AZ424" s="337"/>
      <c r="BL424" s="349"/>
      <c r="BM424" s="300"/>
      <c r="BN424" s="300"/>
      <c r="BO424" s="300"/>
      <c r="BP424" s="300"/>
      <c r="BQ424" s="300"/>
      <c r="BR424" s="300"/>
      <c r="BS424" s="300"/>
      <c r="BT424" s="300"/>
      <c r="BU424" s="300"/>
      <c r="BV424" s="300"/>
      <c r="BW424" s="300"/>
      <c r="BX424" s="300"/>
      <c r="BY424" s="300"/>
      <c r="BZ424" s="300"/>
      <c r="CA424" s="300"/>
      <c r="CB424" s="300"/>
    </row>
    <row r="425" spans="1:80" s="27" customFormat="1" x14ac:dyDescent="0.3">
      <c r="A425" s="173"/>
      <c r="D425" s="173"/>
      <c r="E425" s="173"/>
      <c r="F425" s="173"/>
      <c r="G425" s="173"/>
      <c r="H425" s="173"/>
      <c r="I425" s="173"/>
      <c r="J425" s="173"/>
      <c r="K425" s="173"/>
      <c r="L425" s="173"/>
      <c r="AM425" s="173"/>
      <c r="AN425" s="173"/>
      <c r="AZ425" s="337"/>
      <c r="BL425" s="349"/>
      <c r="BM425" s="300"/>
      <c r="BN425" s="300"/>
      <c r="BO425" s="300"/>
      <c r="BP425" s="300"/>
      <c r="BQ425" s="300"/>
      <c r="BR425" s="300"/>
      <c r="BS425" s="300"/>
      <c r="BT425" s="300"/>
      <c r="BU425" s="300"/>
      <c r="BV425" s="300"/>
      <c r="BW425" s="300"/>
      <c r="BX425" s="300"/>
      <c r="BY425" s="300"/>
      <c r="BZ425" s="300"/>
      <c r="CA425" s="300"/>
      <c r="CB425" s="300"/>
    </row>
    <row r="426" spans="1:80" s="27" customFormat="1" x14ac:dyDescent="0.3">
      <c r="A426" s="173"/>
      <c r="D426" s="173"/>
      <c r="E426" s="173"/>
      <c r="F426" s="173"/>
      <c r="G426" s="173"/>
      <c r="H426" s="173"/>
      <c r="I426" s="173"/>
      <c r="J426" s="173"/>
      <c r="K426" s="173"/>
      <c r="L426" s="173"/>
      <c r="AM426" s="173"/>
      <c r="AN426" s="173"/>
      <c r="AZ426" s="337"/>
      <c r="BL426" s="349"/>
      <c r="BM426" s="300"/>
      <c r="BN426" s="300"/>
      <c r="BO426" s="300"/>
      <c r="BP426" s="300"/>
      <c r="BQ426" s="300"/>
      <c r="BR426" s="300"/>
      <c r="BS426" s="300"/>
      <c r="BT426" s="300"/>
      <c r="BU426" s="300"/>
      <c r="BV426" s="300"/>
      <c r="BW426" s="300"/>
      <c r="BX426" s="300"/>
      <c r="BY426" s="300"/>
      <c r="BZ426" s="300"/>
      <c r="CA426" s="300"/>
      <c r="CB426" s="300"/>
    </row>
    <row r="427" spans="1:80" s="27" customFormat="1" x14ac:dyDescent="0.3">
      <c r="A427" s="173"/>
      <c r="D427" s="173"/>
      <c r="E427" s="173"/>
      <c r="F427" s="173"/>
      <c r="G427" s="173"/>
      <c r="H427" s="173"/>
      <c r="I427" s="173"/>
      <c r="J427" s="173"/>
      <c r="K427" s="173"/>
      <c r="L427" s="173"/>
      <c r="AM427" s="173"/>
      <c r="AN427" s="173"/>
      <c r="AZ427" s="337"/>
      <c r="BL427" s="349"/>
      <c r="BM427" s="300"/>
      <c r="BN427" s="300"/>
      <c r="BO427" s="300"/>
      <c r="BP427" s="300"/>
      <c r="BQ427" s="300"/>
      <c r="BR427" s="300"/>
      <c r="BS427" s="300"/>
      <c r="BT427" s="300"/>
      <c r="BU427" s="300"/>
      <c r="BV427" s="300"/>
      <c r="BW427" s="300"/>
      <c r="BX427" s="300"/>
      <c r="BY427" s="300"/>
      <c r="BZ427" s="300"/>
      <c r="CA427" s="300"/>
      <c r="CB427" s="300"/>
    </row>
    <row r="428" spans="1:80" s="27" customFormat="1" x14ac:dyDescent="0.3">
      <c r="A428" s="173"/>
      <c r="D428" s="173"/>
      <c r="E428" s="173"/>
      <c r="F428" s="173"/>
      <c r="G428" s="173"/>
      <c r="H428" s="173"/>
      <c r="I428" s="173"/>
      <c r="J428" s="173"/>
      <c r="K428" s="173"/>
      <c r="L428" s="173"/>
      <c r="AM428" s="173"/>
      <c r="AN428" s="173"/>
      <c r="AZ428" s="337"/>
      <c r="BL428" s="349"/>
      <c r="BM428" s="300"/>
      <c r="BN428" s="300"/>
      <c r="BO428" s="300"/>
      <c r="BP428" s="300"/>
      <c r="BQ428" s="300"/>
      <c r="BR428" s="300"/>
      <c r="BS428" s="300"/>
      <c r="BT428" s="300"/>
      <c r="BU428" s="300"/>
      <c r="BV428" s="300"/>
      <c r="BW428" s="300"/>
      <c r="BX428" s="300"/>
      <c r="BY428" s="300"/>
      <c r="BZ428" s="300"/>
      <c r="CA428" s="300"/>
      <c r="CB428" s="300"/>
    </row>
    <row r="429" spans="1:80" s="27" customFormat="1" x14ac:dyDescent="0.3">
      <c r="A429" s="173"/>
      <c r="D429" s="173"/>
      <c r="E429" s="173"/>
      <c r="F429" s="173"/>
      <c r="G429" s="173"/>
      <c r="H429" s="173"/>
      <c r="I429" s="173"/>
      <c r="J429" s="173"/>
      <c r="K429" s="173"/>
      <c r="L429" s="173"/>
      <c r="AM429" s="173"/>
      <c r="AN429" s="173"/>
      <c r="AZ429" s="337"/>
      <c r="BL429" s="349"/>
      <c r="BM429" s="300"/>
      <c r="BN429" s="300"/>
      <c r="BO429" s="300"/>
      <c r="BP429" s="300"/>
      <c r="BQ429" s="300"/>
      <c r="BR429" s="300"/>
      <c r="BS429" s="300"/>
      <c r="BT429" s="300"/>
      <c r="BU429" s="300"/>
      <c r="BV429" s="300"/>
      <c r="BW429" s="300"/>
      <c r="BX429" s="300"/>
      <c r="BY429" s="300"/>
      <c r="BZ429" s="300"/>
      <c r="CA429" s="300"/>
      <c r="CB429" s="300"/>
    </row>
    <row r="430" spans="1:80" s="27" customFormat="1" x14ac:dyDescent="0.3">
      <c r="A430" s="173"/>
      <c r="D430" s="173"/>
      <c r="E430" s="173"/>
      <c r="F430" s="173"/>
      <c r="G430" s="173"/>
      <c r="H430" s="173"/>
      <c r="I430" s="173"/>
      <c r="J430" s="173"/>
      <c r="K430" s="173"/>
      <c r="L430" s="173"/>
      <c r="AM430" s="173"/>
      <c r="AN430" s="173"/>
      <c r="AZ430" s="337"/>
      <c r="BL430" s="349"/>
      <c r="BM430" s="300"/>
      <c r="BN430" s="300"/>
      <c r="BO430" s="300"/>
      <c r="BP430" s="300"/>
      <c r="BQ430" s="300"/>
      <c r="BR430" s="300"/>
      <c r="BS430" s="300"/>
      <c r="BT430" s="300"/>
      <c r="BU430" s="300"/>
      <c r="BV430" s="300"/>
      <c r="BW430" s="300"/>
      <c r="BX430" s="300"/>
      <c r="BY430" s="300"/>
      <c r="BZ430" s="300"/>
      <c r="CA430" s="300"/>
      <c r="CB430" s="300"/>
    </row>
    <row r="431" spans="1:80" s="27" customFormat="1" x14ac:dyDescent="0.3">
      <c r="A431" s="173"/>
      <c r="D431" s="173"/>
      <c r="E431" s="173"/>
      <c r="F431" s="173"/>
      <c r="G431" s="173"/>
      <c r="H431" s="173"/>
      <c r="I431" s="173"/>
      <c r="J431" s="173"/>
      <c r="K431" s="173"/>
      <c r="L431" s="173"/>
      <c r="AM431" s="173"/>
      <c r="AN431" s="173"/>
      <c r="AZ431" s="337"/>
      <c r="BL431" s="349"/>
      <c r="BM431" s="300"/>
      <c r="BN431" s="300"/>
      <c r="BO431" s="300"/>
      <c r="BP431" s="300"/>
      <c r="BQ431" s="300"/>
      <c r="BR431" s="300"/>
      <c r="BS431" s="300"/>
      <c r="BT431" s="300"/>
      <c r="BU431" s="300"/>
      <c r="BV431" s="300"/>
      <c r="BW431" s="300"/>
      <c r="BX431" s="300"/>
      <c r="BY431" s="300"/>
      <c r="BZ431" s="300"/>
      <c r="CA431" s="300"/>
      <c r="CB431" s="300"/>
    </row>
    <row r="432" spans="1:80" s="27" customFormat="1" x14ac:dyDescent="0.3">
      <c r="A432" s="173"/>
      <c r="D432" s="173"/>
      <c r="E432" s="173"/>
      <c r="F432" s="173"/>
      <c r="G432" s="173"/>
      <c r="H432" s="173"/>
      <c r="I432" s="173"/>
      <c r="J432" s="173"/>
      <c r="K432" s="173"/>
      <c r="L432" s="173"/>
      <c r="AM432" s="173"/>
      <c r="AN432" s="173"/>
      <c r="AZ432" s="337"/>
      <c r="BL432" s="349"/>
      <c r="BM432" s="300"/>
      <c r="BN432" s="300"/>
      <c r="BO432" s="300"/>
      <c r="BP432" s="300"/>
      <c r="BQ432" s="300"/>
      <c r="BR432" s="300"/>
      <c r="BS432" s="300"/>
      <c r="BT432" s="300"/>
      <c r="BU432" s="300"/>
      <c r="BV432" s="300"/>
      <c r="BW432" s="300"/>
      <c r="BX432" s="300"/>
      <c r="BY432" s="300"/>
      <c r="BZ432" s="300"/>
      <c r="CA432" s="300"/>
      <c r="CB432" s="300"/>
    </row>
    <row r="433" spans="1:80" s="27" customFormat="1" x14ac:dyDescent="0.3">
      <c r="A433" s="173"/>
      <c r="D433" s="173"/>
      <c r="E433" s="173"/>
      <c r="F433" s="173"/>
      <c r="G433" s="173"/>
      <c r="H433" s="173"/>
      <c r="I433" s="173"/>
      <c r="J433" s="173"/>
      <c r="K433" s="173"/>
      <c r="L433" s="173"/>
      <c r="AM433" s="173"/>
      <c r="AN433" s="173"/>
      <c r="AZ433" s="337"/>
      <c r="BL433" s="349"/>
      <c r="BM433" s="300"/>
      <c r="BN433" s="300"/>
      <c r="BO433" s="300"/>
      <c r="BP433" s="300"/>
      <c r="BQ433" s="300"/>
      <c r="BR433" s="300"/>
      <c r="BS433" s="300"/>
      <c r="BT433" s="300"/>
      <c r="BU433" s="300"/>
      <c r="BV433" s="300"/>
      <c r="BW433" s="300"/>
      <c r="BX433" s="300"/>
      <c r="BY433" s="300"/>
      <c r="BZ433" s="300"/>
      <c r="CA433" s="300"/>
      <c r="CB433" s="300"/>
    </row>
    <row r="434" spans="1:80" s="27" customFormat="1" x14ac:dyDescent="0.3">
      <c r="A434" s="173"/>
      <c r="D434" s="173"/>
      <c r="E434" s="173"/>
      <c r="F434" s="173"/>
      <c r="G434" s="173"/>
      <c r="H434" s="173"/>
      <c r="I434" s="173"/>
      <c r="J434" s="173"/>
      <c r="K434" s="173"/>
      <c r="L434" s="173"/>
      <c r="AM434" s="173"/>
      <c r="AN434" s="173"/>
      <c r="AZ434" s="337"/>
      <c r="BL434" s="349"/>
      <c r="BM434" s="300"/>
      <c r="BN434" s="300"/>
      <c r="BO434" s="300"/>
      <c r="BP434" s="300"/>
      <c r="BQ434" s="300"/>
      <c r="BR434" s="300"/>
      <c r="BS434" s="300"/>
      <c r="BT434" s="300"/>
      <c r="BU434" s="300"/>
      <c r="BV434" s="300"/>
      <c r="BW434" s="300"/>
      <c r="BX434" s="300"/>
      <c r="BY434" s="300"/>
      <c r="BZ434" s="300"/>
      <c r="CA434" s="300"/>
      <c r="CB434" s="300"/>
    </row>
    <row r="435" spans="1:80" s="27" customFormat="1" x14ac:dyDescent="0.3">
      <c r="A435" s="173"/>
      <c r="D435" s="173"/>
      <c r="E435" s="173"/>
      <c r="F435" s="173"/>
      <c r="G435" s="173"/>
      <c r="H435" s="173"/>
      <c r="I435" s="173"/>
      <c r="J435" s="173"/>
      <c r="K435" s="173"/>
      <c r="L435" s="173"/>
      <c r="AM435" s="173"/>
      <c r="AN435" s="173"/>
      <c r="AZ435" s="337"/>
      <c r="BL435" s="349"/>
      <c r="BM435" s="300"/>
      <c r="BN435" s="300"/>
      <c r="BO435" s="300"/>
      <c r="BP435" s="300"/>
      <c r="BQ435" s="300"/>
      <c r="BR435" s="300"/>
      <c r="BS435" s="300"/>
      <c r="BT435" s="300"/>
      <c r="BU435" s="300"/>
      <c r="BV435" s="300"/>
      <c r="BW435" s="300"/>
      <c r="BX435" s="300"/>
      <c r="BY435" s="300"/>
      <c r="BZ435" s="300"/>
      <c r="CA435" s="300"/>
      <c r="CB435" s="300"/>
    </row>
    <row r="436" spans="1:80" s="27" customFormat="1" x14ac:dyDescent="0.3">
      <c r="A436" s="173"/>
      <c r="D436" s="173"/>
      <c r="E436" s="173"/>
      <c r="F436" s="173"/>
      <c r="G436" s="173"/>
      <c r="H436" s="173"/>
      <c r="I436" s="173"/>
      <c r="J436" s="173"/>
      <c r="K436" s="173"/>
      <c r="L436" s="173"/>
      <c r="AM436" s="173"/>
      <c r="AN436" s="173"/>
      <c r="AZ436" s="337"/>
      <c r="BL436" s="349"/>
      <c r="BM436" s="300"/>
      <c r="BN436" s="300"/>
      <c r="BO436" s="300"/>
      <c r="BP436" s="300"/>
      <c r="BQ436" s="300"/>
      <c r="BR436" s="300"/>
      <c r="BS436" s="300"/>
      <c r="BT436" s="300"/>
      <c r="BU436" s="300"/>
      <c r="BV436" s="300"/>
      <c r="BW436" s="300"/>
      <c r="BX436" s="300"/>
      <c r="BY436" s="300"/>
      <c r="BZ436" s="300"/>
      <c r="CA436" s="300"/>
      <c r="CB436" s="300"/>
    </row>
    <row r="437" spans="1:80" s="27" customFormat="1" x14ac:dyDescent="0.3">
      <c r="A437" s="173"/>
      <c r="D437" s="173"/>
      <c r="E437" s="173"/>
      <c r="F437" s="173"/>
      <c r="G437" s="173"/>
      <c r="H437" s="173"/>
      <c r="I437" s="173"/>
      <c r="J437" s="173"/>
      <c r="K437" s="173"/>
      <c r="L437" s="173"/>
      <c r="AM437" s="173"/>
      <c r="AN437" s="173"/>
      <c r="AZ437" s="337"/>
      <c r="BL437" s="349"/>
      <c r="BM437" s="300"/>
      <c r="BN437" s="300"/>
      <c r="BO437" s="300"/>
      <c r="BP437" s="300"/>
      <c r="BQ437" s="300"/>
      <c r="BR437" s="300"/>
      <c r="BS437" s="300"/>
      <c r="BT437" s="300"/>
      <c r="BU437" s="300"/>
      <c r="BV437" s="300"/>
      <c r="BW437" s="300"/>
      <c r="BX437" s="300"/>
      <c r="BY437" s="300"/>
      <c r="BZ437" s="300"/>
      <c r="CA437" s="300"/>
      <c r="CB437" s="300"/>
    </row>
    <row r="438" spans="1:80" s="27" customFormat="1" x14ac:dyDescent="0.3">
      <c r="A438" s="173"/>
      <c r="D438" s="173"/>
      <c r="E438" s="173"/>
      <c r="F438" s="173"/>
      <c r="G438" s="173"/>
      <c r="H438" s="173"/>
      <c r="I438" s="173"/>
      <c r="J438" s="173"/>
      <c r="K438" s="173"/>
      <c r="L438" s="173"/>
      <c r="AM438" s="173"/>
      <c r="AN438" s="173"/>
      <c r="AZ438" s="337"/>
      <c r="BL438" s="349"/>
      <c r="BM438" s="300"/>
      <c r="BN438" s="300"/>
      <c r="BO438" s="300"/>
      <c r="BP438" s="300"/>
      <c r="BQ438" s="300"/>
      <c r="BR438" s="300"/>
      <c r="BS438" s="300"/>
      <c r="BT438" s="300"/>
      <c r="BU438" s="300"/>
      <c r="BV438" s="300"/>
      <c r="BW438" s="300"/>
      <c r="BX438" s="300"/>
      <c r="BY438" s="300"/>
      <c r="BZ438" s="300"/>
      <c r="CA438" s="300"/>
      <c r="CB438" s="300"/>
    </row>
    <row r="439" spans="1:80" s="27" customFormat="1" x14ac:dyDescent="0.3">
      <c r="A439" s="173"/>
      <c r="D439" s="173"/>
      <c r="E439" s="173"/>
      <c r="F439" s="173"/>
      <c r="G439" s="173"/>
      <c r="H439" s="173"/>
      <c r="I439" s="173"/>
      <c r="J439" s="173"/>
      <c r="K439" s="173"/>
      <c r="L439" s="173"/>
      <c r="AM439" s="173"/>
      <c r="AN439" s="173"/>
      <c r="AZ439" s="337"/>
      <c r="BL439" s="349"/>
      <c r="BM439" s="300"/>
      <c r="BN439" s="300"/>
      <c r="BO439" s="300"/>
      <c r="BP439" s="300"/>
      <c r="BQ439" s="300"/>
      <c r="BR439" s="300"/>
      <c r="BS439" s="300"/>
      <c r="BT439" s="300"/>
      <c r="BU439" s="300"/>
      <c r="BV439" s="300"/>
      <c r="BW439" s="300"/>
      <c r="BX439" s="300"/>
      <c r="BY439" s="300"/>
      <c r="BZ439" s="300"/>
      <c r="CA439" s="300"/>
      <c r="CB439" s="300"/>
    </row>
    <row r="440" spans="1:80" s="27" customFormat="1" x14ac:dyDescent="0.3">
      <c r="A440" s="173"/>
      <c r="D440" s="173"/>
      <c r="E440" s="173"/>
      <c r="F440" s="173"/>
      <c r="G440" s="173"/>
      <c r="H440" s="173"/>
      <c r="I440" s="173"/>
      <c r="J440" s="173"/>
      <c r="K440" s="173"/>
      <c r="L440" s="173"/>
      <c r="AM440" s="173"/>
      <c r="AN440" s="173"/>
      <c r="AZ440" s="337"/>
      <c r="BL440" s="349"/>
      <c r="BM440" s="300"/>
      <c r="BN440" s="300"/>
      <c r="BO440" s="300"/>
      <c r="BP440" s="300"/>
      <c r="BQ440" s="300"/>
      <c r="BR440" s="300"/>
      <c r="BS440" s="300"/>
      <c r="BT440" s="300"/>
      <c r="BU440" s="300"/>
      <c r="BV440" s="300"/>
      <c r="BW440" s="300"/>
      <c r="BX440" s="300"/>
      <c r="BY440" s="300"/>
      <c r="BZ440" s="300"/>
      <c r="CA440" s="300"/>
      <c r="CB440" s="300"/>
    </row>
    <row r="441" spans="1:80" s="27" customFormat="1" x14ac:dyDescent="0.3">
      <c r="A441" s="173"/>
      <c r="D441" s="173"/>
      <c r="E441" s="173"/>
      <c r="F441" s="173"/>
      <c r="G441" s="173"/>
      <c r="H441" s="173"/>
      <c r="I441" s="173"/>
      <c r="J441" s="173"/>
      <c r="K441" s="173"/>
      <c r="L441" s="173"/>
      <c r="AM441" s="173"/>
      <c r="AN441" s="173"/>
      <c r="AZ441" s="337"/>
      <c r="BL441" s="349"/>
      <c r="BM441" s="300"/>
      <c r="BN441" s="300"/>
      <c r="BO441" s="300"/>
      <c r="BP441" s="300"/>
      <c r="BQ441" s="300"/>
      <c r="BR441" s="300"/>
      <c r="BS441" s="300"/>
      <c r="BT441" s="300"/>
      <c r="BU441" s="300"/>
      <c r="BV441" s="300"/>
      <c r="BW441" s="300"/>
      <c r="BX441" s="300"/>
      <c r="BY441" s="300"/>
      <c r="BZ441" s="300"/>
      <c r="CA441" s="300"/>
      <c r="CB441" s="300"/>
    </row>
    <row r="442" spans="1:80" s="27" customFormat="1" x14ac:dyDescent="0.3">
      <c r="A442" s="173"/>
      <c r="D442" s="173"/>
      <c r="E442" s="173"/>
      <c r="F442" s="173"/>
      <c r="G442" s="173"/>
      <c r="H442" s="173"/>
      <c r="I442" s="173"/>
      <c r="J442" s="173"/>
      <c r="K442" s="173"/>
      <c r="L442" s="173"/>
      <c r="AM442" s="173"/>
      <c r="AN442" s="173"/>
      <c r="AZ442" s="337"/>
      <c r="BL442" s="349"/>
      <c r="BM442" s="300"/>
      <c r="BN442" s="300"/>
      <c r="BO442" s="300"/>
      <c r="BP442" s="300"/>
      <c r="BQ442" s="300"/>
      <c r="BR442" s="300"/>
      <c r="BS442" s="300"/>
      <c r="BT442" s="300"/>
      <c r="BU442" s="300"/>
      <c r="BV442" s="300"/>
      <c r="BW442" s="300"/>
      <c r="BX442" s="300"/>
      <c r="BY442" s="300"/>
      <c r="BZ442" s="300"/>
      <c r="CA442" s="300"/>
      <c r="CB442" s="300"/>
    </row>
    <row r="443" spans="1:80" s="27" customFormat="1" x14ac:dyDescent="0.3">
      <c r="A443" s="173"/>
      <c r="D443" s="173"/>
      <c r="E443" s="173"/>
      <c r="F443" s="173"/>
      <c r="G443" s="173"/>
      <c r="H443" s="173"/>
      <c r="I443" s="173"/>
      <c r="J443" s="173"/>
      <c r="K443" s="173"/>
      <c r="L443" s="173"/>
      <c r="AM443" s="173"/>
      <c r="AN443" s="173"/>
      <c r="AZ443" s="337"/>
      <c r="BL443" s="349"/>
      <c r="BM443" s="300"/>
      <c r="BN443" s="300"/>
      <c r="BO443" s="300"/>
      <c r="BP443" s="300"/>
      <c r="BQ443" s="300"/>
      <c r="BR443" s="300"/>
      <c r="BS443" s="300"/>
      <c r="BT443" s="300"/>
      <c r="BU443" s="300"/>
      <c r="BV443" s="300"/>
      <c r="BW443" s="300"/>
      <c r="BX443" s="300"/>
      <c r="BY443" s="300"/>
      <c r="BZ443" s="300"/>
      <c r="CA443" s="300"/>
      <c r="CB443" s="300"/>
    </row>
    <row r="444" spans="1:80" s="27" customFormat="1" x14ac:dyDescent="0.3">
      <c r="A444" s="173"/>
      <c r="D444" s="173"/>
      <c r="E444" s="173"/>
      <c r="F444" s="173"/>
      <c r="G444" s="173"/>
      <c r="H444" s="173"/>
      <c r="I444" s="173"/>
      <c r="J444" s="173"/>
      <c r="K444" s="173"/>
      <c r="L444" s="173"/>
      <c r="AM444" s="173"/>
      <c r="AN444" s="173"/>
      <c r="AZ444" s="337"/>
      <c r="BL444" s="349"/>
      <c r="BM444" s="300"/>
      <c r="BN444" s="300"/>
      <c r="BO444" s="300"/>
      <c r="BP444" s="300"/>
      <c r="BQ444" s="300"/>
      <c r="BR444" s="300"/>
      <c r="BS444" s="300"/>
      <c r="BT444" s="300"/>
      <c r="BU444" s="300"/>
      <c r="BV444" s="300"/>
      <c r="BW444" s="300"/>
      <c r="BX444" s="300"/>
      <c r="BY444" s="300"/>
      <c r="BZ444" s="300"/>
      <c r="CA444" s="300"/>
      <c r="CB444" s="300"/>
    </row>
    <row r="445" spans="1:80" s="27" customFormat="1" x14ac:dyDescent="0.3">
      <c r="A445" s="173"/>
      <c r="D445" s="173"/>
      <c r="E445" s="173"/>
      <c r="F445" s="173"/>
      <c r="G445" s="173"/>
      <c r="H445" s="173"/>
      <c r="I445" s="173"/>
      <c r="J445" s="173"/>
      <c r="K445" s="173"/>
      <c r="L445" s="173"/>
      <c r="AM445" s="173"/>
      <c r="AN445" s="173"/>
      <c r="AZ445" s="337"/>
      <c r="BL445" s="349"/>
      <c r="BM445" s="300"/>
      <c r="BN445" s="300"/>
      <c r="BO445" s="300"/>
      <c r="BP445" s="300"/>
      <c r="BQ445" s="300"/>
      <c r="BR445" s="300"/>
      <c r="BS445" s="300"/>
      <c r="BT445" s="300"/>
      <c r="BU445" s="300"/>
      <c r="BV445" s="300"/>
      <c r="BW445" s="300"/>
      <c r="BX445" s="300"/>
      <c r="BY445" s="300"/>
      <c r="BZ445" s="300"/>
      <c r="CA445" s="300"/>
      <c r="CB445" s="300"/>
    </row>
    <row r="446" spans="1:80" s="27" customFormat="1" x14ac:dyDescent="0.3">
      <c r="A446" s="173"/>
      <c r="D446" s="173"/>
      <c r="E446" s="173"/>
      <c r="F446" s="173"/>
      <c r="G446" s="173"/>
      <c r="H446" s="173"/>
      <c r="I446" s="173"/>
      <c r="J446" s="173"/>
      <c r="K446" s="173"/>
      <c r="L446" s="173"/>
      <c r="AM446" s="173"/>
      <c r="AN446" s="173"/>
      <c r="AZ446" s="337"/>
      <c r="BL446" s="349"/>
      <c r="BM446" s="300"/>
      <c r="BN446" s="300"/>
      <c r="BO446" s="300"/>
      <c r="BP446" s="300"/>
      <c r="BQ446" s="300"/>
      <c r="BR446" s="300"/>
      <c r="BS446" s="300"/>
      <c r="BT446" s="300"/>
      <c r="BU446" s="300"/>
      <c r="BV446" s="300"/>
      <c r="BW446" s="300"/>
      <c r="BX446" s="300"/>
      <c r="BY446" s="300"/>
      <c r="BZ446" s="300"/>
      <c r="CA446" s="300"/>
      <c r="CB446" s="300"/>
    </row>
    <row r="447" spans="1:80" s="27" customFormat="1" x14ac:dyDescent="0.3">
      <c r="A447" s="173"/>
      <c r="D447" s="173"/>
      <c r="E447" s="173"/>
      <c r="F447" s="173"/>
      <c r="G447" s="173"/>
      <c r="H447" s="173"/>
      <c r="I447" s="173"/>
      <c r="J447" s="173"/>
      <c r="K447" s="173"/>
      <c r="L447" s="173"/>
      <c r="AM447" s="173"/>
      <c r="AN447" s="173"/>
      <c r="AZ447" s="337"/>
      <c r="BL447" s="349"/>
      <c r="BM447" s="300"/>
      <c r="BN447" s="300"/>
      <c r="BO447" s="300"/>
      <c r="BP447" s="300"/>
      <c r="BQ447" s="300"/>
      <c r="BR447" s="300"/>
      <c r="BS447" s="300"/>
      <c r="BT447" s="300"/>
      <c r="BU447" s="300"/>
      <c r="BV447" s="300"/>
      <c r="BW447" s="300"/>
      <c r="BX447" s="300"/>
      <c r="BY447" s="300"/>
      <c r="BZ447" s="300"/>
      <c r="CA447" s="300"/>
      <c r="CB447" s="300"/>
    </row>
    <row r="448" spans="1:80" s="27" customFormat="1" x14ac:dyDescent="0.3">
      <c r="A448" s="173"/>
      <c r="D448" s="173"/>
      <c r="E448" s="173"/>
      <c r="F448" s="173"/>
      <c r="G448" s="173"/>
      <c r="H448" s="173"/>
      <c r="I448" s="173"/>
      <c r="J448" s="173"/>
      <c r="K448" s="173"/>
      <c r="L448" s="173"/>
      <c r="AM448" s="173"/>
      <c r="AN448" s="173"/>
      <c r="AZ448" s="337"/>
      <c r="BL448" s="349"/>
      <c r="BM448" s="300"/>
      <c r="BN448" s="300"/>
      <c r="BO448" s="300"/>
      <c r="BP448" s="300"/>
      <c r="BQ448" s="300"/>
      <c r="BR448" s="300"/>
      <c r="BS448" s="300"/>
      <c r="BT448" s="300"/>
      <c r="BU448" s="300"/>
      <c r="BV448" s="300"/>
      <c r="BW448" s="300"/>
      <c r="BX448" s="300"/>
      <c r="BY448" s="300"/>
      <c r="BZ448" s="300"/>
      <c r="CA448" s="300"/>
      <c r="CB448" s="300"/>
    </row>
    <row r="449" spans="1:80" s="27" customFormat="1" x14ac:dyDescent="0.3">
      <c r="A449" s="173"/>
      <c r="D449" s="173"/>
      <c r="E449" s="173"/>
      <c r="F449" s="173"/>
      <c r="G449" s="173"/>
      <c r="H449" s="173"/>
      <c r="I449" s="173"/>
      <c r="J449" s="173"/>
      <c r="K449" s="173"/>
      <c r="L449" s="173"/>
      <c r="AM449" s="173"/>
      <c r="AN449" s="173"/>
      <c r="AZ449" s="337"/>
      <c r="BL449" s="349"/>
      <c r="BM449" s="300"/>
      <c r="BN449" s="300"/>
      <c r="BO449" s="300"/>
      <c r="BP449" s="300"/>
      <c r="BQ449" s="300"/>
      <c r="BR449" s="300"/>
      <c r="BS449" s="300"/>
      <c r="BT449" s="300"/>
      <c r="BU449" s="300"/>
      <c r="BV449" s="300"/>
      <c r="BW449" s="300"/>
      <c r="BX449" s="300"/>
      <c r="BY449" s="300"/>
      <c r="BZ449" s="300"/>
      <c r="CA449" s="300"/>
      <c r="CB449" s="300"/>
    </row>
    <row r="450" spans="1:80" s="27" customFormat="1" x14ac:dyDescent="0.3">
      <c r="A450" s="173"/>
      <c r="D450" s="173"/>
      <c r="E450" s="173"/>
      <c r="F450" s="173"/>
      <c r="G450" s="173"/>
      <c r="H450" s="173"/>
      <c r="I450" s="173"/>
      <c r="J450" s="173"/>
      <c r="K450" s="173"/>
      <c r="L450" s="173"/>
      <c r="AM450" s="173"/>
      <c r="AN450" s="173"/>
      <c r="AZ450" s="337"/>
      <c r="BL450" s="349"/>
      <c r="BM450" s="300"/>
      <c r="BN450" s="300"/>
      <c r="BO450" s="300"/>
      <c r="BP450" s="300"/>
      <c r="BQ450" s="300"/>
      <c r="BR450" s="300"/>
      <c r="BS450" s="300"/>
      <c r="BT450" s="300"/>
      <c r="BU450" s="300"/>
      <c r="BV450" s="300"/>
      <c r="BW450" s="300"/>
      <c r="BX450" s="300"/>
      <c r="BY450" s="300"/>
      <c r="BZ450" s="300"/>
      <c r="CA450" s="300"/>
      <c r="CB450" s="300"/>
    </row>
    <row r="451" spans="1:80" s="27" customFormat="1" x14ac:dyDescent="0.3">
      <c r="A451" s="173"/>
      <c r="D451" s="173"/>
      <c r="E451" s="173"/>
      <c r="F451" s="173"/>
      <c r="G451" s="173"/>
      <c r="H451" s="173"/>
      <c r="I451" s="173"/>
      <c r="J451" s="173"/>
      <c r="K451" s="173"/>
      <c r="L451" s="173"/>
      <c r="AM451" s="173"/>
      <c r="AN451" s="173"/>
      <c r="AZ451" s="337"/>
      <c r="BL451" s="349"/>
      <c r="BM451" s="300"/>
      <c r="BN451" s="300"/>
      <c r="BO451" s="300"/>
      <c r="BP451" s="300"/>
      <c r="BQ451" s="300"/>
      <c r="BR451" s="300"/>
      <c r="BS451" s="300"/>
      <c r="BT451" s="300"/>
      <c r="BU451" s="300"/>
      <c r="BV451" s="300"/>
      <c r="BW451" s="300"/>
      <c r="BX451" s="300"/>
      <c r="BY451" s="300"/>
      <c r="BZ451" s="300"/>
      <c r="CA451" s="300"/>
      <c r="CB451" s="300"/>
    </row>
    <row r="452" spans="1:80" s="27" customFormat="1" x14ac:dyDescent="0.3">
      <c r="A452" s="173"/>
      <c r="D452" s="173"/>
      <c r="E452" s="173"/>
      <c r="F452" s="173"/>
      <c r="G452" s="173"/>
      <c r="H452" s="173"/>
      <c r="I452" s="173"/>
      <c r="J452" s="173"/>
      <c r="K452" s="173"/>
      <c r="L452" s="173"/>
      <c r="AM452" s="173"/>
      <c r="AN452" s="173"/>
      <c r="AZ452" s="337"/>
      <c r="BL452" s="349"/>
      <c r="BM452" s="300"/>
      <c r="BN452" s="300"/>
      <c r="BO452" s="300"/>
      <c r="BP452" s="300"/>
      <c r="BQ452" s="300"/>
      <c r="BR452" s="300"/>
      <c r="BS452" s="300"/>
      <c r="BT452" s="300"/>
      <c r="BU452" s="300"/>
      <c r="BV452" s="300"/>
      <c r="BW452" s="300"/>
      <c r="BX452" s="300"/>
      <c r="BY452" s="300"/>
      <c r="BZ452" s="300"/>
      <c r="CA452" s="300"/>
      <c r="CB452" s="300"/>
    </row>
    <row r="453" spans="1:80" s="27" customFormat="1" x14ac:dyDescent="0.3">
      <c r="A453" s="173"/>
      <c r="D453" s="173"/>
      <c r="E453" s="173"/>
      <c r="F453" s="173"/>
      <c r="G453" s="173"/>
      <c r="H453" s="173"/>
      <c r="I453" s="173"/>
      <c r="J453" s="173"/>
      <c r="K453" s="173"/>
      <c r="L453" s="173"/>
      <c r="AM453" s="173"/>
      <c r="AN453" s="173"/>
      <c r="AZ453" s="337"/>
      <c r="BL453" s="349"/>
      <c r="BM453" s="300"/>
      <c r="BN453" s="300"/>
      <c r="BO453" s="300"/>
      <c r="BP453" s="300"/>
      <c r="BQ453" s="300"/>
      <c r="BR453" s="300"/>
      <c r="BS453" s="300"/>
      <c r="BT453" s="300"/>
      <c r="BU453" s="300"/>
      <c r="BV453" s="300"/>
      <c r="BW453" s="300"/>
      <c r="BX453" s="300"/>
      <c r="BY453" s="300"/>
      <c r="BZ453" s="300"/>
      <c r="CA453" s="300"/>
      <c r="CB453" s="300"/>
    </row>
    <row r="454" spans="1:80" s="27" customFormat="1" x14ac:dyDescent="0.3">
      <c r="A454" s="173"/>
      <c r="D454" s="173"/>
      <c r="E454" s="173"/>
      <c r="F454" s="173"/>
      <c r="G454" s="173"/>
      <c r="H454" s="173"/>
      <c r="I454" s="173"/>
      <c r="J454" s="173"/>
      <c r="K454" s="173"/>
      <c r="L454" s="173"/>
      <c r="AM454" s="173"/>
      <c r="AN454" s="173"/>
      <c r="AZ454" s="337"/>
      <c r="BL454" s="349"/>
      <c r="BM454" s="300"/>
      <c r="BN454" s="300"/>
      <c r="BO454" s="300"/>
      <c r="BP454" s="300"/>
      <c r="BQ454" s="300"/>
      <c r="BR454" s="300"/>
      <c r="BS454" s="300"/>
      <c r="BT454" s="300"/>
      <c r="BU454" s="300"/>
      <c r="BV454" s="300"/>
      <c r="BW454" s="300"/>
      <c r="BX454" s="300"/>
      <c r="BY454" s="300"/>
      <c r="BZ454" s="300"/>
      <c r="CA454" s="300"/>
      <c r="CB454" s="300"/>
    </row>
    <row r="455" spans="1:80" s="27" customFormat="1" x14ac:dyDescent="0.3">
      <c r="A455" s="173"/>
      <c r="D455" s="173"/>
      <c r="E455" s="173"/>
      <c r="F455" s="173"/>
      <c r="G455" s="173"/>
      <c r="H455" s="173"/>
      <c r="I455" s="173"/>
      <c r="J455" s="173"/>
      <c r="K455" s="173"/>
      <c r="L455" s="173"/>
      <c r="AM455" s="173"/>
      <c r="AN455" s="173"/>
      <c r="AZ455" s="337"/>
      <c r="BL455" s="349"/>
      <c r="BM455" s="300"/>
      <c r="BN455" s="300"/>
      <c r="BO455" s="300"/>
      <c r="BP455" s="300"/>
      <c r="BQ455" s="300"/>
      <c r="BR455" s="300"/>
      <c r="BS455" s="300"/>
      <c r="BT455" s="300"/>
      <c r="BU455" s="300"/>
      <c r="BV455" s="300"/>
      <c r="BW455" s="300"/>
      <c r="BX455" s="300"/>
      <c r="BY455" s="300"/>
      <c r="BZ455" s="300"/>
      <c r="CA455" s="300"/>
      <c r="CB455" s="300"/>
    </row>
    <row r="456" spans="1:80" s="27" customFormat="1" x14ac:dyDescent="0.3">
      <c r="A456" s="173"/>
      <c r="D456" s="173"/>
      <c r="E456" s="173"/>
      <c r="F456" s="173"/>
      <c r="G456" s="173"/>
      <c r="H456" s="173"/>
      <c r="I456" s="173"/>
      <c r="J456" s="173"/>
      <c r="K456" s="173"/>
      <c r="L456" s="173"/>
      <c r="AM456" s="173"/>
      <c r="AN456" s="173"/>
      <c r="AZ456" s="337"/>
      <c r="BL456" s="349"/>
      <c r="BM456" s="300"/>
      <c r="BN456" s="300"/>
      <c r="BO456" s="300"/>
      <c r="BP456" s="300"/>
      <c r="BQ456" s="300"/>
      <c r="BR456" s="300"/>
      <c r="BS456" s="300"/>
      <c r="BT456" s="300"/>
      <c r="BU456" s="300"/>
      <c r="BV456" s="300"/>
      <c r="BW456" s="300"/>
      <c r="BX456" s="300"/>
      <c r="BY456" s="300"/>
      <c r="BZ456" s="300"/>
      <c r="CA456" s="300"/>
      <c r="CB456" s="300"/>
    </row>
    <row r="457" spans="1:80" s="27" customFormat="1" x14ac:dyDescent="0.3">
      <c r="A457" s="173"/>
      <c r="D457" s="173"/>
      <c r="E457" s="173"/>
      <c r="F457" s="173"/>
      <c r="G457" s="173"/>
      <c r="H457" s="173"/>
      <c r="I457" s="173"/>
      <c r="J457" s="173"/>
      <c r="K457" s="173"/>
      <c r="L457" s="173"/>
      <c r="AM457" s="173"/>
      <c r="AN457" s="173"/>
      <c r="AZ457" s="337"/>
      <c r="BL457" s="349"/>
      <c r="BM457" s="300"/>
      <c r="BN457" s="300"/>
      <c r="BO457" s="300"/>
      <c r="BP457" s="300"/>
      <c r="BQ457" s="300"/>
      <c r="BR457" s="300"/>
      <c r="BS457" s="300"/>
      <c r="BT457" s="300"/>
      <c r="BU457" s="300"/>
      <c r="BV457" s="300"/>
      <c r="BW457" s="300"/>
      <c r="BX457" s="300"/>
      <c r="BY457" s="300"/>
      <c r="BZ457" s="300"/>
      <c r="CA457" s="300"/>
      <c r="CB457" s="300"/>
    </row>
    <row r="458" spans="1:80" s="27" customFormat="1" x14ac:dyDescent="0.3">
      <c r="A458" s="173"/>
      <c r="D458" s="173"/>
      <c r="E458" s="173"/>
      <c r="F458" s="173"/>
      <c r="G458" s="173"/>
      <c r="H458" s="173"/>
      <c r="I458" s="173"/>
      <c r="J458" s="173"/>
      <c r="K458" s="173"/>
      <c r="L458" s="173"/>
      <c r="AM458" s="173"/>
      <c r="AN458" s="173"/>
      <c r="AZ458" s="337"/>
      <c r="BL458" s="349"/>
      <c r="BM458" s="300"/>
      <c r="BN458" s="300"/>
      <c r="BO458" s="300"/>
      <c r="BP458" s="300"/>
      <c r="BQ458" s="300"/>
      <c r="BR458" s="300"/>
      <c r="BS458" s="300"/>
      <c r="BT458" s="300"/>
      <c r="BU458" s="300"/>
      <c r="BV458" s="300"/>
      <c r="BW458" s="300"/>
      <c r="BX458" s="300"/>
      <c r="BY458" s="300"/>
      <c r="BZ458" s="300"/>
      <c r="CA458" s="300"/>
      <c r="CB458" s="300"/>
    </row>
    <row r="459" spans="1:80" s="27" customFormat="1" x14ac:dyDescent="0.3">
      <c r="A459" s="173"/>
      <c r="D459" s="173"/>
      <c r="E459" s="173"/>
      <c r="F459" s="173"/>
      <c r="G459" s="173"/>
      <c r="H459" s="173"/>
      <c r="I459" s="173"/>
      <c r="J459" s="173"/>
      <c r="K459" s="173"/>
      <c r="L459" s="173"/>
      <c r="AM459" s="173"/>
      <c r="AN459" s="173"/>
      <c r="AZ459" s="337"/>
      <c r="BL459" s="349"/>
      <c r="BM459" s="300"/>
      <c r="BN459" s="300"/>
      <c r="BO459" s="300"/>
      <c r="BP459" s="300"/>
      <c r="BQ459" s="300"/>
      <c r="BR459" s="300"/>
      <c r="BS459" s="300"/>
      <c r="BT459" s="300"/>
      <c r="BU459" s="300"/>
      <c r="BV459" s="300"/>
      <c r="BW459" s="300"/>
      <c r="BX459" s="300"/>
      <c r="BY459" s="300"/>
      <c r="BZ459" s="300"/>
      <c r="CA459" s="300"/>
      <c r="CB459" s="300"/>
    </row>
    <row r="460" spans="1:80" s="27" customFormat="1" x14ac:dyDescent="0.3">
      <c r="A460" s="173"/>
      <c r="D460" s="173"/>
      <c r="E460" s="173"/>
      <c r="F460" s="173"/>
      <c r="G460" s="173"/>
      <c r="H460" s="173"/>
      <c r="I460" s="173"/>
      <c r="J460" s="173"/>
      <c r="K460" s="173"/>
      <c r="L460" s="173"/>
      <c r="AM460" s="173"/>
      <c r="AN460" s="173"/>
      <c r="AZ460" s="337"/>
      <c r="BL460" s="349"/>
      <c r="BM460" s="300"/>
      <c r="BN460" s="300"/>
      <c r="BO460" s="300"/>
      <c r="BP460" s="300"/>
      <c r="BQ460" s="300"/>
      <c r="BR460" s="300"/>
      <c r="BS460" s="300"/>
      <c r="BT460" s="300"/>
      <c r="BU460" s="300"/>
      <c r="BV460" s="300"/>
      <c r="BW460" s="300"/>
      <c r="BX460" s="300"/>
      <c r="BY460" s="300"/>
      <c r="BZ460" s="300"/>
      <c r="CA460" s="300"/>
      <c r="CB460" s="300"/>
    </row>
    <row r="461" spans="1:80" s="27" customFormat="1" x14ac:dyDescent="0.3">
      <c r="A461" s="173"/>
      <c r="D461" s="173"/>
      <c r="E461" s="173"/>
      <c r="F461" s="173"/>
      <c r="G461" s="173"/>
      <c r="H461" s="173"/>
      <c r="I461" s="173"/>
      <c r="J461" s="173"/>
      <c r="K461" s="173"/>
      <c r="L461" s="173"/>
      <c r="AM461" s="173"/>
      <c r="AN461" s="173"/>
      <c r="AZ461" s="337"/>
      <c r="BL461" s="349"/>
      <c r="BM461" s="300"/>
      <c r="BN461" s="300"/>
      <c r="BO461" s="300"/>
      <c r="BP461" s="300"/>
      <c r="BQ461" s="300"/>
      <c r="BR461" s="300"/>
      <c r="BS461" s="300"/>
      <c r="BT461" s="300"/>
      <c r="BU461" s="300"/>
      <c r="BV461" s="300"/>
      <c r="BW461" s="300"/>
      <c r="BX461" s="300"/>
      <c r="BY461" s="300"/>
      <c r="BZ461" s="300"/>
      <c r="CA461" s="300"/>
      <c r="CB461" s="300"/>
    </row>
    <row r="462" spans="1:80" s="27" customFormat="1" x14ac:dyDescent="0.3">
      <c r="A462" s="173"/>
      <c r="D462" s="173"/>
      <c r="E462" s="173"/>
      <c r="F462" s="173"/>
      <c r="G462" s="173"/>
      <c r="H462" s="173"/>
      <c r="I462" s="173"/>
      <c r="J462" s="173"/>
      <c r="K462" s="173"/>
      <c r="L462" s="173"/>
      <c r="AM462" s="173"/>
      <c r="AN462" s="173"/>
      <c r="AZ462" s="337"/>
      <c r="BL462" s="349"/>
      <c r="BM462" s="300"/>
      <c r="BN462" s="300"/>
      <c r="BO462" s="300"/>
      <c r="BP462" s="300"/>
      <c r="BQ462" s="300"/>
      <c r="BR462" s="300"/>
      <c r="BS462" s="300"/>
      <c r="BT462" s="300"/>
      <c r="BU462" s="300"/>
      <c r="BV462" s="300"/>
      <c r="BW462" s="300"/>
      <c r="BX462" s="300"/>
      <c r="BY462" s="300"/>
      <c r="BZ462" s="300"/>
      <c r="CA462" s="300"/>
      <c r="CB462" s="300"/>
    </row>
    <row r="463" spans="1:80" s="27" customFormat="1" x14ac:dyDescent="0.3">
      <c r="A463" s="173"/>
      <c r="D463" s="173"/>
      <c r="E463" s="173"/>
      <c r="F463" s="173"/>
      <c r="G463" s="173"/>
      <c r="H463" s="173"/>
      <c r="I463" s="173"/>
      <c r="J463" s="173"/>
      <c r="K463" s="173"/>
      <c r="L463" s="173"/>
      <c r="AM463" s="173"/>
      <c r="AN463" s="173"/>
      <c r="AZ463" s="337"/>
      <c r="BL463" s="349"/>
      <c r="BM463" s="300"/>
      <c r="BN463" s="300"/>
      <c r="BO463" s="300"/>
      <c r="BP463" s="300"/>
      <c r="BQ463" s="300"/>
      <c r="BR463" s="300"/>
      <c r="BS463" s="300"/>
      <c r="BT463" s="300"/>
      <c r="BU463" s="300"/>
      <c r="BV463" s="300"/>
      <c r="BW463" s="300"/>
      <c r="BX463" s="300"/>
      <c r="BY463" s="300"/>
      <c r="BZ463" s="300"/>
      <c r="CA463" s="300"/>
      <c r="CB463" s="300"/>
    </row>
    <row r="464" spans="1:80" s="27" customFormat="1" x14ac:dyDescent="0.3">
      <c r="A464" s="173"/>
      <c r="D464" s="173"/>
      <c r="E464" s="173"/>
      <c r="F464" s="173"/>
      <c r="G464" s="173"/>
      <c r="H464" s="173"/>
      <c r="I464" s="173"/>
      <c r="J464" s="173"/>
      <c r="K464" s="173"/>
      <c r="L464" s="173"/>
      <c r="AM464" s="173"/>
      <c r="AN464" s="173"/>
      <c r="AZ464" s="337"/>
      <c r="BL464" s="349"/>
      <c r="BM464" s="300"/>
      <c r="BN464" s="300"/>
      <c r="BO464" s="300"/>
      <c r="BP464" s="300"/>
      <c r="BQ464" s="300"/>
      <c r="BR464" s="300"/>
      <c r="BS464" s="300"/>
      <c r="BT464" s="300"/>
      <c r="BU464" s="300"/>
      <c r="BV464" s="300"/>
      <c r="BW464" s="300"/>
      <c r="BX464" s="300"/>
      <c r="BY464" s="300"/>
      <c r="BZ464" s="300"/>
      <c r="CA464" s="300"/>
      <c r="CB464" s="300"/>
    </row>
    <row r="465" spans="1:80" s="27" customFormat="1" x14ac:dyDescent="0.3">
      <c r="A465" s="173"/>
      <c r="D465" s="173"/>
      <c r="E465" s="173"/>
      <c r="F465" s="173"/>
      <c r="G465" s="173"/>
      <c r="H465" s="173"/>
      <c r="I465" s="173"/>
      <c r="J465" s="173"/>
      <c r="K465" s="173"/>
      <c r="L465" s="173"/>
      <c r="AM465" s="173"/>
      <c r="AN465" s="173"/>
      <c r="AZ465" s="337"/>
      <c r="BL465" s="349"/>
      <c r="BM465" s="300"/>
      <c r="BN465" s="300"/>
      <c r="BO465" s="300"/>
      <c r="BP465" s="300"/>
      <c r="BQ465" s="300"/>
      <c r="BR465" s="300"/>
      <c r="BS465" s="300"/>
      <c r="BT465" s="300"/>
      <c r="BU465" s="300"/>
      <c r="BV465" s="300"/>
      <c r="BW465" s="300"/>
      <c r="BX465" s="300"/>
      <c r="BY465" s="300"/>
      <c r="BZ465" s="300"/>
      <c r="CA465" s="300"/>
      <c r="CB465" s="300"/>
    </row>
    <row r="466" spans="1:80" s="27" customFormat="1" x14ac:dyDescent="0.3">
      <c r="A466" s="173"/>
      <c r="D466" s="173"/>
      <c r="E466" s="173"/>
      <c r="F466" s="173"/>
      <c r="G466" s="173"/>
      <c r="H466" s="173"/>
      <c r="I466" s="173"/>
      <c r="J466" s="173"/>
      <c r="K466" s="173"/>
      <c r="L466" s="173"/>
      <c r="AM466" s="173"/>
      <c r="AN466" s="173"/>
      <c r="AZ466" s="337"/>
      <c r="BL466" s="349"/>
      <c r="BM466" s="300"/>
      <c r="BN466" s="300"/>
      <c r="BO466" s="300"/>
      <c r="BP466" s="300"/>
      <c r="BQ466" s="300"/>
      <c r="BR466" s="300"/>
      <c r="BS466" s="300"/>
      <c r="BT466" s="300"/>
      <c r="BU466" s="300"/>
      <c r="BV466" s="300"/>
      <c r="BW466" s="300"/>
      <c r="BX466" s="300"/>
      <c r="BY466" s="300"/>
      <c r="BZ466" s="300"/>
      <c r="CA466" s="300"/>
      <c r="CB466" s="300"/>
    </row>
    <row r="467" spans="1:80" s="27" customFormat="1" x14ac:dyDescent="0.3">
      <c r="A467" s="173"/>
      <c r="D467" s="173"/>
      <c r="E467" s="173"/>
      <c r="F467" s="173"/>
      <c r="G467" s="173"/>
      <c r="H467" s="173"/>
      <c r="I467" s="173"/>
      <c r="J467" s="173"/>
      <c r="K467" s="173"/>
      <c r="L467" s="173"/>
      <c r="AM467" s="173"/>
      <c r="AN467" s="173"/>
      <c r="AZ467" s="337"/>
      <c r="BL467" s="349"/>
      <c r="BM467" s="300"/>
      <c r="BN467" s="300"/>
      <c r="BO467" s="300"/>
      <c r="BP467" s="300"/>
      <c r="BQ467" s="300"/>
      <c r="BR467" s="300"/>
      <c r="BS467" s="300"/>
      <c r="BT467" s="300"/>
      <c r="BU467" s="300"/>
      <c r="BV467" s="300"/>
      <c r="BW467" s="300"/>
      <c r="BX467" s="300"/>
      <c r="BY467" s="300"/>
      <c r="BZ467" s="300"/>
      <c r="CA467" s="300"/>
      <c r="CB467" s="300"/>
    </row>
    <row r="468" spans="1:80" s="27" customFormat="1" x14ac:dyDescent="0.3">
      <c r="A468" s="173"/>
      <c r="D468" s="173"/>
      <c r="E468" s="173"/>
      <c r="F468" s="173"/>
      <c r="G468" s="173"/>
      <c r="H468" s="173"/>
      <c r="I468" s="173"/>
      <c r="J468" s="173"/>
      <c r="K468" s="173"/>
      <c r="L468" s="173"/>
      <c r="AM468" s="173"/>
      <c r="AN468" s="173"/>
      <c r="AZ468" s="337"/>
      <c r="BL468" s="349"/>
      <c r="BM468" s="300"/>
      <c r="BN468" s="300"/>
      <c r="BO468" s="300"/>
      <c r="BP468" s="300"/>
      <c r="BQ468" s="300"/>
      <c r="BR468" s="300"/>
      <c r="BS468" s="300"/>
      <c r="BT468" s="300"/>
      <c r="BU468" s="300"/>
      <c r="BV468" s="300"/>
      <c r="BW468" s="300"/>
      <c r="BX468" s="300"/>
      <c r="BY468" s="300"/>
      <c r="BZ468" s="300"/>
      <c r="CA468" s="300"/>
      <c r="CB468" s="300"/>
    </row>
    <row r="469" spans="1:80" s="27" customFormat="1" x14ac:dyDescent="0.3">
      <c r="A469" s="173"/>
      <c r="D469" s="173"/>
      <c r="E469" s="173"/>
      <c r="F469" s="173"/>
      <c r="G469" s="173"/>
      <c r="H469" s="173"/>
      <c r="I469" s="173"/>
      <c r="J469" s="173"/>
      <c r="K469" s="173"/>
      <c r="L469" s="173"/>
      <c r="AM469" s="173"/>
      <c r="AN469" s="173"/>
      <c r="AZ469" s="337"/>
      <c r="BL469" s="349"/>
      <c r="BM469" s="300"/>
      <c r="BN469" s="300"/>
      <c r="BO469" s="300"/>
      <c r="BP469" s="300"/>
      <c r="BQ469" s="300"/>
      <c r="BR469" s="300"/>
      <c r="BS469" s="300"/>
      <c r="BT469" s="300"/>
      <c r="BU469" s="300"/>
      <c r="BV469" s="300"/>
      <c r="BW469" s="300"/>
      <c r="BX469" s="300"/>
      <c r="BY469" s="300"/>
      <c r="BZ469" s="300"/>
      <c r="CA469" s="300"/>
      <c r="CB469" s="300"/>
    </row>
    <row r="470" spans="1:80" s="27" customFormat="1" x14ac:dyDescent="0.3">
      <c r="A470" s="173"/>
      <c r="D470" s="173"/>
      <c r="E470" s="173"/>
      <c r="F470" s="173"/>
      <c r="G470" s="173"/>
      <c r="H470" s="173"/>
      <c r="I470" s="173"/>
      <c r="J470" s="173"/>
      <c r="K470" s="173"/>
      <c r="L470" s="173"/>
      <c r="AM470" s="173"/>
      <c r="AN470" s="173"/>
      <c r="AZ470" s="337"/>
      <c r="BL470" s="349"/>
      <c r="BM470" s="300"/>
      <c r="BN470" s="300"/>
      <c r="BO470" s="300"/>
      <c r="BP470" s="300"/>
      <c r="BQ470" s="300"/>
      <c r="BR470" s="300"/>
      <c r="BS470" s="300"/>
      <c r="BT470" s="300"/>
      <c r="BU470" s="300"/>
      <c r="BV470" s="300"/>
      <c r="BW470" s="300"/>
      <c r="BX470" s="300"/>
      <c r="BY470" s="300"/>
      <c r="BZ470" s="300"/>
      <c r="CA470" s="300"/>
      <c r="CB470" s="300"/>
    </row>
    <row r="471" spans="1:80" s="27" customFormat="1" x14ac:dyDescent="0.3">
      <c r="A471" s="173"/>
      <c r="D471" s="173"/>
      <c r="E471" s="173"/>
      <c r="F471" s="173"/>
      <c r="G471" s="173"/>
      <c r="H471" s="173"/>
      <c r="I471" s="173"/>
      <c r="J471" s="173"/>
      <c r="K471" s="173"/>
      <c r="L471" s="173"/>
      <c r="AM471" s="173"/>
      <c r="AN471" s="173"/>
      <c r="AZ471" s="337"/>
      <c r="BL471" s="349"/>
      <c r="BM471" s="300"/>
      <c r="BN471" s="300"/>
      <c r="BO471" s="300"/>
      <c r="BP471" s="300"/>
      <c r="BQ471" s="300"/>
      <c r="BR471" s="300"/>
      <c r="BS471" s="300"/>
      <c r="BT471" s="300"/>
      <c r="BU471" s="300"/>
      <c r="BV471" s="300"/>
      <c r="BW471" s="300"/>
      <c r="BX471" s="300"/>
      <c r="BY471" s="300"/>
      <c r="BZ471" s="300"/>
      <c r="CA471" s="300"/>
      <c r="CB471" s="300"/>
    </row>
    <row r="472" spans="1:80" s="27" customFormat="1" x14ac:dyDescent="0.3">
      <c r="A472" s="173"/>
      <c r="D472" s="173"/>
      <c r="E472" s="173"/>
      <c r="F472" s="173"/>
      <c r="G472" s="173"/>
      <c r="H472" s="173"/>
      <c r="I472" s="173"/>
      <c r="J472" s="173"/>
      <c r="K472" s="173"/>
      <c r="L472" s="173"/>
      <c r="AM472" s="173"/>
      <c r="AN472" s="173"/>
      <c r="AZ472" s="337"/>
      <c r="BL472" s="349"/>
      <c r="BM472" s="300"/>
      <c r="BN472" s="300"/>
      <c r="BO472" s="300"/>
      <c r="BP472" s="300"/>
      <c r="BQ472" s="300"/>
      <c r="BR472" s="300"/>
      <c r="BS472" s="300"/>
      <c r="BT472" s="300"/>
      <c r="BU472" s="300"/>
      <c r="BV472" s="300"/>
      <c r="BW472" s="300"/>
      <c r="BX472" s="300"/>
      <c r="BY472" s="300"/>
      <c r="BZ472" s="300"/>
      <c r="CA472" s="300"/>
      <c r="CB472" s="300"/>
    </row>
    <row r="473" spans="1:80" s="27" customFormat="1" x14ac:dyDescent="0.3">
      <c r="A473" s="173"/>
      <c r="D473" s="173"/>
      <c r="E473" s="173"/>
      <c r="F473" s="173"/>
      <c r="G473" s="173"/>
      <c r="H473" s="173"/>
      <c r="I473" s="173"/>
      <c r="J473" s="173"/>
      <c r="K473" s="173"/>
      <c r="L473" s="173"/>
      <c r="AM473" s="173"/>
      <c r="AN473" s="173"/>
      <c r="AZ473" s="337"/>
      <c r="BL473" s="349"/>
      <c r="BM473" s="300"/>
      <c r="BN473" s="300"/>
      <c r="BO473" s="300"/>
      <c r="BP473" s="300"/>
      <c r="BQ473" s="300"/>
      <c r="BR473" s="300"/>
      <c r="BS473" s="300"/>
      <c r="BT473" s="300"/>
      <c r="BU473" s="300"/>
      <c r="BV473" s="300"/>
      <c r="BW473" s="300"/>
      <c r="BX473" s="300"/>
      <c r="BY473" s="300"/>
      <c r="BZ473" s="300"/>
      <c r="CA473" s="300"/>
      <c r="CB473" s="300"/>
    </row>
    <row r="474" spans="1:80" s="27" customFormat="1" x14ac:dyDescent="0.3">
      <c r="A474" s="173"/>
      <c r="D474" s="173"/>
      <c r="E474" s="173"/>
      <c r="F474" s="173"/>
      <c r="G474" s="173"/>
      <c r="H474" s="173"/>
      <c r="I474" s="173"/>
      <c r="J474" s="173"/>
      <c r="K474" s="173"/>
      <c r="L474" s="173"/>
      <c r="AM474" s="173"/>
      <c r="AN474" s="173"/>
      <c r="AZ474" s="337"/>
      <c r="BL474" s="349"/>
      <c r="BM474" s="300"/>
      <c r="BN474" s="300"/>
      <c r="BO474" s="300"/>
      <c r="BP474" s="300"/>
      <c r="BQ474" s="300"/>
      <c r="BR474" s="300"/>
      <c r="BS474" s="300"/>
      <c r="BT474" s="300"/>
      <c r="BU474" s="300"/>
      <c r="BV474" s="300"/>
      <c r="BW474" s="300"/>
      <c r="BX474" s="300"/>
      <c r="BY474" s="300"/>
      <c r="BZ474" s="300"/>
      <c r="CA474" s="300"/>
      <c r="CB474" s="300"/>
    </row>
    <row r="475" spans="1:80" s="27" customFormat="1" x14ac:dyDescent="0.3">
      <c r="A475" s="173"/>
      <c r="D475" s="173"/>
      <c r="E475" s="173"/>
      <c r="F475" s="173"/>
      <c r="G475" s="173"/>
      <c r="H475" s="173"/>
      <c r="I475" s="173"/>
      <c r="J475" s="173"/>
      <c r="K475" s="173"/>
      <c r="L475" s="173"/>
      <c r="AM475" s="173"/>
      <c r="AN475" s="173"/>
      <c r="AZ475" s="337"/>
      <c r="BL475" s="349"/>
      <c r="BM475" s="300"/>
      <c r="BN475" s="300"/>
      <c r="BO475" s="300"/>
      <c r="BP475" s="300"/>
      <c r="BQ475" s="300"/>
      <c r="BR475" s="300"/>
      <c r="BS475" s="300"/>
      <c r="BT475" s="300"/>
      <c r="BU475" s="300"/>
      <c r="BV475" s="300"/>
      <c r="BW475" s="300"/>
      <c r="BX475" s="300"/>
      <c r="BY475" s="300"/>
      <c r="BZ475" s="300"/>
      <c r="CA475" s="300"/>
      <c r="CB475" s="300"/>
    </row>
    <row r="476" spans="1:80" s="27" customFormat="1" x14ac:dyDescent="0.3">
      <c r="A476" s="173"/>
      <c r="D476" s="173"/>
      <c r="E476" s="173"/>
      <c r="F476" s="173"/>
      <c r="G476" s="173"/>
      <c r="H476" s="173"/>
      <c r="I476" s="173"/>
      <c r="J476" s="173"/>
      <c r="K476" s="173"/>
      <c r="L476" s="173"/>
      <c r="AM476" s="173"/>
      <c r="AN476" s="173"/>
      <c r="AZ476" s="337"/>
      <c r="BL476" s="349"/>
      <c r="BM476" s="300"/>
      <c r="BN476" s="300"/>
      <c r="BO476" s="300"/>
      <c r="BP476" s="300"/>
      <c r="BQ476" s="300"/>
      <c r="BR476" s="300"/>
      <c r="BS476" s="300"/>
      <c r="BT476" s="300"/>
      <c r="BU476" s="300"/>
      <c r="BV476" s="300"/>
      <c r="BW476" s="300"/>
      <c r="BX476" s="300"/>
      <c r="BY476" s="300"/>
      <c r="BZ476" s="300"/>
      <c r="CA476" s="300"/>
      <c r="CB476" s="300"/>
    </row>
    <row r="477" spans="1:80" s="27" customFormat="1" x14ac:dyDescent="0.3">
      <c r="A477" s="173"/>
      <c r="D477" s="173"/>
      <c r="E477" s="173"/>
      <c r="F477" s="173"/>
      <c r="G477" s="173"/>
      <c r="H477" s="173"/>
      <c r="I477" s="173"/>
      <c r="J477" s="173"/>
      <c r="K477" s="173"/>
      <c r="L477" s="173"/>
      <c r="AM477" s="173"/>
      <c r="AN477" s="173"/>
      <c r="AZ477" s="337"/>
      <c r="BL477" s="349"/>
      <c r="BM477" s="300"/>
      <c r="BN477" s="300"/>
      <c r="BO477" s="300"/>
      <c r="BP477" s="300"/>
      <c r="BQ477" s="300"/>
      <c r="BR477" s="300"/>
      <c r="BS477" s="300"/>
      <c r="BT477" s="300"/>
      <c r="BU477" s="300"/>
      <c r="BV477" s="300"/>
      <c r="BW477" s="300"/>
      <c r="BX477" s="300"/>
      <c r="BY477" s="300"/>
      <c r="BZ477" s="300"/>
      <c r="CA477" s="300"/>
      <c r="CB477" s="300"/>
    </row>
    <row r="478" spans="1:80" s="27" customFormat="1" x14ac:dyDescent="0.3">
      <c r="A478" s="173"/>
      <c r="D478" s="173"/>
      <c r="E478" s="173"/>
      <c r="F478" s="173"/>
      <c r="G478" s="173"/>
      <c r="H478" s="173"/>
      <c r="I478" s="173"/>
      <c r="J478" s="173"/>
      <c r="K478" s="173"/>
      <c r="L478" s="173"/>
      <c r="AM478" s="173"/>
      <c r="AN478" s="173"/>
      <c r="AZ478" s="337"/>
      <c r="BL478" s="349"/>
      <c r="BM478" s="300"/>
      <c r="BN478" s="300"/>
      <c r="BO478" s="300"/>
      <c r="BP478" s="300"/>
      <c r="BQ478" s="300"/>
      <c r="BR478" s="300"/>
      <c r="BS478" s="300"/>
      <c r="BT478" s="300"/>
      <c r="BU478" s="300"/>
      <c r="BV478" s="300"/>
      <c r="BW478" s="300"/>
      <c r="BX478" s="300"/>
      <c r="BY478" s="300"/>
      <c r="BZ478" s="300"/>
      <c r="CA478" s="300"/>
      <c r="CB478" s="300"/>
    </row>
    <row r="479" spans="1:80" s="27" customFormat="1" x14ac:dyDescent="0.3">
      <c r="A479" s="173"/>
      <c r="D479" s="173"/>
      <c r="E479" s="173"/>
      <c r="F479" s="173"/>
      <c r="G479" s="173"/>
      <c r="H479" s="173"/>
      <c r="I479" s="173"/>
      <c r="J479" s="173"/>
      <c r="K479" s="173"/>
      <c r="L479" s="173"/>
      <c r="AM479" s="173"/>
      <c r="AN479" s="173"/>
      <c r="AZ479" s="337"/>
      <c r="BL479" s="349"/>
      <c r="BM479" s="300"/>
      <c r="BN479" s="300"/>
      <c r="BO479" s="300"/>
      <c r="BP479" s="300"/>
      <c r="BQ479" s="300"/>
      <c r="BR479" s="300"/>
      <c r="BS479" s="300"/>
      <c r="BT479" s="300"/>
      <c r="BU479" s="300"/>
      <c r="BV479" s="300"/>
      <c r="BW479" s="300"/>
      <c r="BX479" s="300"/>
      <c r="BY479" s="300"/>
      <c r="BZ479" s="300"/>
      <c r="CA479" s="300"/>
      <c r="CB479" s="300"/>
    </row>
    <row r="480" spans="1:80" s="27" customFormat="1" x14ac:dyDescent="0.3">
      <c r="A480" s="173"/>
      <c r="D480" s="173"/>
      <c r="E480" s="173"/>
      <c r="F480" s="173"/>
      <c r="G480" s="173"/>
      <c r="H480" s="173"/>
      <c r="I480" s="173"/>
      <c r="J480" s="173"/>
      <c r="K480" s="173"/>
      <c r="L480" s="173"/>
      <c r="AM480" s="173"/>
      <c r="AN480" s="173"/>
      <c r="AZ480" s="337"/>
      <c r="BL480" s="349"/>
      <c r="BM480" s="300"/>
      <c r="BN480" s="300"/>
      <c r="BO480" s="300"/>
      <c r="BP480" s="300"/>
      <c r="BQ480" s="300"/>
      <c r="BR480" s="300"/>
      <c r="BS480" s="300"/>
      <c r="BT480" s="300"/>
      <c r="BU480" s="300"/>
      <c r="BV480" s="300"/>
      <c r="BW480" s="300"/>
      <c r="BX480" s="300"/>
      <c r="BY480" s="300"/>
      <c r="BZ480" s="300"/>
      <c r="CA480" s="300"/>
      <c r="CB480" s="300"/>
    </row>
    <row r="481" spans="1:80" s="27" customFormat="1" x14ac:dyDescent="0.3">
      <c r="A481" s="173"/>
      <c r="D481" s="173"/>
      <c r="E481" s="173"/>
      <c r="F481" s="173"/>
      <c r="G481" s="173"/>
      <c r="H481" s="173"/>
      <c r="I481" s="173"/>
      <c r="J481" s="173"/>
      <c r="K481" s="173"/>
      <c r="L481" s="173"/>
      <c r="AM481" s="173"/>
      <c r="AN481" s="173"/>
      <c r="AZ481" s="337"/>
      <c r="BL481" s="349"/>
      <c r="BM481" s="300"/>
      <c r="BN481" s="300"/>
      <c r="BO481" s="300"/>
      <c r="BP481" s="300"/>
      <c r="BQ481" s="300"/>
      <c r="BR481" s="300"/>
      <c r="BS481" s="300"/>
      <c r="BT481" s="300"/>
      <c r="BU481" s="300"/>
      <c r="BV481" s="300"/>
      <c r="BW481" s="300"/>
      <c r="BX481" s="300"/>
      <c r="BY481" s="300"/>
      <c r="BZ481" s="300"/>
      <c r="CA481" s="300"/>
      <c r="CB481" s="300"/>
    </row>
    <row r="482" spans="1:80" s="27" customFormat="1" x14ac:dyDescent="0.3">
      <c r="A482" s="173"/>
      <c r="D482" s="173"/>
      <c r="E482" s="173"/>
      <c r="F482" s="173"/>
      <c r="G482" s="173"/>
      <c r="H482" s="173"/>
      <c r="I482" s="173"/>
      <c r="J482" s="173"/>
      <c r="K482" s="173"/>
      <c r="L482" s="173"/>
      <c r="AM482" s="173"/>
      <c r="AN482" s="173"/>
      <c r="AZ482" s="337"/>
      <c r="BL482" s="349"/>
      <c r="BM482" s="300"/>
      <c r="BN482" s="300"/>
      <c r="BO482" s="300"/>
      <c r="BP482" s="300"/>
      <c r="BQ482" s="300"/>
      <c r="BR482" s="300"/>
      <c r="BS482" s="300"/>
      <c r="BT482" s="300"/>
      <c r="BU482" s="300"/>
      <c r="BV482" s="300"/>
      <c r="BW482" s="300"/>
      <c r="BX482" s="300"/>
      <c r="BY482" s="300"/>
      <c r="BZ482" s="300"/>
      <c r="CA482" s="300"/>
      <c r="CB482" s="300"/>
    </row>
    <row r="483" spans="1:80" s="27" customFormat="1" x14ac:dyDescent="0.3">
      <c r="A483" s="173"/>
      <c r="D483" s="173"/>
      <c r="E483" s="173"/>
      <c r="F483" s="173"/>
      <c r="G483" s="173"/>
      <c r="H483" s="173"/>
      <c r="I483" s="173"/>
      <c r="J483" s="173"/>
      <c r="K483" s="173"/>
      <c r="L483" s="173"/>
      <c r="AM483" s="173"/>
      <c r="AN483" s="173"/>
      <c r="AZ483" s="337"/>
      <c r="BL483" s="349"/>
      <c r="BM483" s="300"/>
      <c r="BN483" s="300"/>
      <c r="BO483" s="300"/>
      <c r="BP483" s="300"/>
      <c r="BQ483" s="300"/>
      <c r="BR483" s="300"/>
      <c r="BS483" s="300"/>
      <c r="BT483" s="300"/>
      <c r="BU483" s="300"/>
      <c r="BV483" s="300"/>
      <c r="BW483" s="300"/>
      <c r="BX483" s="300"/>
      <c r="BY483" s="300"/>
      <c r="BZ483" s="300"/>
      <c r="CA483" s="300"/>
      <c r="CB483" s="300"/>
    </row>
    <row r="484" spans="1:80" s="27" customFormat="1" x14ac:dyDescent="0.3">
      <c r="A484" s="173"/>
      <c r="D484" s="173"/>
      <c r="E484" s="173"/>
      <c r="F484" s="173"/>
      <c r="G484" s="173"/>
      <c r="H484" s="173"/>
      <c r="I484" s="173"/>
      <c r="J484" s="173"/>
      <c r="K484" s="173"/>
      <c r="L484" s="173"/>
      <c r="AM484" s="173"/>
      <c r="AN484" s="173"/>
      <c r="AZ484" s="337"/>
      <c r="BL484" s="349"/>
      <c r="BM484" s="300"/>
      <c r="BN484" s="300"/>
      <c r="BO484" s="300"/>
      <c r="BP484" s="300"/>
      <c r="BQ484" s="300"/>
      <c r="BR484" s="300"/>
      <c r="BS484" s="300"/>
      <c r="BT484" s="300"/>
      <c r="BU484" s="300"/>
      <c r="BV484" s="300"/>
      <c r="BW484" s="300"/>
      <c r="BX484" s="300"/>
      <c r="BY484" s="300"/>
      <c r="BZ484" s="300"/>
      <c r="CA484" s="300"/>
      <c r="CB484" s="300"/>
    </row>
    <row r="485" spans="1:80" s="27" customFormat="1" x14ac:dyDescent="0.3">
      <c r="A485" s="173"/>
      <c r="D485" s="173"/>
      <c r="E485" s="173"/>
      <c r="F485" s="173"/>
      <c r="G485" s="173"/>
      <c r="H485" s="173"/>
      <c r="I485" s="173"/>
      <c r="J485" s="173"/>
      <c r="K485" s="173"/>
      <c r="L485" s="173"/>
      <c r="AM485" s="173"/>
      <c r="AN485" s="173"/>
      <c r="AZ485" s="337"/>
      <c r="BL485" s="349"/>
      <c r="BM485" s="300"/>
      <c r="BN485" s="300"/>
      <c r="BO485" s="300"/>
      <c r="BP485" s="300"/>
      <c r="BQ485" s="300"/>
      <c r="BR485" s="300"/>
      <c r="BS485" s="300"/>
      <c r="BT485" s="300"/>
      <c r="BU485" s="300"/>
      <c r="BV485" s="300"/>
      <c r="BW485" s="300"/>
      <c r="BX485" s="300"/>
      <c r="BY485" s="300"/>
      <c r="BZ485" s="300"/>
      <c r="CA485" s="300"/>
      <c r="CB485" s="300"/>
    </row>
    <row r="486" spans="1:80" s="27" customFormat="1" x14ac:dyDescent="0.3">
      <c r="A486" s="173"/>
      <c r="D486" s="173"/>
      <c r="E486" s="173"/>
      <c r="F486" s="173"/>
      <c r="G486" s="173"/>
      <c r="H486" s="173"/>
      <c r="I486" s="173"/>
      <c r="J486" s="173"/>
      <c r="K486" s="173"/>
      <c r="L486" s="173"/>
      <c r="AM486" s="173"/>
      <c r="AN486" s="173"/>
      <c r="AZ486" s="337"/>
      <c r="BL486" s="349"/>
      <c r="BM486" s="300"/>
      <c r="BN486" s="300"/>
      <c r="BO486" s="300"/>
      <c r="BP486" s="300"/>
      <c r="BQ486" s="300"/>
      <c r="BR486" s="300"/>
      <c r="BS486" s="300"/>
      <c r="BT486" s="300"/>
      <c r="BU486" s="300"/>
      <c r="BV486" s="300"/>
      <c r="BW486" s="300"/>
      <c r="BX486" s="300"/>
      <c r="BY486" s="300"/>
      <c r="BZ486" s="300"/>
      <c r="CA486" s="300"/>
      <c r="CB486" s="300"/>
    </row>
    <row r="487" spans="1:80" s="27" customFormat="1" x14ac:dyDescent="0.3">
      <c r="A487" s="173"/>
      <c r="D487" s="173"/>
      <c r="E487" s="173"/>
      <c r="F487" s="173"/>
      <c r="G487" s="173"/>
      <c r="H487" s="173"/>
      <c r="I487" s="173"/>
      <c r="J487" s="173"/>
      <c r="K487" s="173"/>
      <c r="L487" s="173"/>
      <c r="AM487" s="173"/>
      <c r="AN487" s="173"/>
      <c r="AZ487" s="337"/>
      <c r="BL487" s="349"/>
      <c r="BM487" s="300"/>
      <c r="BN487" s="300"/>
      <c r="BO487" s="300"/>
      <c r="BP487" s="300"/>
      <c r="BQ487" s="300"/>
      <c r="BR487" s="300"/>
      <c r="BS487" s="300"/>
      <c r="BT487" s="300"/>
      <c r="BU487" s="300"/>
      <c r="BV487" s="300"/>
      <c r="BW487" s="300"/>
      <c r="BX487" s="300"/>
      <c r="BY487" s="300"/>
      <c r="BZ487" s="300"/>
      <c r="CA487" s="300"/>
      <c r="CB487" s="300"/>
    </row>
    <row r="488" spans="1:80" s="27" customFormat="1" x14ac:dyDescent="0.3">
      <c r="A488" s="173"/>
      <c r="D488" s="173"/>
      <c r="E488" s="173"/>
      <c r="F488" s="173"/>
      <c r="G488" s="173"/>
      <c r="H488" s="173"/>
      <c r="I488" s="173"/>
      <c r="J488" s="173"/>
      <c r="K488" s="173"/>
      <c r="L488" s="173"/>
      <c r="AM488" s="173"/>
      <c r="AN488" s="173"/>
      <c r="AZ488" s="337"/>
      <c r="BL488" s="349"/>
      <c r="BM488" s="300"/>
      <c r="BN488" s="300"/>
      <c r="BO488" s="300"/>
      <c r="BP488" s="300"/>
      <c r="BQ488" s="300"/>
      <c r="BR488" s="300"/>
      <c r="BS488" s="300"/>
      <c r="BT488" s="300"/>
      <c r="BU488" s="300"/>
      <c r="BV488" s="300"/>
      <c r="BW488" s="300"/>
      <c r="BX488" s="300"/>
      <c r="BY488" s="300"/>
      <c r="BZ488" s="300"/>
      <c r="CA488" s="300"/>
      <c r="CB488" s="300"/>
    </row>
    <row r="489" spans="1:80" s="27" customFormat="1" x14ac:dyDescent="0.3">
      <c r="A489" s="173"/>
      <c r="D489" s="173"/>
      <c r="E489" s="173"/>
      <c r="F489" s="173"/>
      <c r="G489" s="173"/>
      <c r="H489" s="173"/>
      <c r="I489" s="173"/>
      <c r="J489" s="173"/>
      <c r="K489" s="173"/>
      <c r="L489" s="173"/>
      <c r="AM489" s="173"/>
      <c r="AN489" s="173"/>
      <c r="AZ489" s="337"/>
      <c r="BL489" s="349"/>
      <c r="BM489" s="300"/>
      <c r="BN489" s="300"/>
      <c r="BO489" s="300"/>
      <c r="BP489" s="300"/>
      <c r="BQ489" s="300"/>
      <c r="BR489" s="300"/>
      <c r="BS489" s="300"/>
      <c r="BT489" s="300"/>
      <c r="BU489" s="300"/>
      <c r="BV489" s="300"/>
      <c r="BW489" s="300"/>
      <c r="BX489" s="300"/>
      <c r="BY489" s="300"/>
      <c r="BZ489" s="300"/>
      <c r="CA489" s="300"/>
      <c r="CB489" s="300"/>
    </row>
    <row r="490" spans="1:80" s="27" customFormat="1" x14ac:dyDescent="0.3">
      <c r="A490" s="173"/>
      <c r="D490" s="173"/>
      <c r="E490" s="173"/>
      <c r="F490" s="173"/>
      <c r="G490" s="173"/>
      <c r="H490" s="173"/>
      <c r="I490" s="173"/>
      <c r="J490" s="173"/>
      <c r="K490" s="173"/>
      <c r="L490" s="173"/>
      <c r="AM490" s="173"/>
      <c r="AN490" s="173"/>
      <c r="AZ490" s="337"/>
      <c r="BL490" s="349"/>
      <c r="BM490" s="300"/>
      <c r="BN490" s="300"/>
      <c r="BO490" s="300"/>
      <c r="BP490" s="300"/>
      <c r="BQ490" s="300"/>
      <c r="BR490" s="300"/>
      <c r="BS490" s="300"/>
      <c r="BT490" s="300"/>
      <c r="BU490" s="300"/>
      <c r="BV490" s="300"/>
      <c r="BW490" s="300"/>
      <c r="BX490" s="300"/>
      <c r="BY490" s="300"/>
      <c r="BZ490" s="300"/>
      <c r="CA490" s="300"/>
      <c r="CB490" s="300"/>
    </row>
    <row r="491" spans="1:80" s="27" customFormat="1" x14ac:dyDescent="0.3">
      <c r="A491" s="173"/>
      <c r="D491" s="173"/>
      <c r="E491" s="173"/>
      <c r="F491" s="173"/>
      <c r="G491" s="173"/>
      <c r="H491" s="173"/>
      <c r="I491" s="173"/>
      <c r="J491" s="173"/>
      <c r="K491" s="173"/>
      <c r="L491" s="173"/>
      <c r="AM491" s="173"/>
      <c r="AN491" s="173"/>
      <c r="AZ491" s="337"/>
      <c r="BL491" s="349"/>
      <c r="BM491" s="300"/>
      <c r="BN491" s="300"/>
      <c r="BO491" s="300"/>
      <c r="BP491" s="300"/>
      <c r="BQ491" s="300"/>
      <c r="BR491" s="300"/>
      <c r="BS491" s="300"/>
      <c r="BT491" s="300"/>
      <c r="BU491" s="300"/>
      <c r="BV491" s="300"/>
      <c r="BW491" s="300"/>
      <c r="BX491" s="300"/>
      <c r="BY491" s="300"/>
      <c r="BZ491" s="300"/>
      <c r="CA491" s="300"/>
      <c r="CB491" s="300"/>
    </row>
    <row r="492" spans="1:80" s="27" customFormat="1" x14ac:dyDescent="0.3">
      <c r="A492" s="173"/>
      <c r="D492" s="173"/>
      <c r="E492" s="173"/>
      <c r="F492" s="173"/>
      <c r="G492" s="173"/>
      <c r="H492" s="173"/>
      <c r="I492" s="173"/>
      <c r="J492" s="173"/>
      <c r="K492" s="173"/>
      <c r="L492" s="173"/>
      <c r="AM492" s="173"/>
      <c r="AN492" s="173"/>
      <c r="AZ492" s="337"/>
      <c r="BL492" s="349"/>
      <c r="BM492" s="300"/>
      <c r="BN492" s="300"/>
      <c r="BO492" s="300"/>
      <c r="BP492" s="300"/>
      <c r="BQ492" s="300"/>
      <c r="BR492" s="300"/>
      <c r="BS492" s="300"/>
      <c r="BT492" s="300"/>
      <c r="BU492" s="300"/>
      <c r="BV492" s="300"/>
      <c r="BW492" s="300"/>
      <c r="BX492" s="300"/>
      <c r="BY492" s="300"/>
      <c r="BZ492" s="300"/>
      <c r="CA492" s="300"/>
      <c r="CB492" s="300"/>
    </row>
    <row r="493" spans="1:80" s="27" customFormat="1" x14ac:dyDescent="0.3">
      <c r="A493" s="173"/>
      <c r="D493" s="173"/>
      <c r="E493" s="173"/>
      <c r="F493" s="173"/>
      <c r="G493" s="173"/>
      <c r="H493" s="173"/>
      <c r="I493" s="173"/>
      <c r="J493" s="173"/>
      <c r="K493" s="173"/>
      <c r="L493" s="173"/>
      <c r="AM493" s="173"/>
      <c r="AN493" s="173"/>
      <c r="AZ493" s="337"/>
      <c r="BL493" s="349"/>
      <c r="BM493" s="300"/>
      <c r="BN493" s="300"/>
      <c r="BO493" s="300"/>
      <c r="BP493" s="300"/>
      <c r="BQ493" s="300"/>
      <c r="BR493" s="300"/>
      <c r="BS493" s="300"/>
      <c r="BT493" s="300"/>
      <c r="BU493" s="300"/>
      <c r="BV493" s="300"/>
      <c r="BW493" s="300"/>
      <c r="BX493" s="300"/>
      <c r="BY493" s="300"/>
      <c r="BZ493" s="300"/>
      <c r="CA493" s="300"/>
      <c r="CB493" s="300"/>
    </row>
    <row r="494" spans="1:80" s="27" customFormat="1" x14ac:dyDescent="0.3">
      <c r="A494" s="173"/>
      <c r="D494" s="173"/>
      <c r="E494" s="173"/>
      <c r="F494" s="173"/>
      <c r="G494" s="173"/>
      <c r="H494" s="173"/>
      <c r="I494" s="173"/>
      <c r="J494" s="173"/>
      <c r="K494" s="173"/>
      <c r="L494" s="173"/>
      <c r="AM494" s="173"/>
      <c r="AN494" s="173"/>
      <c r="AZ494" s="337"/>
      <c r="BL494" s="349"/>
      <c r="BM494" s="300"/>
      <c r="BN494" s="300"/>
      <c r="BO494" s="300"/>
      <c r="BP494" s="300"/>
      <c r="BQ494" s="300"/>
      <c r="BR494" s="300"/>
      <c r="BS494" s="300"/>
      <c r="BT494" s="300"/>
      <c r="BU494" s="300"/>
      <c r="BV494" s="300"/>
      <c r="BW494" s="300"/>
      <c r="BX494" s="300"/>
      <c r="BY494" s="300"/>
      <c r="BZ494" s="300"/>
      <c r="CA494" s="300"/>
      <c r="CB494" s="300"/>
    </row>
    <row r="495" spans="1:80" s="27" customFormat="1" x14ac:dyDescent="0.3">
      <c r="A495" s="173"/>
      <c r="D495" s="173"/>
      <c r="E495" s="173"/>
      <c r="F495" s="173"/>
      <c r="G495" s="173"/>
      <c r="H495" s="173"/>
      <c r="I495" s="173"/>
      <c r="J495" s="173"/>
      <c r="K495" s="173"/>
      <c r="L495" s="173"/>
      <c r="AM495" s="173"/>
      <c r="AN495" s="173"/>
      <c r="AZ495" s="337"/>
      <c r="BL495" s="349"/>
      <c r="BM495" s="300"/>
      <c r="BN495" s="300"/>
      <c r="BO495" s="300"/>
      <c r="BP495" s="300"/>
      <c r="BQ495" s="300"/>
      <c r="BR495" s="300"/>
      <c r="BS495" s="300"/>
      <c r="BT495" s="300"/>
      <c r="BU495" s="300"/>
      <c r="BV495" s="300"/>
      <c r="BW495" s="300"/>
      <c r="BX495" s="300"/>
      <c r="BY495" s="300"/>
      <c r="BZ495" s="300"/>
      <c r="CA495" s="300"/>
      <c r="CB495" s="300"/>
    </row>
    <row r="496" spans="1:80" s="27" customFormat="1" x14ac:dyDescent="0.3">
      <c r="A496" s="173"/>
      <c r="D496" s="173"/>
      <c r="E496" s="173"/>
      <c r="F496" s="173"/>
      <c r="G496" s="173"/>
      <c r="H496" s="173"/>
      <c r="I496" s="173"/>
      <c r="J496" s="173"/>
      <c r="K496" s="173"/>
      <c r="L496" s="173"/>
      <c r="AM496" s="173"/>
      <c r="AN496" s="173"/>
      <c r="AZ496" s="337"/>
      <c r="BL496" s="349"/>
      <c r="BM496" s="300"/>
      <c r="BN496" s="300"/>
      <c r="BO496" s="300"/>
      <c r="BP496" s="300"/>
      <c r="BQ496" s="300"/>
      <c r="BR496" s="300"/>
      <c r="BS496" s="300"/>
      <c r="BT496" s="300"/>
      <c r="BU496" s="300"/>
      <c r="BV496" s="300"/>
      <c r="BW496" s="300"/>
      <c r="BX496" s="300"/>
      <c r="BY496" s="300"/>
      <c r="BZ496" s="300"/>
      <c r="CA496" s="300"/>
      <c r="CB496" s="300"/>
    </row>
    <row r="497" spans="1:80" s="27" customFormat="1" x14ac:dyDescent="0.3">
      <c r="A497" s="173"/>
      <c r="D497" s="173"/>
      <c r="E497" s="173"/>
      <c r="F497" s="173"/>
      <c r="G497" s="173"/>
      <c r="H497" s="173"/>
      <c r="I497" s="173"/>
      <c r="J497" s="173"/>
      <c r="K497" s="173"/>
      <c r="L497" s="173"/>
      <c r="AM497" s="173"/>
      <c r="AN497" s="173"/>
      <c r="AZ497" s="337"/>
      <c r="BL497" s="349"/>
      <c r="BM497" s="300"/>
      <c r="BN497" s="300"/>
      <c r="BO497" s="300"/>
      <c r="BP497" s="300"/>
      <c r="BQ497" s="300"/>
      <c r="BR497" s="300"/>
      <c r="BS497" s="300"/>
      <c r="BT497" s="300"/>
      <c r="BU497" s="300"/>
      <c r="BV497" s="300"/>
      <c r="BW497" s="300"/>
      <c r="BX497" s="300"/>
      <c r="BY497" s="300"/>
      <c r="BZ497" s="300"/>
      <c r="CA497" s="300"/>
      <c r="CB497" s="300"/>
    </row>
    <row r="498" spans="1:80" s="27" customFormat="1" x14ac:dyDescent="0.3">
      <c r="A498" s="173"/>
      <c r="D498" s="173"/>
      <c r="E498" s="173"/>
      <c r="F498" s="173"/>
      <c r="G498" s="173"/>
      <c r="H498" s="173"/>
      <c r="I498" s="173"/>
      <c r="J498" s="173"/>
      <c r="K498" s="173"/>
      <c r="L498" s="173"/>
      <c r="AM498" s="173"/>
      <c r="AN498" s="173"/>
      <c r="AZ498" s="337"/>
      <c r="BL498" s="349"/>
      <c r="BM498" s="300"/>
      <c r="BN498" s="300"/>
      <c r="BO498" s="300"/>
      <c r="BP498" s="300"/>
      <c r="BQ498" s="300"/>
      <c r="BR498" s="300"/>
      <c r="BS498" s="300"/>
      <c r="BT498" s="300"/>
      <c r="BU498" s="300"/>
      <c r="BV498" s="300"/>
      <c r="BW498" s="300"/>
      <c r="BX498" s="300"/>
      <c r="BY498" s="300"/>
      <c r="BZ498" s="300"/>
      <c r="CA498" s="300"/>
      <c r="CB498" s="300"/>
    </row>
    <row r="499" spans="1:80" s="27" customFormat="1" x14ac:dyDescent="0.3">
      <c r="A499" s="173"/>
      <c r="D499" s="173"/>
      <c r="E499" s="173"/>
      <c r="F499" s="173"/>
      <c r="G499" s="173"/>
      <c r="H499" s="173"/>
      <c r="I499" s="173"/>
      <c r="J499" s="173"/>
      <c r="K499" s="173"/>
      <c r="L499" s="173"/>
      <c r="AM499" s="173"/>
      <c r="AN499" s="173"/>
      <c r="AZ499" s="337"/>
      <c r="BL499" s="349"/>
      <c r="BM499" s="300"/>
      <c r="BN499" s="300"/>
      <c r="BO499" s="300"/>
      <c r="BP499" s="300"/>
      <c r="BQ499" s="300"/>
      <c r="BR499" s="300"/>
      <c r="BS499" s="300"/>
      <c r="BT499" s="300"/>
      <c r="BU499" s="300"/>
      <c r="BV499" s="300"/>
      <c r="BW499" s="300"/>
      <c r="BX499" s="300"/>
      <c r="BY499" s="300"/>
      <c r="BZ499" s="300"/>
      <c r="CA499" s="300"/>
      <c r="CB499" s="300"/>
    </row>
    <row r="500" spans="1:80" s="27" customFormat="1" x14ac:dyDescent="0.3">
      <c r="A500" s="173"/>
      <c r="D500" s="173"/>
      <c r="E500" s="173"/>
      <c r="F500" s="173"/>
      <c r="G500" s="173"/>
      <c r="H500" s="173"/>
      <c r="I500" s="173"/>
      <c r="J500" s="173"/>
      <c r="K500" s="173"/>
      <c r="L500" s="173"/>
      <c r="AM500" s="173"/>
      <c r="AN500" s="173"/>
      <c r="AZ500" s="337"/>
      <c r="BL500" s="349"/>
      <c r="BM500" s="300"/>
      <c r="BN500" s="300"/>
      <c r="BO500" s="300"/>
      <c r="BP500" s="300"/>
      <c r="BQ500" s="300"/>
      <c r="BR500" s="300"/>
      <c r="BS500" s="300"/>
      <c r="BT500" s="300"/>
      <c r="BU500" s="300"/>
      <c r="BV500" s="300"/>
      <c r="BW500" s="300"/>
      <c r="BX500" s="300"/>
      <c r="BY500" s="300"/>
      <c r="BZ500" s="300"/>
      <c r="CA500" s="300"/>
      <c r="CB500" s="300"/>
    </row>
    <row r="501" spans="1:80" s="27" customFormat="1" x14ac:dyDescent="0.3">
      <c r="A501" s="173"/>
      <c r="D501" s="173"/>
      <c r="E501" s="173"/>
      <c r="F501" s="173"/>
      <c r="G501" s="173"/>
      <c r="H501" s="173"/>
      <c r="I501" s="173"/>
      <c r="J501" s="173"/>
      <c r="K501" s="173"/>
      <c r="L501" s="173"/>
      <c r="AM501" s="173"/>
      <c r="AN501" s="173"/>
      <c r="AZ501" s="337"/>
      <c r="BL501" s="349"/>
      <c r="BM501" s="300"/>
      <c r="BN501" s="300"/>
      <c r="BO501" s="300"/>
      <c r="BP501" s="300"/>
      <c r="BQ501" s="300"/>
      <c r="BR501" s="300"/>
      <c r="BS501" s="300"/>
      <c r="BT501" s="300"/>
      <c r="BU501" s="300"/>
      <c r="BV501" s="300"/>
      <c r="BW501" s="300"/>
      <c r="BX501" s="300"/>
      <c r="BY501" s="300"/>
      <c r="BZ501" s="300"/>
      <c r="CA501" s="300"/>
      <c r="CB501" s="300"/>
    </row>
    <row r="502" spans="1:80" s="27" customFormat="1" x14ac:dyDescent="0.3">
      <c r="A502" s="173"/>
      <c r="D502" s="173"/>
      <c r="E502" s="173"/>
      <c r="F502" s="173"/>
      <c r="G502" s="173"/>
      <c r="H502" s="173"/>
      <c r="I502" s="173"/>
      <c r="J502" s="173"/>
      <c r="K502" s="173"/>
      <c r="L502" s="173"/>
      <c r="AM502" s="173"/>
      <c r="AN502" s="173"/>
      <c r="AZ502" s="337"/>
      <c r="BL502" s="349"/>
      <c r="BM502" s="300"/>
      <c r="BN502" s="300"/>
      <c r="BO502" s="300"/>
      <c r="BP502" s="300"/>
      <c r="BQ502" s="300"/>
      <c r="BR502" s="300"/>
      <c r="BS502" s="300"/>
      <c r="BT502" s="300"/>
      <c r="BU502" s="300"/>
      <c r="BV502" s="300"/>
      <c r="BW502" s="300"/>
      <c r="BX502" s="300"/>
      <c r="BY502" s="300"/>
      <c r="BZ502" s="300"/>
      <c r="CA502" s="300"/>
      <c r="CB502" s="300"/>
    </row>
    <row r="503" spans="1:80" s="27" customFormat="1" x14ac:dyDescent="0.3">
      <c r="A503" s="173"/>
      <c r="D503" s="173"/>
      <c r="E503" s="173"/>
      <c r="F503" s="173"/>
      <c r="G503" s="173"/>
      <c r="H503" s="173"/>
      <c r="I503" s="173"/>
      <c r="J503" s="173"/>
      <c r="K503" s="173"/>
      <c r="L503" s="173"/>
      <c r="AM503" s="173"/>
      <c r="AN503" s="173"/>
      <c r="AZ503" s="337"/>
      <c r="BL503" s="349"/>
      <c r="BM503" s="300"/>
      <c r="BN503" s="300"/>
      <c r="BO503" s="300"/>
      <c r="BP503" s="300"/>
      <c r="BQ503" s="300"/>
      <c r="BR503" s="300"/>
      <c r="BS503" s="300"/>
      <c r="BT503" s="300"/>
      <c r="BU503" s="300"/>
      <c r="BV503" s="300"/>
      <c r="BW503" s="300"/>
      <c r="BX503" s="300"/>
      <c r="BY503" s="300"/>
      <c r="BZ503" s="300"/>
      <c r="CA503" s="300"/>
      <c r="CB503" s="300"/>
    </row>
    <row r="504" spans="1:80" s="27" customFormat="1" x14ac:dyDescent="0.3">
      <c r="A504" s="173"/>
      <c r="D504" s="173"/>
      <c r="E504" s="173"/>
      <c r="F504" s="173"/>
      <c r="G504" s="173"/>
      <c r="H504" s="173"/>
      <c r="I504" s="173"/>
      <c r="J504" s="173"/>
      <c r="K504" s="173"/>
      <c r="L504" s="173"/>
      <c r="AM504" s="173"/>
      <c r="AN504" s="173"/>
      <c r="AZ504" s="337"/>
      <c r="BL504" s="349"/>
      <c r="BM504" s="300"/>
      <c r="BN504" s="300"/>
      <c r="BO504" s="300"/>
      <c r="BP504" s="300"/>
      <c r="BQ504" s="300"/>
      <c r="BR504" s="300"/>
      <c r="BS504" s="300"/>
      <c r="BT504" s="300"/>
      <c r="BU504" s="300"/>
      <c r="BV504" s="300"/>
      <c r="BW504" s="300"/>
      <c r="BX504" s="300"/>
      <c r="BY504" s="300"/>
      <c r="BZ504" s="300"/>
      <c r="CA504" s="300"/>
      <c r="CB504" s="300"/>
    </row>
    <row r="505" spans="1:80" s="27" customFormat="1" x14ac:dyDescent="0.3">
      <c r="A505" s="173"/>
      <c r="D505" s="173"/>
      <c r="E505" s="173"/>
      <c r="F505" s="173"/>
      <c r="G505" s="173"/>
      <c r="H505" s="173"/>
      <c r="I505" s="173"/>
      <c r="J505" s="173"/>
      <c r="K505" s="173"/>
      <c r="L505" s="173"/>
      <c r="AM505" s="173"/>
      <c r="AN505" s="173"/>
      <c r="AZ505" s="337"/>
      <c r="BL505" s="349"/>
      <c r="BM505" s="300"/>
      <c r="BN505" s="300"/>
      <c r="BO505" s="300"/>
      <c r="BP505" s="300"/>
      <c r="BQ505" s="300"/>
      <c r="BR505" s="300"/>
      <c r="BS505" s="300"/>
      <c r="BT505" s="300"/>
      <c r="BU505" s="300"/>
      <c r="BV505" s="300"/>
      <c r="BW505" s="300"/>
      <c r="BX505" s="300"/>
      <c r="BY505" s="300"/>
      <c r="BZ505" s="300"/>
      <c r="CA505" s="300"/>
      <c r="CB505" s="300"/>
    </row>
    <row r="506" spans="1:80" s="27" customFormat="1" x14ac:dyDescent="0.3">
      <c r="A506" s="173"/>
      <c r="D506" s="173"/>
      <c r="E506" s="173"/>
      <c r="F506" s="173"/>
      <c r="G506" s="173"/>
      <c r="H506" s="173"/>
      <c r="I506" s="173"/>
      <c r="J506" s="173"/>
      <c r="K506" s="173"/>
      <c r="L506" s="173"/>
      <c r="AM506" s="173"/>
      <c r="AN506" s="173"/>
      <c r="AZ506" s="337"/>
      <c r="BL506" s="349"/>
      <c r="BM506" s="300"/>
      <c r="BN506" s="300"/>
      <c r="BO506" s="300"/>
      <c r="BP506" s="300"/>
      <c r="BQ506" s="300"/>
      <c r="BR506" s="300"/>
      <c r="BS506" s="300"/>
      <c r="BT506" s="300"/>
      <c r="BU506" s="300"/>
      <c r="BV506" s="300"/>
      <c r="BW506" s="300"/>
      <c r="BX506" s="300"/>
      <c r="BY506" s="300"/>
      <c r="BZ506" s="300"/>
      <c r="CA506" s="300"/>
      <c r="CB506" s="300"/>
    </row>
    <row r="507" spans="1:80" s="27" customFormat="1" x14ac:dyDescent="0.3">
      <c r="A507" s="173"/>
      <c r="D507" s="173"/>
      <c r="E507" s="173"/>
      <c r="F507" s="173"/>
      <c r="G507" s="173"/>
      <c r="H507" s="173"/>
      <c r="I507" s="173"/>
      <c r="J507" s="173"/>
      <c r="K507" s="173"/>
      <c r="L507" s="173"/>
      <c r="AM507" s="173"/>
      <c r="AN507" s="173"/>
      <c r="AZ507" s="337"/>
      <c r="BL507" s="349"/>
      <c r="BM507" s="300"/>
      <c r="BN507" s="300"/>
      <c r="BO507" s="300"/>
      <c r="BP507" s="300"/>
      <c r="BQ507" s="300"/>
      <c r="BR507" s="300"/>
      <c r="BS507" s="300"/>
      <c r="BT507" s="300"/>
      <c r="BU507" s="300"/>
      <c r="BV507" s="300"/>
      <c r="BW507" s="300"/>
      <c r="BX507" s="300"/>
      <c r="BY507" s="300"/>
      <c r="BZ507" s="300"/>
      <c r="CA507" s="300"/>
      <c r="CB507" s="300"/>
    </row>
    <row r="508" spans="1:80" s="27" customFormat="1" x14ac:dyDescent="0.3">
      <c r="A508" s="173"/>
      <c r="D508" s="173"/>
      <c r="E508" s="173"/>
      <c r="F508" s="173"/>
      <c r="G508" s="173"/>
      <c r="H508" s="173"/>
      <c r="I508" s="173"/>
      <c r="J508" s="173"/>
      <c r="K508" s="173"/>
      <c r="L508" s="173"/>
      <c r="AM508" s="173"/>
      <c r="AN508" s="173"/>
      <c r="AZ508" s="337"/>
      <c r="BL508" s="349"/>
      <c r="BM508" s="300"/>
      <c r="BN508" s="300"/>
      <c r="BO508" s="300"/>
      <c r="BP508" s="300"/>
      <c r="BQ508" s="300"/>
      <c r="BR508" s="300"/>
      <c r="BS508" s="300"/>
      <c r="BT508" s="300"/>
      <c r="BU508" s="300"/>
      <c r="BV508" s="300"/>
      <c r="BW508" s="300"/>
      <c r="BX508" s="300"/>
      <c r="BY508" s="300"/>
      <c r="BZ508" s="300"/>
      <c r="CA508" s="300"/>
      <c r="CB508" s="300"/>
    </row>
    <row r="509" spans="1:80" s="27" customFormat="1" x14ac:dyDescent="0.3">
      <c r="A509" s="173"/>
      <c r="D509" s="173"/>
      <c r="E509" s="173"/>
      <c r="F509" s="173"/>
      <c r="G509" s="173"/>
      <c r="H509" s="173"/>
      <c r="I509" s="173"/>
      <c r="J509" s="173"/>
      <c r="K509" s="173"/>
      <c r="L509" s="173"/>
      <c r="AM509" s="173"/>
      <c r="AN509" s="173"/>
      <c r="AZ509" s="337"/>
      <c r="BL509" s="349"/>
      <c r="BM509" s="300"/>
      <c r="BN509" s="300"/>
      <c r="BO509" s="300"/>
      <c r="BP509" s="300"/>
      <c r="BQ509" s="300"/>
      <c r="BR509" s="300"/>
      <c r="BS509" s="300"/>
      <c r="BT509" s="300"/>
      <c r="BU509" s="300"/>
      <c r="BV509" s="300"/>
      <c r="BW509" s="300"/>
      <c r="BX509" s="300"/>
      <c r="BY509" s="300"/>
      <c r="BZ509" s="300"/>
      <c r="CA509" s="300"/>
      <c r="CB509" s="300"/>
    </row>
    <row r="510" spans="1:80" s="27" customFormat="1" x14ac:dyDescent="0.3">
      <c r="A510" s="173"/>
      <c r="D510" s="173"/>
      <c r="E510" s="173"/>
      <c r="F510" s="173"/>
      <c r="G510" s="173"/>
      <c r="H510" s="173"/>
      <c r="I510" s="173"/>
      <c r="J510" s="173"/>
      <c r="K510" s="173"/>
      <c r="L510" s="173"/>
      <c r="AM510" s="173"/>
      <c r="AN510" s="173"/>
      <c r="AZ510" s="337"/>
      <c r="BL510" s="349"/>
      <c r="BM510" s="300"/>
      <c r="BN510" s="300"/>
      <c r="BO510" s="300"/>
      <c r="BP510" s="300"/>
      <c r="BQ510" s="300"/>
      <c r="BR510" s="300"/>
      <c r="BS510" s="300"/>
      <c r="BT510" s="300"/>
      <c r="BU510" s="300"/>
      <c r="BV510" s="300"/>
      <c r="BW510" s="300"/>
      <c r="BX510" s="300"/>
      <c r="BY510" s="300"/>
      <c r="BZ510" s="300"/>
      <c r="CA510" s="300"/>
      <c r="CB510" s="300"/>
    </row>
    <row r="511" spans="1:80" s="27" customFormat="1" x14ac:dyDescent="0.3">
      <c r="A511" s="173"/>
      <c r="D511" s="173"/>
      <c r="E511" s="173"/>
      <c r="F511" s="173"/>
      <c r="G511" s="173"/>
      <c r="H511" s="173"/>
      <c r="I511" s="173"/>
      <c r="J511" s="173"/>
      <c r="K511" s="173"/>
      <c r="L511" s="173"/>
      <c r="AM511" s="173"/>
      <c r="AN511" s="173"/>
      <c r="AZ511" s="337"/>
      <c r="BL511" s="349"/>
      <c r="BM511" s="300"/>
      <c r="BN511" s="300"/>
      <c r="BO511" s="300"/>
      <c r="BP511" s="300"/>
      <c r="BQ511" s="300"/>
      <c r="BR511" s="300"/>
      <c r="BS511" s="300"/>
      <c r="BT511" s="300"/>
      <c r="BU511" s="300"/>
      <c r="BV511" s="300"/>
      <c r="BW511" s="300"/>
      <c r="BX511" s="300"/>
      <c r="BY511" s="300"/>
      <c r="BZ511" s="300"/>
      <c r="CA511" s="300"/>
      <c r="CB511" s="300"/>
    </row>
    <row r="512" spans="1:80" s="27" customFormat="1" x14ac:dyDescent="0.3">
      <c r="A512" s="173"/>
      <c r="D512" s="173"/>
      <c r="E512" s="173"/>
      <c r="F512" s="173"/>
      <c r="G512" s="173"/>
      <c r="H512" s="173"/>
      <c r="I512" s="173"/>
      <c r="J512" s="173"/>
      <c r="K512" s="173"/>
      <c r="L512" s="173"/>
      <c r="AM512" s="173"/>
      <c r="AN512" s="173"/>
      <c r="AZ512" s="337"/>
      <c r="BL512" s="349"/>
      <c r="BM512" s="300"/>
      <c r="BN512" s="300"/>
      <c r="BO512" s="300"/>
      <c r="BP512" s="300"/>
      <c r="BQ512" s="300"/>
      <c r="BR512" s="300"/>
      <c r="BS512" s="300"/>
      <c r="BT512" s="300"/>
      <c r="BU512" s="300"/>
      <c r="BV512" s="300"/>
      <c r="BW512" s="300"/>
      <c r="BX512" s="300"/>
      <c r="BY512" s="300"/>
      <c r="BZ512" s="300"/>
      <c r="CA512" s="300"/>
      <c r="CB512" s="300"/>
    </row>
    <row r="513" spans="1:80" s="27" customFormat="1" x14ac:dyDescent="0.3">
      <c r="A513" s="173"/>
      <c r="D513" s="173"/>
      <c r="E513" s="173"/>
      <c r="F513" s="173"/>
      <c r="G513" s="173"/>
      <c r="H513" s="173"/>
      <c r="I513" s="173"/>
      <c r="J513" s="173"/>
      <c r="K513" s="173"/>
      <c r="L513" s="173"/>
      <c r="AM513" s="173"/>
      <c r="AN513" s="173"/>
      <c r="AZ513" s="337"/>
      <c r="BL513" s="349"/>
      <c r="BM513" s="300"/>
      <c r="BN513" s="300"/>
      <c r="BO513" s="300"/>
      <c r="BP513" s="300"/>
      <c r="BQ513" s="300"/>
      <c r="BR513" s="300"/>
      <c r="BS513" s="300"/>
      <c r="BT513" s="300"/>
      <c r="BU513" s="300"/>
      <c r="BV513" s="300"/>
      <c r="BW513" s="300"/>
      <c r="BX513" s="300"/>
      <c r="BY513" s="300"/>
      <c r="BZ513" s="300"/>
      <c r="CA513" s="300"/>
      <c r="CB513" s="300"/>
    </row>
    <row r="514" spans="1:80" s="27" customFormat="1" x14ac:dyDescent="0.3">
      <c r="A514" s="173"/>
      <c r="D514" s="173"/>
      <c r="E514" s="173"/>
      <c r="F514" s="173"/>
      <c r="G514" s="173"/>
      <c r="H514" s="173"/>
      <c r="I514" s="173"/>
      <c r="J514" s="173"/>
      <c r="K514" s="173"/>
      <c r="L514" s="173"/>
      <c r="AM514" s="173"/>
      <c r="AN514" s="173"/>
      <c r="AZ514" s="337"/>
      <c r="BL514" s="349"/>
      <c r="BM514" s="300"/>
      <c r="BN514" s="300"/>
      <c r="BO514" s="300"/>
      <c r="BP514" s="300"/>
      <c r="BQ514" s="300"/>
      <c r="BR514" s="300"/>
      <c r="BS514" s="300"/>
      <c r="BT514" s="300"/>
      <c r="BU514" s="300"/>
      <c r="BV514" s="300"/>
      <c r="BW514" s="300"/>
      <c r="BX514" s="300"/>
      <c r="BY514" s="300"/>
      <c r="BZ514" s="300"/>
      <c r="CA514" s="300"/>
      <c r="CB514" s="300"/>
    </row>
    <row r="515" spans="1:80" s="27" customFormat="1" x14ac:dyDescent="0.3">
      <c r="A515" s="173"/>
      <c r="D515" s="173"/>
      <c r="E515" s="173"/>
      <c r="F515" s="173"/>
      <c r="G515" s="173"/>
      <c r="H515" s="173"/>
      <c r="I515" s="173"/>
      <c r="J515" s="173"/>
      <c r="K515" s="173"/>
      <c r="L515" s="173"/>
      <c r="AM515" s="173"/>
      <c r="AN515" s="173"/>
      <c r="AZ515" s="337"/>
      <c r="BL515" s="349"/>
      <c r="BM515" s="300"/>
      <c r="BN515" s="300"/>
      <c r="BO515" s="300"/>
      <c r="BP515" s="300"/>
      <c r="BQ515" s="300"/>
      <c r="BR515" s="300"/>
      <c r="BS515" s="300"/>
      <c r="BT515" s="300"/>
      <c r="BU515" s="300"/>
      <c r="BV515" s="300"/>
      <c r="BW515" s="300"/>
      <c r="BX515" s="300"/>
      <c r="BY515" s="300"/>
      <c r="BZ515" s="300"/>
      <c r="CA515" s="300"/>
      <c r="CB515" s="300"/>
    </row>
    <row r="516" spans="1:80" s="27" customFormat="1" x14ac:dyDescent="0.3">
      <c r="A516" s="173"/>
      <c r="D516" s="173"/>
      <c r="E516" s="173"/>
      <c r="F516" s="173"/>
      <c r="G516" s="173"/>
      <c r="H516" s="173"/>
      <c r="I516" s="173"/>
      <c r="J516" s="173"/>
      <c r="K516" s="173"/>
      <c r="L516" s="173"/>
      <c r="AM516" s="173"/>
      <c r="AN516" s="173"/>
      <c r="AZ516" s="337"/>
      <c r="BL516" s="349"/>
      <c r="BM516" s="300"/>
      <c r="BN516" s="300"/>
      <c r="BO516" s="300"/>
      <c r="BP516" s="300"/>
      <c r="BQ516" s="300"/>
      <c r="BR516" s="300"/>
      <c r="BS516" s="300"/>
      <c r="BT516" s="300"/>
      <c r="BU516" s="300"/>
      <c r="BV516" s="300"/>
      <c r="BW516" s="300"/>
      <c r="BX516" s="300"/>
      <c r="BY516" s="300"/>
      <c r="BZ516" s="300"/>
      <c r="CA516" s="300"/>
      <c r="CB516" s="300"/>
    </row>
    <row r="517" spans="1:80" s="27" customFormat="1" x14ac:dyDescent="0.3">
      <c r="A517" s="173"/>
      <c r="D517" s="173"/>
      <c r="E517" s="173"/>
      <c r="F517" s="173"/>
      <c r="G517" s="173"/>
      <c r="H517" s="173"/>
      <c r="I517" s="173"/>
      <c r="J517" s="173"/>
      <c r="K517" s="173"/>
      <c r="L517" s="173"/>
      <c r="AM517" s="173"/>
      <c r="AN517" s="173"/>
      <c r="AZ517" s="337"/>
      <c r="BL517" s="349"/>
      <c r="BM517" s="300"/>
      <c r="BN517" s="300"/>
      <c r="BO517" s="300"/>
      <c r="BP517" s="300"/>
      <c r="BQ517" s="300"/>
      <c r="BR517" s="300"/>
      <c r="BS517" s="300"/>
      <c r="BT517" s="300"/>
      <c r="BU517" s="300"/>
      <c r="BV517" s="300"/>
      <c r="BW517" s="300"/>
      <c r="BX517" s="300"/>
      <c r="BY517" s="300"/>
      <c r="BZ517" s="300"/>
      <c r="CA517" s="300"/>
      <c r="CB517" s="300"/>
    </row>
    <row r="518" spans="1:80" s="27" customFormat="1" x14ac:dyDescent="0.3">
      <c r="A518" s="173"/>
      <c r="D518" s="173"/>
      <c r="E518" s="173"/>
      <c r="F518" s="173"/>
      <c r="G518" s="173"/>
      <c r="H518" s="173"/>
      <c r="I518" s="173"/>
      <c r="J518" s="173"/>
      <c r="K518" s="173"/>
      <c r="L518" s="173"/>
      <c r="AM518" s="173"/>
      <c r="AN518" s="173"/>
      <c r="AZ518" s="337"/>
      <c r="BL518" s="349"/>
      <c r="BM518" s="300"/>
      <c r="BN518" s="300"/>
      <c r="BO518" s="300"/>
      <c r="BP518" s="300"/>
      <c r="BQ518" s="300"/>
      <c r="BR518" s="300"/>
      <c r="BS518" s="300"/>
      <c r="BT518" s="300"/>
      <c r="BU518" s="300"/>
      <c r="BV518" s="300"/>
      <c r="BW518" s="300"/>
      <c r="BX518" s="300"/>
      <c r="BY518" s="300"/>
      <c r="BZ518" s="300"/>
      <c r="CA518" s="300"/>
      <c r="CB518" s="300"/>
    </row>
    <row r="519" spans="1:80" s="27" customFormat="1" x14ac:dyDescent="0.3">
      <c r="A519" s="173"/>
      <c r="D519" s="173"/>
      <c r="E519" s="173"/>
      <c r="F519" s="173"/>
      <c r="G519" s="173"/>
      <c r="H519" s="173"/>
      <c r="I519" s="173"/>
      <c r="J519" s="173"/>
      <c r="K519" s="173"/>
      <c r="L519" s="173"/>
      <c r="AM519" s="173"/>
      <c r="AN519" s="173"/>
      <c r="AZ519" s="337"/>
      <c r="BL519" s="349"/>
      <c r="BM519" s="300"/>
      <c r="BN519" s="300"/>
      <c r="BO519" s="300"/>
      <c r="BP519" s="300"/>
      <c r="BQ519" s="300"/>
      <c r="BR519" s="300"/>
      <c r="BS519" s="300"/>
      <c r="BT519" s="300"/>
      <c r="BU519" s="300"/>
      <c r="BV519" s="300"/>
      <c r="BW519" s="300"/>
      <c r="BX519" s="300"/>
      <c r="BY519" s="300"/>
      <c r="BZ519" s="300"/>
      <c r="CA519" s="300"/>
      <c r="CB519" s="300"/>
    </row>
    <row r="520" spans="1:80" s="27" customFormat="1" x14ac:dyDescent="0.3">
      <c r="A520" s="173"/>
      <c r="D520" s="173"/>
      <c r="E520" s="173"/>
      <c r="F520" s="173"/>
      <c r="G520" s="173"/>
      <c r="H520" s="173"/>
      <c r="I520" s="173"/>
      <c r="J520" s="173"/>
      <c r="K520" s="173"/>
      <c r="L520" s="173"/>
      <c r="AM520" s="173"/>
      <c r="AN520" s="173"/>
      <c r="AZ520" s="337"/>
      <c r="BL520" s="349"/>
      <c r="BM520" s="300"/>
      <c r="BN520" s="300"/>
      <c r="BO520" s="300"/>
      <c r="BP520" s="300"/>
      <c r="BQ520" s="300"/>
      <c r="BR520" s="300"/>
      <c r="BS520" s="300"/>
      <c r="BT520" s="300"/>
      <c r="BU520" s="300"/>
      <c r="BV520" s="300"/>
      <c r="BW520" s="300"/>
      <c r="BX520" s="300"/>
      <c r="BY520" s="300"/>
      <c r="BZ520" s="300"/>
      <c r="CA520" s="300"/>
      <c r="CB520" s="300"/>
    </row>
    <row r="521" spans="1:80" s="27" customFormat="1" x14ac:dyDescent="0.3">
      <c r="A521" s="173"/>
      <c r="D521" s="173"/>
      <c r="E521" s="173"/>
      <c r="F521" s="173"/>
      <c r="G521" s="173"/>
      <c r="H521" s="173"/>
      <c r="I521" s="173"/>
      <c r="J521" s="173"/>
      <c r="K521" s="173"/>
      <c r="L521" s="173"/>
      <c r="AM521" s="173"/>
      <c r="AN521" s="173"/>
      <c r="AZ521" s="337"/>
      <c r="BL521" s="349"/>
      <c r="BM521" s="300"/>
      <c r="BN521" s="300"/>
      <c r="BO521" s="300"/>
      <c r="BP521" s="300"/>
      <c r="BQ521" s="300"/>
      <c r="BR521" s="300"/>
      <c r="BS521" s="300"/>
      <c r="BT521" s="300"/>
      <c r="BU521" s="300"/>
      <c r="BV521" s="300"/>
      <c r="BW521" s="300"/>
      <c r="BX521" s="300"/>
      <c r="BY521" s="300"/>
      <c r="BZ521" s="300"/>
      <c r="CA521" s="300"/>
      <c r="CB521" s="300"/>
    </row>
    <row r="522" spans="1:80" s="27" customFormat="1" x14ac:dyDescent="0.3">
      <c r="A522" s="173"/>
      <c r="D522" s="173"/>
      <c r="E522" s="173"/>
      <c r="F522" s="173"/>
      <c r="G522" s="173"/>
      <c r="H522" s="173"/>
      <c r="I522" s="173"/>
      <c r="J522" s="173"/>
      <c r="K522" s="173"/>
      <c r="L522" s="173"/>
      <c r="AM522" s="173"/>
      <c r="AN522" s="173"/>
      <c r="AZ522" s="337"/>
      <c r="BL522" s="349"/>
      <c r="BM522" s="300"/>
      <c r="BN522" s="300"/>
      <c r="BO522" s="300"/>
      <c r="BP522" s="300"/>
      <c r="BQ522" s="300"/>
      <c r="BR522" s="300"/>
      <c r="BS522" s="300"/>
      <c r="BT522" s="300"/>
      <c r="BU522" s="300"/>
      <c r="BV522" s="300"/>
      <c r="BW522" s="300"/>
      <c r="BX522" s="300"/>
      <c r="BY522" s="300"/>
      <c r="BZ522" s="300"/>
      <c r="CA522" s="300"/>
      <c r="CB522" s="300"/>
    </row>
    <row r="523" spans="1:80" s="27" customFormat="1" x14ac:dyDescent="0.3">
      <c r="A523" s="173"/>
      <c r="D523" s="173"/>
      <c r="E523" s="173"/>
      <c r="F523" s="173"/>
      <c r="G523" s="173"/>
      <c r="H523" s="173"/>
      <c r="I523" s="173"/>
      <c r="J523" s="173"/>
      <c r="K523" s="173"/>
      <c r="L523" s="173"/>
      <c r="AM523" s="173"/>
      <c r="AN523" s="173"/>
      <c r="AZ523" s="337"/>
      <c r="BL523" s="349"/>
      <c r="BM523" s="300"/>
      <c r="BN523" s="300"/>
      <c r="BO523" s="300"/>
      <c r="BP523" s="300"/>
      <c r="BQ523" s="300"/>
      <c r="BR523" s="300"/>
      <c r="BS523" s="300"/>
      <c r="BT523" s="300"/>
      <c r="BU523" s="300"/>
      <c r="BV523" s="300"/>
      <c r="BW523" s="300"/>
      <c r="BX523" s="300"/>
      <c r="BY523" s="300"/>
      <c r="BZ523" s="300"/>
      <c r="CA523" s="300"/>
      <c r="CB523" s="300"/>
    </row>
    <row r="524" spans="1:80" s="27" customFormat="1" x14ac:dyDescent="0.3">
      <c r="A524" s="173"/>
      <c r="D524" s="173"/>
      <c r="E524" s="173"/>
      <c r="F524" s="173"/>
      <c r="G524" s="173"/>
      <c r="H524" s="173"/>
      <c r="I524" s="173"/>
      <c r="J524" s="173"/>
      <c r="K524" s="173"/>
      <c r="L524" s="173"/>
      <c r="AM524" s="173"/>
      <c r="AN524" s="173"/>
      <c r="AZ524" s="337"/>
      <c r="BL524" s="349"/>
      <c r="BM524" s="300"/>
      <c r="BN524" s="300"/>
      <c r="BO524" s="300"/>
      <c r="BP524" s="300"/>
      <c r="BQ524" s="300"/>
      <c r="BR524" s="300"/>
      <c r="BS524" s="300"/>
      <c r="BT524" s="300"/>
      <c r="BU524" s="300"/>
      <c r="BV524" s="300"/>
      <c r="BW524" s="300"/>
      <c r="BX524" s="300"/>
      <c r="BY524" s="300"/>
      <c r="BZ524" s="300"/>
      <c r="CA524" s="300"/>
      <c r="CB524" s="300"/>
    </row>
    <row r="525" spans="1:80" s="27" customFormat="1" x14ac:dyDescent="0.3">
      <c r="A525" s="173"/>
      <c r="D525" s="173"/>
      <c r="E525" s="173"/>
      <c r="F525" s="173"/>
      <c r="G525" s="173"/>
      <c r="H525" s="173"/>
      <c r="I525" s="173"/>
      <c r="J525" s="173"/>
      <c r="K525" s="173"/>
      <c r="L525" s="173"/>
      <c r="AM525" s="173"/>
      <c r="AN525" s="173"/>
      <c r="AZ525" s="337"/>
      <c r="BL525" s="349"/>
      <c r="BM525" s="300"/>
      <c r="BN525" s="300"/>
      <c r="BO525" s="300"/>
      <c r="BP525" s="300"/>
      <c r="BQ525" s="300"/>
      <c r="BR525" s="300"/>
      <c r="BS525" s="300"/>
      <c r="BT525" s="300"/>
      <c r="BU525" s="300"/>
      <c r="BV525" s="300"/>
      <c r="BW525" s="300"/>
      <c r="BX525" s="300"/>
      <c r="BY525" s="300"/>
      <c r="BZ525" s="300"/>
      <c r="CA525" s="300"/>
      <c r="CB525" s="300"/>
    </row>
    <row r="526" spans="1:80" s="27" customFormat="1" x14ac:dyDescent="0.3">
      <c r="A526" s="173"/>
      <c r="D526" s="173"/>
      <c r="E526" s="173"/>
      <c r="F526" s="173"/>
      <c r="G526" s="173"/>
      <c r="H526" s="173"/>
      <c r="I526" s="173"/>
      <c r="J526" s="173"/>
      <c r="K526" s="173"/>
      <c r="L526" s="173"/>
      <c r="AM526" s="173"/>
      <c r="AN526" s="173"/>
      <c r="AZ526" s="337"/>
      <c r="BL526" s="349"/>
      <c r="BM526" s="300"/>
      <c r="BN526" s="300"/>
      <c r="BO526" s="300"/>
      <c r="BP526" s="300"/>
      <c r="BQ526" s="300"/>
      <c r="BR526" s="300"/>
      <c r="BS526" s="300"/>
      <c r="BT526" s="300"/>
      <c r="BU526" s="300"/>
      <c r="BV526" s="300"/>
      <c r="BW526" s="300"/>
      <c r="BX526" s="300"/>
      <c r="BY526" s="300"/>
      <c r="BZ526" s="300"/>
      <c r="CA526" s="300"/>
      <c r="CB526" s="300"/>
    </row>
    <row r="527" spans="1:80" s="27" customFormat="1" x14ac:dyDescent="0.3">
      <c r="A527" s="173"/>
      <c r="D527" s="173"/>
      <c r="E527" s="173"/>
      <c r="F527" s="173"/>
      <c r="G527" s="173"/>
      <c r="H527" s="173"/>
      <c r="I527" s="173"/>
      <c r="J527" s="173"/>
      <c r="K527" s="173"/>
      <c r="L527" s="173"/>
      <c r="AM527" s="173"/>
      <c r="AN527" s="173"/>
      <c r="AZ527" s="337"/>
      <c r="BL527" s="349"/>
      <c r="BM527" s="300"/>
      <c r="BN527" s="300"/>
      <c r="BO527" s="300"/>
      <c r="BP527" s="300"/>
      <c r="BQ527" s="300"/>
      <c r="BR527" s="300"/>
      <c r="BS527" s="300"/>
      <c r="BT527" s="300"/>
      <c r="BU527" s="300"/>
      <c r="BV527" s="300"/>
      <c r="BW527" s="300"/>
      <c r="BX527" s="300"/>
      <c r="BY527" s="300"/>
      <c r="BZ527" s="300"/>
      <c r="CA527" s="300"/>
      <c r="CB527" s="300"/>
    </row>
    <row r="528" spans="1:80" s="27" customFormat="1" x14ac:dyDescent="0.3">
      <c r="A528" s="173"/>
      <c r="D528" s="173"/>
      <c r="E528" s="173"/>
      <c r="F528" s="173"/>
      <c r="G528" s="173"/>
      <c r="H528" s="173"/>
      <c r="I528" s="173"/>
      <c r="J528" s="173"/>
      <c r="K528" s="173"/>
      <c r="L528" s="173"/>
      <c r="AM528" s="173"/>
      <c r="AN528" s="173"/>
      <c r="AZ528" s="337"/>
      <c r="BL528" s="349"/>
      <c r="BM528" s="300"/>
      <c r="BN528" s="300"/>
      <c r="BO528" s="300"/>
      <c r="BP528" s="300"/>
      <c r="BQ528" s="300"/>
      <c r="BR528" s="300"/>
      <c r="BS528" s="300"/>
      <c r="BT528" s="300"/>
      <c r="BU528" s="300"/>
      <c r="BV528" s="300"/>
      <c r="BW528" s="300"/>
      <c r="BX528" s="300"/>
      <c r="BY528" s="300"/>
      <c r="BZ528" s="300"/>
      <c r="CA528" s="300"/>
      <c r="CB528" s="300"/>
    </row>
    <row r="529" spans="1:80" s="27" customFormat="1" x14ac:dyDescent="0.3">
      <c r="A529" s="173"/>
      <c r="D529" s="173"/>
      <c r="E529" s="173"/>
      <c r="F529" s="173"/>
      <c r="G529" s="173"/>
      <c r="H529" s="173"/>
      <c r="I529" s="173"/>
      <c r="J529" s="173"/>
      <c r="K529" s="173"/>
      <c r="L529" s="173"/>
      <c r="AM529" s="173"/>
      <c r="AN529" s="173"/>
      <c r="AZ529" s="337"/>
      <c r="BL529" s="349"/>
      <c r="BM529" s="300"/>
      <c r="BN529" s="300"/>
      <c r="BO529" s="300"/>
      <c r="BP529" s="300"/>
      <c r="BQ529" s="300"/>
      <c r="BR529" s="300"/>
      <c r="BS529" s="300"/>
      <c r="BT529" s="300"/>
      <c r="BU529" s="300"/>
      <c r="BV529" s="300"/>
      <c r="BW529" s="300"/>
      <c r="BX529" s="300"/>
      <c r="BY529" s="300"/>
      <c r="BZ529" s="300"/>
      <c r="CA529" s="300"/>
      <c r="CB529" s="300"/>
    </row>
    <row r="530" spans="1:80" s="27" customFormat="1" x14ac:dyDescent="0.3">
      <c r="A530" s="173"/>
      <c r="D530" s="173"/>
      <c r="E530" s="173"/>
      <c r="F530" s="173"/>
      <c r="G530" s="173"/>
      <c r="H530" s="173"/>
      <c r="I530" s="173"/>
      <c r="J530" s="173"/>
      <c r="K530" s="173"/>
      <c r="L530" s="173"/>
      <c r="AM530" s="173"/>
      <c r="AN530" s="173"/>
      <c r="AZ530" s="337"/>
      <c r="BL530" s="349"/>
      <c r="BM530" s="300"/>
      <c r="BN530" s="300"/>
      <c r="BO530" s="300"/>
      <c r="BP530" s="300"/>
      <c r="BQ530" s="300"/>
      <c r="BR530" s="300"/>
      <c r="BS530" s="300"/>
      <c r="BT530" s="300"/>
      <c r="BU530" s="300"/>
      <c r="BV530" s="300"/>
      <c r="BW530" s="300"/>
      <c r="BX530" s="300"/>
      <c r="BY530" s="300"/>
      <c r="BZ530" s="300"/>
      <c r="CA530" s="300"/>
      <c r="CB530" s="300"/>
    </row>
    <row r="531" spans="1:80" s="27" customFormat="1" x14ac:dyDescent="0.3">
      <c r="A531" s="173"/>
      <c r="D531" s="173"/>
      <c r="E531" s="173"/>
      <c r="F531" s="173"/>
      <c r="G531" s="173"/>
      <c r="H531" s="173"/>
      <c r="I531" s="173"/>
      <c r="J531" s="173"/>
      <c r="K531" s="173"/>
      <c r="L531" s="173"/>
      <c r="AM531" s="173"/>
      <c r="AN531" s="173"/>
      <c r="AZ531" s="337"/>
      <c r="BL531" s="349"/>
      <c r="BM531" s="300"/>
      <c r="BN531" s="300"/>
      <c r="BO531" s="300"/>
      <c r="BP531" s="300"/>
      <c r="BQ531" s="300"/>
      <c r="BR531" s="300"/>
      <c r="BS531" s="300"/>
      <c r="BT531" s="300"/>
      <c r="BU531" s="300"/>
      <c r="BV531" s="300"/>
      <c r="BW531" s="300"/>
      <c r="BX531" s="300"/>
      <c r="BY531" s="300"/>
      <c r="BZ531" s="300"/>
      <c r="CA531" s="300"/>
      <c r="CB531" s="300"/>
    </row>
    <row r="532" spans="1:80" s="27" customFormat="1" x14ac:dyDescent="0.3">
      <c r="A532" s="173"/>
      <c r="D532" s="173"/>
      <c r="E532" s="173"/>
      <c r="F532" s="173"/>
      <c r="G532" s="173"/>
      <c r="H532" s="173"/>
      <c r="I532" s="173"/>
      <c r="J532" s="173"/>
      <c r="K532" s="173"/>
      <c r="L532" s="173"/>
      <c r="AM532" s="173"/>
      <c r="AN532" s="173"/>
      <c r="AZ532" s="337"/>
      <c r="BL532" s="349"/>
      <c r="BM532" s="300"/>
      <c r="BN532" s="300"/>
      <c r="BO532" s="300"/>
      <c r="BP532" s="300"/>
      <c r="BQ532" s="300"/>
      <c r="BR532" s="300"/>
      <c r="BS532" s="300"/>
      <c r="BT532" s="300"/>
      <c r="BU532" s="300"/>
      <c r="BV532" s="300"/>
      <c r="BW532" s="300"/>
      <c r="BX532" s="300"/>
      <c r="BY532" s="300"/>
      <c r="BZ532" s="300"/>
      <c r="CA532" s="300"/>
      <c r="CB532" s="300"/>
    </row>
    <row r="533" spans="1:80" s="27" customFormat="1" x14ac:dyDescent="0.3">
      <c r="A533" s="173"/>
      <c r="D533" s="173"/>
      <c r="E533" s="173"/>
      <c r="F533" s="173"/>
      <c r="G533" s="173"/>
      <c r="H533" s="173"/>
      <c r="I533" s="173"/>
      <c r="J533" s="173"/>
      <c r="K533" s="173"/>
      <c r="L533" s="173"/>
      <c r="AM533" s="173"/>
      <c r="AN533" s="173"/>
      <c r="AZ533" s="337"/>
      <c r="BL533" s="349"/>
      <c r="BM533" s="300"/>
      <c r="BN533" s="300"/>
      <c r="BO533" s="300"/>
      <c r="BP533" s="300"/>
      <c r="BQ533" s="300"/>
      <c r="BR533" s="300"/>
      <c r="BS533" s="300"/>
      <c r="BT533" s="300"/>
      <c r="BU533" s="300"/>
      <c r="BV533" s="300"/>
      <c r="BW533" s="300"/>
      <c r="BX533" s="300"/>
      <c r="BY533" s="300"/>
      <c r="BZ533" s="300"/>
      <c r="CA533" s="300"/>
      <c r="CB533" s="300"/>
    </row>
    <row r="534" spans="1:80" s="27" customFormat="1" x14ac:dyDescent="0.3">
      <c r="A534" s="173"/>
      <c r="D534" s="173"/>
      <c r="E534" s="173"/>
      <c r="F534" s="173"/>
      <c r="G534" s="173"/>
      <c r="H534" s="173"/>
      <c r="I534" s="173"/>
      <c r="J534" s="173"/>
      <c r="K534" s="173"/>
      <c r="L534" s="173"/>
      <c r="AM534" s="173"/>
      <c r="AN534" s="173"/>
      <c r="AZ534" s="337"/>
      <c r="BL534" s="349"/>
      <c r="BM534" s="300"/>
      <c r="BN534" s="300"/>
      <c r="BO534" s="300"/>
      <c r="BP534" s="300"/>
      <c r="BQ534" s="300"/>
      <c r="BR534" s="300"/>
      <c r="BS534" s="300"/>
      <c r="BT534" s="300"/>
      <c r="BU534" s="300"/>
      <c r="BV534" s="300"/>
      <c r="BW534" s="300"/>
      <c r="BX534" s="300"/>
      <c r="BY534" s="300"/>
      <c r="BZ534" s="300"/>
      <c r="CA534" s="300"/>
      <c r="CB534" s="300"/>
    </row>
    <row r="535" spans="1:80" s="27" customFormat="1" x14ac:dyDescent="0.3">
      <c r="A535" s="173"/>
      <c r="D535" s="173"/>
      <c r="E535" s="173"/>
      <c r="F535" s="173"/>
      <c r="G535" s="173"/>
      <c r="H535" s="173"/>
      <c r="I535" s="173"/>
      <c r="J535" s="173"/>
      <c r="K535" s="173"/>
      <c r="L535" s="173"/>
      <c r="AM535" s="173"/>
      <c r="AN535" s="173"/>
      <c r="AZ535" s="337"/>
      <c r="BL535" s="349"/>
      <c r="BM535" s="300"/>
      <c r="BN535" s="300"/>
      <c r="BO535" s="300"/>
      <c r="BP535" s="300"/>
      <c r="BQ535" s="300"/>
      <c r="BR535" s="300"/>
      <c r="BS535" s="300"/>
      <c r="BT535" s="300"/>
      <c r="BU535" s="300"/>
      <c r="BV535" s="300"/>
      <c r="BW535" s="300"/>
      <c r="BX535" s="300"/>
      <c r="BY535" s="300"/>
      <c r="BZ535" s="300"/>
      <c r="CA535" s="300"/>
      <c r="CB535" s="300"/>
    </row>
    <row r="536" spans="1:80" s="27" customFormat="1" x14ac:dyDescent="0.3">
      <c r="A536" s="173"/>
      <c r="D536" s="173"/>
      <c r="E536" s="173"/>
      <c r="F536" s="173"/>
      <c r="G536" s="173"/>
      <c r="H536" s="173"/>
      <c r="I536" s="173"/>
      <c r="J536" s="173"/>
      <c r="K536" s="173"/>
      <c r="L536" s="173"/>
      <c r="AM536" s="173"/>
      <c r="AN536" s="173"/>
      <c r="AZ536" s="337"/>
      <c r="BL536" s="349"/>
      <c r="BM536" s="300"/>
      <c r="BN536" s="300"/>
      <c r="BO536" s="300"/>
      <c r="BP536" s="300"/>
      <c r="BQ536" s="300"/>
      <c r="BR536" s="300"/>
      <c r="BS536" s="300"/>
      <c r="BT536" s="300"/>
      <c r="BU536" s="300"/>
      <c r="BV536" s="300"/>
      <c r="BW536" s="300"/>
      <c r="BX536" s="300"/>
      <c r="BY536" s="300"/>
      <c r="BZ536" s="300"/>
      <c r="CA536" s="300"/>
      <c r="CB536" s="300"/>
    </row>
    <row r="537" spans="1:80" s="27" customFormat="1" x14ac:dyDescent="0.3">
      <c r="A537" s="173"/>
      <c r="D537" s="173"/>
      <c r="E537" s="173"/>
      <c r="F537" s="173"/>
      <c r="G537" s="173"/>
      <c r="H537" s="173"/>
      <c r="I537" s="173"/>
      <c r="J537" s="173"/>
      <c r="K537" s="173"/>
      <c r="L537" s="173"/>
      <c r="AM537" s="173"/>
      <c r="AN537" s="173"/>
      <c r="AZ537" s="337"/>
      <c r="BL537" s="349"/>
      <c r="BM537" s="300"/>
      <c r="BN537" s="300"/>
      <c r="BO537" s="300"/>
      <c r="BP537" s="300"/>
      <c r="BQ537" s="300"/>
      <c r="BR537" s="300"/>
      <c r="BS537" s="300"/>
      <c r="BT537" s="300"/>
      <c r="BU537" s="300"/>
      <c r="BV537" s="300"/>
      <c r="BW537" s="300"/>
      <c r="BX537" s="300"/>
      <c r="BY537" s="300"/>
      <c r="BZ537" s="300"/>
      <c r="CA537" s="300"/>
      <c r="CB537" s="300"/>
    </row>
    <row r="538" spans="1:80" s="27" customFormat="1" x14ac:dyDescent="0.3">
      <c r="A538" s="173"/>
      <c r="D538" s="173"/>
      <c r="E538" s="173"/>
      <c r="F538" s="173"/>
      <c r="G538" s="173"/>
      <c r="H538" s="173"/>
      <c r="I538" s="173"/>
      <c r="J538" s="173"/>
      <c r="K538" s="173"/>
      <c r="L538" s="173"/>
      <c r="AM538" s="173"/>
      <c r="AN538" s="173"/>
      <c r="AZ538" s="337"/>
      <c r="BL538" s="349"/>
      <c r="BM538" s="300"/>
      <c r="BN538" s="300"/>
      <c r="BO538" s="300"/>
      <c r="BP538" s="300"/>
      <c r="BQ538" s="300"/>
      <c r="BR538" s="300"/>
      <c r="BS538" s="300"/>
      <c r="BT538" s="300"/>
      <c r="BU538" s="300"/>
      <c r="BV538" s="300"/>
      <c r="BW538" s="300"/>
      <c r="BX538" s="300"/>
      <c r="BY538" s="300"/>
      <c r="BZ538" s="300"/>
      <c r="CA538" s="300"/>
      <c r="CB538" s="300"/>
    </row>
    <row r="539" spans="1:80" s="27" customFormat="1" x14ac:dyDescent="0.3">
      <c r="A539" s="173"/>
      <c r="D539" s="173"/>
      <c r="E539" s="173"/>
      <c r="F539" s="173"/>
      <c r="G539" s="173"/>
      <c r="H539" s="173"/>
      <c r="I539" s="173"/>
      <c r="J539" s="173"/>
      <c r="K539" s="173"/>
      <c r="L539" s="173"/>
      <c r="AM539" s="173"/>
      <c r="AN539" s="173"/>
      <c r="AZ539" s="337"/>
      <c r="BL539" s="349"/>
      <c r="BM539" s="300"/>
      <c r="BN539" s="300"/>
      <c r="BO539" s="300"/>
      <c r="BP539" s="300"/>
      <c r="BQ539" s="300"/>
      <c r="BR539" s="300"/>
      <c r="BS539" s="300"/>
      <c r="BT539" s="300"/>
      <c r="BU539" s="300"/>
      <c r="BV539" s="300"/>
      <c r="BW539" s="300"/>
      <c r="BX539" s="300"/>
      <c r="BY539" s="300"/>
      <c r="BZ539" s="300"/>
      <c r="CA539" s="300"/>
      <c r="CB539" s="300"/>
    </row>
    <row r="540" spans="1:80" s="27" customFormat="1" x14ac:dyDescent="0.3">
      <c r="A540" s="173"/>
      <c r="D540" s="173"/>
      <c r="E540" s="173"/>
      <c r="F540" s="173"/>
      <c r="G540" s="173"/>
      <c r="H540" s="173"/>
      <c r="I540" s="173"/>
      <c r="J540" s="173"/>
      <c r="K540" s="173"/>
      <c r="L540" s="173"/>
      <c r="AM540" s="173"/>
      <c r="AN540" s="173"/>
      <c r="AZ540" s="337"/>
      <c r="BL540" s="349"/>
      <c r="BM540" s="300"/>
      <c r="BN540" s="300"/>
      <c r="BO540" s="300"/>
      <c r="BP540" s="300"/>
      <c r="BQ540" s="300"/>
      <c r="BR540" s="300"/>
      <c r="BS540" s="300"/>
      <c r="BT540" s="300"/>
      <c r="BU540" s="300"/>
      <c r="BV540" s="300"/>
      <c r="BW540" s="300"/>
      <c r="BX540" s="300"/>
      <c r="BY540" s="300"/>
      <c r="BZ540" s="300"/>
      <c r="CA540" s="300"/>
      <c r="CB540" s="300"/>
    </row>
    <row r="541" spans="1:80" s="27" customFormat="1" x14ac:dyDescent="0.3">
      <c r="A541" s="173"/>
      <c r="D541" s="173"/>
      <c r="E541" s="173"/>
      <c r="F541" s="173"/>
      <c r="G541" s="173"/>
      <c r="H541" s="173"/>
      <c r="I541" s="173"/>
      <c r="J541" s="173"/>
      <c r="K541" s="173"/>
      <c r="L541" s="173"/>
      <c r="AM541" s="173"/>
      <c r="AN541" s="173"/>
      <c r="AZ541" s="337"/>
      <c r="BL541" s="349"/>
      <c r="BM541" s="300"/>
      <c r="BN541" s="300"/>
      <c r="BO541" s="300"/>
      <c r="BP541" s="300"/>
      <c r="BQ541" s="300"/>
      <c r="BR541" s="300"/>
      <c r="BS541" s="300"/>
      <c r="BT541" s="300"/>
      <c r="BU541" s="300"/>
      <c r="BV541" s="300"/>
      <c r="BW541" s="300"/>
      <c r="BX541" s="300"/>
      <c r="BY541" s="300"/>
      <c r="BZ541" s="300"/>
      <c r="CA541" s="300"/>
      <c r="CB541" s="300"/>
    </row>
    <row r="542" spans="1:80" s="27" customFormat="1" x14ac:dyDescent="0.3">
      <c r="A542" s="173"/>
      <c r="D542" s="173"/>
      <c r="E542" s="173"/>
      <c r="F542" s="173"/>
      <c r="G542" s="173"/>
      <c r="H542" s="173"/>
      <c r="I542" s="173"/>
      <c r="J542" s="173"/>
      <c r="K542" s="173"/>
      <c r="L542" s="173"/>
      <c r="AM542" s="173"/>
      <c r="AN542" s="173"/>
      <c r="AZ542" s="337"/>
      <c r="BL542" s="349"/>
      <c r="BM542" s="300"/>
      <c r="BN542" s="300"/>
      <c r="BO542" s="300"/>
      <c r="BP542" s="300"/>
      <c r="BQ542" s="300"/>
      <c r="BR542" s="300"/>
      <c r="BS542" s="300"/>
      <c r="BT542" s="300"/>
      <c r="BU542" s="300"/>
      <c r="BV542" s="300"/>
      <c r="BW542" s="300"/>
      <c r="BX542" s="300"/>
      <c r="BY542" s="300"/>
      <c r="BZ542" s="300"/>
      <c r="CA542" s="300"/>
      <c r="CB542" s="300"/>
    </row>
    <row r="543" spans="1:80" s="27" customFormat="1" x14ac:dyDescent="0.3">
      <c r="A543" s="173"/>
      <c r="D543" s="173"/>
      <c r="E543" s="173"/>
      <c r="F543" s="173"/>
      <c r="G543" s="173"/>
      <c r="H543" s="173"/>
      <c r="I543" s="173"/>
      <c r="J543" s="173"/>
      <c r="K543" s="173"/>
      <c r="L543" s="173"/>
      <c r="AM543" s="173"/>
      <c r="AN543" s="173"/>
      <c r="AZ543" s="337"/>
      <c r="BL543" s="349"/>
      <c r="BM543" s="300"/>
      <c r="BN543" s="300"/>
      <c r="BO543" s="300"/>
      <c r="BP543" s="300"/>
      <c r="BQ543" s="300"/>
      <c r="BR543" s="300"/>
      <c r="BS543" s="300"/>
      <c r="BT543" s="300"/>
      <c r="BU543" s="300"/>
      <c r="BV543" s="300"/>
      <c r="BW543" s="300"/>
      <c r="BX543" s="300"/>
      <c r="BY543" s="300"/>
      <c r="BZ543" s="300"/>
      <c r="CA543" s="300"/>
      <c r="CB543" s="300"/>
    </row>
    <row r="544" spans="1:80" s="27" customFormat="1" x14ac:dyDescent="0.3">
      <c r="A544" s="173"/>
      <c r="D544" s="173"/>
      <c r="E544" s="173"/>
      <c r="F544" s="173"/>
      <c r="G544" s="173"/>
      <c r="H544" s="173"/>
      <c r="I544" s="173"/>
      <c r="J544" s="173"/>
      <c r="K544" s="173"/>
      <c r="L544" s="173"/>
      <c r="AM544" s="173"/>
      <c r="AN544" s="173"/>
      <c r="AZ544" s="337"/>
      <c r="BL544" s="349"/>
      <c r="BM544" s="300"/>
      <c r="BN544" s="300"/>
      <c r="BO544" s="300"/>
      <c r="BP544" s="300"/>
      <c r="BQ544" s="300"/>
      <c r="BR544" s="300"/>
      <c r="BS544" s="300"/>
      <c r="BT544" s="300"/>
      <c r="BU544" s="300"/>
      <c r="BV544" s="300"/>
      <c r="BW544" s="300"/>
      <c r="BX544" s="300"/>
      <c r="BY544" s="300"/>
      <c r="BZ544" s="300"/>
      <c r="CA544" s="300"/>
      <c r="CB544" s="300"/>
    </row>
    <row r="545" spans="1:80" s="27" customFormat="1" x14ac:dyDescent="0.3">
      <c r="A545" s="173"/>
      <c r="D545" s="173"/>
      <c r="E545" s="173"/>
      <c r="F545" s="173"/>
      <c r="G545" s="173"/>
      <c r="H545" s="173"/>
      <c r="I545" s="173"/>
      <c r="J545" s="173"/>
      <c r="K545" s="173"/>
      <c r="L545" s="173"/>
      <c r="AM545" s="173"/>
      <c r="AN545" s="173"/>
      <c r="AZ545" s="337"/>
      <c r="BL545" s="349"/>
      <c r="BM545" s="300"/>
      <c r="BN545" s="300"/>
      <c r="BO545" s="300"/>
      <c r="BP545" s="300"/>
      <c r="BQ545" s="300"/>
      <c r="BR545" s="300"/>
      <c r="BS545" s="300"/>
      <c r="BT545" s="300"/>
      <c r="BU545" s="300"/>
      <c r="BV545" s="300"/>
      <c r="BW545" s="300"/>
      <c r="BX545" s="300"/>
      <c r="BY545" s="300"/>
      <c r="BZ545" s="300"/>
      <c r="CA545" s="300"/>
      <c r="CB545" s="300"/>
    </row>
    <row r="546" spans="1:80" s="27" customFormat="1" x14ac:dyDescent="0.3">
      <c r="A546" s="173"/>
      <c r="D546" s="173"/>
      <c r="E546" s="173"/>
      <c r="F546" s="173"/>
      <c r="G546" s="173"/>
      <c r="H546" s="173"/>
      <c r="I546" s="173"/>
      <c r="J546" s="173"/>
      <c r="K546" s="173"/>
      <c r="L546" s="173"/>
      <c r="AM546" s="173"/>
      <c r="AN546" s="173"/>
      <c r="AZ546" s="337"/>
      <c r="BL546" s="349"/>
      <c r="BM546" s="300"/>
      <c r="BN546" s="300"/>
      <c r="BO546" s="300"/>
      <c r="BP546" s="300"/>
      <c r="BQ546" s="300"/>
      <c r="BR546" s="300"/>
      <c r="BS546" s="300"/>
      <c r="BT546" s="300"/>
      <c r="BU546" s="300"/>
      <c r="BV546" s="300"/>
      <c r="BW546" s="300"/>
      <c r="BX546" s="300"/>
      <c r="BY546" s="300"/>
      <c r="BZ546" s="300"/>
      <c r="CA546" s="300"/>
      <c r="CB546" s="300"/>
    </row>
    <row r="547" spans="1:80" s="27" customFormat="1" x14ac:dyDescent="0.3">
      <c r="A547" s="173"/>
      <c r="D547" s="173"/>
      <c r="E547" s="173"/>
      <c r="F547" s="173"/>
      <c r="G547" s="173"/>
      <c r="H547" s="173"/>
      <c r="I547" s="173"/>
      <c r="J547" s="173"/>
      <c r="K547" s="173"/>
      <c r="L547" s="173"/>
      <c r="AM547" s="173"/>
      <c r="AN547" s="173"/>
      <c r="AZ547" s="337"/>
      <c r="BL547" s="349"/>
      <c r="BM547" s="300"/>
      <c r="BN547" s="300"/>
      <c r="BO547" s="300"/>
      <c r="BP547" s="300"/>
      <c r="BQ547" s="300"/>
      <c r="BR547" s="300"/>
      <c r="BS547" s="300"/>
      <c r="BT547" s="300"/>
      <c r="BU547" s="300"/>
      <c r="BV547" s="300"/>
      <c r="BW547" s="300"/>
      <c r="BX547" s="300"/>
      <c r="BY547" s="300"/>
      <c r="BZ547" s="300"/>
      <c r="CA547" s="300"/>
      <c r="CB547" s="300"/>
    </row>
    <row r="548" spans="1:80" s="27" customFormat="1" x14ac:dyDescent="0.3">
      <c r="A548" s="173"/>
      <c r="D548" s="173"/>
      <c r="E548" s="173"/>
      <c r="F548" s="173"/>
      <c r="G548" s="173"/>
      <c r="H548" s="173"/>
      <c r="I548" s="173"/>
      <c r="J548" s="173"/>
      <c r="K548" s="173"/>
      <c r="L548" s="173"/>
      <c r="AM548" s="173"/>
      <c r="AN548" s="173"/>
      <c r="AZ548" s="337"/>
      <c r="BL548" s="349"/>
      <c r="BM548" s="300"/>
      <c r="BN548" s="300"/>
      <c r="BO548" s="300"/>
      <c r="BP548" s="300"/>
      <c r="BQ548" s="300"/>
      <c r="BR548" s="300"/>
      <c r="BS548" s="300"/>
      <c r="BT548" s="300"/>
      <c r="BU548" s="300"/>
      <c r="BV548" s="300"/>
      <c r="BW548" s="300"/>
      <c r="BX548" s="300"/>
      <c r="BY548" s="300"/>
      <c r="BZ548" s="300"/>
      <c r="CA548" s="300"/>
      <c r="CB548" s="300"/>
    </row>
    <row r="549" spans="1:80" s="27" customFormat="1" x14ac:dyDescent="0.3">
      <c r="A549" s="173"/>
      <c r="D549" s="173"/>
      <c r="E549" s="173"/>
      <c r="F549" s="173"/>
      <c r="G549" s="173"/>
      <c r="H549" s="173"/>
      <c r="I549" s="173"/>
      <c r="J549" s="173"/>
      <c r="K549" s="173"/>
      <c r="L549" s="173"/>
      <c r="AM549" s="173"/>
      <c r="AN549" s="173"/>
      <c r="AZ549" s="337"/>
      <c r="BL549" s="349"/>
      <c r="BM549" s="300"/>
      <c r="BN549" s="300"/>
      <c r="BO549" s="300"/>
      <c r="BP549" s="300"/>
      <c r="BQ549" s="300"/>
      <c r="BR549" s="300"/>
      <c r="BS549" s="300"/>
      <c r="BT549" s="300"/>
      <c r="BU549" s="300"/>
      <c r="BV549" s="300"/>
      <c r="BW549" s="300"/>
      <c r="BX549" s="300"/>
      <c r="BY549" s="300"/>
      <c r="BZ549" s="300"/>
      <c r="CA549" s="300"/>
      <c r="CB549" s="300"/>
    </row>
    <row r="550" spans="1:80" s="27" customFormat="1" x14ac:dyDescent="0.3">
      <c r="A550" s="173"/>
      <c r="D550" s="173"/>
      <c r="E550" s="173"/>
      <c r="F550" s="173"/>
      <c r="G550" s="173"/>
      <c r="H550" s="173"/>
      <c r="I550" s="173"/>
      <c r="J550" s="173"/>
      <c r="K550" s="173"/>
      <c r="L550" s="173"/>
      <c r="AM550" s="173"/>
      <c r="AN550" s="173"/>
      <c r="AZ550" s="337"/>
      <c r="BL550" s="349"/>
      <c r="BM550" s="300"/>
      <c r="BN550" s="300"/>
      <c r="BO550" s="300"/>
      <c r="BP550" s="300"/>
      <c r="BQ550" s="300"/>
      <c r="BR550" s="300"/>
      <c r="BS550" s="300"/>
      <c r="BT550" s="300"/>
      <c r="BU550" s="300"/>
      <c r="BV550" s="300"/>
      <c r="BW550" s="300"/>
      <c r="BX550" s="300"/>
      <c r="BY550" s="300"/>
      <c r="BZ550" s="300"/>
      <c r="CA550" s="300"/>
      <c r="CB550" s="300"/>
    </row>
    <row r="551" spans="1:80" s="27" customFormat="1" x14ac:dyDescent="0.3">
      <c r="A551" s="173"/>
      <c r="D551" s="173"/>
      <c r="E551" s="173"/>
      <c r="F551" s="173"/>
      <c r="G551" s="173"/>
      <c r="H551" s="173"/>
      <c r="I551" s="173"/>
      <c r="J551" s="173"/>
      <c r="K551" s="173"/>
      <c r="L551" s="173"/>
      <c r="AM551" s="173"/>
      <c r="AN551" s="173"/>
      <c r="AZ551" s="337"/>
      <c r="BL551" s="349"/>
      <c r="BM551" s="300"/>
      <c r="BN551" s="300"/>
      <c r="BO551" s="300"/>
      <c r="BP551" s="300"/>
      <c r="BQ551" s="300"/>
      <c r="BR551" s="300"/>
      <c r="BS551" s="300"/>
      <c r="BT551" s="300"/>
      <c r="BU551" s="300"/>
      <c r="BV551" s="300"/>
      <c r="BW551" s="300"/>
      <c r="BX551" s="300"/>
      <c r="BY551" s="300"/>
      <c r="BZ551" s="300"/>
      <c r="CA551" s="300"/>
      <c r="CB551" s="300"/>
    </row>
    <row r="552" spans="1:80" s="27" customFormat="1" x14ac:dyDescent="0.3">
      <c r="A552" s="173"/>
      <c r="D552" s="173"/>
      <c r="E552" s="173"/>
      <c r="F552" s="173"/>
      <c r="G552" s="173"/>
      <c r="H552" s="173"/>
      <c r="I552" s="173"/>
      <c r="J552" s="173"/>
      <c r="K552" s="173"/>
      <c r="L552" s="173"/>
      <c r="AM552" s="173"/>
      <c r="AN552" s="173"/>
      <c r="AZ552" s="337"/>
      <c r="BL552" s="349"/>
      <c r="BM552" s="300"/>
      <c r="BN552" s="300"/>
      <c r="BO552" s="300"/>
      <c r="BP552" s="300"/>
      <c r="BQ552" s="300"/>
      <c r="BR552" s="300"/>
      <c r="BS552" s="300"/>
      <c r="BT552" s="300"/>
      <c r="BU552" s="300"/>
      <c r="BV552" s="300"/>
      <c r="BW552" s="300"/>
      <c r="BX552" s="300"/>
      <c r="BY552" s="300"/>
      <c r="BZ552" s="300"/>
      <c r="CA552" s="300"/>
      <c r="CB552" s="300"/>
    </row>
    <row r="553" spans="1:80" s="27" customFormat="1" x14ac:dyDescent="0.3">
      <c r="A553" s="173"/>
      <c r="D553" s="173"/>
      <c r="E553" s="173"/>
      <c r="F553" s="173"/>
      <c r="G553" s="173"/>
      <c r="H553" s="173"/>
      <c r="I553" s="173"/>
      <c r="J553" s="173"/>
      <c r="K553" s="173"/>
      <c r="L553" s="173"/>
      <c r="AM553" s="173"/>
      <c r="AN553" s="173"/>
      <c r="AZ553" s="337"/>
      <c r="BL553" s="349"/>
      <c r="BM553" s="300"/>
      <c r="BN553" s="300"/>
      <c r="BO553" s="300"/>
      <c r="BP553" s="300"/>
      <c r="BQ553" s="300"/>
      <c r="BR553" s="300"/>
      <c r="BS553" s="300"/>
      <c r="BT553" s="300"/>
      <c r="BU553" s="300"/>
      <c r="BV553" s="300"/>
      <c r="BW553" s="300"/>
      <c r="BX553" s="300"/>
      <c r="BY553" s="300"/>
      <c r="BZ553" s="300"/>
      <c r="CA553" s="300"/>
      <c r="CB553" s="300"/>
    </row>
    <row r="554" spans="1:80" s="27" customFormat="1" x14ac:dyDescent="0.3">
      <c r="A554" s="173"/>
      <c r="D554" s="173"/>
      <c r="E554" s="173"/>
      <c r="F554" s="173"/>
      <c r="G554" s="173"/>
      <c r="H554" s="173"/>
      <c r="I554" s="173"/>
      <c r="J554" s="173"/>
      <c r="K554" s="173"/>
      <c r="L554" s="173"/>
      <c r="AM554" s="173"/>
      <c r="AN554" s="173"/>
      <c r="AZ554" s="337"/>
      <c r="BL554" s="349"/>
      <c r="BM554" s="300"/>
      <c r="BN554" s="300"/>
      <c r="BO554" s="300"/>
      <c r="BP554" s="300"/>
      <c r="BQ554" s="300"/>
      <c r="BR554" s="300"/>
      <c r="BS554" s="300"/>
      <c r="BT554" s="300"/>
      <c r="BU554" s="300"/>
      <c r="BV554" s="300"/>
      <c r="BW554" s="300"/>
      <c r="BX554" s="300"/>
      <c r="BY554" s="300"/>
      <c r="BZ554" s="300"/>
      <c r="CA554" s="300"/>
      <c r="CB554" s="300"/>
    </row>
    <row r="555" spans="1:80" s="27" customFormat="1" x14ac:dyDescent="0.3">
      <c r="A555" s="173"/>
      <c r="D555" s="173"/>
      <c r="E555" s="173"/>
      <c r="F555" s="173"/>
      <c r="G555" s="173"/>
      <c r="H555" s="173"/>
      <c r="I555" s="173"/>
      <c r="J555" s="173"/>
      <c r="K555" s="173"/>
      <c r="L555" s="173"/>
      <c r="AM555" s="173"/>
      <c r="AN555" s="173"/>
      <c r="AZ555" s="337"/>
      <c r="BL555" s="349"/>
      <c r="BM555" s="300"/>
      <c r="BN555" s="300"/>
      <c r="BO555" s="300"/>
      <c r="BP555" s="300"/>
      <c r="BQ555" s="300"/>
      <c r="BR555" s="300"/>
      <c r="BS555" s="300"/>
      <c r="BT555" s="300"/>
      <c r="BU555" s="300"/>
      <c r="BV555" s="300"/>
      <c r="BW555" s="300"/>
      <c r="BX555" s="300"/>
      <c r="BY555" s="300"/>
      <c r="BZ555" s="300"/>
      <c r="CA555" s="300"/>
      <c r="CB555" s="300"/>
    </row>
    <row r="556" spans="1:80" s="27" customFormat="1" x14ac:dyDescent="0.3">
      <c r="A556" s="173"/>
      <c r="D556" s="173"/>
      <c r="E556" s="173"/>
      <c r="F556" s="173"/>
      <c r="G556" s="173"/>
      <c r="H556" s="173"/>
      <c r="I556" s="173"/>
      <c r="J556" s="173"/>
      <c r="K556" s="173"/>
      <c r="L556" s="173"/>
      <c r="AM556" s="173"/>
      <c r="AN556" s="173"/>
      <c r="AZ556" s="337"/>
      <c r="BL556" s="349"/>
      <c r="BM556" s="300"/>
      <c r="BN556" s="300"/>
      <c r="BO556" s="300"/>
      <c r="BP556" s="300"/>
      <c r="BQ556" s="300"/>
      <c r="BR556" s="300"/>
      <c r="BS556" s="300"/>
      <c r="BT556" s="300"/>
      <c r="BU556" s="300"/>
      <c r="BV556" s="300"/>
      <c r="BW556" s="300"/>
      <c r="BX556" s="300"/>
      <c r="BY556" s="300"/>
      <c r="BZ556" s="300"/>
      <c r="CA556" s="300"/>
      <c r="CB556" s="300"/>
    </row>
    <row r="557" spans="1:80" s="27" customFormat="1" x14ac:dyDescent="0.3">
      <c r="A557" s="173"/>
      <c r="D557" s="173"/>
      <c r="E557" s="173"/>
      <c r="F557" s="173"/>
      <c r="G557" s="173"/>
      <c r="H557" s="173"/>
      <c r="I557" s="173"/>
      <c r="J557" s="173"/>
      <c r="K557" s="173"/>
      <c r="L557" s="173"/>
      <c r="AM557" s="173"/>
      <c r="AN557" s="173"/>
      <c r="AZ557" s="337"/>
      <c r="BL557" s="349"/>
      <c r="BM557" s="300"/>
      <c r="BN557" s="300"/>
      <c r="BO557" s="300"/>
      <c r="BP557" s="300"/>
      <c r="BQ557" s="300"/>
      <c r="BR557" s="300"/>
      <c r="BS557" s="300"/>
      <c r="BT557" s="300"/>
      <c r="BU557" s="300"/>
      <c r="BV557" s="300"/>
      <c r="BW557" s="300"/>
      <c r="BX557" s="300"/>
      <c r="BY557" s="300"/>
      <c r="BZ557" s="300"/>
      <c r="CA557" s="300"/>
      <c r="CB557" s="300"/>
    </row>
    <row r="558" spans="1:80" s="27" customFormat="1" x14ac:dyDescent="0.3">
      <c r="A558" s="173"/>
      <c r="D558" s="173"/>
      <c r="E558" s="173"/>
      <c r="F558" s="173"/>
      <c r="G558" s="173"/>
      <c r="H558" s="173"/>
      <c r="I558" s="173"/>
      <c r="J558" s="173"/>
      <c r="K558" s="173"/>
      <c r="L558" s="173"/>
      <c r="AM558" s="173"/>
      <c r="AN558" s="173"/>
      <c r="AZ558" s="337"/>
      <c r="BL558" s="349"/>
      <c r="BM558" s="300"/>
      <c r="BN558" s="300"/>
      <c r="BO558" s="300"/>
      <c r="BP558" s="300"/>
      <c r="BQ558" s="300"/>
      <c r="BR558" s="300"/>
      <c r="BS558" s="300"/>
      <c r="BT558" s="300"/>
      <c r="BU558" s="300"/>
      <c r="BV558" s="300"/>
      <c r="BW558" s="300"/>
      <c r="BX558" s="300"/>
      <c r="BY558" s="300"/>
      <c r="BZ558" s="300"/>
      <c r="CA558" s="300"/>
      <c r="CB558" s="300"/>
    </row>
    <row r="559" spans="1:80" s="27" customFormat="1" x14ac:dyDescent="0.3">
      <c r="A559" s="173"/>
      <c r="D559" s="173"/>
      <c r="E559" s="173"/>
      <c r="F559" s="173"/>
      <c r="G559" s="173"/>
      <c r="H559" s="173"/>
      <c r="I559" s="173"/>
      <c r="J559" s="173"/>
      <c r="K559" s="173"/>
      <c r="L559" s="173"/>
      <c r="AM559" s="173"/>
      <c r="AN559" s="173"/>
      <c r="AZ559" s="337"/>
      <c r="BL559" s="349"/>
      <c r="BM559" s="300"/>
      <c r="BN559" s="300"/>
      <c r="BO559" s="300"/>
      <c r="BP559" s="300"/>
      <c r="BQ559" s="300"/>
      <c r="BR559" s="300"/>
      <c r="BS559" s="300"/>
      <c r="BT559" s="300"/>
      <c r="BU559" s="300"/>
      <c r="BV559" s="300"/>
      <c r="BW559" s="300"/>
      <c r="BX559" s="300"/>
      <c r="BY559" s="300"/>
      <c r="BZ559" s="300"/>
      <c r="CA559" s="300"/>
      <c r="CB559" s="300"/>
    </row>
    <row r="560" spans="1:80" s="27" customFormat="1" x14ac:dyDescent="0.3">
      <c r="A560" s="173"/>
      <c r="D560" s="173"/>
      <c r="E560" s="173"/>
      <c r="F560" s="173"/>
      <c r="G560" s="173"/>
      <c r="H560" s="173"/>
      <c r="I560" s="173"/>
      <c r="J560" s="173"/>
      <c r="K560" s="173"/>
      <c r="L560" s="173"/>
      <c r="AM560" s="173"/>
      <c r="AN560" s="173"/>
      <c r="AZ560" s="337"/>
      <c r="BL560" s="349"/>
      <c r="BM560" s="300"/>
      <c r="BN560" s="300"/>
      <c r="BO560" s="300"/>
      <c r="BP560" s="300"/>
      <c r="BQ560" s="300"/>
      <c r="BR560" s="300"/>
      <c r="BS560" s="300"/>
      <c r="BT560" s="300"/>
      <c r="BU560" s="300"/>
      <c r="BV560" s="300"/>
      <c r="BW560" s="300"/>
      <c r="BX560" s="300"/>
      <c r="BY560" s="300"/>
      <c r="BZ560" s="300"/>
      <c r="CA560" s="300"/>
      <c r="CB560" s="300"/>
    </row>
    <row r="561" spans="1:80" s="27" customFormat="1" x14ac:dyDescent="0.3">
      <c r="A561" s="173"/>
      <c r="D561" s="173"/>
      <c r="E561" s="173"/>
      <c r="F561" s="173"/>
      <c r="G561" s="173"/>
      <c r="H561" s="173"/>
      <c r="I561" s="173"/>
      <c r="J561" s="173"/>
      <c r="K561" s="173"/>
      <c r="L561" s="173"/>
      <c r="AM561" s="173"/>
      <c r="AN561" s="173"/>
      <c r="AZ561" s="337"/>
      <c r="BL561" s="349"/>
      <c r="BM561" s="300"/>
      <c r="BN561" s="300"/>
      <c r="BO561" s="300"/>
      <c r="BP561" s="300"/>
      <c r="BQ561" s="300"/>
      <c r="BR561" s="300"/>
      <c r="BS561" s="300"/>
      <c r="BT561" s="300"/>
      <c r="BU561" s="300"/>
      <c r="BV561" s="300"/>
      <c r="BW561" s="300"/>
      <c r="BX561" s="300"/>
      <c r="BY561" s="300"/>
      <c r="BZ561" s="300"/>
      <c r="CA561" s="300"/>
      <c r="CB561" s="300"/>
    </row>
    <row r="562" spans="1:80" s="27" customFormat="1" x14ac:dyDescent="0.3">
      <c r="A562" s="173"/>
      <c r="D562" s="173"/>
      <c r="E562" s="173"/>
      <c r="F562" s="173"/>
      <c r="G562" s="173"/>
      <c r="H562" s="173"/>
      <c r="I562" s="173"/>
      <c r="J562" s="173"/>
      <c r="K562" s="173"/>
      <c r="L562" s="173"/>
      <c r="AM562" s="173"/>
      <c r="AN562" s="173"/>
      <c r="AZ562" s="337"/>
      <c r="BL562" s="349"/>
      <c r="BM562" s="300"/>
      <c r="BN562" s="300"/>
      <c r="BO562" s="300"/>
      <c r="BP562" s="300"/>
      <c r="BQ562" s="300"/>
      <c r="BR562" s="300"/>
      <c r="BS562" s="300"/>
      <c r="BT562" s="300"/>
      <c r="BU562" s="300"/>
      <c r="BV562" s="300"/>
      <c r="BW562" s="300"/>
      <c r="BX562" s="300"/>
      <c r="BY562" s="300"/>
      <c r="BZ562" s="300"/>
      <c r="CA562" s="300"/>
      <c r="CB562" s="300"/>
    </row>
    <row r="563" spans="1:80" s="27" customFormat="1" x14ac:dyDescent="0.3">
      <c r="A563" s="173"/>
      <c r="D563" s="173"/>
      <c r="E563" s="173"/>
      <c r="F563" s="173"/>
      <c r="G563" s="173"/>
      <c r="H563" s="173"/>
      <c r="I563" s="173"/>
      <c r="J563" s="173"/>
      <c r="K563" s="173"/>
      <c r="L563" s="173"/>
      <c r="AM563" s="173"/>
      <c r="AN563" s="173"/>
      <c r="AZ563" s="337"/>
      <c r="BL563" s="349"/>
      <c r="BM563" s="300"/>
      <c r="BN563" s="300"/>
      <c r="BO563" s="300"/>
      <c r="BP563" s="300"/>
      <c r="BQ563" s="300"/>
      <c r="BR563" s="300"/>
      <c r="BS563" s="300"/>
      <c r="BT563" s="300"/>
      <c r="BU563" s="300"/>
      <c r="BV563" s="300"/>
      <c r="BW563" s="300"/>
      <c r="BX563" s="300"/>
      <c r="BY563" s="300"/>
      <c r="BZ563" s="300"/>
      <c r="CA563" s="300"/>
      <c r="CB563" s="300"/>
    </row>
    <row r="564" spans="1:80" s="27" customFormat="1" x14ac:dyDescent="0.3">
      <c r="A564" s="173"/>
      <c r="D564" s="173"/>
      <c r="E564" s="173"/>
      <c r="F564" s="173"/>
      <c r="G564" s="173"/>
      <c r="H564" s="173"/>
      <c r="I564" s="173"/>
      <c r="J564" s="173"/>
      <c r="K564" s="173"/>
      <c r="L564" s="173"/>
      <c r="AM564" s="173"/>
      <c r="AN564" s="173"/>
      <c r="AZ564" s="337"/>
      <c r="BL564" s="349"/>
      <c r="BM564" s="300"/>
      <c r="BN564" s="300"/>
      <c r="BO564" s="300"/>
      <c r="BP564" s="300"/>
      <c r="BQ564" s="300"/>
      <c r="BR564" s="300"/>
      <c r="BS564" s="300"/>
      <c r="BT564" s="300"/>
      <c r="BU564" s="300"/>
      <c r="BV564" s="300"/>
      <c r="BW564" s="300"/>
      <c r="BX564" s="300"/>
      <c r="BY564" s="300"/>
      <c r="BZ564" s="300"/>
      <c r="CA564" s="300"/>
      <c r="CB564" s="300"/>
    </row>
    <row r="565" spans="1:80" s="27" customFormat="1" x14ac:dyDescent="0.3">
      <c r="A565" s="173"/>
      <c r="D565" s="173"/>
      <c r="E565" s="173"/>
      <c r="F565" s="173"/>
      <c r="G565" s="173"/>
      <c r="H565" s="173"/>
      <c r="I565" s="173"/>
      <c r="J565" s="173"/>
      <c r="K565" s="173"/>
      <c r="L565" s="173"/>
      <c r="AM565" s="173"/>
      <c r="AN565" s="173"/>
      <c r="AZ565" s="337"/>
      <c r="BL565" s="349"/>
      <c r="BM565" s="300"/>
      <c r="BN565" s="300"/>
      <c r="BO565" s="300"/>
      <c r="BP565" s="300"/>
      <c r="BQ565" s="300"/>
      <c r="BR565" s="300"/>
      <c r="BS565" s="300"/>
      <c r="BT565" s="300"/>
      <c r="BU565" s="300"/>
      <c r="BV565" s="300"/>
      <c r="BW565" s="300"/>
      <c r="BX565" s="300"/>
      <c r="BY565" s="300"/>
      <c r="BZ565" s="300"/>
      <c r="CA565" s="300"/>
      <c r="CB565" s="300"/>
    </row>
    <row r="566" spans="1:80" s="27" customFormat="1" x14ac:dyDescent="0.3">
      <c r="A566" s="173"/>
      <c r="D566" s="173"/>
      <c r="E566" s="173"/>
      <c r="F566" s="173"/>
      <c r="G566" s="173"/>
      <c r="H566" s="173"/>
      <c r="I566" s="173"/>
      <c r="J566" s="173"/>
      <c r="K566" s="173"/>
      <c r="L566" s="173"/>
      <c r="AM566" s="173"/>
      <c r="AN566" s="173"/>
      <c r="AZ566" s="337"/>
      <c r="BL566" s="349"/>
      <c r="BM566" s="300"/>
      <c r="BN566" s="300"/>
      <c r="BO566" s="300"/>
      <c r="BP566" s="300"/>
      <c r="BQ566" s="300"/>
      <c r="BR566" s="300"/>
      <c r="BS566" s="300"/>
      <c r="BT566" s="300"/>
      <c r="BU566" s="300"/>
      <c r="BV566" s="300"/>
      <c r="BW566" s="300"/>
      <c r="BX566" s="300"/>
      <c r="BY566" s="300"/>
      <c r="BZ566" s="300"/>
      <c r="CA566" s="300"/>
      <c r="CB566" s="300"/>
    </row>
    <row r="567" spans="1:80" s="27" customFormat="1" x14ac:dyDescent="0.3">
      <c r="A567" s="173"/>
      <c r="D567" s="173"/>
      <c r="E567" s="173"/>
      <c r="F567" s="173"/>
      <c r="G567" s="173"/>
      <c r="H567" s="173"/>
      <c r="I567" s="173"/>
      <c r="J567" s="173"/>
      <c r="K567" s="173"/>
      <c r="L567" s="173"/>
      <c r="AM567" s="173"/>
      <c r="AN567" s="173"/>
      <c r="AZ567" s="337"/>
      <c r="BL567" s="349"/>
      <c r="BM567" s="300"/>
      <c r="BN567" s="300"/>
      <c r="BO567" s="300"/>
      <c r="BP567" s="300"/>
      <c r="BQ567" s="300"/>
      <c r="BR567" s="300"/>
      <c r="BS567" s="300"/>
      <c r="BT567" s="300"/>
      <c r="BU567" s="300"/>
      <c r="BV567" s="300"/>
      <c r="BW567" s="300"/>
      <c r="BX567" s="300"/>
      <c r="BY567" s="300"/>
      <c r="BZ567" s="300"/>
      <c r="CA567" s="300"/>
      <c r="CB567" s="300"/>
    </row>
    <row r="568" spans="1:80" s="27" customFormat="1" x14ac:dyDescent="0.3">
      <c r="A568" s="173"/>
      <c r="D568" s="173"/>
      <c r="E568" s="173"/>
      <c r="F568" s="173"/>
      <c r="G568" s="173"/>
      <c r="H568" s="173"/>
      <c r="I568" s="173"/>
      <c r="J568" s="173"/>
      <c r="K568" s="173"/>
      <c r="L568" s="173"/>
      <c r="AM568" s="173"/>
      <c r="AN568" s="173"/>
      <c r="AZ568" s="337"/>
      <c r="BL568" s="349"/>
      <c r="BM568" s="300"/>
      <c r="BN568" s="300"/>
      <c r="BO568" s="300"/>
      <c r="BP568" s="300"/>
      <c r="BQ568" s="300"/>
      <c r="BR568" s="300"/>
      <c r="BS568" s="300"/>
      <c r="BT568" s="300"/>
      <c r="BU568" s="300"/>
      <c r="BV568" s="300"/>
      <c r="BW568" s="300"/>
      <c r="BX568" s="300"/>
      <c r="BY568" s="300"/>
      <c r="BZ568" s="300"/>
      <c r="CA568" s="300"/>
      <c r="CB568" s="300"/>
    </row>
    <row r="569" spans="1:80" s="27" customFormat="1" x14ac:dyDescent="0.3">
      <c r="A569" s="173"/>
      <c r="D569" s="173"/>
      <c r="E569" s="173"/>
      <c r="F569" s="173"/>
      <c r="G569" s="173"/>
      <c r="H569" s="173"/>
      <c r="I569" s="173"/>
      <c r="J569" s="173"/>
      <c r="K569" s="173"/>
      <c r="L569" s="173"/>
      <c r="AM569" s="173"/>
      <c r="AN569" s="173"/>
      <c r="AZ569" s="337"/>
      <c r="BL569" s="349"/>
      <c r="BM569" s="300"/>
      <c r="BN569" s="300"/>
      <c r="BO569" s="300"/>
      <c r="BP569" s="300"/>
      <c r="BQ569" s="300"/>
      <c r="BR569" s="300"/>
      <c r="BS569" s="300"/>
      <c r="BT569" s="300"/>
      <c r="BU569" s="300"/>
      <c r="BV569" s="300"/>
      <c r="BW569" s="300"/>
      <c r="BX569" s="300"/>
      <c r="BY569" s="300"/>
      <c r="BZ569" s="300"/>
      <c r="CA569" s="300"/>
      <c r="CB569" s="300"/>
    </row>
    <row r="570" spans="1:80" s="27" customFormat="1" x14ac:dyDescent="0.3">
      <c r="A570" s="173"/>
      <c r="D570" s="173"/>
      <c r="E570" s="173"/>
      <c r="F570" s="173"/>
      <c r="G570" s="173"/>
      <c r="H570" s="173"/>
      <c r="I570" s="173"/>
      <c r="J570" s="173"/>
      <c r="K570" s="173"/>
      <c r="L570" s="173"/>
      <c r="AM570" s="173"/>
      <c r="AN570" s="173"/>
      <c r="AZ570" s="337"/>
      <c r="BL570" s="349"/>
      <c r="BM570" s="300"/>
      <c r="BN570" s="300"/>
      <c r="BO570" s="300"/>
      <c r="BP570" s="300"/>
      <c r="BQ570" s="300"/>
      <c r="BR570" s="300"/>
      <c r="BS570" s="300"/>
      <c r="BT570" s="300"/>
      <c r="BU570" s="300"/>
      <c r="BV570" s="300"/>
      <c r="BW570" s="300"/>
      <c r="BX570" s="300"/>
      <c r="BY570" s="300"/>
      <c r="BZ570" s="300"/>
      <c r="CA570" s="300"/>
      <c r="CB570" s="300"/>
    </row>
    <row r="571" spans="1:80" s="27" customFormat="1" x14ac:dyDescent="0.3">
      <c r="A571" s="173"/>
      <c r="D571" s="173"/>
      <c r="E571" s="173"/>
      <c r="F571" s="173"/>
      <c r="G571" s="173"/>
      <c r="H571" s="173"/>
      <c r="I571" s="173"/>
      <c r="J571" s="173"/>
      <c r="K571" s="173"/>
      <c r="L571" s="173"/>
      <c r="AM571" s="173"/>
      <c r="AN571" s="173"/>
      <c r="AZ571" s="337"/>
      <c r="BL571" s="349"/>
      <c r="BM571" s="300"/>
      <c r="BN571" s="300"/>
      <c r="BO571" s="300"/>
      <c r="BP571" s="300"/>
      <c r="BQ571" s="300"/>
      <c r="BR571" s="300"/>
      <c r="BS571" s="300"/>
      <c r="BT571" s="300"/>
      <c r="BU571" s="300"/>
      <c r="BV571" s="300"/>
      <c r="BW571" s="300"/>
      <c r="BX571" s="300"/>
      <c r="BY571" s="300"/>
      <c r="BZ571" s="300"/>
      <c r="CA571" s="300"/>
      <c r="CB571" s="300"/>
    </row>
    <row r="572" spans="1:80" s="27" customFormat="1" x14ac:dyDescent="0.3">
      <c r="A572" s="173"/>
      <c r="D572" s="173"/>
      <c r="E572" s="173"/>
      <c r="F572" s="173"/>
      <c r="G572" s="173"/>
      <c r="H572" s="173"/>
      <c r="I572" s="173"/>
      <c r="J572" s="173"/>
      <c r="K572" s="173"/>
      <c r="L572" s="173"/>
      <c r="AM572" s="173"/>
      <c r="AN572" s="173"/>
      <c r="AZ572" s="337"/>
      <c r="BL572" s="349"/>
      <c r="BM572" s="300"/>
      <c r="BN572" s="300"/>
      <c r="BO572" s="300"/>
      <c r="BP572" s="300"/>
      <c r="BQ572" s="300"/>
      <c r="BR572" s="300"/>
      <c r="BS572" s="300"/>
      <c r="BT572" s="300"/>
      <c r="BU572" s="300"/>
      <c r="BV572" s="300"/>
      <c r="BW572" s="300"/>
      <c r="BX572" s="300"/>
      <c r="BY572" s="300"/>
      <c r="BZ572" s="300"/>
      <c r="CA572" s="300"/>
      <c r="CB572" s="300"/>
    </row>
    <row r="573" spans="1:80" s="27" customFormat="1" x14ac:dyDescent="0.3">
      <c r="A573" s="173"/>
      <c r="D573" s="173"/>
      <c r="E573" s="173"/>
      <c r="F573" s="173"/>
      <c r="G573" s="173"/>
      <c r="H573" s="173"/>
      <c r="I573" s="173"/>
      <c r="J573" s="173"/>
      <c r="K573" s="173"/>
      <c r="L573" s="173"/>
      <c r="AM573" s="173"/>
      <c r="AN573" s="173"/>
      <c r="AZ573" s="337"/>
      <c r="BL573" s="349"/>
      <c r="BM573" s="300"/>
      <c r="BN573" s="300"/>
      <c r="BO573" s="300"/>
      <c r="BP573" s="300"/>
      <c r="BQ573" s="300"/>
      <c r="BR573" s="300"/>
      <c r="BS573" s="300"/>
      <c r="BT573" s="300"/>
      <c r="BU573" s="300"/>
      <c r="BV573" s="300"/>
      <c r="BW573" s="300"/>
      <c r="BX573" s="300"/>
      <c r="BY573" s="300"/>
      <c r="BZ573" s="300"/>
      <c r="CA573" s="300"/>
      <c r="CB573" s="300"/>
    </row>
    <row r="574" spans="1:80" s="27" customFormat="1" x14ac:dyDescent="0.3">
      <c r="A574" s="173"/>
      <c r="D574" s="173"/>
      <c r="E574" s="173"/>
      <c r="F574" s="173"/>
      <c r="G574" s="173"/>
      <c r="H574" s="173"/>
      <c r="I574" s="173"/>
      <c r="J574" s="173"/>
      <c r="K574" s="173"/>
      <c r="L574" s="173"/>
      <c r="AM574" s="173"/>
      <c r="AN574" s="173"/>
      <c r="AZ574" s="337"/>
      <c r="BL574" s="349"/>
      <c r="BM574" s="300"/>
      <c r="BN574" s="300"/>
      <c r="BO574" s="300"/>
      <c r="BP574" s="300"/>
      <c r="BQ574" s="300"/>
      <c r="BR574" s="300"/>
      <c r="BS574" s="300"/>
      <c r="BT574" s="300"/>
      <c r="BU574" s="300"/>
      <c r="BV574" s="300"/>
      <c r="BW574" s="300"/>
      <c r="BX574" s="300"/>
      <c r="BY574" s="300"/>
      <c r="BZ574" s="300"/>
      <c r="CA574" s="300"/>
      <c r="CB574" s="300"/>
    </row>
    <row r="575" spans="1:80" s="27" customFormat="1" x14ac:dyDescent="0.3">
      <c r="A575" s="173"/>
      <c r="D575" s="173"/>
      <c r="E575" s="173"/>
      <c r="F575" s="173"/>
      <c r="G575" s="173"/>
      <c r="H575" s="173"/>
      <c r="I575" s="173"/>
      <c r="J575" s="173"/>
      <c r="K575" s="173"/>
      <c r="L575" s="173"/>
      <c r="AM575" s="173"/>
      <c r="AN575" s="173"/>
      <c r="AZ575" s="337"/>
      <c r="BL575" s="349"/>
      <c r="BM575" s="300"/>
      <c r="BN575" s="300"/>
      <c r="BO575" s="300"/>
      <c r="BP575" s="300"/>
      <c r="BQ575" s="300"/>
      <c r="BR575" s="300"/>
      <c r="BS575" s="300"/>
      <c r="BT575" s="300"/>
      <c r="BU575" s="300"/>
      <c r="BV575" s="300"/>
      <c r="BW575" s="300"/>
      <c r="BX575" s="300"/>
      <c r="BY575" s="300"/>
      <c r="BZ575" s="300"/>
      <c r="CA575" s="300"/>
      <c r="CB575" s="300"/>
    </row>
    <row r="576" spans="1:80" s="27" customFormat="1" x14ac:dyDescent="0.3">
      <c r="A576" s="173"/>
      <c r="D576" s="173"/>
      <c r="E576" s="173"/>
      <c r="F576" s="173"/>
      <c r="G576" s="173"/>
      <c r="H576" s="173"/>
      <c r="I576" s="173"/>
      <c r="J576" s="173"/>
      <c r="K576" s="173"/>
      <c r="L576" s="173"/>
      <c r="AM576" s="173"/>
      <c r="AN576" s="173"/>
      <c r="AZ576" s="337"/>
      <c r="BL576" s="349"/>
      <c r="BM576" s="300"/>
      <c r="BN576" s="300"/>
      <c r="BO576" s="300"/>
      <c r="BP576" s="300"/>
      <c r="BQ576" s="300"/>
      <c r="BR576" s="300"/>
      <c r="BS576" s="300"/>
      <c r="BT576" s="300"/>
      <c r="BU576" s="300"/>
      <c r="BV576" s="300"/>
      <c r="BW576" s="300"/>
      <c r="BX576" s="300"/>
      <c r="BY576" s="300"/>
      <c r="BZ576" s="300"/>
      <c r="CA576" s="300"/>
      <c r="CB576" s="300"/>
    </row>
    <row r="577" spans="1:80" s="27" customFormat="1" x14ac:dyDescent="0.3">
      <c r="A577" s="173"/>
      <c r="D577" s="173"/>
      <c r="E577" s="173"/>
      <c r="F577" s="173"/>
      <c r="G577" s="173"/>
      <c r="H577" s="173"/>
      <c r="I577" s="173"/>
      <c r="J577" s="173"/>
      <c r="K577" s="173"/>
      <c r="L577" s="173"/>
      <c r="AM577" s="173"/>
      <c r="AN577" s="173"/>
      <c r="AZ577" s="337"/>
      <c r="BL577" s="349"/>
      <c r="BM577" s="300"/>
      <c r="BN577" s="300"/>
      <c r="BO577" s="300"/>
      <c r="BP577" s="300"/>
      <c r="BQ577" s="300"/>
      <c r="BR577" s="300"/>
      <c r="BS577" s="300"/>
      <c r="BT577" s="300"/>
      <c r="BU577" s="300"/>
      <c r="BV577" s="300"/>
      <c r="BW577" s="300"/>
      <c r="BX577" s="300"/>
      <c r="BY577" s="300"/>
      <c r="BZ577" s="300"/>
      <c r="CA577" s="300"/>
      <c r="CB577" s="300"/>
    </row>
    <row r="578" spans="1:80" s="27" customFormat="1" x14ac:dyDescent="0.3">
      <c r="A578" s="173"/>
      <c r="D578" s="173"/>
      <c r="E578" s="173"/>
      <c r="F578" s="173"/>
      <c r="G578" s="173"/>
      <c r="H578" s="173"/>
      <c r="I578" s="173"/>
      <c r="J578" s="173"/>
      <c r="K578" s="173"/>
      <c r="L578" s="173"/>
      <c r="AM578" s="173"/>
      <c r="AN578" s="173"/>
      <c r="AZ578" s="337"/>
      <c r="BL578" s="349"/>
      <c r="BM578" s="300"/>
      <c r="BN578" s="300"/>
      <c r="BO578" s="300"/>
      <c r="BP578" s="300"/>
      <c r="BQ578" s="300"/>
      <c r="BR578" s="300"/>
      <c r="BS578" s="300"/>
      <c r="BT578" s="300"/>
      <c r="BU578" s="300"/>
      <c r="BV578" s="300"/>
      <c r="BW578" s="300"/>
      <c r="BX578" s="300"/>
      <c r="BY578" s="300"/>
      <c r="BZ578" s="300"/>
      <c r="CA578" s="300"/>
      <c r="CB578" s="300"/>
    </row>
    <row r="579" spans="1:80" s="27" customFormat="1" x14ac:dyDescent="0.3">
      <c r="A579" s="173"/>
      <c r="D579" s="173"/>
      <c r="E579" s="173"/>
      <c r="F579" s="173"/>
      <c r="G579" s="173"/>
      <c r="H579" s="173"/>
      <c r="I579" s="173"/>
      <c r="J579" s="173"/>
      <c r="K579" s="173"/>
      <c r="L579" s="173"/>
      <c r="AM579" s="173"/>
      <c r="AN579" s="173"/>
      <c r="AZ579" s="337"/>
      <c r="BL579" s="349"/>
      <c r="BM579" s="300"/>
      <c r="BN579" s="300"/>
      <c r="BO579" s="300"/>
      <c r="BP579" s="300"/>
      <c r="BQ579" s="300"/>
      <c r="BR579" s="300"/>
      <c r="BS579" s="300"/>
      <c r="BT579" s="300"/>
      <c r="BU579" s="300"/>
      <c r="BV579" s="300"/>
      <c r="BW579" s="300"/>
      <c r="BX579" s="300"/>
      <c r="BY579" s="300"/>
      <c r="BZ579" s="300"/>
      <c r="CA579" s="300"/>
      <c r="CB579" s="300"/>
    </row>
    <row r="580" spans="1:80" s="27" customFormat="1" x14ac:dyDescent="0.3">
      <c r="A580" s="173"/>
      <c r="D580" s="173"/>
      <c r="E580" s="173"/>
      <c r="F580" s="173"/>
      <c r="G580" s="173"/>
      <c r="H580" s="173"/>
      <c r="I580" s="173"/>
      <c r="J580" s="173"/>
      <c r="K580" s="173"/>
      <c r="L580" s="173"/>
      <c r="AM580" s="173"/>
      <c r="AN580" s="173"/>
      <c r="AZ580" s="337"/>
      <c r="BL580" s="349"/>
      <c r="BM580" s="300"/>
      <c r="BN580" s="300"/>
      <c r="BO580" s="300"/>
      <c r="BP580" s="300"/>
      <c r="BQ580" s="300"/>
      <c r="BR580" s="300"/>
      <c r="BS580" s="300"/>
      <c r="BT580" s="300"/>
      <c r="BU580" s="300"/>
      <c r="BV580" s="300"/>
      <c r="BW580" s="300"/>
      <c r="BX580" s="300"/>
      <c r="BY580" s="300"/>
      <c r="BZ580" s="300"/>
      <c r="CA580" s="300"/>
      <c r="CB580" s="300"/>
    </row>
    <row r="581" spans="1:80" s="27" customFormat="1" x14ac:dyDescent="0.3">
      <c r="A581" s="173"/>
      <c r="D581" s="173"/>
      <c r="E581" s="173"/>
      <c r="F581" s="173"/>
      <c r="G581" s="173"/>
      <c r="H581" s="173"/>
      <c r="I581" s="173"/>
      <c r="J581" s="173"/>
      <c r="K581" s="173"/>
      <c r="L581" s="173"/>
      <c r="AM581" s="173"/>
      <c r="AN581" s="173"/>
      <c r="AZ581" s="337"/>
      <c r="BL581" s="349"/>
      <c r="BM581" s="300"/>
      <c r="BN581" s="300"/>
      <c r="BO581" s="300"/>
      <c r="BP581" s="300"/>
      <c r="BQ581" s="300"/>
      <c r="BR581" s="300"/>
      <c r="BS581" s="300"/>
      <c r="BT581" s="300"/>
      <c r="BU581" s="300"/>
      <c r="BV581" s="300"/>
      <c r="BW581" s="300"/>
      <c r="BX581" s="300"/>
      <c r="BY581" s="300"/>
      <c r="BZ581" s="300"/>
      <c r="CA581" s="300"/>
      <c r="CB581" s="300"/>
    </row>
    <row r="582" spans="1:80" s="27" customFormat="1" x14ac:dyDescent="0.3">
      <c r="A582" s="173"/>
      <c r="D582" s="173"/>
      <c r="E582" s="173"/>
      <c r="F582" s="173"/>
      <c r="G582" s="173"/>
      <c r="H582" s="173"/>
      <c r="I582" s="173"/>
      <c r="J582" s="173"/>
      <c r="K582" s="173"/>
      <c r="L582" s="173"/>
      <c r="AM582" s="173"/>
      <c r="AN582" s="173"/>
      <c r="AZ582" s="337"/>
      <c r="BL582" s="349"/>
      <c r="BM582" s="300"/>
      <c r="BN582" s="300"/>
      <c r="BO582" s="300"/>
      <c r="BP582" s="300"/>
      <c r="BQ582" s="300"/>
      <c r="BR582" s="300"/>
      <c r="BS582" s="300"/>
      <c r="BT582" s="300"/>
      <c r="BU582" s="300"/>
      <c r="BV582" s="300"/>
      <c r="BW582" s="300"/>
      <c r="BX582" s="300"/>
      <c r="BY582" s="300"/>
      <c r="BZ582" s="300"/>
      <c r="CA582" s="300"/>
      <c r="CB582" s="300"/>
    </row>
    <row r="583" spans="1:80" s="27" customFormat="1" x14ac:dyDescent="0.3">
      <c r="A583" s="173"/>
      <c r="D583" s="173"/>
      <c r="E583" s="173"/>
      <c r="F583" s="173"/>
      <c r="G583" s="173"/>
      <c r="H583" s="173"/>
      <c r="I583" s="173"/>
      <c r="J583" s="173"/>
      <c r="K583" s="173"/>
      <c r="L583" s="173"/>
      <c r="AM583" s="173"/>
      <c r="AN583" s="173"/>
      <c r="AZ583" s="337"/>
      <c r="BL583" s="349"/>
      <c r="BM583" s="300"/>
      <c r="BN583" s="300"/>
      <c r="BO583" s="300"/>
      <c r="BP583" s="300"/>
      <c r="BQ583" s="300"/>
      <c r="BR583" s="300"/>
      <c r="BS583" s="300"/>
      <c r="BT583" s="300"/>
      <c r="BU583" s="300"/>
      <c r="BV583" s="300"/>
      <c r="BW583" s="300"/>
      <c r="BX583" s="300"/>
      <c r="BY583" s="300"/>
      <c r="BZ583" s="300"/>
      <c r="CA583" s="300"/>
      <c r="CB583" s="300"/>
    </row>
    <row r="584" spans="1:80" s="27" customFormat="1" x14ac:dyDescent="0.3">
      <c r="A584" s="173"/>
      <c r="D584" s="173"/>
      <c r="E584" s="173"/>
      <c r="F584" s="173"/>
      <c r="G584" s="173"/>
      <c r="H584" s="173"/>
      <c r="I584" s="173"/>
      <c r="J584" s="173"/>
      <c r="K584" s="173"/>
      <c r="L584" s="173"/>
      <c r="AM584" s="173"/>
      <c r="AN584" s="173"/>
      <c r="AZ584" s="337"/>
      <c r="BL584" s="349"/>
      <c r="BM584" s="300"/>
      <c r="BN584" s="300"/>
      <c r="BO584" s="300"/>
      <c r="BP584" s="300"/>
      <c r="BQ584" s="300"/>
      <c r="BR584" s="300"/>
      <c r="BS584" s="300"/>
      <c r="BT584" s="300"/>
      <c r="BU584" s="300"/>
      <c r="BV584" s="300"/>
      <c r="BW584" s="300"/>
      <c r="BX584" s="300"/>
      <c r="BY584" s="300"/>
      <c r="BZ584" s="300"/>
      <c r="CA584" s="300"/>
      <c r="CB584" s="300"/>
    </row>
    <row r="585" spans="1:80" s="27" customFormat="1" x14ac:dyDescent="0.3">
      <c r="A585" s="173"/>
      <c r="D585" s="173"/>
      <c r="E585" s="173"/>
      <c r="F585" s="173"/>
      <c r="G585" s="173"/>
      <c r="H585" s="173"/>
      <c r="I585" s="173"/>
      <c r="J585" s="173"/>
      <c r="K585" s="173"/>
      <c r="L585" s="173"/>
      <c r="AM585" s="173"/>
      <c r="AN585" s="173"/>
      <c r="AZ585" s="337"/>
      <c r="BL585" s="349"/>
      <c r="BM585" s="300"/>
      <c r="BN585" s="300"/>
      <c r="BO585" s="300"/>
      <c r="BP585" s="300"/>
      <c r="BQ585" s="300"/>
      <c r="BR585" s="300"/>
      <c r="BS585" s="300"/>
      <c r="BT585" s="300"/>
      <c r="BU585" s="300"/>
      <c r="BV585" s="300"/>
      <c r="BW585" s="300"/>
      <c r="BX585" s="300"/>
      <c r="BY585" s="300"/>
      <c r="BZ585" s="300"/>
      <c r="CA585" s="300"/>
      <c r="CB585" s="300"/>
    </row>
    <row r="586" spans="1:80" s="27" customFormat="1" x14ac:dyDescent="0.3">
      <c r="A586" s="173"/>
      <c r="D586" s="173"/>
      <c r="E586" s="173"/>
      <c r="F586" s="173"/>
      <c r="G586" s="173"/>
      <c r="H586" s="173"/>
      <c r="I586" s="173"/>
      <c r="J586" s="173"/>
      <c r="K586" s="173"/>
      <c r="L586" s="173"/>
      <c r="AM586" s="173"/>
      <c r="AN586" s="173"/>
      <c r="AZ586" s="337"/>
      <c r="BL586" s="349"/>
      <c r="BM586" s="300"/>
      <c r="BN586" s="300"/>
      <c r="BO586" s="300"/>
      <c r="BP586" s="300"/>
      <c r="BQ586" s="300"/>
      <c r="BR586" s="300"/>
      <c r="BS586" s="300"/>
      <c r="BT586" s="300"/>
      <c r="BU586" s="300"/>
      <c r="BV586" s="300"/>
      <c r="BW586" s="300"/>
      <c r="BX586" s="300"/>
      <c r="BY586" s="300"/>
      <c r="BZ586" s="300"/>
      <c r="CA586" s="300"/>
      <c r="CB586" s="300"/>
    </row>
    <row r="587" spans="1:80" s="27" customFormat="1" x14ac:dyDescent="0.3">
      <c r="A587" s="173"/>
      <c r="D587" s="173"/>
      <c r="E587" s="173"/>
      <c r="F587" s="173"/>
      <c r="G587" s="173"/>
      <c r="H587" s="173"/>
      <c r="I587" s="173"/>
      <c r="J587" s="173"/>
      <c r="K587" s="173"/>
      <c r="L587" s="173"/>
      <c r="AM587" s="173"/>
      <c r="AN587" s="173"/>
      <c r="AZ587" s="337"/>
      <c r="BL587" s="349"/>
      <c r="BM587" s="300"/>
      <c r="BN587" s="300"/>
      <c r="BO587" s="300"/>
      <c r="BP587" s="300"/>
      <c r="BQ587" s="300"/>
      <c r="BR587" s="300"/>
      <c r="BS587" s="300"/>
      <c r="BT587" s="300"/>
      <c r="BU587" s="300"/>
      <c r="BV587" s="300"/>
      <c r="BW587" s="300"/>
      <c r="BX587" s="300"/>
      <c r="BY587" s="300"/>
      <c r="BZ587" s="300"/>
      <c r="CA587" s="300"/>
      <c r="CB587" s="300"/>
    </row>
    <row r="588" spans="1:80" s="27" customFormat="1" x14ac:dyDescent="0.3">
      <c r="A588" s="173"/>
      <c r="D588" s="173"/>
      <c r="E588" s="173"/>
      <c r="F588" s="173"/>
      <c r="G588" s="173"/>
      <c r="H588" s="173"/>
      <c r="I588" s="173"/>
      <c r="J588" s="173"/>
      <c r="K588" s="173"/>
      <c r="L588" s="173"/>
      <c r="AM588" s="173"/>
      <c r="AN588" s="173"/>
      <c r="AZ588" s="337"/>
      <c r="BL588" s="349"/>
      <c r="BM588" s="300"/>
      <c r="BN588" s="300"/>
      <c r="BO588" s="300"/>
      <c r="BP588" s="300"/>
      <c r="BQ588" s="300"/>
      <c r="BR588" s="300"/>
      <c r="BS588" s="300"/>
      <c r="BT588" s="300"/>
      <c r="BU588" s="300"/>
      <c r="BV588" s="300"/>
      <c r="BW588" s="300"/>
      <c r="BX588" s="300"/>
      <c r="BY588" s="300"/>
      <c r="BZ588" s="300"/>
      <c r="CA588" s="300"/>
      <c r="CB588" s="300"/>
    </row>
    <row r="589" spans="1:80" s="27" customFormat="1" x14ac:dyDescent="0.3">
      <c r="A589" s="173"/>
      <c r="D589" s="173"/>
      <c r="E589" s="173"/>
      <c r="F589" s="173"/>
      <c r="G589" s="173"/>
      <c r="H589" s="173"/>
      <c r="I589" s="173"/>
      <c r="J589" s="173"/>
      <c r="K589" s="173"/>
      <c r="L589" s="173"/>
      <c r="AM589" s="173"/>
      <c r="AN589" s="173"/>
      <c r="AZ589" s="337"/>
      <c r="BL589" s="349"/>
      <c r="BM589" s="300"/>
      <c r="BN589" s="300"/>
      <c r="BO589" s="300"/>
      <c r="BP589" s="300"/>
      <c r="BQ589" s="300"/>
      <c r="BR589" s="300"/>
      <c r="BS589" s="300"/>
      <c r="BT589" s="300"/>
      <c r="BU589" s="300"/>
      <c r="BV589" s="300"/>
      <c r="BW589" s="300"/>
      <c r="BX589" s="300"/>
      <c r="BY589" s="300"/>
      <c r="BZ589" s="300"/>
      <c r="CA589" s="300"/>
      <c r="CB589" s="300"/>
    </row>
    <row r="590" spans="1:80" s="27" customFormat="1" x14ac:dyDescent="0.3">
      <c r="A590" s="173"/>
      <c r="D590" s="173"/>
      <c r="E590" s="173"/>
      <c r="F590" s="173"/>
      <c r="G590" s="173"/>
      <c r="H590" s="173"/>
      <c r="I590" s="173"/>
      <c r="J590" s="173"/>
      <c r="K590" s="173"/>
      <c r="L590" s="173"/>
      <c r="AM590" s="173"/>
      <c r="AN590" s="173"/>
      <c r="AZ590" s="337"/>
      <c r="BL590" s="349"/>
      <c r="BM590" s="300"/>
      <c r="BN590" s="300"/>
      <c r="BO590" s="300"/>
      <c r="BP590" s="300"/>
      <c r="BQ590" s="300"/>
      <c r="BR590" s="300"/>
      <c r="BS590" s="300"/>
      <c r="BT590" s="300"/>
      <c r="BU590" s="300"/>
      <c r="BV590" s="300"/>
      <c r="BW590" s="300"/>
      <c r="BX590" s="300"/>
      <c r="BY590" s="300"/>
      <c r="BZ590" s="300"/>
      <c r="CA590" s="300"/>
      <c r="CB590" s="300"/>
    </row>
    <row r="591" spans="1:80" s="27" customFormat="1" x14ac:dyDescent="0.3">
      <c r="A591" s="173"/>
      <c r="D591" s="173"/>
      <c r="E591" s="173"/>
      <c r="F591" s="173"/>
      <c r="G591" s="173"/>
      <c r="H591" s="173"/>
      <c r="I591" s="173"/>
      <c r="J591" s="173"/>
      <c r="K591" s="173"/>
      <c r="L591" s="173"/>
      <c r="AM591" s="173"/>
      <c r="AN591" s="173"/>
      <c r="AZ591" s="337"/>
      <c r="BL591" s="349"/>
      <c r="BM591" s="300"/>
      <c r="BN591" s="300"/>
      <c r="BO591" s="300"/>
      <c r="BP591" s="300"/>
      <c r="BQ591" s="300"/>
      <c r="BR591" s="300"/>
      <c r="BS591" s="300"/>
      <c r="BT591" s="300"/>
      <c r="BU591" s="300"/>
      <c r="BV591" s="300"/>
      <c r="BW591" s="300"/>
      <c r="BX591" s="300"/>
      <c r="BY591" s="300"/>
      <c r="BZ591" s="300"/>
      <c r="CA591" s="300"/>
      <c r="CB591" s="300"/>
    </row>
    <row r="592" spans="1:80" s="27" customFormat="1" x14ac:dyDescent="0.3">
      <c r="A592" s="173"/>
      <c r="D592" s="173"/>
      <c r="E592" s="173"/>
      <c r="F592" s="173"/>
      <c r="G592" s="173"/>
      <c r="H592" s="173"/>
      <c r="I592" s="173"/>
      <c r="J592" s="173"/>
      <c r="K592" s="173"/>
      <c r="L592" s="173"/>
      <c r="AM592" s="173"/>
      <c r="AN592" s="173"/>
      <c r="AZ592" s="337"/>
      <c r="BL592" s="349"/>
      <c r="BM592" s="300"/>
      <c r="BN592" s="300"/>
      <c r="BO592" s="300"/>
      <c r="BP592" s="300"/>
      <c r="BQ592" s="300"/>
      <c r="BR592" s="300"/>
      <c r="BS592" s="300"/>
      <c r="BT592" s="300"/>
      <c r="BU592" s="300"/>
      <c r="BV592" s="300"/>
      <c r="BW592" s="300"/>
      <c r="BX592" s="300"/>
      <c r="BY592" s="300"/>
      <c r="BZ592" s="300"/>
      <c r="CA592" s="300"/>
      <c r="CB592" s="300"/>
    </row>
    <row r="593" spans="1:80" s="27" customFormat="1" x14ac:dyDescent="0.3">
      <c r="A593" s="173"/>
      <c r="D593" s="173"/>
      <c r="E593" s="173"/>
      <c r="F593" s="173"/>
      <c r="G593" s="173"/>
      <c r="H593" s="173"/>
      <c r="I593" s="173"/>
      <c r="J593" s="173"/>
      <c r="K593" s="173"/>
      <c r="L593" s="173"/>
      <c r="AM593" s="173"/>
      <c r="AN593" s="173"/>
      <c r="AZ593" s="337"/>
      <c r="BL593" s="349"/>
      <c r="BM593" s="300"/>
      <c r="BN593" s="300"/>
      <c r="BO593" s="300"/>
      <c r="BP593" s="300"/>
      <c r="BQ593" s="300"/>
      <c r="BR593" s="300"/>
      <c r="BS593" s="300"/>
      <c r="BT593" s="300"/>
      <c r="BU593" s="300"/>
      <c r="BV593" s="300"/>
      <c r="BW593" s="300"/>
      <c r="BX593" s="300"/>
      <c r="BY593" s="300"/>
      <c r="BZ593" s="300"/>
      <c r="CA593" s="300"/>
      <c r="CB593" s="300"/>
    </row>
    <row r="594" spans="1:80" s="27" customFormat="1" x14ac:dyDescent="0.3">
      <c r="A594" s="173"/>
      <c r="D594" s="173"/>
      <c r="E594" s="173"/>
      <c r="F594" s="173"/>
      <c r="G594" s="173"/>
      <c r="H594" s="173"/>
      <c r="I594" s="173"/>
      <c r="J594" s="173"/>
      <c r="K594" s="173"/>
      <c r="L594" s="173"/>
      <c r="AM594" s="173"/>
      <c r="AN594" s="173"/>
      <c r="AZ594" s="337"/>
      <c r="BL594" s="349"/>
      <c r="BM594" s="300"/>
      <c r="BN594" s="300"/>
      <c r="BO594" s="300"/>
      <c r="BP594" s="300"/>
      <c r="BQ594" s="300"/>
      <c r="BR594" s="300"/>
      <c r="BS594" s="300"/>
      <c r="BT594" s="300"/>
      <c r="BU594" s="300"/>
      <c r="BV594" s="300"/>
      <c r="BW594" s="300"/>
      <c r="BX594" s="300"/>
      <c r="BY594" s="300"/>
      <c r="BZ594" s="300"/>
      <c r="CA594" s="300"/>
      <c r="CB594" s="300"/>
    </row>
    <row r="595" spans="1:80" s="27" customFormat="1" x14ac:dyDescent="0.3">
      <c r="A595" s="173"/>
      <c r="D595" s="173"/>
      <c r="E595" s="173"/>
      <c r="F595" s="173"/>
      <c r="G595" s="173"/>
      <c r="H595" s="173"/>
      <c r="I595" s="173"/>
      <c r="J595" s="173"/>
      <c r="K595" s="173"/>
      <c r="L595" s="173"/>
      <c r="AM595" s="173"/>
      <c r="AN595" s="173"/>
      <c r="AZ595" s="337"/>
      <c r="BL595" s="349"/>
      <c r="BM595" s="300"/>
      <c r="BN595" s="300"/>
      <c r="BO595" s="300"/>
      <c r="BP595" s="300"/>
      <c r="BQ595" s="300"/>
      <c r="BR595" s="300"/>
      <c r="BS595" s="300"/>
      <c r="BT595" s="300"/>
      <c r="BU595" s="300"/>
      <c r="BV595" s="300"/>
      <c r="BW595" s="300"/>
      <c r="BX595" s="300"/>
      <c r="BY595" s="300"/>
      <c r="BZ595" s="300"/>
      <c r="CA595" s="300"/>
      <c r="CB595" s="300"/>
    </row>
    <row r="596" spans="1:80" s="27" customFormat="1" x14ac:dyDescent="0.3">
      <c r="A596" s="173"/>
      <c r="D596" s="173"/>
      <c r="E596" s="173"/>
      <c r="F596" s="173"/>
      <c r="G596" s="173"/>
      <c r="H596" s="173"/>
      <c r="I596" s="173"/>
      <c r="J596" s="173"/>
      <c r="K596" s="173"/>
      <c r="L596" s="173"/>
      <c r="AM596" s="173"/>
      <c r="AN596" s="173"/>
      <c r="AZ596" s="337"/>
      <c r="BL596" s="349"/>
      <c r="BM596" s="300"/>
      <c r="BN596" s="300"/>
      <c r="BO596" s="300"/>
      <c r="BP596" s="300"/>
      <c r="BQ596" s="300"/>
      <c r="BR596" s="300"/>
      <c r="BS596" s="300"/>
      <c r="BT596" s="300"/>
      <c r="BU596" s="300"/>
      <c r="BV596" s="300"/>
      <c r="BW596" s="300"/>
      <c r="BX596" s="300"/>
      <c r="BY596" s="300"/>
      <c r="BZ596" s="300"/>
      <c r="CA596" s="300"/>
      <c r="CB596" s="300"/>
    </row>
    <row r="597" spans="1:80" s="27" customFormat="1" x14ac:dyDescent="0.3">
      <c r="A597" s="173"/>
      <c r="D597" s="173"/>
      <c r="E597" s="173"/>
      <c r="F597" s="173"/>
      <c r="G597" s="173"/>
      <c r="H597" s="173"/>
      <c r="I597" s="173"/>
      <c r="J597" s="173"/>
      <c r="K597" s="173"/>
      <c r="L597" s="173"/>
      <c r="AM597" s="173"/>
      <c r="AN597" s="173"/>
      <c r="AZ597" s="337"/>
      <c r="BL597" s="349"/>
      <c r="BM597" s="300"/>
      <c r="BN597" s="300"/>
      <c r="BO597" s="300"/>
      <c r="BP597" s="300"/>
      <c r="BQ597" s="300"/>
      <c r="BR597" s="300"/>
      <c r="BS597" s="300"/>
      <c r="BT597" s="300"/>
      <c r="BU597" s="300"/>
      <c r="BV597" s="300"/>
      <c r="BW597" s="300"/>
      <c r="BX597" s="300"/>
      <c r="BY597" s="300"/>
      <c r="BZ597" s="300"/>
      <c r="CA597" s="300"/>
      <c r="CB597" s="300"/>
    </row>
    <row r="598" spans="1:80" s="27" customFormat="1" x14ac:dyDescent="0.3">
      <c r="A598" s="173"/>
      <c r="D598" s="173"/>
      <c r="E598" s="173"/>
      <c r="F598" s="173"/>
      <c r="G598" s="173"/>
      <c r="H598" s="173"/>
      <c r="I598" s="173"/>
      <c r="J598" s="173"/>
      <c r="K598" s="173"/>
      <c r="L598" s="173"/>
      <c r="AM598" s="173"/>
      <c r="AN598" s="173"/>
      <c r="AZ598" s="337"/>
      <c r="BL598" s="349"/>
      <c r="BM598" s="300"/>
      <c r="BN598" s="300"/>
      <c r="BO598" s="300"/>
      <c r="BP598" s="300"/>
      <c r="BQ598" s="300"/>
      <c r="BR598" s="300"/>
      <c r="BS598" s="300"/>
      <c r="BT598" s="300"/>
      <c r="BU598" s="300"/>
      <c r="BV598" s="300"/>
      <c r="BW598" s="300"/>
      <c r="BX598" s="300"/>
      <c r="BY598" s="300"/>
      <c r="BZ598" s="300"/>
      <c r="CA598" s="300"/>
      <c r="CB598" s="300"/>
    </row>
    <row r="599" spans="1:80" s="27" customFormat="1" x14ac:dyDescent="0.3">
      <c r="A599" s="173"/>
      <c r="D599" s="173"/>
      <c r="E599" s="173"/>
      <c r="F599" s="173"/>
      <c r="G599" s="173"/>
      <c r="H599" s="173"/>
      <c r="I599" s="173"/>
      <c r="J599" s="173"/>
      <c r="K599" s="173"/>
      <c r="L599" s="173"/>
      <c r="AM599" s="173"/>
      <c r="AN599" s="173"/>
      <c r="AZ599" s="337"/>
      <c r="BL599" s="349"/>
      <c r="BM599" s="300"/>
      <c r="BN599" s="300"/>
      <c r="BO599" s="300"/>
      <c r="BP599" s="300"/>
      <c r="BQ599" s="300"/>
      <c r="BR599" s="300"/>
      <c r="BS599" s="300"/>
      <c r="BT599" s="300"/>
      <c r="BU599" s="300"/>
      <c r="BV599" s="300"/>
      <c r="BW599" s="300"/>
      <c r="BX599" s="300"/>
      <c r="BY599" s="300"/>
      <c r="BZ599" s="300"/>
      <c r="CA599" s="300"/>
      <c r="CB599" s="300"/>
    </row>
    <row r="600" spans="1:80" s="27" customFormat="1" x14ac:dyDescent="0.3">
      <c r="A600" s="173"/>
      <c r="D600" s="173"/>
      <c r="E600" s="173"/>
      <c r="F600" s="173"/>
      <c r="G600" s="173"/>
      <c r="H600" s="173"/>
      <c r="I600" s="173"/>
      <c r="J600" s="173"/>
      <c r="K600" s="173"/>
      <c r="L600" s="173"/>
      <c r="AM600" s="173"/>
      <c r="AN600" s="173"/>
      <c r="AZ600" s="337"/>
      <c r="BL600" s="349"/>
      <c r="BM600" s="300"/>
      <c r="BN600" s="300"/>
      <c r="BO600" s="300"/>
      <c r="BP600" s="300"/>
      <c r="BQ600" s="300"/>
      <c r="BR600" s="300"/>
      <c r="BS600" s="300"/>
      <c r="BT600" s="300"/>
      <c r="BU600" s="300"/>
      <c r="BV600" s="300"/>
      <c r="BW600" s="300"/>
      <c r="BX600" s="300"/>
      <c r="BY600" s="300"/>
      <c r="BZ600" s="300"/>
      <c r="CA600" s="300"/>
      <c r="CB600" s="300"/>
    </row>
    <row r="601" spans="1:80" s="27" customFormat="1" x14ac:dyDescent="0.3">
      <c r="A601" s="173"/>
      <c r="D601" s="173"/>
      <c r="E601" s="173"/>
      <c r="F601" s="173"/>
      <c r="G601" s="173"/>
      <c r="H601" s="173"/>
      <c r="I601" s="173"/>
      <c r="J601" s="173"/>
      <c r="K601" s="173"/>
      <c r="L601" s="173"/>
      <c r="AM601" s="173"/>
      <c r="AN601" s="173"/>
      <c r="AZ601" s="337"/>
      <c r="BL601" s="349"/>
      <c r="BM601" s="300"/>
      <c r="BN601" s="300"/>
      <c r="BO601" s="300"/>
      <c r="BP601" s="300"/>
      <c r="BQ601" s="300"/>
      <c r="BR601" s="300"/>
      <c r="BS601" s="300"/>
      <c r="BT601" s="300"/>
      <c r="BU601" s="300"/>
      <c r="BV601" s="300"/>
      <c r="BW601" s="300"/>
      <c r="BX601" s="300"/>
      <c r="BY601" s="300"/>
      <c r="BZ601" s="300"/>
      <c r="CA601" s="300"/>
      <c r="CB601" s="300"/>
    </row>
    <row r="602" spans="1:80" s="27" customFormat="1" x14ac:dyDescent="0.3">
      <c r="A602" s="173"/>
      <c r="D602" s="173"/>
      <c r="E602" s="173"/>
      <c r="F602" s="173"/>
      <c r="G602" s="173"/>
      <c r="H602" s="173"/>
      <c r="I602" s="173"/>
      <c r="J602" s="173"/>
      <c r="K602" s="173"/>
      <c r="L602" s="173"/>
      <c r="AM602" s="173"/>
      <c r="AN602" s="173"/>
      <c r="AZ602" s="337"/>
      <c r="BL602" s="349"/>
      <c r="BM602" s="300"/>
      <c r="BN602" s="300"/>
      <c r="BO602" s="300"/>
      <c r="BP602" s="300"/>
      <c r="BQ602" s="300"/>
      <c r="BR602" s="300"/>
      <c r="BS602" s="300"/>
      <c r="BT602" s="300"/>
      <c r="BU602" s="300"/>
      <c r="BV602" s="300"/>
      <c r="BW602" s="300"/>
      <c r="BX602" s="300"/>
      <c r="BY602" s="300"/>
      <c r="BZ602" s="300"/>
      <c r="CA602" s="300"/>
      <c r="CB602" s="300"/>
    </row>
    <row r="603" spans="1:80" s="27" customFormat="1" x14ac:dyDescent="0.3">
      <c r="A603" s="173"/>
      <c r="D603" s="173"/>
      <c r="E603" s="173"/>
      <c r="F603" s="173"/>
      <c r="G603" s="173"/>
      <c r="H603" s="173"/>
      <c r="I603" s="173"/>
      <c r="J603" s="173"/>
      <c r="K603" s="173"/>
      <c r="L603" s="173"/>
      <c r="AM603" s="173"/>
      <c r="AN603" s="173"/>
      <c r="AZ603" s="337"/>
      <c r="BL603" s="349"/>
      <c r="BM603" s="300"/>
      <c r="BN603" s="300"/>
      <c r="BO603" s="300"/>
      <c r="BP603" s="300"/>
      <c r="BQ603" s="300"/>
      <c r="BR603" s="300"/>
      <c r="BS603" s="300"/>
      <c r="BT603" s="300"/>
      <c r="BU603" s="300"/>
      <c r="BV603" s="300"/>
      <c r="BW603" s="300"/>
      <c r="BX603" s="300"/>
      <c r="BY603" s="300"/>
      <c r="BZ603" s="300"/>
      <c r="CA603" s="300"/>
      <c r="CB603" s="300"/>
    </row>
    <row r="604" spans="1:80" s="27" customFormat="1" x14ac:dyDescent="0.3">
      <c r="A604" s="173"/>
      <c r="D604" s="173"/>
      <c r="E604" s="173"/>
      <c r="F604" s="173"/>
      <c r="G604" s="173"/>
      <c r="H604" s="173"/>
      <c r="I604" s="173"/>
      <c r="J604" s="173"/>
      <c r="K604" s="173"/>
      <c r="L604" s="173"/>
      <c r="AM604" s="173"/>
      <c r="AN604" s="173"/>
      <c r="AZ604" s="337"/>
      <c r="BL604" s="349"/>
      <c r="BM604" s="300"/>
      <c r="BN604" s="300"/>
      <c r="BO604" s="300"/>
      <c r="BP604" s="300"/>
      <c r="BQ604" s="300"/>
      <c r="BR604" s="300"/>
      <c r="BS604" s="300"/>
      <c r="BT604" s="300"/>
      <c r="BU604" s="300"/>
      <c r="BV604" s="300"/>
      <c r="BW604" s="300"/>
      <c r="BX604" s="300"/>
      <c r="BY604" s="300"/>
      <c r="BZ604" s="300"/>
      <c r="CA604" s="300"/>
      <c r="CB604" s="300"/>
    </row>
    <row r="605" spans="1:80" s="27" customFormat="1" x14ac:dyDescent="0.3">
      <c r="A605" s="173"/>
      <c r="D605" s="173"/>
      <c r="E605" s="173"/>
      <c r="F605" s="173"/>
      <c r="G605" s="173"/>
      <c r="H605" s="173"/>
      <c r="I605" s="173"/>
      <c r="J605" s="173"/>
      <c r="K605" s="173"/>
      <c r="L605" s="173"/>
      <c r="AM605" s="173"/>
      <c r="AN605" s="173"/>
      <c r="AZ605" s="337"/>
      <c r="BL605" s="349"/>
      <c r="BM605" s="300"/>
      <c r="BN605" s="300"/>
      <c r="BO605" s="300"/>
      <c r="BP605" s="300"/>
      <c r="BQ605" s="300"/>
      <c r="BR605" s="300"/>
      <c r="BS605" s="300"/>
      <c r="BT605" s="300"/>
      <c r="BU605" s="300"/>
      <c r="BV605" s="300"/>
      <c r="BW605" s="300"/>
      <c r="BX605" s="300"/>
      <c r="BY605" s="300"/>
      <c r="BZ605" s="300"/>
      <c r="CA605" s="300"/>
      <c r="CB605" s="300"/>
    </row>
    <row r="606" spans="1:80" s="27" customFormat="1" x14ac:dyDescent="0.3">
      <c r="A606" s="173"/>
      <c r="D606" s="173"/>
      <c r="E606" s="173"/>
      <c r="F606" s="173"/>
      <c r="G606" s="173"/>
      <c r="H606" s="173"/>
      <c r="I606" s="173"/>
      <c r="J606" s="173"/>
      <c r="K606" s="173"/>
      <c r="L606" s="173"/>
      <c r="AM606" s="173"/>
      <c r="AN606" s="173"/>
      <c r="AZ606" s="337"/>
      <c r="BL606" s="349"/>
      <c r="BM606" s="300"/>
      <c r="BN606" s="300"/>
      <c r="BO606" s="300"/>
      <c r="BP606" s="300"/>
      <c r="BQ606" s="300"/>
      <c r="BR606" s="300"/>
      <c r="BS606" s="300"/>
      <c r="BT606" s="300"/>
      <c r="BU606" s="300"/>
      <c r="BV606" s="300"/>
      <c r="BW606" s="300"/>
      <c r="BX606" s="300"/>
      <c r="BY606" s="300"/>
      <c r="BZ606" s="300"/>
      <c r="CA606" s="300"/>
      <c r="CB606" s="300"/>
    </row>
    <row r="607" spans="1:80" s="27" customFormat="1" x14ac:dyDescent="0.3">
      <c r="A607" s="173"/>
      <c r="D607" s="173"/>
      <c r="E607" s="173"/>
      <c r="F607" s="173"/>
      <c r="G607" s="173"/>
      <c r="H607" s="173"/>
      <c r="I607" s="173"/>
      <c r="J607" s="173"/>
      <c r="K607" s="173"/>
      <c r="L607" s="173"/>
      <c r="AM607" s="173"/>
      <c r="AN607" s="173"/>
      <c r="AZ607" s="337"/>
      <c r="BL607" s="349"/>
      <c r="BM607" s="300"/>
      <c r="BN607" s="300"/>
      <c r="BO607" s="300"/>
      <c r="BP607" s="300"/>
      <c r="BQ607" s="300"/>
      <c r="BR607" s="300"/>
      <c r="BS607" s="300"/>
      <c r="BT607" s="300"/>
      <c r="BU607" s="300"/>
      <c r="BV607" s="300"/>
      <c r="BW607" s="300"/>
      <c r="BX607" s="300"/>
      <c r="BY607" s="300"/>
      <c r="BZ607" s="300"/>
      <c r="CA607" s="300"/>
      <c r="CB607" s="300"/>
    </row>
    <row r="608" spans="1:80" s="27" customFormat="1" x14ac:dyDescent="0.3">
      <c r="A608" s="173"/>
      <c r="D608" s="173"/>
      <c r="E608" s="173"/>
      <c r="F608" s="173"/>
      <c r="G608" s="173"/>
      <c r="H608" s="173"/>
      <c r="I608" s="173"/>
      <c r="J608" s="173"/>
      <c r="K608" s="173"/>
      <c r="L608" s="173"/>
      <c r="AM608" s="173"/>
      <c r="AN608" s="173"/>
      <c r="AZ608" s="337"/>
      <c r="BL608" s="349"/>
      <c r="BM608" s="300"/>
      <c r="BN608" s="300"/>
      <c r="BO608" s="300"/>
      <c r="BP608" s="300"/>
      <c r="BQ608" s="300"/>
      <c r="BR608" s="300"/>
      <c r="BS608" s="300"/>
      <c r="BT608" s="300"/>
      <c r="BU608" s="300"/>
      <c r="BV608" s="300"/>
      <c r="BW608" s="300"/>
      <c r="BX608" s="300"/>
      <c r="BY608" s="300"/>
      <c r="BZ608" s="300"/>
      <c r="CA608" s="300"/>
      <c r="CB608" s="300"/>
    </row>
    <row r="609" spans="1:80" s="27" customFormat="1" x14ac:dyDescent="0.3">
      <c r="A609" s="173"/>
      <c r="D609" s="173"/>
      <c r="E609" s="173"/>
      <c r="F609" s="173"/>
      <c r="G609" s="173"/>
      <c r="H609" s="173"/>
      <c r="I609" s="173"/>
      <c r="J609" s="173"/>
      <c r="K609" s="173"/>
      <c r="L609" s="173"/>
      <c r="AM609" s="173"/>
      <c r="AN609" s="173"/>
      <c r="AZ609" s="337"/>
      <c r="BL609" s="349"/>
      <c r="BM609" s="300"/>
      <c r="BN609" s="300"/>
      <c r="BO609" s="300"/>
      <c r="BP609" s="300"/>
      <c r="BQ609" s="300"/>
      <c r="BR609" s="300"/>
      <c r="BS609" s="300"/>
      <c r="BT609" s="300"/>
      <c r="BU609" s="300"/>
      <c r="BV609" s="300"/>
      <c r="BW609" s="300"/>
      <c r="BX609" s="300"/>
      <c r="BY609" s="300"/>
      <c r="BZ609" s="300"/>
      <c r="CA609" s="300"/>
      <c r="CB609" s="300"/>
    </row>
    <row r="610" spans="1:80" s="27" customFormat="1" x14ac:dyDescent="0.3">
      <c r="A610" s="173"/>
      <c r="D610" s="173"/>
      <c r="E610" s="173"/>
      <c r="F610" s="173"/>
      <c r="G610" s="173"/>
      <c r="H610" s="173"/>
      <c r="I610" s="173"/>
      <c r="J610" s="173"/>
      <c r="K610" s="173"/>
      <c r="L610" s="173"/>
      <c r="AM610" s="173"/>
      <c r="AN610" s="173"/>
      <c r="AZ610" s="337"/>
      <c r="BL610" s="349"/>
      <c r="BM610" s="300"/>
      <c r="BN610" s="300"/>
      <c r="BO610" s="300"/>
      <c r="BP610" s="300"/>
      <c r="BQ610" s="300"/>
      <c r="BR610" s="300"/>
      <c r="BS610" s="300"/>
      <c r="BT610" s="300"/>
      <c r="BU610" s="300"/>
      <c r="BV610" s="300"/>
      <c r="BW610" s="300"/>
      <c r="BX610" s="300"/>
      <c r="BY610" s="300"/>
      <c r="BZ610" s="300"/>
      <c r="CA610" s="300"/>
      <c r="CB610" s="300"/>
    </row>
    <row r="611" spans="1:80" s="27" customFormat="1" x14ac:dyDescent="0.3">
      <c r="A611" s="173"/>
      <c r="D611" s="173"/>
      <c r="E611" s="173"/>
      <c r="F611" s="173"/>
      <c r="G611" s="173"/>
      <c r="H611" s="173"/>
      <c r="I611" s="173"/>
      <c r="J611" s="173"/>
      <c r="K611" s="173"/>
      <c r="L611" s="173"/>
      <c r="AM611" s="173"/>
      <c r="AN611" s="173"/>
      <c r="AZ611" s="337"/>
      <c r="BL611" s="349"/>
      <c r="BM611" s="300"/>
      <c r="BN611" s="300"/>
      <c r="BO611" s="300"/>
      <c r="BP611" s="300"/>
      <c r="BQ611" s="300"/>
      <c r="BR611" s="300"/>
      <c r="BS611" s="300"/>
      <c r="BT611" s="300"/>
      <c r="BU611" s="300"/>
      <c r="BV611" s="300"/>
      <c r="BW611" s="300"/>
      <c r="BX611" s="300"/>
      <c r="BY611" s="300"/>
      <c r="BZ611" s="300"/>
      <c r="CA611" s="300"/>
      <c r="CB611" s="300"/>
    </row>
    <row r="612" spans="1:80" s="27" customFormat="1" x14ac:dyDescent="0.3">
      <c r="A612" s="173"/>
      <c r="D612" s="173"/>
      <c r="E612" s="173"/>
      <c r="F612" s="173"/>
      <c r="G612" s="173"/>
      <c r="H612" s="173"/>
      <c r="I612" s="173"/>
      <c r="J612" s="173"/>
      <c r="K612" s="173"/>
      <c r="L612" s="173"/>
      <c r="AM612" s="173"/>
      <c r="AN612" s="173"/>
      <c r="AZ612" s="337"/>
      <c r="BL612" s="349"/>
      <c r="BM612" s="300"/>
      <c r="BN612" s="300"/>
      <c r="BO612" s="300"/>
      <c r="BP612" s="300"/>
      <c r="BQ612" s="300"/>
      <c r="BR612" s="300"/>
      <c r="BS612" s="300"/>
      <c r="BT612" s="300"/>
      <c r="BU612" s="300"/>
      <c r="BV612" s="300"/>
      <c r="BW612" s="300"/>
      <c r="BX612" s="300"/>
      <c r="BY612" s="300"/>
      <c r="BZ612" s="300"/>
      <c r="CA612" s="300"/>
      <c r="CB612" s="300"/>
    </row>
    <row r="613" spans="1:80" s="27" customFormat="1" x14ac:dyDescent="0.3">
      <c r="A613" s="173"/>
      <c r="D613" s="173"/>
      <c r="E613" s="173"/>
      <c r="F613" s="173"/>
      <c r="G613" s="173"/>
      <c r="H613" s="173"/>
      <c r="I613" s="173"/>
      <c r="J613" s="173"/>
      <c r="K613" s="173"/>
      <c r="L613" s="173"/>
      <c r="AM613" s="173"/>
      <c r="AN613" s="173"/>
      <c r="AZ613" s="337"/>
      <c r="BL613" s="349"/>
      <c r="BM613" s="300"/>
      <c r="BN613" s="300"/>
      <c r="BO613" s="300"/>
      <c r="BP613" s="300"/>
      <c r="BQ613" s="300"/>
      <c r="BR613" s="300"/>
      <c r="BS613" s="300"/>
      <c r="BT613" s="300"/>
      <c r="BU613" s="300"/>
      <c r="BV613" s="300"/>
      <c r="BW613" s="300"/>
      <c r="BX613" s="300"/>
      <c r="BY613" s="300"/>
      <c r="BZ613" s="300"/>
      <c r="CA613" s="300"/>
      <c r="CB613" s="300"/>
    </row>
    <row r="614" spans="1:80" s="27" customFormat="1" x14ac:dyDescent="0.3">
      <c r="A614" s="173"/>
      <c r="D614" s="173"/>
      <c r="E614" s="173"/>
      <c r="F614" s="173"/>
      <c r="G614" s="173"/>
      <c r="H614" s="173"/>
      <c r="I614" s="173"/>
      <c r="J614" s="173"/>
      <c r="K614" s="173"/>
      <c r="L614" s="173"/>
      <c r="AM614" s="173"/>
      <c r="AN614" s="173"/>
      <c r="AZ614" s="337"/>
      <c r="BL614" s="349"/>
      <c r="BM614" s="300"/>
      <c r="BN614" s="300"/>
      <c r="BO614" s="300"/>
      <c r="BP614" s="300"/>
      <c r="BQ614" s="300"/>
      <c r="BR614" s="300"/>
      <c r="BS614" s="300"/>
      <c r="BT614" s="300"/>
      <c r="BU614" s="300"/>
      <c r="BV614" s="300"/>
      <c r="BW614" s="300"/>
      <c r="BX614" s="300"/>
      <c r="BY614" s="300"/>
      <c r="BZ614" s="300"/>
      <c r="CA614" s="300"/>
      <c r="CB614" s="300"/>
    </row>
    <row r="615" spans="1:80" s="27" customFormat="1" x14ac:dyDescent="0.3">
      <c r="A615" s="173"/>
      <c r="D615" s="173"/>
      <c r="E615" s="173"/>
      <c r="F615" s="173"/>
      <c r="G615" s="173"/>
      <c r="H615" s="173"/>
      <c r="I615" s="173"/>
      <c r="J615" s="173"/>
      <c r="K615" s="173"/>
      <c r="L615" s="173"/>
      <c r="AM615" s="173"/>
      <c r="AN615" s="173"/>
      <c r="AZ615" s="337"/>
      <c r="BL615" s="349"/>
      <c r="BM615" s="300"/>
      <c r="BN615" s="300"/>
      <c r="BO615" s="300"/>
      <c r="BP615" s="300"/>
      <c r="BQ615" s="300"/>
      <c r="BR615" s="300"/>
      <c r="BS615" s="300"/>
      <c r="BT615" s="300"/>
      <c r="BU615" s="300"/>
      <c r="BV615" s="300"/>
      <c r="BW615" s="300"/>
      <c r="BX615" s="300"/>
      <c r="BY615" s="300"/>
      <c r="BZ615" s="300"/>
      <c r="CA615" s="300"/>
      <c r="CB615" s="300"/>
    </row>
    <row r="616" spans="1:80" s="27" customFormat="1" x14ac:dyDescent="0.3">
      <c r="A616" s="173"/>
      <c r="D616" s="173"/>
      <c r="E616" s="173"/>
      <c r="F616" s="173"/>
      <c r="G616" s="173"/>
      <c r="H616" s="173"/>
      <c r="I616" s="173"/>
      <c r="J616" s="173"/>
      <c r="K616" s="173"/>
      <c r="L616" s="173"/>
      <c r="AM616" s="173"/>
      <c r="AN616" s="173"/>
      <c r="AZ616" s="337"/>
      <c r="BL616" s="349"/>
      <c r="BM616" s="300"/>
      <c r="BN616" s="300"/>
      <c r="BO616" s="300"/>
      <c r="BP616" s="300"/>
      <c r="BQ616" s="300"/>
      <c r="BR616" s="300"/>
      <c r="BS616" s="300"/>
      <c r="BT616" s="300"/>
      <c r="BU616" s="300"/>
      <c r="BV616" s="300"/>
      <c r="BW616" s="300"/>
      <c r="BX616" s="300"/>
      <c r="BY616" s="300"/>
      <c r="BZ616" s="300"/>
      <c r="CA616" s="300"/>
      <c r="CB616" s="300"/>
    </row>
    <row r="617" spans="1:80" s="27" customFormat="1" x14ac:dyDescent="0.3">
      <c r="A617" s="173"/>
      <c r="D617" s="173"/>
      <c r="E617" s="173"/>
      <c r="F617" s="173"/>
      <c r="G617" s="173"/>
      <c r="H617" s="173"/>
      <c r="I617" s="173"/>
      <c r="J617" s="173"/>
      <c r="K617" s="173"/>
      <c r="L617" s="173"/>
      <c r="AM617" s="173"/>
      <c r="AN617" s="173"/>
      <c r="AZ617" s="337"/>
      <c r="BL617" s="349"/>
      <c r="BM617" s="300"/>
      <c r="BN617" s="300"/>
      <c r="BO617" s="300"/>
      <c r="BP617" s="300"/>
      <c r="BQ617" s="300"/>
      <c r="BR617" s="300"/>
      <c r="BS617" s="300"/>
      <c r="BT617" s="300"/>
      <c r="BU617" s="300"/>
      <c r="BV617" s="300"/>
      <c r="BW617" s="300"/>
      <c r="BX617" s="300"/>
      <c r="BY617" s="300"/>
      <c r="BZ617" s="300"/>
      <c r="CA617" s="300"/>
      <c r="CB617" s="300"/>
    </row>
    <row r="618" spans="1:80" s="27" customFormat="1" x14ac:dyDescent="0.3">
      <c r="A618" s="173"/>
      <c r="D618" s="173"/>
      <c r="E618" s="173"/>
      <c r="F618" s="173"/>
      <c r="G618" s="173"/>
      <c r="H618" s="173"/>
      <c r="I618" s="173"/>
      <c r="J618" s="173"/>
      <c r="K618" s="173"/>
      <c r="L618" s="173"/>
      <c r="AM618" s="173"/>
      <c r="AN618" s="173"/>
      <c r="AZ618" s="337"/>
      <c r="BL618" s="349"/>
      <c r="BM618" s="300"/>
      <c r="BN618" s="300"/>
      <c r="BO618" s="300"/>
      <c r="BP618" s="300"/>
      <c r="BQ618" s="300"/>
      <c r="BR618" s="300"/>
      <c r="BS618" s="300"/>
      <c r="BT618" s="300"/>
      <c r="BU618" s="300"/>
      <c r="BV618" s="300"/>
      <c r="BW618" s="300"/>
      <c r="BX618" s="300"/>
      <c r="BY618" s="300"/>
      <c r="BZ618" s="300"/>
      <c r="CA618" s="300"/>
      <c r="CB618" s="300"/>
    </row>
    <row r="619" spans="1:80" s="27" customFormat="1" x14ac:dyDescent="0.3">
      <c r="A619" s="173"/>
      <c r="D619" s="173"/>
      <c r="E619" s="173"/>
      <c r="F619" s="173"/>
      <c r="G619" s="173"/>
      <c r="H619" s="173"/>
      <c r="I619" s="173"/>
      <c r="J619" s="173"/>
      <c r="K619" s="173"/>
      <c r="L619" s="173"/>
      <c r="AM619" s="173"/>
      <c r="AN619" s="173"/>
      <c r="AZ619" s="337"/>
      <c r="BL619" s="349"/>
      <c r="BM619" s="300"/>
      <c r="BN619" s="300"/>
      <c r="BO619" s="300"/>
      <c r="BP619" s="300"/>
      <c r="BQ619" s="300"/>
      <c r="BR619" s="300"/>
      <c r="BS619" s="300"/>
      <c r="BT619" s="300"/>
      <c r="BU619" s="300"/>
      <c r="BV619" s="300"/>
      <c r="BW619" s="300"/>
      <c r="BX619" s="300"/>
      <c r="BY619" s="300"/>
      <c r="BZ619" s="300"/>
      <c r="CA619" s="300"/>
      <c r="CB619" s="300"/>
    </row>
    <row r="620" spans="1:80" s="27" customFormat="1" x14ac:dyDescent="0.3">
      <c r="A620" s="173"/>
      <c r="D620" s="173"/>
      <c r="E620" s="173"/>
      <c r="F620" s="173"/>
      <c r="G620" s="173"/>
      <c r="H620" s="173"/>
      <c r="I620" s="173"/>
      <c r="J620" s="173"/>
      <c r="K620" s="173"/>
      <c r="L620" s="173"/>
      <c r="AM620" s="173"/>
      <c r="AN620" s="173"/>
      <c r="AZ620" s="337"/>
      <c r="BL620" s="349"/>
      <c r="BM620" s="300"/>
      <c r="BN620" s="300"/>
      <c r="BO620" s="300"/>
      <c r="BP620" s="300"/>
      <c r="BQ620" s="300"/>
      <c r="BR620" s="300"/>
      <c r="BS620" s="300"/>
      <c r="BT620" s="300"/>
      <c r="BU620" s="300"/>
      <c r="BV620" s="300"/>
      <c r="BW620" s="300"/>
      <c r="BX620" s="300"/>
      <c r="BY620" s="300"/>
      <c r="BZ620" s="300"/>
      <c r="CA620" s="300"/>
      <c r="CB620" s="300"/>
    </row>
    <row r="621" spans="1:80" s="27" customFormat="1" x14ac:dyDescent="0.3">
      <c r="A621" s="173"/>
      <c r="D621" s="173"/>
      <c r="E621" s="173"/>
      <c r="F621" s="173"/>
      <c r="G621" s="173"/>
      <c r="H621" s="173"/>
      <c r="I621" s="173"/>
      <c r="J621" s="173"/>
      <c r="K621" s="173"/>
      <c r="L621" s="173"/>
      <c r="AM621" s="173"/>
      <c r="AN621" s="173"/>
      <c r="AZ621" s="337"/>
      <c r="BL621" s="349"/>
      <c r="BM621" s="300"/>
      <c r="BN621" s="300"/>
      <c r="BO621" s="300"/>
      <c r="BP621" s="300"/>
      <c r="BQ621" s="300"/>
      <c r="BR621" s="300"/>
      <c r="BS621" s="300"/>
      <c r="BT621" s="300"/>
      <c r="BU621" s="300"/>
      <c r="BV621" s="300"/>
      <c r="BW621" s="300"/>
      <c r="BX621" s="300"/>
      <c r="BY621" s="300"/>
      <c r="BZ621" s="300"/>
      <c r="CA621" s="300"/>
      <c r="CB621" s="300"/>
    </row>
    <row r="622" spans="1:80" s="27" customFormat="1" x14ac:dyDescent="0.3">
      <c r="A622" s="173"/>
      <c r="D622" s="173"/>
      <c r="E622" s="173"/>
      <c r="F622" s="173"/>
      <c r="G622" s="173"/>
      <c r="H622" s="173"/>
      <c r="I622" s="173"/>
      <c r="J622" s="173"/>
      <c r="K622" s="173"/>
      <c r="L622" s="173"/>
      <c r="AM622" s="173"/>
      <c r="AN622" s="173"/>
      <c r="AZ622" s="337"/>
      <c r="BL622" s="349"/>
      <c r="BM622" s="300"/>
      <c r="BN622" s="300"/>
      <c r="BO622" s="300"/>
      <c r="BP622" s="300"/>
      <c r="BQ622" s="300"/>
      <c r="BR622" s="300"/>
      <c r="BS622" s="300"/>
      <c r="BT622" s="300"/>
      <c r="BU622" s="300"/>
      <c r="BV622" s="300"/>
      <c r="BW622" s="300"/>
      <c r="BX622" s="300"/>
      <c r="BY622" s="300"/>
      <c r="BZ622" s="300"/>
      <c r="CA622" s="300"/>
      <c r="CB622" s="300"/>
    </row>
    <row r="623" spans="1:80" s="27" customFormat="1" x14ac:dyDescent="0.3">
      <c r="A623" s="173"/>
      <c r="D623" s="173"/>
      <c r="E623" s="173"/>
      <c r="F623" s="173"/>
      <c r="G623" s="173"/>
      <c r="H623" s="173"/>
      <c r="I623" s="173"/>
      <c r="J623" s="173"/>
      <c r="K623" s="173"/>
      <c r="L623" s="173"/>
      <c r="AM623" s="173"/>
      <c r="AN623" s="173"/>
      <c r="AZ623" s="337"/>
      <c r="BL623" s="349"/>
      <c r="BM623" s="300"/>
      <c r="BN623" s="300"/>
      <c r="BO623" s="300"/>
      <c r="BP623" s="300"/>
      <c r="BQ623" s="300"/>
      <c r="BR623" s="300"/>
      <c r="BS623" s="300"/>
      <c r="BT623" s="300"/>
      <c r="BU623" s="300"/>
      <c r="BV623" s="300"/>
      <c r="BW623" s="300"/>
      <c r="BX623" s="300"/>
      <c r="BY623" s="300"/>
      <c r="BZ623" s="300"/>
      <c r="CA623" s="300"/>
      <c r="CB623" s="300"/>
    </row>
    <row r="624" spans="1:80" s="27" customFormat="1" x14ac:dyDescent="0.3">
      <c r="A624" s="173"/>
      <c r="D624" s="173"/>
      <c r="E624" s="173"/>
      <c r="F624" s="173"/>
      <c r="G624" s="173"/>
      <c r="H624" s="173"/>
      <c r="I624" s="173"/>
      <c r="J624" s="173"/>
      <c r="K624" s="173"/>
      <c r="L624" s="173"/>
      <c r="AM624" s="173"/>
      <c r="AN624" s="173"/>
      <c r="AZ624" s="337"/>
      <c r="BL624" s="349"/>
      <c r="BM624" s="300"/>
      <c r="BN624" s="300"/>
      <c r="BO624" s="300"/>
      <c r="BP624" s="300"/>
      <c r="BQ624" s="300"/>
      <c r="BR624" s="300"/>
      <c r="BS624" s="300"/>
      <c r="BT624" s="300"/>
      <c r="BU624" s="300"/>
      <c r="BV624" s="300"/>
      <c r="BW624" s="300"/>
      <c r="BX624" s="300"/>
      <c r="BY624" s="300"/>
      <c r="BZ624" s="300"/>
      <c r="CA624" s="300"/>
      <c r="CB624" s="300"/>
    </row>
    <row r="625" spans="1:80" s="27" customFormat="1" x14ac:dyDescent="0.3">
      <c r="A625" s="173"/>
      <c r="D625" s="173"/>
      <c r="E625" s="173"/>
      <c r="F625" s="173"/>
      <c r="G625" s="173"/>
      <c r="H625" s="173"/>
      <c r="I625" s="173"/>
      <c r="J625" s="173"/>
      <c r="K625" s="173"/>
      <c r="L625" s="173"/>
      <c r="AM625" s="173"/>
      <c r="AN625" s="173"/>
      <c r="AZ625" s="337"/>
      <c r="BL625" s="349"/>
      <c r="BM625" s="300"/>
      <c r="BN625" s="300"/>
      <c r="BO625" s="300"/>
      <c r="BP625" s="300"/>
      <c r="BQ625" s="300"/>
      <c r="BR625" s="300"/>
      <c r="BS625" s="300"/>
      <c r="BT625" s="300"/>
      <c r="BU625" s="300"/>
      <c r="BV625" s="300"/>
      <c r="BW625" s="300"/>
      <c r="BX625" s="300"/>
      <c r="BY625" s="300"/>
      <c r="BZ625" s="300"/>
      <c r="CA625" s="300"/>
      <c r="CB625" s="300"/>
    </row>
    <row r="626" spans="1:80" s="27" customFormat="1" x14ac:dyDescent="0.3">
      <c r="A626" s="173"/>
      <c r="D626" s="173"/>
      <c r="E626" s="173"/>
      <c r="F626" s="173"/>
      <c r="G626" s="173"/>
      <c r="H626" s="173"/>
      <c r="I626" s="173"/>
      <c r="J626" s="173"/>
      <c r="K626" s="173"/>
      <c r="L626" s="173"/>
      <c r="AM626" s="173"/>
      <c r="AN626" s="173"/>
      <c r="AZ626" s="337"/>
      <c r="BL626" s="349"/>
      <c r="BM626" s="300"/>
      <c r="BN626" s="300"/>
      <c r="BO626" s="300"/>
      <c r="BP626" s="300"/>
      <c r="BQ626" s="300"/>
      <c r="BR626" s="300"/>
      <c r="BS626" s="300"/>
      <c r="BT626" s="300"/>
      <c r="BU626" s="300"/>
      <c r="BV626" s="300"/>
      <c r="BW626" s="300"/>
      <c r="BX626" s="300"/>
      <c r="BY626" s="300"/>
      <c r="BZ626" s="300"/>
      <c r="CA626" s="300"/>
      <c r="CB626" s="300"/>
    </row>
    <row r="627" spans="1:80" s="27" customFormat="1" x14ac:dyDescent="0.3">
      <c r="A627" s="173"/>
      <c r="D627" s="173"/>
      <c r="E627" s="173"/>
      <c r="F627" s="173"/>
      <c r="G627" s="173"/>
      <c r="H627" s="173"/>
      <c r="I627" s="173"/>
      <c r="J627" s="173"/>
      <c r="K627" s="173"/>
      <c r="L627" s="173"/>
      <c r="AM627" s="173"/>
      <c r="AN627" s="173"/>
      <c r="AZ627" s="337"/>
      <c r="BL627" s="349"/>
      <c r="BM627" s="300"/>
      <c r="BN627" s="300"/>
      <c r="BO627" s="300"/>
      <c r="BP627" s="300"/>
      <c r="BQ627" s="300"/>
      <c r="BR627" s="300"/>
      <c r="BS627" s="300"/>
      <c r="BT627" s="300"/>
      <c r="BU627" s="300"/>
      <c r="BV627" s="300"/>
      <c r="BW627" s="300"/>
      <c r="BX627" s="300"/>
      <c r="BY627" s="300"/>
      <c r="BZ627" s="300"/>
      <c r="CA627" s="300"/>
      <c r="CB627" s="300"/>
    </row>
    <row r="628" spans="1:80" s="27" customFormat="1" x14ac:dyDescent="0.3">
      <c r="A628" s="173"/>
      <c r="D628" s="173"/>
      <c r="E628" s="173"/>
      <c r="F628" s="173"/>
      <c r="G628" s="173"/>
      <c r="H628" s="173"/>
      <c r="I628" s="173"/>
      <c r="J628" s="173"/>
      <c r="K628" s="173"/>
      <c r="L628" s="173"/>
      <c r="AM628" s="173"/>
      <c r="AN628" s="173"/>
      <c r="AZ628" s="337"/>
      <c r="BL628" s="349"/>
      <c r="BM628" s="300"/>
      <c r="BN628" s="300"/>
      <c r="BO628" s="300"/>
      <c r="BP628" s="300"/>
      <c r="BQ628" s="300"/>
      <c r="BR628" s="300"/>
      <c r="BS628" s="300"/>
      <c r="BT628" s="300"/>
      <c r="BU628" s="300"/>
      <c r="BV628" s="300"/>
      <c r="BW628" s="300"/>
      <c r="BX628" s="300"/>
      <c r="BY628" s="300"/>
      <c r="BZ628" s="300"/>
      <c r="CA628" s="300"/>
      <c r="CB628" s="300"/>
    </row>
    <row r="629" spans="1:80" s="27" customFormat="1" x14ac:dyDescent="0.3">
      <c r="A629" s="173"/>
      <c r="D629" s="173"/>
      <c r="E629" s="173"/>
      <c r="F629" s="173"/>
      <c r="G629" s="173"/>
      <c r="H629" s="173"/>
      <c r="I629" s="173"/>
      <c r="J629" s="173"/>
      <c r="K629" s="173"/>
      <c r="L629" s="173"/>
      <c r="AM629" s="173"/>
      <c r="AN629" s="173"/>
      <c r="AZ629" s="337"/>
      <c r="BL629" s="349"/>
      <c r="BM629" s="300"/>
      <c r="BN629" s="300"/>
      <c r="BO629" s="300"/>
      <c r="BP629" s="300"/>
      <c r="BQ629" s="300"/>
      <c r="BR629" s="300"/>
      <c r="BS629" s="300"/>
      <c r="BT629" s="300"/>
      <c r="BU629" s="300"/>
      <c r="BV629" s="300"/>
      <c r="BW629" s="300"/>
      <c r="BX629" s="300"/>
      <c r="BY629" s="300"/>
      <c r="BZ629" s="300"/>
      <c r="CA629" s="300"/>
      <c r="CB629" s="300"/>
    </row>
    <row r="630" spans="1:80" s="27" customFormat="1" x14ac:dyDescent="0.3">
      <c r="A630" s="173"/>
      <c r="D630" s="173"/>
      <c r="E630" s="173"/>
      <c r="F630" s="173"/>
      <c r="G630" s="173"/>
      <c r="H630" s="173"/>
      <c r="I630" s="173"/>
      <c r="J630" s="173"/>
      <c r="K630" s="173"/>
      <c r="L630" s="173"/>
      <c r="AM630" s="173"/>
      <c r="AN630" s="173"/>
      <c r="AZ630" s="337"/>
      <c r="BL630" s="349"/>
      <c r="BM630" s="300"/>
      <c r="BN630" s="300"/>
      <c r="BO630" s="300"/>
      <c r="BP630" s="300"/>
      <c r="BQ630" s="300"/>
      <c r="BR630" s="300"/>
      <c r="BS630" s="300"/>
      <c r="BT630" s="300"/>
      <c r="BU630" s="300"/>
      <c r="BV630" s="300"/>
      <c r="BW630" s="300"/>
      <c r="BX630" s="300"/>
      <c r="BY630" s="300"/>
      <c r="BZ630" s="300"/>
      <c r="CA630" s="300"/>
      <c r="CB630" s="300"/>
    </row>
    <row r="631" spans="1:80" s="27" customFormat="1" x14ac:dyDescent="0.3">
      <c r="A631" s="173"/>
      <c r="D631" s="173"/>
      <c r="E631" s="173"/>
      <c r="F631" s="173"/>
      <c r="G631" s="173"/>
      <c r="H631" s="173"/>
      <c r="I631" s="173"/>
      <c r="J631" s="173"/>
      <c r="K631" s="173"/>
      <c r="L631" s="173"/>
      <c r="AM631" s="173"/>
      <c r="AN631" s="173"/>
      <c r="AZ631" s="337"/>
      <c r="BL631" s="349"/>
      <c r="BM631" s="300"/>
      <c r="BN631" s="300"/>
      <c r="BO631" s="300"/>
      <c r="BP631" s="300"/>
      <c r="BQ631" s="300"/>
      <c r="BR631" s="300"/>
      <c r="BS631" s="300"/>
      <c r="BT631" s="300"/>
      <c r="BU631" s="300"/>
      <c r="BV631" s="300"/>
      <c r="BW631" s="300"/>
      <c r="BX631" s="300"/>
      <c r="BY631" s="300"/>
      <c r="BZ631" s="300"/>
      <c r="CA631" s="300"/>
      <c r="CB631" s="300"/>
    </row>
    <row r="632" spans="1:80" s="27" customFormat="1" x14ac:dyDescent="0.3">
      <c r="A632" s="173"/>
      <c r="D632" s="173"/>
      <c r="E632" s="173"/>
      <c r="F632" s="173"/>
      <c r="G632" s="173"/>
      <c r="H632" s="173"/>
      <c r="I632" s="173"/>
      <c r="J632" s="173"/>
      <c r="K632" s="173"/>
      <c r="L632" s="173"/>
      <c r="AM632" s="173"/>
      <c r="AN632" s="173"/>
      <c r="AZ632" s="337"/>
      <c r="BL632" s="349"/>
      <c r="BM632" s="300"/>
      <c r="BN632" s="300"/>
      <c r="BO632" s="300"/>
      <c r="BP632" s="300"/>
      <c r="BQ632" s="300"/>
      <c r="BR632" s="300"/>
      <c r="BS632" s="300"/>
      <c r="BT632" s="300"/>
      <c r="BU632" s="300"/>
      <c r="BV632" s="300"/>
      <c r="BW632" s="300"/>
      <c r="BX632" s="300"/>
      <c r="BY632" s="300"/>
      <c r="BZ632" s="300"/>
      <c r="CA632" s="300"/>
      <c r="CB632" s="300"/>
    </row>
    <row r="633" spans="1:80" s="27" customFormat="1" x14ac:dyDescent="0.3">
      <c r="A633" s="173"/>
      <c r="D633" s="173"/>
      <c r="E633" s="173"/>
      <c r="F633" s="173"/>
      <c r="G633" s="173"/>
      <c r="H633" s="173"/>
      <c r="I633" s="173"/>
      <c r="J633" s="173"/>
      <c r="K633" s="173"/>
      <c r="L633" s="173"/>
      <c r="AM633" s="173"/>
      <c r="AN633" s="173"/>
      <c r="AZ633" s="337"/>
      <c r="BL633" s="349"/>
      <c r="BM633" s="300"/>
      <c r="BN633" s="300"/>
      <c r="BO633" s="300"/>
      <c r="BP633" s="300"/>
      <c r="BQ633" s="300"/>
      <c r="BR633" s="300"/>
      <c r="BS633" s="300"/>
      <c r="BT633" s="300"/>
      <c r="BU633" s="300"/>
      <c r="BV633" s="300"/>
      <c r="BW633" s="300"/>
      <c r="BX633" s="300"/>
      <c r="BY633" s="300"/>
      <c r="BZ633" s="300"/>
      <c r="CA633" s="300"/>
      <c r="CB633" s="300"/>
    </row>
    <row r="634" spans="1:80" s="27" customFormat="1" x14ac:dyDescent="0.3">
      <c r="A634" s="173"/>
      <c r="D634" s="173"/>
      <c r="E634" s="173"/>
      <c r="F634" s="173"/>
      <c r="G634" s="173"/>
      <c r="H634" s="173"/>
      <c r="I634" s="173"/>
      <c r="J634" s="173"/>
      <c r="K634" s="173"/>
      <c r="L634" s="173"/>
      <c r="AM634" s="173"/>
      <c r="AN634" s="173"/>
      <c r="AZ634" s="337"/>
      <c r="BL634" s="349"/>
      <c r="BM634" s="300"/>
      <c r="BN634" s="300"/>
      <c r="BO634" s="300"/>
      <c r="BP634" s="300"/>
      <c r="BQ634" s="300"/>
      <c r="BR634" s="300"/>
      <c r="BS634" s="300"/>
      <c r="BT634" s="300"/>
      <c r="BU634" s="300"/>
      <c r="BV634" s="300"/>
      <c r="BW634" s="300"/>
      <c r="BX634" s="300"/>
      <c r="BY634" s="300"/>
      <c r="BZ634" s="300"/>
      <c r="CA634" s="300"/>
      <c r="CB634" s="300"/>
    </row>
    <row r="635" spans="1:80" s="27" customFormat="1" x14ac:dyDescent="0.3">
      <c r="A635" s="173"/>
      <c r="D635" s="173"/>
      <c r="E635" s="173"/>
      <c r="F635" s="173"/>
      <c r="G635" s="173"/>
      <c r="H635" s="173"/>
      <c r="I635" s="173"/>
      <c r="J635" s="173"/>
      <c r="K635" s="173"/>
      <c r="L635" s="173"/>
      <c r="AM635" s="173"/>
      <c r="AN635" s="173"/>
      <c r="AZ635" s="337"/>
      <c r="BL635" s="349"/>
      <c r="BM635" s="300"/>
      <c r="BN635" s="300"/>
      <c r="BO635" s="300"/>
      <c r="BP635" s="300"/>
      <c r="BQ635" s="300"/>
      <c r="BR635" s="300"/>
      <c r="BS635" s="300"/>
      <c r="BT635" s="300"/>
      <c r="BU635" s="300"/>
      <c r="BV635" s="300"/>
      <c r="BW635" s="300"/>
      <c r="BX635" s="300"/>
      <c r="BY635" s="300"/>
      <c r="BZ635" s="300"/>
      <c r="CA635" s="300"/>
      <c r="CB635" s="300"/>
    </row>
    <row r="636" spans="1:80" s="27" customFormat="1" x14ac:dyDescent="0.3">
      <c r="A636" s="173"/>
      <c r="D636" s="173"/>
      <c r="E636" s="173"/>
      <c r="F636" s="173"/>
      <c r="G636" s="173"/>
      <c r="H636" s="173"/>
      <c r="I636" s="173"/>
      <c r="J636" s="173"/>
      <c r="K636" s="173"/>
      <c r="L636" s="173"/>
      <c r="AM636" s="173"/>
      <c r="AN636" s="173"/>
      <c r="AZ636" s="337"/>
      <c r="BL636" s="349"/>
      <c r="BM636" s="300"/>
      <c r="BN636" s="300"/>
      <c r="BO636" s="300"/>
      <c r="BP636" s="300"/>
      <c r="BQ636" s="300"/>
      <c r="BR636" s="300"/>
      <c r="BS636" s="300"/>
      <c r="BT636" s="300"/>
      <c r="BU636" s="300"/>
      <c r="BV636" s="300"/>
      <c r="BW636" s="300"/>
      <c r="BX636" s="300"/>
      <c r="BY636" s="300"/>
      <c r="BZ636" s="300"/>
      <c r="CA636" s="300"/>
      <c r="CB636" s="300"/>
    </row>
    <row r="637" spans="1:80" s="27" customFormat="1" x14ac:dyDescent="0.3">
      <c r="A637" s="173"/>
      <c r="D637" s="173"/>
      <c r="E637" s="173"/>
      <c r="F637" s="173"/>
      <c r="G637" s="173"/>
      <c r="H637" s="173"/>
      <c r="I637" s="173"/>
      <c r="J637" s="173"/>
      <c r="K637" s="173"/>
      <c r="L637" s="173"/>
      <c r="AM637" s="173"/>
      <c r="AN637" s="173"/>
      <c r="AZ637" s="337"/>
      <c r="BL637" s="349"/>
      <c r="BM637" s="300"/>
      <c r="BN637" s="300"/>
      <c r="BO637" s="300"/>
      <c r="BP637" s="300"/>
      <c r="BQ637" s="300"/>
      <c r="BR637" s="300"/>
      <c r="BS637" s="300"/>
      <c r="BT637" s="300"/>
      <c r="BU637" s="300"/>
      <c r="BV637" s="300"/>
      <c r="BW637" s="300"/>
      <c r="BX637" s="300"/>
      <c r="BY637" s="300"/>
      <c r="BZ637" s="300"/>
      <c r="CA637" s="300"/>
      <c r="CB637" s="300"/>
    </row>
    <row r="638" spans="1:80" s="27" customFormat="1" x14ac:dyDescent="0.3">
      <c r="A638" s="173"/>
      <c r="D638" s="173"/>
      <c r="E638" s="173"/>
      <c r="F638" s="173"/>
      <c r="G638" s="173"/>
      <c r="H638" s="173"/>
      <c r="I638" s="173"/>
      <c r="J638" s="173"/>
      <c r="K638" s="173"/>
      <c r="L638" s="173"/>
      <c r="AM638" s="173"/>
      <c r="AN638" s="173"/>
      <c r="AZ638" s="337"/>
      <c r="BL638" s="349"/>
      <c r="BM638" s="300"/>
      <c r="BN638" s="300"/>
      <c r="BO638" s="300"/>
      <c r="BP638" s="300"/>
      <c r="BQ638" s="300"/>
      <c r="BR638" s="300"/>
      <c r="BS638" s="300"/>
      <c r="BT638" s="300"/>
      <c r="BU638" s="300"/>
      <c r="BV638" s="300"/>
      <c r="BW638" s="300"/>
      <c r="BX638" s="300"/>
      <c r="BY638" s="300"/>
      <c r="BZ638" s="300"/>
      <c r="CA638" s="300"/>
      <c r="CB638" s="300"/>
    </row>
    <row r="639" spans="1:80" s="27" customFormat="1" x14ac:dyDescent="0.3">
      <c r="A639" s="173"/>
      <c r="D639" s="173"/>
      <c r="E639" s="173"/>
      <c r="F639" s="173"/>
      <c r="G639" s="173"/>
      <c r="H639" s="173"/>
      <c r="I639" s="173"/>
      <c r="J639" s="173"/>
      <c r="K639" s="173"/>
      <c r="L639" s="173"/>
      <c r="AM639" s="173"/>
      <c r="AN639" s="173"/>
      <c r="AZ639" s="337"/>
      <c r="BL639" s="349"/>
      <c r="BM639" s="300"/>
      <c r="BN639" s="300"/>
      <c r="BO639" s="300"/>
      <c r="BP639" s="300"/>
      <c r="BQ639" s="300"/>
      <c r="BR639" s="300"/>
      <c r="BS639" s="300"/>
      <c r="BT639" s="300"/>
      <c r="BU639" s="300"/>
      <c r="BV639" s="300"/>
      <c r="BW639" s="300"/>
      <c r="BX639" s="300"/>
      <c r="BY639" s="300"/>
      <c r="BZ639" s="300"/>
      <c r="CA639" s="300"/>
      <c r="CB639" s="300"/>
    </row>
    <row r="640" spans="1:80" s="27" customFormat="1" x14ac:dyDescent="0.3">
      <c r="A640" s="173"/>
      <c r="D640" s="173"/>
      <c r="E640" s="173"/>
      <c r="F640" s="173"/>
      <c r="G640" s="173"/>
      <c r="H640" s="173"/>
      <c r="I640" s="173"/>
      <c r="J640" s="173"/>
      <c r="K640" s="173"/>
      <c r="L640" s="173"/>
      <c r="AM640" s="173"/>
      <c r="AN640" s="173"/>
      <c r="AZ640" s="337"/>
      <c r="BL640" s="349"/>
      <c r="BM640" s="300"/>
      <c r="BN640" s="300"/>
      <c r="BO640" s="300"/>
      <c r="BP640" s="300"/>
      <c r="BQ640" s="300"/>
      <c r="BR640" s="300"/>
      <c r="BS640" s="300"/>
      <c r="BT640" s="300"/>
      <c r="BU640" s="300"/>
      <c r="BV640" s="300"/>
      <c r="BW640" s="300"/>
      <c r="BX640" s="300"/>
      <c r="BY640" s="300"/>
      <c r="BZ640" s="300"/>
      <c r="CA640" s="300"/>
      <c r="CB640" s="300"/>
    </row>
    <row r="641" spans="1:80" s="27" customFormat="1" x14ac:dyDescent="0.3">
      <c r="A641" s="173"/>
      <c r="D641" s="173"/>
      <c r="E641" s="173"/>
      <c r="F641" s="173"/>
      <c r="G641" s="173"/>
      <c r="H641" s="173"/>
      <c r="I641" s="173"/>
      <c r="J641" s="173"/>
      <c r="K641" s="173"/>
      <c r="L641" s="173"/>
      <c r="AM641" s="173"/>
      <c r="AN641" s="173"/>
      <c r="AZ641" s="337"/>
      <c r="BL641" s="349"/>
      <c r="BM641" s="300"/>
      <c r="BN641" s="300"/>
      <c r="BO641" s="300"/>
      <c r="BP641" s="300"/>
      <c r="BQ641" s="300"/>
      <c r="BR641" s="300"/>
      <c r="BS641" s="300"/>
      <c r="BT641" s="300"/>
      <c r="BU641" s="300"/>
      <c r="BV641" s="300"/>
      <c r="BW641" s="300"/>
      <c r="BX641" s="300"/>
      <c r="BY641" s="300"/>
      <c r="BZ641" s="300"/>
      <c r="CA641" s="300"/>
      <c r="CB641" s="300"/>
    </row>
    <row r="642" spans="1:80" s="27" customFormat="1" x14ac:dyDescent="0.3">
      <c r="A642" s="173"/>
      <c r="D642" s="173"/>
      <c r="E642" s="173"/>
      <c r="F642" s="173"/>
      <c r="G642" s="173"/>
      <c r="H642" s="173"/>
      <c r="I642" s="173"/>
      <c r="J642" s="173"/>
      <c r="K642" s="173"/>
      <c r="L642" s="173"/>
      <c r="AM642" s="173"/>
      <c r="AN642" s="173"/>
      <c r="AZ642" s="337"/>
      <c r="BL642" s="349"/>
      <c r="BM642" s="300"/>
      <c r="BN642" s="300"/>
      <c r="BO642" s="300"/>
      <c r="BP642" s="300"/>
      <c r="BQ642" s="300"/>
      <c r="BR642" s="300"/>
      <c r="BS642" s="300"/>
      <c r="BT642" s="300"/>
      <c r="BU642" s="300"/>
      <c r="BV642" s="300"/>
      <c r="BW642" s="300"/>
      <c r="BX642" s="300"/>
      <c r="BY642" s="300"/>
      <c r="BZ642" s="300"/>
      <c r="CA642" s="300"/>
      <c r="CB642" s="300"/>
    </row>
    <row r="643" spans="1:80" s="27" customFormat="1" x14ac:dyDescent="0.3">
      <c r="A643" s="173"/>
      <c r="D643" s="173"/>
      <c r="E643" s="173"/>
      <c r="F643" s="173"/>
      <c r="G643" s="173"/>
      <c r="H643" s="173"/>
      <c r="I643" s="173"/>
      <c r="J643" s="173"/>
      <c r="K643" s="173"/>
      <c r="L643" s="173"/>
      <c r="AM643" s="173"/>
      <c r="AN643" s="173"/>
      <c r="AZ643" s="337"/>
      <c r="BL643" s="349"/>
      <c r="BM643" s="300"/>
      <c r="BN643" s="300"/>
      <c r="BO643" s="300"/>
      <c r="BP643" s="300"/>
      <c r="BQ643" s="300"/>
      <c r="BR643" s="300"/>
      <c r="BS643" s="300"/>
      <c r="BT643" s="300"/>
      <c r="BU643" s="300"/>
      <c r="BV643" s="300"/>
      <c r="BW643" s="300"/>
      <c r="BX643" s="300"/>
      <c r="BY643" s="300"/>
      <c r="BZ643" s="300"/>
      <c r="CA643" s="300"/>
      <c r="CB643" s="300"/>
    </row>
    <row r="644" spans="1:80" s="27" customFormat="1" x14ac:dyDescent="0.3">
      <c r="A644" s="173"/>
      <c r="D644" s="173"/>
      <c r="E644" s="173"/>
      <c r="F644" s="173"/>
      <c r="G644" s="173"/>
      <c r="H644" s="173"/>
      <c r="I644" s="173"/>
      <c r="J644" s="173"/>
      <c r="K644" s="173"/>
      <c r="L644" s="173"/>
      <c r="AM644" s="173"/>
      <c r="AN644" s="173"/>
      <c r="AZ644" s="337"/>
      <c r="BL644" s="349"/>
      <c r="BM644" s="300"/>
      <c r="BN644" s="300"/>
      <c r="BO644" s="300"/>
      <c r="BP644" s="300"/>
      <c r="BQ644" s="300"/>
      <c r="BR644" s="300"/>
      <c r="BS644" s="300"/>
      <c r="BT644" s="300"/>
      <c r="BU644" s="300"/>
      <c r="BV644" s="300"/>
      <c r="BW644" s="300"/>
      <c r="BX644" s="300"/>
      <c r="BY644" s="300"/>
      <c r="BZ644" s="300"/>
      <c r="CA644" s="300"/>
      <c r="CB644" s="300"/>
    </row>
    <row r="645" spans="1:80" s="27" customFormat="1" x14ac:dyDescent="0.3">
      <c r="A645" s="173"/>
      <c r="D645" s="173"/>
      <c r="E645" s="173"/>
      <c r="F645" s="173"/>
      <c r="G645" s="173"/>
      <c r="H645" s="173"/>
      <c r="I645" s="173"/>
      <c r="J645" s="173"/>
      <c r="K645" s="173"/>
      <c r="L645" s="173"/>
      <c r="AM645" s="173"/>
      <c r="AN645" s="173"/>
      <c r="AZ645" s="337"/>
      <c r="BL645" s="349"/>
      <c r="BM645" s="300"/>
      <c r="BN645" s="300"/>
      <c r="BO645" s="300"/>
      <c r="BP645" s="300"/>
      <c r="BQ645" s="300"/>
      <c r="BR645" s="300"/>
      <c r="BS645" s="300"/>
      <c r="BT645" s="300"/>
      <c r="BU645" s="300"/>
      <c r="BV645" s="300"/>
      <c r="BW645" s="300"/>
      <c r="BX645" s="300"/>
      <c r="BY645" s="300"/>
      <c r="BZ645" s="300"/>
      <c r="CA645" s="300"/>
      <c r="CB645" s="300"/>
    </row>
    <row r="646" spans="1:80" s="27" customFormat="1" x14ac:dyDescent="0.3">
      <c r="A646" s="173"/>
      <c r="D646" s="173"/>
      <c r="E646" s="173"/>
      <c r="F646" s="173"/>
      <c r="G646" s="173"/>
      <c r="H646" s="173"/>
      <c r="I646" s="173"/>
      <c r="J646" s="173"/>
      <c r="K646" s="173"/>
      <c r="L646" s="173"/>
      <c r="AM646" s="173"/>
      <c r="AN646" s="173"/>
      <c r="AZ646" s="337"/>
      <c r="BL646" s="349"/>
      <c r="BM646" s="300"/>
      <c r="BN646" s="300"/>
      <c r="BO646" s="300"/>
      <c r="BP646" s="300"/>
      <c r="BQ646" s="300"/>
      <c r="BR646" s="300"/>
      <c r="BS646" s="300"/>
      <c r="BT646" s="300"/>
      <c r="BU646" s="300"/>
      <c r="BV646" s="300"/>
      <c r="BW646" s="300"/>
      <c r="BX646" s="300"/>
      <c r="BY646" s="300"/>
      <c r="BZ646" s="300"/>
      <c r="CA646" s="300"/>
      <c r="CB646" s="300"/>
    </row>
    <row r="647" spans="1:80" s="27" customFormat="1" x14ac:dyDescent="0.3">
      <c r="A647" s="173"/>
      <c r="D647" s="173"/>
      <c r="E647" s="173"/>
      <c r="F647" s="173"/>
      <c r="G647" s="173"/>
      <c r="H647" s="173"/>
      <c r="I647" s="173"/>
      <c r="J647" s="173"/>
      <c r="K647" s="173"/>
      <c r="L647" s="173"/>
      <c r="AM647" s="173"/>
      <c r="AN647" s="173"/>
      <c r="AZ647" s="337"/>
      <c r="BL647" s="349"/>
      <c r="BM647" s="300"/>
      <c r="BN647" s="300"/>
      <c r="BO647" s="300"/>
      <c r="BP647" s="300"/>
      <c r="BQ647" s="300"/>
      <c r="BR647" s="300"/>
      <c r="BS647" s="300"/>
      <c r="BT647" s="300"/>
      <c r="BU647" s="300"/>
      <c r="BV647" s="300"/>
      <c r="BW647" s="300"/>
      <c r="BX647" s="300"/>
      <c r="BY647" s="300"/>
      <c r="BZ647" s="300"/>
      <c r="CA647" s="300"/>
      <c r="CB647" s="300"/>
    </row>
    <row r="648" spans="1:80" s="27" customFormat="1" x14ac:dyDescent="0.3">
      <c r="A648" s="173"/>
      <c r="D648" s="173"/>
      <c r="E648" s="173"/>
      <c r="F648" s="173"/>
      <c r="G648" s="173"/>
      <c r="H648" s="173"/>
      <c r="I648" s="173"/>
      <c r="J648" s="173"/>
      <c r="K648" s="173"/>
      <c r="L648" s="173"/>
      <c r="AM648" s="173"/>
      <c r="AN648" s="173"/>
      <c r="AZ648" s="337"/>
      <c r="BL648" s="349"/>
      <c r="BM648" s="300"/>
      <c r="BN648" s="300"/>
      <c r="BO648" s="300"/>
      <c r="BP648" s="300"/>
      <c r="BQ648" s="300"/>
      <c r="BR648" s="300"/>
      <c r="BS648" s="300"/>
      <c r="BT648" s="300"/>
      <c r="BU648" s="300"/>
      <c r="BV648" s="300"/>
      <c r="BW648" s="300"/>
      <c r="BX648" s="300"/>
      <c r="BY648" s="300"/>
      <c r="BZ648" s="300"/>
      <c r="CA648" s="300"/>
      <c r="CB648" s="300"/>
    </row>
    <row r="649" spans="1:80" s="27" customFormat="1" x14ac:dyDescent="0.3">
      <c r="A649" s="173"/>
      <c r="D649" s="173"/>
      <c r="E649" s="173"/>
      <c r="F649" s="173"/>
      <c r="G649" s="173"/>
      <c r="H649" s="173"/>
      <c r="I649" s="173"/>
      <c r="J649" s="173"/>
      <c r="K649" s="173"/>
      <c r="L649" s="173"/>
      <c r="AM649" s="173"/>
      <c r="AN649" s="173"/>
      <c r="AZ649" s="337"/>
      <c r="BL649" s="349"/>
      <c r="BM649" s="300"/>
      <c r="BN649" s="300"/>
      <c r="BO649" s="300"/>
      <c r="BP649" s="300"/>
      <c r="BQ649" s="300"/>
      <c r="BR649" s="300"/>
      <c r="BS649" s="300"/>
      <c r="BT649" s="300"/>
      <c r="BU649" s="300"/>
      <c r="BV649" s="300"/>
      <c r="BW649" s="300"/>
      <c r="BX649" s="300"/>
      <c r="BY649" s="300"/>
      <c r="BZ649" s="300"/>
      <c r="CA649" s="300"/>
      <c r="CB649" s="300"/>
    </row>
    <row r="650" spans="1:80" s="27" customFormat="1" x14ac:dyDescent="0.3">
      <c r="A650" s="173"/>
      <c r="D650" s="173"/>
      <c r="E650" s="173"/>
      <c r="F650" s="173"/>
      <c r="G650" s="173"/>
      <c r="H650" s="173"/>
      <c r="I650" s="173"/>
      <c r="J650" s="173"/>
      <c r="K650" s="173"/>
      <c r="L650" s="173"/>
      <c r="AM650" s="173"/>
      <c r="AN650" s="173"/>
      <c r="AZ650" s="337"/>
      <c r="BL650" s="349"/>
      <c r="BM650" s="300"/>
      <c r="BN650" s="300"/>
      <c r="BO650" s="300"/>
      <c r="BP650" s="300"/>
      <c r="BQ650" s="300"/>
      <c r="BR650" s="300"/>
      <c r="BS650" s="300"/>
      <c r="BT650" s="300"/>
      <c r="BU650" s="300"/>
      <c r="BV650" s="300"/>
      <c r="BW650" s="300"/>
      <c r="BX650" s="300"/>
      <c r="BY650" s="300"/>
      <c r="BZ650" s="300"/>
      <c r="CA650" s="300"/>
      <c r="CB650" s="300"/>
    </row>
    <row r="651" spans="1:80" s="27" customFormat="1" x14ac:dyDescent="0.3">
      <c r="A651" s="173"/>
      <c r="D651" s="173"/>
      <c r="E651" s="173"/>
      <c r="F651" s="173"/>
      <c r="G651" s="173"/>
      <c r="H651" s="173"/>
      <c r="I651" s="173"/>
      <c r="J651" s="173"/>
      <c r="K651" s="173"/>
      <c r="L651" s="173"/>
      <c r="AM651" s="173"/>
      <c r="AN651" s="173"/>
      <c r="AZ651" s="337"/>
      <c r="BL651" s="349"/>
      <c r="BM651" s="300"/>
      <c r="BN651" s="300"/>
      <c r="BO651" s="300"/>
      <c r="BP651" s="300"/>
      <c r="BQ651" s="300"/>
      <c r="BR651" s="300"/>
      <c r="BS651" s="300"/>
      <c r="BT651" s="300"/>
      <c r="BU651" s="300"/>
      <c r="BV651" s="300"/>
      <c r="BW651" s="300"/>
      <c r="BX651" s="300"/>
      <c r="BY651" s="300"/>
      <c r="BZ651" s="300"/>
      <c r="CA651" s="300"/>
      <c r="CB651" s="300"/>
    </row>
    <row r="652" spans="1:80" s="27" customFormat="1" x14ac:dyDescent="0.3">
      <c r="A652" s="173"/>
      <c r="D652" s="173"/>
      <c r="E652" s="173"/>
      <c r="F652" s="173"/>
      <c r="G652" s="173"/>
      <c r="H652" s="173"/>
      <c r="I652" s="173"/>
      <c r="J652" s="173"/>
      <c r="K652" s="173"/>
      <c r="L652" s="173"/>
      <c r="AM652" s="173"/>
      <c r="AN652" s="173"/>
      <c r="AZ652" s="337"/>
      <c r="BL652" s="349"/>
      <c r="BM652" s="300"/>
      <c r="BN652" s="300"/>
      <c r="BO652" s="300"/>
      <c r="BP652" s="300"/>
      <c r="BQ652" s="300"/>
      <c r="BR652" s="300"/>
      <c r="BS652" s="300"/>
      <c r="BT652" s="300"/>
      <c r="BU652" s="300"/>
      <c r="BV652" s="300"/>
      <c r="BW652" s="300"/>
      <c r="BX652" s="300"/>
      <c r="BY652" s="300"/>
      <c r="BZ652" s="300"/>
      <c r="CA652" s="300"/>
      <c r="CB652" s="300"/>
    </row>
    <row r="653" spans="1:80" s="27" customFormat="1" x14ac:dyDescent="0.3">
      <c r="A653" s="173"/>
      <c r="D653" s="173"/>
      <c r="E653" s="173"/>
      <c r="F653" s="173"/>
      <c r="G653" s="173"/>
      <c r="H653" s="173"/>
      <c r="I653" s="173"/>
      <c r="J653" s="173"/>
      <c r="K653" s="173"/>
      <c r="L653" s="173"/>
      <c r="AM653" s="173"/>
      <c r="AN653" s="173"/>
      <c r="AZ653" s="337"/>
      <c r="BL653" s="349"/>
      <c r="BM653" s="300"/>
      <c r="BN653" s="300"/>
      <c r="BO653" s="300"/>
      <c r="BP653" s="300"/>
      <c r="BQ653" s="300"/>
      <c r="BR653" s="300"/>
      <c r="BS653" s="300"/>
      <c r="BT653" s="300"/>
      <c r="BU653" s="300"/>
      <c r="BV653" s="300"/>
      <c r="BW653" s="300"/>
      <c r="BX653" s="300"/>
      <c r="BY653" s="300"/>
      <c r="BZ653" s="300"/>
      <c r="CA653" s="300"/>
      <c r="CB653" s="300"/>
    </row>
    <row r="654" spans="1:80" s="27" customFormat="1" x14ac:dyDescent="0.3">
      <c r="A654" s="173"/>
      <c r="D654" s="173"/>
      <c r="E654" s="173"/>
      <c r="F654" s="173"/>
      <c r="G654" s="173"/>
      <c r="H654" s="173"/>
      <c r="I654" s="173"/>
      <c r="J654" s="173"/>
      <c r="K654" s="173"/>
      <c r="L654" s="173"/>
      <c r="AM654" s="173"/>
      <c r="AN654" s="173"/>
      <c r="AZ654" s="337"/>
      <c r="BL654" s="349"/>
      <c r="BM654" s="300"/>
      <c r="BN654" s="300"/>
      <c r="BO654" s="300"/>
      <c r="BP654" s="300"/>
      <c r="BQ654" s="300"/>
      <c r="BR654" s="300"/>
      <c r="BS654" s="300"/>
      <c r="BT654" s="300"/>
      <c r="BU654" s="300"/>
      <c r="BV654" s="300"/>
      <c r="BW654" s="300"/>
      <c r="BX654" s="300"/>
      <c r="BY654" s="300"/>
      <c r="BZ654" s="300"/>
      <c r="CA654" s="300"/>
      <c r="CB654" s="300"/>
    </row>
    <row r="655" spans="1:80" s="27" customFormat="1" x14ac:dyDescent="0.3">
      <c r="A655" s="173"/>
      <c r="D655" s="173"/>
      <c r="E655" s="173"/>
      <c r="F655" s="173"/>
      <c r="G655" s="173"/>
      <c r="H655" s="173"/>
      <c r="I655" s="173"/>
      <c r="J655" s="173"/>
      <c r="K655" s="173"/>
      <c r="L655" s="173"/>
      <c r="AM655" s="173"/>
      <c r="AN655" s="173"/>
      <c r="AZ655" s="337"/>
      <c r="BL655" s="349"/>
      <c r="BM655" s="300"/>
      <c r="BN655" s="300"/>
      <c r="BO655" s="300"/>
      <c r="BP655" s="300"/>
      <c r="BQ655" s="300"/>
      <c r="BR655" s="300"/>
      <c r="BS655" s="300"/>
      <c r="BT655" s="300"/>
      <c r="BU655" s="300"/>
      <c r="BV655" s="300"/>
      <c r="BW655" s="300"/>
      <c r="BX655" s="300"/>
      <c r="BY655" s="300"/>
      <c r="BZ655" s="300"/>
      <c r="CA655" s="300"/>
      <c r="CB655" s="300"/>
    </row>
    <row r="656" spans="1:80" s="27" customFormat="1" x14ac:dyDescent="0.3">
      <c r="A656" s="173"/>
      <c r="D656" s="173"/>
      <c r="E656" s="173"/>
      <c r="F656" s="173"/>
      <c r="G656" s="173"/>
      <c r="H656" s="173"/>
      <c r="I656" s="173"/>
      <c r="J656" s="173"/>
      <c r="K656" s="173"/>
      <c r="L656" s="173"/>
      <c r="AM656" s="173"/>
      <c r="AN656" s="173"/>
      <c r="AZ656" s="337"/>
      <c r="BL656" s="349"/>
      <c r="BM656" s="300"/>
      <c r="BN656" s="300"/>
      <c r="BO656" s="300"/>
      <c r="BP656" s="300"/>
      <c r="BQ656" s="300"/>
      <c r="BR656" s="300"/>
      <c r="BS656" s="300"/>
      <c r="BT656" s="300"/>
      <c r="BU656" s="300"/>
      <c r="BV656" s="300"/>
      <c r="BW656" s="300"/>
      <c r="BX656" s="300"/>
      <c r="BY656" s="300"/>
      <c r="BZ656" s="300"/>
      <c r="CA656" s="300"/>
      <c r="CB656" s="300"/>
    </row>
    <row r="657" spans="1:80" s="27" customFormat="1" x14ac:dyDescent="0.3">
      <c r="A657" s="173"/>
      <c r="D657" s="173"/>
      <c r="E657" s="173"/>
      <c r="F657" s="173"/>
      <c r="G657" s="173"/>
      <c r="H657" s="173"/>
      <c r="I657" s="173"/>
      <c r="J657" s="173"/>
      <c r="K657" s="173"/>
      <c r="L657" s="173"/>
      <c r="AM657" s="173"/>
      <c r="AN657" s="173"/>
      <c r="AZ657" s="337"/>
      <c r="BL657" s="349"/>
      <c r="BM657" s="300"/>
      <c r="BN657" s="300"/>
      <c r="BO657" s="300"/>
      <c r="BP657" s="300"/>
      <c r="BQ657" s="300"/>
      <c r="BR657" s="300"/>
      <c r="BS657" s="300"/>
      <c r="BT657" s="300"/>
      <c r="BU657" s="300"/>
      <c r="BV657" s="300"/>
      <c r="BW657" s="300"/>
      <c r="BX657" s="300"/>
      <c r="BY657" s="300"/>
      <c r="BZ657" s="300"/>
      <c r="CA657" s="300"/>
      <c r="CB657" s="300"/>
    </row>
    <row r="658" spans="1:80" s="27" customFormat="1" x14ac:dyDescent="0.3">
      <c r="A658" s="173"/>
      <c r="D658" s="173"/>
      <c r="E658" s="173"/>
      <c r="F658" s="173"/>
      <c r="G658" s="173"/>
      <c r="H658" s="173"/>
      <c r="I658" s="173"/>
      <c r="J658" s="173"/>
      <c r="K658" s="173"/>
      <c r="L658" s="173"/>
      <c r="AM658" s="173"/>
      <c r="AN658" s="173"/>
      <c r="AZ658" s="337"/>
      <c r="BL658" s="349"/>
      <c r="BM658" s="300"/>
      <c r="BN658" s="300"/>
      <c r="BO658" s="300"/>
      <c r="BP658" s="300"/>
      <c r="BQ658" s="300"/>
      <c r="BR658" s="300"/>
      <c r="BS658" s="300"/>
      <c r="BT658" s="300"/>
      <c r="BU658" s="300"/>
      <c r="BV658" s="300"/>
      <c r="BW658" s="300"/>
      <c r="BX658" s="300"/>
      <c r="BY658" s="300"/>
      <c r="BZ658" s="300"/>
      <c r="CA658" s="300"/>
      <c r="CB658" s="300"/>
    </row>
    <row r="659" spans="1:80" s="27" customFormat="1" x14ac:dyDescent="0.3">
      <c r="A659" s="173"/>
      <c r="D659" s="173"/>
      <c r="E659" s="173"/>
      <c r="F659" s="173"/>
      <c r="G659" s="173"/>
      <c r="H659" s="173"/>
      <c r="I659" s="173"/>
      <c r="J659" s="173"/>
      <c r="K659" s="173"/>
      <c r="L659" s="173"/>
      <c r="AM659" s="173"/>
      <c r="AN659" s="173"/>
      <c r="AZ659" s="337"/>
      <c r="BL659" s="349"/>
      <c r="BM659" s="300"/>
      <c r="BN659" s="300"/>
      <c r="BO659" s="300"/>
      <c r="BP659" s="300"/>
      <c r="BQ659" s="300"/>
      <c r="BR659" s="300"/>
      <c r="BS659" s="300"/>
      <c r="BT659" s="300"/>
      <c r="BU659" s="300"/>
      <c r="BV659" s="300"/>
      <c r="BW659" s="300"/>
      <c r="BX659" s="300"/>
      <c r="BY659" s="300"/>
      <c r="BZ659" s="300"/>
      <c r="CA659" s="300"/>
      <c r="CB659" s="300"/>
    </row>
    <row r="660" spans="1:80" s="27" customFormat="1" x14ac:dyDescent="0.3">
      <c r="A660" s="173"/>
      <c r="D660" s="173"/>
      <c r="E660" s="173"/>
      <c r="F660" s="173"/>
      <c r="G660" s="173"/>
      <c r="H660" s="173"/>
      <c r="I660" s="173"/>
      <c r="J660" s="173"/>
      <c r="K660" s="173"/>
      <c r="L660" s="173"/>
      <c r="AM660" s="173"/>
      <c r="AN660" s="173"/>
      <c r="AZ660" s="337"/>
      <c r="BL660" s="349"/>
      <c r="BM660" s="300"/>
      <c r="BN660" s="300"/>
      <c r="BO660" s="300"/>
      <c r="BP660" s="300"/>
      <c r="BQ660" s="300"/>
      <c r="BR660" s="300"/>
      <c r="BS660" s="300"/>
      <c r="BT660" s="300"/>
      <c r="BU660" s="300"/>
      <c r="BV660" s="300"/>
      <c r="BW660" s="300"/>
      <c r="BX660" s="300"/>
      <c r="BY660" s="300"/>
      <c r="BZ660" s="300"/>
      <c r="CA660" s="300"/>
      <c r="CB660" s="300"/>
    </row>
    <row r="661" spans="1:80" s="27" customFormat="1" x14ac:dyDescent="0.3">
      <c r="A661" s="173"/>
      <c r="D661" s="173"/>
      <c r="E661" s="173"/>
      <c r="F661" s="173"/>
      <c r="G661" s="173"/>
      <c r="H661" s="173"/>
      <c r="I661" s="173"/>
      <c r="J661" s="173"/>
      <c r="K661" s="173"/>
      <c r="L661" s="173"/>
      <c r="AM661" s="173"/>
      <c r="AN661" s="173"/>
      <c r="AZ661" s="337"/>
      <c r="BL661" s="349"/>
      <c r="BM661" s="300"/>
      <c r="BN661" s="300"/>
      <c r="BO661" s="300"/>
      <c r="BP661" s="300"/>
      <c r="BQ661" s="300"/>
      <c r="BR661" s="300"/>
      <c r="BS661" s="300"/>
      <c r="BT661" s="300"/>
      <c r="BU661" s="300"/>
      <c r="BV661" s="300"/>
      <c r="BW661" s="300"/>
      <c r="BX661" s="300"/>
      <c r="BY661" s="300"/>
      <c r="BZ661" s="300"/>
      <c r="CA661" s="300"/>
      <c r="CB661" s="300"/>
    </row>
    <row r="662" spans="1:80" s="27" customFormat="1" x14ac:dyDescent="0.3">
      <c r="A662" s="173"/>
      <c r="D662" s="173"/>
      <c r="E662" s="173"/>
      <c r="F662" s="173"/>
      <c r="G662" s="173"/>
      <c r="H662" s="173"/>
      <c r="I662" s="173"/>
      <c r="J662" s="173"/>
      <c r="K662" s="173"/>
      <c r="L662" s="173"/>
      <c r="AM662" s="173"/>
      <c r="AN662" s="173"/>
      <c r="AZ662" s="337"/>
      <c r="BL662" s="349"/>
      <c r="BM662" s="300"/>
      <c r="BN662" s="300"/>
      <c r="BO662" s="300"/>
      <c r="BP662" s="300"/>
      <c r="BQ662" s="300"/>
      <c r="BR662" s="300"/>
      <c r="BS662" s="300"/>
      <c r="BT662" s="300"/>
      <c r="BU662" s="300"/>
      <c r="BV662" s="300"/>
      <c r="BW662" s="300"/>
      <c r="BX662" s="300"/>
      <c r="BY662" s="300"/>
      <c r="BZ662" s="300"/>
      <c r="CA662" s="300"/>
      <c r="CB662" s="300"/>
    </row>
    <row r="663" spans="1:80" s="27" customFormat="1" x14ac:dyDescent="0.3">
      <c r="A663" s="173"/>
      <c r="D663" s="173"/>
      <c r="E663" s="173"/>
      <c r="F663" s="173"/>
      <c r="G663" s="173"/>
      <c r="H663" s="173"/>
      <c r="I663" s="173"/>
      <c r="J663" s="173"/>
      <c r="K663" s="173"/>
      <c r="L663" s="173"/>
      <c r="AM663" s="173"/>
      <c r="AN663" s="173"/>
      <c r="AZ663" s="337"/>
      <c r="BL663" s="349"/>
      <c r="BM663" s="300"/>
      <c r="BN663" s="300"/>
      <c r="BO663" s="300"/>
      <c r="BP663" s="300"/>
      <c r="BQ663" s="300"/>
      <c r="BR663" s="300"/>
      <c r="BS663" s="300"/>
      <c r="BT663" s="300"/>
      <c r="BU663" s="300"/>
      <c r="BV663" s="300"/>
      <c r="BW663" s="300"/>
      <c r="BX663" s="300"/>
      <c r="BY663" s="300"/>
      <c r="BZ663" s="300"/>
      <c r="CA663" s="300"/>
      <c r="CB663" s="300"/>
    </row>
    <row r="664" spans="1:80" s="27" customFormat="1" x14ac:dyDescent="0.3">
      <c r="A664" s="173"/>
      <c r="D664" s="173"/>
      <c r="E664" s="173"/>
      <c r="F664" s="173"/>
      <c r="G664" s="173"/>
      <c r="H664" s="173"/>
      <c r="I664" s="173"/>
      <c r="J664" s="173"/>
      <c r="K664" s="173"/>
      <c r="L664" s="173"/>
      <c r="AM664" s="173"/>
      <c r="AN664" s="173"/>
      <c r="AZ664" s="337"/>
      <c r="BL664" s="349"/>
      <c r="BM664" s="300"/>
      <c r="BN664" s="300"/>
      <c r="BO664" s="300"/>
      <c r="BP664" s="300"/>
      <c r="BQ664" s="300"/>
      <c r="BR664" s="300"/>
      <c r="BS664" s="300"/>
      <c r="BT664" s="300"/>
      <c r="BU664" s="300"/>
      <c r="BV664" s="300"/>
      <c r="BW664" s="300"/>
      <c r="BX664" s="300"/>
      <c r="BY664" s="300"/>
      <c r="BZ664" s="300"/>
      <c r="CA664" s="300"/>
      <c r="CB664" s="300"/>
    </row>
    <row r="665" spans="1:80" s="27" customFormat="1" x14ac:dyDescent="0.3">
      <c r="A665" s="173"/>
      <c r="D665" s="173"/>
      <c r="E665" s="173"/>
      <c r="F665" s="173"/>
      <c r="G665" s="173"/>
      <c r="H665" s="173"/>
      <c r="I665" s="173"/>
      <c r="J665" s="173"/>
      <c r="K665" s="173"/>
      <c r="L665" s="173"/>
      <c r="AM665" s="173"/>
      <c r="AN665" s="173"/>
      <c r="AZ665" s="337"/>
      <c r="BL665" s="349"/>
      <c r="BM665" s="300"/>
      <c r="BN665" s="300"/>
      <c r="BO665" s="300"/>
      <c r="BP665" s="300"/>
      <c r="BQ665" s="300"/>
      <c r="BR665" s="300"/>
      <c r="BS665" s="300"/>
      <c r="BT665" s="300"/>
      <c r="BU665" s="300"/>
      <c r="BV665" s="300"/>
      <c r="BW665" s="300"/>
      <c r="BX665" s="300"/>
      <c r="BY665" s="300"/>
      <c r="BZ665" s="300"/>
      <c r="CA665" s="300"/>
      <c r="CB665" s="300"/>
    </row>
    <row r="666" spans="1:80" s="27" customFormat="1" x14ac:dyDescent="0.3">
      <c r="A666" s="173"/>
      <c r="D666" s="173"/>
      <c r="E666" s="173"/>
      <c r="F666" s="173"/>
      <c r="G666" s="173"/>
      <c r="H666" s="173"/>
      <c r="I666" s="173"/>
      <c r="J666" s="173"/>
      <c r="K666" s="173"/>
      <c r="L666" s="173"/>
      <c r="AM666" s="173"/>
      <c r="AN666" s="173"/>
      <c r="AZ666" s="337"/>
      <c r="BL666" s="349"/>
      <c r="BM666" s="300"/>
      <c r="BN666" s="300"/>
      <c r="BO666" s="300"/>
      <c r="BP666" s="300"/>
      <c r="BQ666" s="300"/>
      <c r="BR666" s="300"/>
      <c r="BS666" s="300"/>
      <c r="BT666" s="300"/>
      <c r="BU666" s="300"/>
      <c r="BV666" s="300"/>
      <c r="BW666" s="300"/>
      <c r="BX666" s="300"/>
      <c r="BY666" s="300"/>
      <c r="BZ666" s="300"/>
      <c r="CA666" s="300"/>
      <c r="CB666" s="300"/>
    </row>
    <row r="667" spans="1:80" s="27" customFormat="1" x14ac:dyDescent="0.3">
      <c r="A667" s="173"/>
      <c r="D667" s="173"/>
      <c r="E667" s="173"/>
      <c r="F667" s="173"/>
      <c r="G667" s="173"/>
      <c r="H667" s="173"/>
      <c r="I667" s="173"/>
      <c r="J667" s="173"/>
      <c r="K667" s="173"/>
      <c r="L667" s="173"/>
      <c r="AM667" s="173"/>
      <c r="AN667" s="173"/>
      <c r="AZ667" s="337"/>
      <c r="BL667" s="349"/>
      <c r="BM667" s="300"/>
      <c r="BN667" s="300"/>
      <c r="BO667" s="300"/>
      <c r="BP667" s="300"/>
      <c r="BQ667" s="300"/>
      <c r="BR667" s="300"/>
      <c r="BS667" s="300"/>
      <c r="BT667" s="300"/>
      <c r="BU667" s="300"/>
      <c r="BV667" s="300"/>
      <c r="BW667" s="300"/>
      <c r="BX667" s="300"/>
      <c r="BY667" s="300"/>
      <c r="BZ667" s="300"/>
      <c r="CA667" s="300"/>
      <c r="CB667" s="300"/>
    </row>
    <row r="668" spans="1:80" s="27" customFormat="1" x14ac:dyDescent="0.3">
      <c r="A668" s="173"/>
      <c r="D668" s="173"/>
      <c r="E668" s="173"/>
      <c r="F668" s="173"/>
      <c r="G668" s="173"/>
      <c r="H668" s="173"/>
      <c r="I668" s="173"/>
      <c r="J668" s="173"/>
      <c r="K668" s="173"/>
      <c r="L668" s="173"/>
      <c r="AM668" s="173"/>
      <c r="AN668" s="173"/>
      <c r="AZ668" s="337"/>
      <c r="BL668" s="349"/>
      <c r="BM668" s="300"/>
      <c r="BN668" s="300"/>
      <c r="BO668" s="300"/>
      <c r="BP668" s="300"/>
      <c r="BQ668" s="300"/>
      <c r="BR668" s="300"/>
      <c r="BS668" s="300"/>
      <c r="BT668" s="300"/>
      <c r="BU668" s="300"/>
      <c r="BV668" s="300"/>
      <c r="BW668" s="300"/>
      <c r="BX668" s="300"/>
      <c r="BY668" s="300"/>
      <c r="BZ668" s="300"/>
      <c r="CA668" s="300"/>
      <c r="CB668" s="300"/>
    </row>
    <row r="669" spans="1:80" s="27" customFormat="1" x14ac:dyDescent="0.3">
      <c r="A669" s="173"/>
      <c r="D669" s="173"/>
      <c r="E669" s="173"/>
      <c r="F669" s="173"/>
      <c r="G669" s="173"/>
      <c r="H669" s="173"/>
      <c r="I669" s="173"/>
      <c r="J669" s="173"/>
      <c r="K669" s="173"/>
      <c r="L669" s="173"/>
      <c r="AM669" s="173"/>
      <c r="AN669" s="173"/>
      <c r="AZ669" s="337"/>
      <c r="BL669" s="349"/>
      <c r="BM669" s="300"/>
      <c r="BN669" s="300"/>
      <c r="BO669" s="300"/>
      <c r="BP669" s="300"/>
      <c r="BQ669" s="300"/>
      <c r="BR669" s="300"/>
      <c r="BS669" s="300"/>
      <c r="BT669" s="300"/>
      <c r="BU669" s="300"/>
      <c r="BV669" s="300"/>
      <c r="BW669" s="300"/>
      <c r="BX669" s="300"/>
      <c r="BY669" s="300"/>
      <c r="BZ669" s="300"/>
      <c r="CA669" s="300"/>
      <c r="CB669" s="300"/>
    </row>
    <row r="670" spans="1:80" s="27" customFormat="1" x14ac:dyDescent="0.3">
      <c r="A670" s="173"/>
      <c r="D670" s="173"/>
      <c r="E670" s="173"/>
      <c r="F670" s="173"/>
      <c r="G670" s="173"/>
      <c r="H670" s="173"/>
      <c r="I670" s="173"/>
      <c r="J670" s="173"/>
      <c r="K670" s="173"/>
      <c r="L670" s="173"/>
      <c r="AM670" s="173"/>
      <c r="AN670" s="173"/>
      <c r="AZ670" s="337"/>
      <c r="BL670" s="349"/>
      <c r="BM670" s="300"/>
      <c r="BN670" s="300"/>
      <c r="BO670" s="300"/>
      <c r="BP670" s="300"/>
      <c r="BQ670" s="300"/>
      <c r="BR670" s="300"/>
      <c r="BS670" s="300"/>
      <c r="BT670" s="300"/>
      <c r="BU670" s="300"/>
      <c r="BV670" s="300"/>
      <c r="BW670" s="300"/>
      <c r="BX670" s="300"/>
      <c r="BY670" s="300"/>
      <c r="BZ670" s="300"/>
      <c r="CA670" s="300"/>
      <c r="CB670" s="300"/>
    </row>
    <row r="671" spans="1:80" s="27" customFormat="1" x14ac:dyDescent="0.3">
      <c r="A671" s="173"/>
      <c r="D671" s="173"/>
      <c r="E671" s="173"/>
      <c r="F671" s="173"/>
      <c r="G671" s="173"/>
      <c r="H671" s="173"/>
      <c r="I671" s="173"/>
      <c r="J671" s="173"/>
      <c r="K671" s="173"/>
      <c r="L671" s="173"/>
      <c r="AM671" s="173"/>
      <c r="AN671" s="173"/>
      <c r="AZ671" s="337"/>
      <c r="BL671" s="349"/>
      <c r="BM671" s="300"/>
      <c r="BN671" s="300"/>
      <c r="BO671" s="300"/>
      <c r="BP671" s="300"/>
      <c r="BQ671" s="300"/>
      <c r="BR671" s="300"/>
      <c r="BS671" s="300"/>
      <c r="BT671" s="300"/>
      <c r="BU671" s="300"/>
      <c r="BV671" s="300"/>
      <c r="BW671" s="300"/>
      <c r="BX671" s="300"/>
      <c r="BY671" s="300"/>
      <c r="BZ671" s="300"/>
      <c r="CA671" s="300"/>
      <c r="CB671" s="300"/>
    </row>
    <row r="672" spans="1:80" s="27" customFormat="1" x14ac:dyDescent="0.3">
      <c r="A672" s="173"/>
      <c r="D672" s="173"/>
      <c r="E672" s="173"/>
      <c r="F672" s="173"/>
      <c r="G672" s="173"/>
      <c r="H672" s="173"/>
      <c r="I672" s="173"/>
      <c r="J672" s="173"/>
      <c r="K672" s="173"/>
      <c r="L672" s="173"/>
      <c r="AM672" s="173"/>
      <c r="AN672" s="173"/>
      <c r="AZ672" s="337"/>
      <c r="BL672" s="349"/>
      <c r="BM672" s="300"/>
      <c r="BN672" s="300"/>
      <c r="BO672" s="300"/>
      <c r="BP672" s="300"/>
      <c r="BQ672" s="300"/>
      <c r="BR672" s="300"/>
      <c r="BS672" s="300"/>
      <c r="BT672" s="300"/>
      <c r="BU672" s="300"/>
      <c r="BV672" s="300"/>
      <c r="BW672" s="300"/>
      <c r="BX672" s="300"/>
      <c r="BY672" s="300"/>
      <c r="BZ672" s="300"/>
      <c r="CA672" s="300"/>
      <c r="CB672" s="300"/>
    </row>
    <row r="673" spans="1:80" s="27" customFormat="1" x14ac:dyDescent="0.3">
      <c r="A673" s="173"/>
      <c r="D673" s="173"/>
      <c r="E673" s="173"/>
      <c r="F673" s="173"/>
      <c r="G673" s="173"/>
      <c r="H673" s="173"/>
      <c r="I673" s="173"/>
      <c r="J673" s="173"/>
      <c r="K673" s="173"/>
      <c r="L673" s="173"/>
      <c r="AM673" s="173"/>
      <c r="AN673" s="173"/>
      <c r="AZ673" s="337"/>
      <c r="BL673" s="349"/>
      <c r="BM673" s="300"/>
      <c r="BN673" s="300"/>
      <c r="BO673" s="300"/>
      <c r="BP673" s="300"/>
      <c r="BQ673" s="300"/>
      <c r="BR673" s="300"/>
      <c r="BS673" s="300"/>
      <c r="BT673" s="300"/>
      <c r="BU673" s="300"/>
      <c r="BV673" s="300"/>
      <c r="BW673" s="300"/>
      <c r="BX673" s="300"/>
      <c r="BY673" s="300"/>
      <c r="BZ673" s="300"/>
      <c r="CA673" s="300"/>
      <c r="CB673" s="300"/>
    </row>
    <row r="674" spans="1:80" s="27" customFormat="1" x14ac:dyDescent="0.3">
      <c r="A674" s="173"/>
      <c r="D674" s="173"/>
      <c r="E674" s="173"/>
      <c r="F674" s="173"/>
      <c r="G674" s="173"/>
      <c r="H674" s="173"/>
      <c r="I674" s="173"/>
      <c r="J674" s="173"/>
      <c r="K674" s="173"/>
      <c r="L674" s="173"/>
      <c r="AM674" s="173"/>
      <c r="AN674" s="173"/>
      <c r="AZ674" s="337"/>
      <c r="BL674" s="349"/>
      <c r="BM674" s="300"/>
      <c r="BN674" s="300"/>
      <c r="BO674" s="300"/>
      <c r="BP674" s="300"/>
      <c r="BQ674" s="300"/>
      <c r="BR674" s="300"/>
      <c r="BS674" s="300"/>
      <c r="BT674" s="300"/>
      <c r="BU674" s="300"/>
      <c r="BV674" s="300"/>
      <c r="BW674" s="300"/>
      <c r="BX674" s="300"/>
      <c r="BY674" s="300"/>
      <c r="BZ674" s="300"/>
      <c r="CA674" s="300"/>
      <c r="CB674" s="300"/>
    </row>
    <row r="675" spans="1:80" s="27" customFormat="1" x14ac:dyDescent="0.3">
      <c r="A675" s="173"/>
      <c r="D675" s="173"/>
      <c r="E675" s="173"/>
      <c r="F675" s="173"/>
      <c r="G675" s="173"/>
      <c r="H675" s="173"/>
      <c r="I675" s="173"/>
      <c r="J675" s="173"/>
      <c r="K675" s="173"/>
      <c r="L675" s="173"/>
      <c r="AM675" s="173"/>
      <c r="AN675" s="173"/>
      <c r="AZ675" s="337"/>
      <c r="BL675" s="349"/>
      <c r="BM675" s="300"/>
      <c r="BN675" s="300"/>
      <c r="BO675" s="300"/>
      <c r="BP675" s="300"/>
      <c r="BQ675" s="300"/>
      <c r="BR675" s="300"/>
      <c r="BS675" s="300"/>
      <c r="BT675" s="300"/>
      <c r="BU675" s="300"/>
      <c r="BV675" s="300"/>
      <c r="BW675" s="300"/>
      <c r="BX675" s="300"/>
      <c r="BY675" s="300"/>
      <c r="BZ675" s="300"/>
      <c r="CA675" s="300"/>
      <c r="CB675" s="300"/>
    </row>
    <row r="676" spans="1:80" s="27" customFormat="1" x14ac:dyDescent="0.3">
      <c r="A676" s="173"/>
      <c r="D676" s="173"/>
      <c r="E676" s="173"/>
      <c r="F676" s="173"/>
      <c r="G676" s="173"/>
      <c r="H676" s="173"/>
      <c r="I676" s="173"/>
      <c r="J676" s="173"/>
      <c r="K676" s="173"/>
      <c r="L676" s="173"/>
      <c r="AM676" s="173"/>
      <c r="AN676" s="173"/>
      <c r="AZ676" s="337"/>
      <c r="BL676" s="349"/>
      <c r="BM676" s="300"/>
      <c r="BN676" s="300"/>
      <c r="BO676" s="300"/>
      <c r="BP676" s="300"/>
      <c r="BQ676" s="300"/>
      <c r="BR676" s="300"/>
      <c r="BS676" s="300"/>
      <c r="BT676" s="300"/>
      <c r="BU676" s="300"/>
      <c r="BV676" s="300"/>
      <c r="BW676" s="300"/>
      <c r="BX676" s="300"/>
      <c r="BY676" s="300"/>
      <c r="BZ676" s="300"/>
      <c r="CA676" s="300"/>
      <c r="CB676" s="300"/>
    </row>
    <row r="677" spans="1:80" s="27" customFormat="1" x14ac:dyDescent="0.3">
      <c r="A677" s="173"/>
      <c r="D677" s="173"/>
      <c r="E677" s="173"/>
      <c r="F677" s="173"/>
      <c r="G677" s="173"/>
      <c r="H677" s="173"/>
      <c r="I677" s="173"/>
      <c r="J677" s="173"/>
      <c r="K677" s="173"/>
      <c r="L677" s="173"/>
      <c r="AM677" s="173"/>
      <c r="AN677" s="173"/>
      <c r="AZ677" s="337"/>
      <c r="BL677" s="349"/>
      <c r="BM677" s="300"/>
      <c r="BN677" s="300"/>
      <c r="BO677" s="300"/>
      <c r="BP677" s="300"/>
      <c r="BQ677" s="300"/>
      <c r="BR677" s="300"/>
      <c r="BS677" s="300"/>
      <c r="BT677" s="300"/>
      <c r="BU677" s="300"/>
      <c r="BV677" s="300"/>
      <c r="BW677" s="300"/>
      <c r="BX677" s="300"/>
      <c r="BY677" s="300"/>
      <c r="BZ677" s="300"/>
      <c r="CA677" s="300"/>
      <c r="CB677" s="300"/>
    </row>
    <row r="678" spans="1:80" s="27" customFormat="1" x14ac:dyDescent="0.3">
      <c r="A678" s="173"/>
      <c r="D678" s="173"/>
      <c r="E678" s="173"/>
      <c r="F678" s="173"/>
      <c r="G678" s="173"/>
      <c r="H678" s="173"/>
      <c r="I678" s="173"/>
      <c r="J678" s="173"/>
      <c r="K678" s="173"/>
      <c r="L678" s="173"/>
      <c r="AM678" s="173"/>
      <c r="AN678" s="173"/>
      <c r="AZ678" s="337"/>
      <c r="BL678" s="349"/>
      <c r="BM678" s="300"/>
      <c r="BN678" s="300"/>
      <c r="BO678" s="300"/>
      <c r="BP678" s="300"/>
      <c r="BQ678" s="300"/>
      <c r="BR678" s="300"/>
      <c r="BS678" s="300"/>
      <c r="BT678" s="300"/>
      <c r="BU678" s="300"/>
      <c r="BV678" s="300"/>
      <c r="BW678" s="300"/>
      <c r="BX678" s="300"/>
      <c r="BY678" s="300"/>
      <c r="BZ678" s="300"/>
      <c r="CA678" s="300"/>
      <c r="CB678" s="300"/>
    </row>
    <row r="679" spans="1:80" s="27" customFormat="1" x14ac:dyDescent="0.3">
      <c r="A679" s="173"/>
      <c r="D679" s="173"/>
      <c r="E679" s="173"/>
      <c r="F679" s="173"/>
      <c r="G679" s="173"/>
      <c r="H679" s="173"/>
      <c r="I679" s="173"/>
      <c r="J679" s="173"/>
      <c r="K679" s="173"/>
      <c r="L679" s="173"/>
      <c r="AM679" s="173"/>
      <c r="AN679" s="173"/>
      <c r="AZ679" s="337"/>
      <c r="BL679" s="349"/>
      <c r="BM679" s="300"/>
      <c r="BN679" s="300"/>
      <c r="BO679" s="300"/>
      <c r="BP679" s="300"/>
      <c r="BQ679" s="300"/>
      <c r="BR679" s="300"/>
      <c r="BS679" s="300"/>
      <c r="BT679" s="300"/>
      <c r="BU679" s="300"/>
      <c r="BV679" s="300"/>
      <c r="BW679" s="300"/>
      <c r="BX679" s="300"/>
      <c r="BY679" s="300"/>
      <c r="BZ679" s="300"/>
      <c r="CA679" s="300"/>
      <c r="CB679" s="300"/>
    </row>
    <row r="680" spans="1:80" s="27" customFormat="1" x14ac:dyDescent="0.3">
      <c r="A680" s="173"/>
      <c r="D680" s="173"/>
      <c r="E680" s="173"/>
      <c r="F680" s="173"/>
      <c r="G680" s="173"/>
      <c r="H680" s="173"/>
      <c r="I680" s="173"/>
      <c r="J680" s="173"/>
      <c r="K680" s="173"/>
      <c r="L680" s="173"/>
      <c r="AM680" s="173"/>
      <c r="AN680" s="173"/>
      <c r="AZ680" s="337"/>
      <c r="BL680" s="349"/>
      <c r="BM680" s="300"/>
      <c r="BN680" s="300"/>
      <c r="BO680" s="300"/>
      <c r="BP680" s="300"/>
      <c r="BQ680" s="300"/>
      <c r="BR680" s="300"/>
      <c r="BS680" s="300"/>
      <c r="BT680" s="300"/>
      <c r="BU680" s="300"/>
      <c r="BV680" s="300"/>
      <c r="BW680" s="300"/>
      <c r="BX680" s="300"/>
      <c r="BY680" s="300"/>
      <c r="BZ680" s="300"/>
      <c r="CA680" s="300"/>
      <c r="CB680" s="300"/>
    </row>
    <row r="681" spans="1:80" s="27" customFormat="1" x14ac:dyDescent="0.3">
      <c r="A681" s="173"/>
      <c r="D681" s="173"/>
      <c r="E681" s="173"/>
      <c r="F681" s="173"/>
      <c r="G681" s="173"/>
      <c r="H681" s="173"/>
      <c r="I681" s="173"/>
      <c r="J681" s="173"/>
      <c r="K681" s="173"/>
      <c r="L681" s="173"/>
      <c r="AM681" s="173"/>
      <c r="AN681" s="173"/>
      <c r="AZ681" s="337"/>
      <c r="BL681" s="349"/>
      <c r="BM681" s="300"/>
      <c r="BN681" s="300"/>
      <c r="BO681" s="300"/>
      <c r="BP681" s="300"/>
      <c r="BQ681" s="300"/>
      <c r="BR681" s="300"/>
      <c r="BS681" s="300"/>
      <c r="BT681" s="300"/>
      <c r="BU681" s="300"/>
      <c r="BV681" s="300"/>
      <c r="BW681" s="300"/>
      <c r="BX681" s="300"/>
      <c r="BY681" s="300"/>
      <c r="BZ681" s="300"/>
      <c r="CA681" s="300"/>
      <c r="CB681" s="300"/>
    </row>
    <row r="682" spans="1:80" s="27" customFormat="1" x14ac:dyDescent="0.3">
      <c r="A682" s="173"/>
      <c r="D682" s="173"/>
      <c r="E682" s="173"/>
      <c r="F682" s="173"/>
      <c r="G682" s="173"/>
      <c r="H682" s="173"/>
      <c r="I682" s="173"/>
      <c r="J682" s="173"/>
      <c r="K682" s="173"/>
      <c r="L682" s="173"/>
      <c r="AM682" s="173"/>
      <c r="AN682" s="173"/>
      <c r="AZ682" s="337"/>
      <c r="BL682" s="349"/>
      <c r="BM682" s="300"/>
      <c r="BN682" s="300"/>
      <c r="BO682" s="300"/>
      <c r="BP682" s="300"/>
      <c r="BQ682" s="300"/>
      <c r="BR682" s="300"/>
      <c r="BS682" s="300"/>
      <c r="BT682" s="300"/>
      <c r="BU682" s="300"/>
      <c r="BV682" s="300"/>
      <c r="BW682" s="300"/>
      <c r="BX682" s="300"/>
      <c r="BY682" s="300"/>
      <c r="BZ682" s="300"/>
      <c r="CA682" s="300"/>
      <c r="CB682" s="300"/>
    </row>
    <row r="683" spans="1:80" s="27" customFormat="1" x14ac:dyDescent="0.3">
      <c r="A683" s="173"/>
      <c r="D683" s="173"/>
      <c r="E683" s="173"/>
      <c r="F683" s="173"/>
      <c r="G683" s="173"/>
      <c r="H683" s="173"/>
      <c r="I683" s="173"/>
      <c r="J683" s="173"/>
      <c r="K683" s="173"/>
      <c r="L683" s="173"/>
      <c r="AM683" s="173"/>
      <c r="AN683" s="173"/>
      <c r="AZ683" s="337"/>
      <c r="BL683" s="349"/>
      <c r="BM683" s="300"/>
      <c r="BN683" s="300"/>
      <c r="BO683" s="300"/>
      <c r="BP683" s="300"/>
      <c r="BQ683" s="300"/>
      <c r="BR683" s="300"/>
      <c r="BS683" s="300"/>
      <c r="BT683" s="300"/>
      <c r="BU683" s="300"/>
      <c r="BV683" s="300"/>
      <c r="BW683" s="300"/>
      <c r="BX683" s="300"/>
      <c r="BY683" s="300"/>
      <c r="BZ683" s="300"/>
      <c r="CA683" s="300"/>
      <c r="CB683" s="300"/>
    </row>
    <row r="684" spans="1:80" s="27" customFormat="1" x14ac:dyDescent="0.3">
      <c r="A684" s="173"/>
      <c r="D684" s="173"/>
      <c r="E684" s="173"/>
      <c r="F684" s="173"/>
      <c r="G684" s="173"/>
      <c r="H684" s="173"/>
      <c r="I684" s="173"/>
      <c r="J684" s="173"/>
      <c r="K684" s="173"/>
      <c r="L684" s="173"/>
      <c r="AM684" s="173"/>
      <c r="AN684" s="173"/>
      <c r="AZ684" s="337"/>
      <c r="BL684" s="349"/>
      <c r="BM684" s="300"/>
      <c r="BN684" s="300"/>
      <c r="BO684" s="300"/>
      <c r="BP684" s="300"/>
      <c r="BQ684" s="300"/>
      <c r="BR684" s="300"/>
      <c r="BS684" s="300"/>
      <c r="BT684" s="300"/>
      <c r="BU684" s="300"/>
      <c r="BV684" s="300"/>
      <c r="BW684" s="300"/>
      <c r="BX684" s="300"/>
      <c r="BY684" s="300"/>
      <c r="BZ684" s="300"/>
      <c r="CA684" s="300"/>
      <c r="CB684" s="300"/>
    </row>
    <row r="685" spans="1:80" s="27" customFormat="1" x14ac:dyDescent="0.3">
      <c r="A685" s="173"/>
      <c r="D685" s="173"/>
      <c r="E685" s="173"/>
      <c r="F685" s="173"/>
      <c r="G685" s="173"/>
      <c r="H685" s="173"/>
      <c r="I685" s="173"/>
      <c r="J685" s="173"/>
      <c r="K685" s="173"/>
      <c r="L685" s="173"/>
      <c r="AM685" s="173"/>
      <c r="AN685" s="173"/>
      <c r="AZ685" s="337"/>
      <c r="BL685" s="349"/>
      <c r="BM685" s="300"/>
      <c r="BN685" s="300"/>
      <c r="BO685" s="300"/>
      <c r="BP685" s="300"/>
      <c r="BQ685" s="300"/>
      <c r="BR685" s="300"/>
      <c r="BS685" s="300"/>
      <c r="BT685" s="300"/>
      <c r="BU685" s="300"/>
      <c r="BV685" s="300"/>
      <c r="BW685" s="300"/>
      <c r="BX685" s="300"/>
      <c r="BY685" s="300"/>
      <c r="BZ685" s="300"/>
      <c r="CA685" s="300"/>
      <c r="CB685" s="300"/>
    </row>
    <row r="686" spans="1:80" s="27" customFormat="1" x14ac:dyDescent="0.3">
      <c r="A686" s="173"/>
      <c r="D686" s="173"/>
      <c r="E686" s="173"/>
      <c r="F686" s="173"/>
      <c r="G686" s="173"/>
      <c r="H686" s="173"/>
      <c r="I686" s="173"/>
      <c r="J686" s="173"/>
      <c r="K686" s="173"/>
      <c r="L686" s="173"/>
      <c r="AM686" s="173"/>
      <c r="AN686" s="173"/>
      <c r="AZ686" s="337"/>
      <c r="BL686" s="349"/>
      <c r="BM686" s="300"/>
      <c r="BN686" s="300"/>
      <c r="BO686" s="300"/>
      <c r="BP686" s="300"/>
      <c r="BQ686" s="300"/>
      <c r="BR686" s="300"/>
      <c r="BS686" s="300"/>
      <c r="BT686" s="300"/>
      <c r="BU686" s="300"/>
      <c r="BV686" s="300"/>
      <c r="BW686" s="300"/>
      <c r="BX686" s="300"/>
      <c r="BY686" s="300"/>
      <c r="BZ686" s="300"/>
      <c r="CA686" s="300"/>
      <c r="CB686" s="300"/>
    </row>
    <row r="687" spans="1:80" s="27" customFormat="1" x14ac:dyDescent="0.3">
      <c r="A687" s="173"/>
      <c r="D687" s="173"/>
      <c r="E687" s="173"/>
      <c r="F687" s="173"/>
      <c r="G687" s="173"/>
      <c r="H687" s="173"/>
      <c r="I687" s="173"/>
      <c r="J687" s="173"/>
      <c r="K687" s="173"/>
      <c r="L687" s="173"/>
      <c r="AM687" s="173"/>
      <c r="AN687" s="173"/>
      <c r="AZ687" s="337"/>
      <c r="BL687" s="349"/>
      <c r="BM687" s="300"/>
      <c r="BN687" s="300"/>
      <c r="BO687" s="300"/>
      <c r="BP687" s="300"/>
      <c r="BQ687" s="300"/>
      <c r="BR687" s="300"/>
      <c r="BS687" s="300"/>
      <c r="BT687" s="300"/>
      <c r="BU687" s="300"/>
      <c r="BV687" s="300"/>
      <c r="BW687" s="300"/>
      <c r="BX687" s="300"/>
      <c r="BY687" s="300"/>
      <c r="BZ687" s="300"/>
      <c r="CA687" s="300"/>
      <c r="CB687" s="300"/>
    </row>
    <row r="688" spans="1:80" s="27" customFormat="1" x14ac:dyDescent="0.3">
      <c r="A688" s="173"/>
      <c r="D688" s="173"/>
      <c r="E688" s="173"/>
      <c r="F688" s="173"/>
      <c r="G688" s="173"/>
      <c r="H688" s="173"/>
      <c r="I688" s="173"/>
      <c r="J688" s="173"/>
      <c r="K688" s="173"/>
      <c r="L688" s="173"/>
      <c r="AM688" s="173"/>
      <c r="AN688" s="173"/>
      <c r="AZ688" s="337"/>
      <c r="BL688" s="349"/>
      <c r="BM688" s="300"/>
      <c r="BN688" s="300"/>
      <c r="BO688" s="300"/>
      <c r="BP688" s="300"/>
      <c r="BQ688" s="300"/>
      <c r="BR688" s="300"/>
      <c r="BS688" s="300"/>
      <c r="BT688" s="300"/>
      <c r="BU688" s="300"/>
      <c r="BV688" s="300"/>
      <c r="BW688" s="300"/>
      <c r="BX688" s="300"/>
      <c r="BY688" s="300"/>
      <c r="BZ688" s="300"/>
      <c r="CA688" s="300"/>
      <c r="CB688" s="300"/>
    </row>
    <row r="689" spans="1:80" s="27" customFormat="1" x14ac:dyDescent="0.3">
      <c r="A689" s="173"/>
      <c r="D689" s="173"/>
      <c r="E689" s="173"/>
      <c r="F689" s="173"/>
      <c r="G689" s="173"/>
      <c r="H689" s="173"/>
      <c r="I689" s="173"/>
      <c r="J689" s="173"/>
      <c r="K689" s="173"/>
      <c r="L689" s="173"/>
      <c r="AM689" s="173"/>
      <c r="AN689" s="173"/>
      <c r="AZ689" s="337"/>
      <c r="BL689" s="349"/>
      <c r="BM689" s="300"/>
      <c r="BN689" s="300"/>
      <c r="BO689" s="300"/>
      <c r="BP689" s="300"/>
      <c r="BQ689" s="300"/>
      <c r="BR689" s="300"/>
      <c r="BS689" s="300"/>
      <c r="BT689" s="300"/>
      <c r="BU689" s="300"/>
      <c r="BV689" s="300"/>
      <c r="BW689" s="300"/>
      <c r="BX689" s="300"/>
      <c r="BY689" s="300"/>
      <c r="BZ689" s="300"/>
      <c r="CA689" s="300"/>
      <c r="CB689" s="300"/>
    </row>
    <row r="690" spans="1:80" s="27" customFormat="1" x14ac:dyDescent="0.3">
      <c r="A690" s="173"/>
      <c r="D690" s="173"/>
      <c r="E690" s="173"/>
      <c r="F690" s="173"/>
      <c r="G690" s="173"/>
      <c r="H690" s="173"/>
      <c r="I690" s="173"/>
      <c r="J690" s="173"/>
      <c r="K690" s="173"/>
      <c r="L690" s="173"/>
      <c r="AM690" s="173"/>
      <c r="AN690" s="173"/>
      <c r="AZ690" s="337"/>
      <c r="BL690" s="349"/>
      <c r="BM690" s="300"/>
      <c r="BN690" s="300"/>
      <c r="BO690" s="300"/>
      <c r="BP690" s="300"/>
      <c r="BQ690" s="300"/>
      <c r="BR690" s="300"/>
      <c r="BS690" s="300"/>
      <c r="BT690" s="300"/>
      <c r="BU690" s="300"/>
      <c r="BV690" s="300"/>
      <c r="BW690" s="300"/>
      <c r="BX690" s="300"/>
      <c r="BY690" s="300"/>
      <c r="BZ690" s="300"/>
      <c r="CA690" s="300"/>
      <c r="CB690" s="300"/>
    </row>
    <row r="691" spans="1:80" s="27" customFormat="1" x14ac:dyDescent="0.3">
      <c r="A691" s="173"/>
      <c r="D691" s="173"/>
      <c r="E691" s="173"/>
      <c r="F691" s="173"/>
      <c r="G691" s="173"/>
      <c r="H691" s="173"/>
      <c r="I691" s="173"/>
      <c r="J691" s="173"/>
      <c r="K691" s="173"/>
      <c r="L691" s="173"/>
      <c r="AM691" s="173"/>
      <c r="AN691" s="173"/>
      <c r="AZ691" s="337"/>
      <c r="BL691" s="349"/>
      <c r="BM691" s="300"/>
      <c r="BN691" s="300"/>
      <c r="BO691" s="300"/>
      <c r="BP691" s="300"/>
      <c r="BQ691" s="300"/>
      <c r="BR691" s="300"/>
      <c r="BS691" s="300"/>
      <c r="BT691" s="300"/>
      <c r="BU691" s="300"/>
      <c r="BV691" s="300"/>
      <c r="BW691" s="300"/>
      <c r="BX691" s="300"/>
      <c r="BY691" s="300"/>
      <c r="BZ691" s="300"/>
      <c r="CA691" s="300"/>
      <c r="CB691" s="300"/>
    </row>
    <row r="692" spans="1:80" s="27" customFormat="1" x14ac:dyDescent="0.3">
      <c r="A692" s="173"/>
      <c r="D692" s="173"/>
      <c r="E692" s="173"/>
      <c r="F692" s="173"/>
      <c r="G692" s="173"/>
      <c r="H692" s="173"/>
      <c r="I692" s="173"/>
      <c r="J692" s="173"/>
      <c r="K692" s="173"/>
      <c r="L692" s="173"/>
      <c r="AM692" s="173"/>
      <c r="AN692" s="173"/>
      <c r="AZ692" s="337"/>
      <c r="BL692" s="349"/>
      <c r="BM692" s="300"/>
      <c r="BN692" s="300"/>
      <c r="BO692" s="300"/>
      <c r="BP692" s="300"/>
      <c r="BQ692" s="300"/>
      <c r="BR692" s="300"/>
      <c r="BS692" s="300"/>
      <c r="BT692" s="300"/>
      <c r="BU692" s="300"/>
      <c r="BV692" s="300"/>
      <c r="BW692" s="300"/>
      <c r="BX692" s="300"/>
      <c r="BY692" s="300"/>
      <c r="BZ692" s="300"/>
      <c r="CA692" s="300"/>
      <c r="CB692" s="300"/>
    </row>
    <row r="693" spans="1:80" s="27" customFormat="1" x14ac:dyDescent="0.3">
      <c r="A693" s="173"/>
      <c r="D693" s="173"/>
      <c r="E693" s="173"/>
      <c r="F693" s="173"/>
      <c r="G693" s="173"/>
      <c r="H693" s="173"/>
      <c r="I693" s="173"/>
      <c r="J693" s="173"/>
      <c r="K693" s="173"/>
      <c r="L693" s="173"/>
      <c r="AM693" s="173"/>
      <c r="AN693" s="173"/>
      <c r="AZ693" s="337"/>
      <c r="BL693" s="349"/>
      <c r="BM693" s="300"/>
      <c r="BN693" s="300"/>
      <c r="BO693" s="300"/>
      <c r="BP693" s="300"/>
      <c r="BQ693" s="300"/>
      <c r="BR693" s="300"/>
      <c r="BS693" s="300"/>
      <c r="BT693" s="300"/>
      <c r="BU693" s="300"/>
      <c r="BV693" s="300"/>
      <c r="BW693" s="300"/>
      <c r="BX693" s="300"/>
      <c r="BY693" s="300"/>
      <c r="BZ693" s="300"/>
      <c r="CA693" s="300"/>
      <c r="CB693" s="300"/>
    </row>
    <row r="694" spans="1:80" s="27" customFormat="1" x14ac:dyDescent="0.3">
      <c r="A694" s="173"/>
      <c r="D694" s="173"/>
      <c r="E694" s="173"/>
      <c r="F694" s="173"/>
      <c r="G694" s="173"/>
      <c r="H694" s="173"/>
      <c r="I694" s="173"/>
      <c r="J694" s="173"/>
      <c r="K694" s="173"/>
      <c r="L694" s="173"/>
      <c r="AM694" s="173"/>
      <c r="AN694" s="173"/>
      <c r="AZ694" s="337"/>
      <c r="BL694" s="349"/>
      <c r="BM694" s="300"/>
      <c r="BN694" s="300"/>
      <c r="BO694" s="300"/>
      <c r="BP694" s="300"/>
      <c r="BQ694" s="300"/>
      <c r="BR694" s="300"/>
      <c r="BS694" s="300"/>
      <c r="BT694" s="300"/>
      <c r="BU694" s="300"/>
      <c r="BV694" s="300"/>
      <c r="BW694" s="300"/>
      <c r="BX694" s="300"/>
      <c r="BY694" s="300"/>
      <c r="BZ694" s="300"/>
      <c r="CA694" s="300"/>
      <c r="CB694" s="300"/>
    </row>
    <row r="695" spans="1:80" s="27" customFormat="1" x14ac:dyDescent="0.3">
      <c r="A695" s="173"/>
      <c r="D695" s="173"/>
      <c r="E695" s="173"/>
      <c r="F695" s="173"/>
      <c r="G695" s="173"/>
      <c r="H695" s="173"/>
      <c r="I695" s="173"/>
      <c r="J695" s="173"/>
      <c r="K695" s="173"/>
      <c r="L695" s="173"/>
      <c r="AM695" s="173"/>
      <c r="AN695" s="173"/>
      <c r="AZ695" s="337"/>
      <c r="BL695" s="349"/>
      <c r="BM695" s="300"/>
      <c r="BN695" s="300"/>
      <c r="BO695" s="300"/>
      <c r="BP695" s="300"/>
      <c r="BQ695" s="300"/>
      <c r="BR695" s="300"/>
      <c r="BS695" s="300"/>
      <c r="BT695" s="300"/>
      <c r="BU695" s="300"/>
      <c r="BV695" s="300"/>
      <c r="BW695" s="300"/>
      <c r="BX695" s="300"/>
      <c r="BY695" s="300"/>
      <c r="BZ695" s="300"/>
      <c r="CA695" s="300"/>
      <c r="CB695" s="300"/>
    </row>
    <row r="696" spans="1:80" s="27" customFormat="1" x14ac:dyDescent="0.3">
      <c r="A696" s="173"/>
      <c r="D696" s="173"/>
      <c r="E696" s="173"/>
      <c r="F696" s="173"/>
      <c r="G696" s="173"/>
      <c r="H696" s="173"/>
      <c r="I696" s="173"/>
      <c r="J696" s="173"/>
      <c r="K696" s="173"/>
      <c r="L696" s="173"/>
      <c r="AM696" s="173"/>
      <c r="AN696" s="173"/>
      <c r="AZ696" s="337"/>
      <c r="BL696" s="349"/>
      <c r="BM696" s="300"/>
      <c r="BN696" s="300"/>
      <c r="BO696" s="300"/>
      <c r="BP696" s="300"/>
      <c r="BQ696" s="300"/>
      <c r="BR696" s="300"/>
      <c r="BS696" s="300"/>
      <c r="BT696" s="300"/>
      <c r="BU696" s="300"/>
      <c r="BV696" s="300"/>
      <c r="BW696" s="300"/>
      <c r="BX696" s="300"/>
      <c r="BY696" s="300"/>
      <c r="BZ696" s="300"/>
      <c r="CA696" s="300"/>
      <c r="CB696" s="300"/>
    </row>
    <row r="697" spans="1:80" s="27" customFormat="1" x14ac:dyDescent="0.3">
      <c r="A697" s="173"/>
      <c r="D697" s="173"/>
      <c r="E697" s="173"/>
      <c r="F697" s="173"/>
      <c r="G697" s="173"/>
      <c r="H697" s="173"/>
      <c r="I697" s="173"/>
      <c r="J697" s="173"/>
      <c r="K697" s="173"/>
      <c r="L697" s="173"/>
      <c r="AM697" s="173"/>
      <c r="AN697" s="173"/>
      <c r="AZ697" s="337"/>
      <c r="BL697" s="349"/>
      <c r="BM697" s="300"/>
      <c r="BN697" s="300"/>
      <c r="BO697" s="300"/>
      <c r="BP697" s="300"/>
      <c r="BQ697" s="300"/>
      <c r="BR697" s="300"/>
      <c r="BS697" s="300"/>
      <c r="BT697" s="300"/>
      <c r="BU697" s="300"/>
      <c r="BV697" s="300"/>
      <c r="BW697" s="300"/>
      <c r="BX697" s="300"/>
      <c r="BY697" s="300"/>
      <c r="BZ697" s="300"/>
      <c r="CA697" s="300"/>
      <c r="CB697" s="300"/>
    </row>
    <row r="698" spans="1:80" s="27" customFormat="1" x14ac:dyDescent="0.3">
      <c r="A698" s="173"/>
      <c r="D698" s="173"/>
      <c r="E698" s="173"/>
      <c r="F698" s="173"/>
      <c r="G698" s="173"/>
      <c r="H698" s="173"/>
      <c r="I698" s="173"/>
      <c r="J698" s="173"/>
      <c r="K698" s="173"/>
      <c r="L698" s="173"/>
      <c r="AM698" s="173"/>
      <c r="AN698" s="173"/>
      <c r="AZ698" s="337"/>
      <c r="BL698" s="349"/>
      <c r="BM698" s="300"/>
      <c r="BN698" s="300"/>
      <c r="BO698" s="300"/>
      <c r="BP698" s="300"/>
      <c r="BQ698" s="300"/>
      <c r="BR698" s="300"/>
      <c r="BS698" s="300"/>
      <c r="BT698" s="300"/>
      <c r="BU698" s="300"/>
      <c r="BV698" s="300"/>
      <c r="BW698" s="300"/>
      <c r="BX698" s="300"/>
      <c r="BY698" s="300"/>
      <c r="BZ698" s="300"/>
      <c r="CA698" s="300"/>
      <c r="CB698" s="300"/>
    </row>
    <row r="699" spans="1:80" s="27" customFormat="1" x14ac:dyDescent="0.3">
      <c r="A699" s="173"/>
      <c r="D699" s="173"/>
      <c r="E699" s="173"/>
      <c r="F699" s="173"/>
      <c r="G699" s="173"/>
      <c r="H699" s="173"/>
      <c r="I699" s="173"/>
      <c r="J699" s="173"/>
      <c r="K699" s="173"/>
      <c r="L699" s="173"/>
      <c r="AM699" s="173"/>
      <c r="AN699" s="173"/>
      <c r="AZ699" s="337"/>
      <c r="BL699" s="349"/>
      <c r="BM699" s="300"/>
      <c r="BN699" s="300"/>
      <c r="BO699" s="300"/>
      <c r="BP699" s="300"/>
      <c r="BQ699" s="300"/>
      <c r="BR699" s="300"/>
      <c r="BS699" s="300"/>
      <c r="BT699" s="300"/>
      <c r="BU699" s="300"/>
      <c r="BV699" s="300"/>
      <c r="BW699" s="300"/>
      <c r="BX699" s="300"/>
      <c r="BY699" s="300"/>
      <c r="BZ699" s="300"/>
      <c r="CA699" s="300"/>
      <c r="CB699" s="300"/>
    </row>
    <row r="700" spans="1:80" s="27" customFormat="1" x14ac:dyDescent="0.3">
      <c r="A700" s="173"/>
      <c r="D700" s="173"/>
      <c r="E700" s="173"/>
      <c r="F700" s="173"/>
      <c r="G700" s="173"/>
      <c r="H700" s="173"/>
      <c r="I700" s="173"/>
      <c r="J700" s="173"/>
      <c r="K700" s="173"/>
      <c r="L700" s="173"/>
      <c r="AM700" s="173"/>
      <c r="AN700" s="173"/>
      <c r="AZ700" s="337"/>
      <c r="BL700" s="349"/>
      <c r="BM700" s="300"/>
      <c r="BN700" s="300"/>
      <c r="BO700" s="300"/>
      <c r="BP700" s="300"/>
      <c r="BQ700" s="300"/>
      <c r="BR700" s="300"/>
      <c r="BS700" s="300"/>
      <c r="BT700" s="300"/>
      <c r="BU700" s="300"/>
      <c r="BV700" s="300"/>
      <c r="BW700" s="300"/>
      <c r="BX700" s="300"/>
      <c r="BY700" s="300"/>
      <c r="BZ700" s="300"/>
      <c r="CA700" s="300"/>
      <c r="CB700" s="300"/>
    </row>
    <row r="701" spans="1:80" s="27" customFormat="1" x14ac:dyDescent="0.3">
      <c r="A701" s="173"/>
      <c r="D701" s="173"/>
      <c r="E701" s="173"/>
      <c r="F701" s="173"/>
      <c r="G701" s="173"/>
      <c r="H701" s="173"/>
      <c r="I701" s="173"/>
      <c r="J701" s="173"/>
      <c r="K701" s="173"/>
      <c r="L701" s="173"/>
      <c r="AM701" s="173"/>
      <c r="AN701" s="173"/>
      <c r="AZ701" s="337"/>
      <c r="BL701" s="349"/>
      <c r="BM701" s="300"/>
      <c r="BN701" s="300"/>
      <c r="BO701" s="300"/>
      <c r="BP701" s="300"/>
      <c r="BQ701" s="300"/>
      <c r="BR701" s="300"/>
      <c r="BS701" s="300"/>
      <c r="BT701" s="300"/>
      <c r="BU701" s="300"/>
      <c r="BV701" s="300"/>
      <c r="BW701" s="300"/>
      <c r="BX701" s="300"/>
      <c r="BY701" s="300"/>
      <c r="BZ701" s="300"/>
      <c r="CA701" s="300"/>
      <c r="CB701" s="300"/>
    </row>
    <row r="702" spans="1:80" s="27" customFormat="1" x14ac:dyDescent="0.3">
      <c r="A702" s="173"/>
      <c r="D702" s="173"/>
      <c r="E702" s="173"/>
      <c r="F702" s="173"/>
      <c r="G702" s="173"/>
      <c r="H702" s="173"/>
      <c r="I702" s="173"/>
      <c r="J702" s="173"/>
      <c r="K702" s="173"/>
      <c r="L702" s="173"/>
      <c r="AM702" s="173"/>
      <c r="AN702" s="173"/>
      <c r="AZ702" s="337"/>
      <c r="BL702" s="349"/>
      <c r="BM702" s="300"/>
      <c r="BN702" s="300"/>
      <c r="BO702" s="300"/>
      <c r="BP702" s="300"/>
      <c r="BQ702" s="300"/>
      <c r="BR702" s="300"/>
      <c r="BS702" s="300"/>
      <c r="BT702" s="300"/>
      <c r="BU702" s="300"/>
      <c r="BV702" s="300"/>
      <c r="BW702" s="300"/>
      <c r="BX702" s="300"/>
      <c r="BY702" s="300"/>
      <c r="BZ702" s="300"/>
      <c r="CA702" s="300"/>
      <c r="CB702" s="300"/>
    </row>
    <row r="703" spans="1:80" s="27" customFormat="1" x14ac:dyDescent="0.3">
      <c r="A703" s="173"/>
      <c r="D703" s="173"/>
      <c r="E703" s="173"/>
      <c r="F703" s="173"/>
      <c r="G703" s="173"/>
      <c r="H703" s="173"/>
      <c r="I703" s="173"/>
      <c r="J703" s="173"/>
      <c r="K703" s="173"/>
      <c r="L703" s="173"/>
      <c r="AM703" s="173"/>
      <c r="AN703" s="173"/>
      <c r="AZ703" s="337"/>
      <c r="BL703" s="349"/>
      <c r="BM703" s="300"/>
      <c r="BN703" s="300"/>
      <c r="BO703" s="300"/>
      <c r="BP703" s="300"/>
      <c r="BQ703" s="300"/>
      <c r="BR703" s="300"/>
      <c r="BS703" s="300"/>
      <c r="BT703" s="300"/>
      <c r="BU703" s="300"/>
      <c r="BV703" s="300"/>
      <c r="BW703" s="300"/>
      <c r="BX703" s="300"/>
      <c r="BY703" s="300"/>
      <c r="BZ703" s="300"/>
      <c r="CA703" s="300"/>
      <c r="CB703" s="300"/>
    </row>
    <row r="704" spans="1:80" s="27" customFormat="1" x14ac:dyDescent="0.3">
      <c r="A704" s="173"/>
      <c r="D704" s="173"/>
      <c r="E704" s="173"/>
      <c r="F704" s="173"/>
      <c r="G704" s="173"/>
      <c r="H704" s="173"/>
      <c r="I704" s="173"/>
      <c r="J704" s="173"/>
      <c r="K704" s="173"/>
      <c r="L704" s="173"/>
      <c r="AM704" s="173"/>
      <c r="AN704" s="173"/>
      <c r="AZ704" s="337"/>
      <c r="BL704" s="349"/>
      <c r="BM704" s="300"/>
      <c r="BN704" s="300"/>
      <c r="BO704" s="300"/>
      <c r="BP704" s="300"/>
      <c r="BQ704" s="300"/>
      <c r="BR704" s="300"/>
      <c r="BS704" s="300"/>
      <c r="BT704" s="300"/>
      <c r="BU704" s="300"/>
      <c r="BV704" s="300"/>
      <c r="BW704" s="300"/>
      <c r="BX704" s="300"/>
      <c r="BY704" s="300"/>
      <c r="BZ704" s="300"/>
      <c r="CA704" s="300"/>
      <c r="CB704" s="300"/>
    </row>
    <row r="705" spans="1:80" s="27" customFormat="1" x14ac:dyDescent="0.3">
      <c r="A705" s="173"/>
      <c r="D705" s="173"/>
      <c r="E705" s="173"/>
      <c r="F705" s="173"/>
      <c r="G705" s="173"/>
      <c r="H705" s="173"/>
      <c r="I705" s="173"/>
      <c r="J705" s="173"/>
      <c r="K705" s="173"/>
      <c r="L705" s="173"/>
      <c r="AM705" s="173"/>
      <c r="AN705" s="173"/>
      <c r="AZ705" s="337"/>
      <c r="BL705" s="349"/>
      <c r="BM705" s="300"/>
      <c r="BN705" s="300"/>
      <c r="BO705" s="300"/>
      <c r="BP705" s="300"/>
      <c r="BQ705" s="300"/>
      <c r="BR705" s="300"/>
      <c r="BS705" s="300"/>
      <c r="BT705" s="300"/>
      <c r="BU705" s="300"/>
      <c r="BV705" s="300"/>
      <c r="BW705" s="300"/>
      <c r="BX705" s="300"/>
      <c r="BY705" s="300"/>
      <c r="BZ705" s="300"/>
      <c r="CA705" s="300"/>
      <c r="CB705" s="300"/>
    </row>
    <row r="706" spans="1:80" s="27" customFormat="1" x14ac:dyDescent="0.3">
      <c r="A706" s="173"/>
      <c r="D706" s="173"/>
      <c r="E706" s="173"/>
      <c r="F706" s="173"/>
      <c r="G706" s="173"/>
      <c r="H706" s="173"/>
      <c r="I706" s="173"/>
      <c r="J706" s="173"/>
      <c r="K706" s="173"/>
      <c r="L706" s="173"/>
      <c r="AM706" s="173"/>
      <c r="AN706" s="173"/>
      <c r="AZ706" s="337"/>
      <c r="BL706" s="349"/>
      <c r="BM706" s="300"/>
      <c r="BN706" s="300"/>
      <c r="BO706" s="300"/>
      <c r="BP706" s="300"/>
      <c r="BQ706" s="300"/>
      <c r="BR706" s="300"/>
      <c r="BS706" s="300"/>
      <c r="BT706" s="300"/>
      <c r="BU706" s="300"/>
      <c r="BV706" s="300"/>
      <c r="BW706" s="300"/>
      <c r="BX706" s="300"/>
      <c r="BY706" s="300"/>
      <c r="BZ706" s="300"/>
      <c r="CA706" s="300"/>
      <c r="CB706" s="300"/>
    </row>
    <row r="707" spans="1:80" s="27" customFormat="1" x14ac:dyDescent="0.3">
      <c r="A707" s="173"/>
      <c r="D707" s="173"/>
      <c r="E707" s="173"/>
      <c r="F707" s="173"/>
      <c r="G707" s="173"/>
      <c r="H707" s="173"/>
      <c r="I707" s="173"/>
      <c r="J707" s="173"/>
      <c r="K707" s="173"/>
      <c r="L707" s="173"/>
      <c r="AM707" s="173"/>
      <c r="AN707" s="173"/>
      <c r="AZ707" s="337"/>
      <c r="BL707" s="349"/>
      <c r="BM707" s="300"/>
      <c r="BN707" s="300"/>
      <c r="BO707" s="300"/>
      <c r="BP707" s="300"/>
      <c r="BQ707" s="300"/>
      <c r="BR707" s="300"/>
      <c r="BS707" s="300"/>
      <c r="BT707" s="300"/>
      <c r="BU707" s="300"/>
      <c r="BV707" s="300"/>
      <c r="BW707" s="300"/>
      <c r="BX707" s="300"/>
      <c r="BY707" s="300"/>
      <c r="BZ707" s="300"/>
      <c r="CA707" s="300"/>
      <c r="CB707" s="300"/>
    </row>
    <row r="708" spans="1:80" s="27" customFormat="1" x14ac:dyDescent="0.3">
      <c r="A708" s="173"/>
      <c r="D708" s="173"/>
      <c r="E708" s="173"/>
      <c r="F708" s="173"/>
      <c r="G708" s="173"/>
      <c r="H708" s="173"/>
      <c r="I708" s="173"/>
      <c r="J708" s="173"/>
      <c r="K708" s="173"/>
      <c r="L708" s="173"/>
      <c r="AM708" s="173"/>
      <c r="AN708" s="173"/>
      <c r="AZ708" s="337"/>
      <c r="BL708" s="349"/>
      <c r="BM708" s="300"/>
      <c r="BN708" s="300"/>
      <c r="BO708" s="300"/>
      <c r="BP708" s="300"/>
      <c r="BQ708" s="300"/>
      <c r="BR708" s="300"/>
      <c r="BS708" s="300"/>
      <c r="BT708" s="300"/>
      <c r="BU708" s="300"/>
      <c r="BV708" s="300"/>
      <c r="BW708" s="300"/>
      <c r="BX708" s="300"/>
      <c r="BY708" s="300"/>
      <c r="BZ708" s="300"/>
      <c r="CA708" s="300"/>
      <c r="CB708" s="300"/>
    </row>
    <row r="709" spans="1:80" s="27" customFormat="1" x14ac:dyDescent="0.3">
      <c r="A709" s="173"/>
      <c r="D709" s="173"/>
      <c r="E709" s="173"/>
      <c r="F709" s="173"/>
      <c r="G709" s="173"/>
      <c r="H709" s="173"/>
      <c r="I709" s="173"/>
      <c r="J709" s="173"/>
      <c r="K709" s="173"/>
      <c r="L709" s="173"/>
      <c r="AM709" s="173"/>
      <c r="AN709" s="173"/>
      <c r="AZ709" s="337"/>
      <c r="BL709" s="349"/>
      <c r="BM709" s="300"/>
      <c r="BN709" s="300"/>
      <c r="BO709" s="300"/>
      <c r="BP709" s="300"/>
      <c r="BQ709" s="300"/>
      <c r="BR709" s="300"/>
      <c r="BS709" s="300"/>
      <c r="BT709" s="300"/>
      <c r="BU709" s="300"/>
      <c r="BV709" s="300"/>
      <c r="BW709" s="300"/>
      <c r="BX709" s="300"/>
      <c r="BY709" s="300"/>
      <c r="BZ709" s="300"/>
      <c r="CA709" s="300"/>
      <c r="CB709" s="300"/>
    </row>
    <row r="710" spans="1:80" s="27" customFormat="1" x14ac:dyDescent="0.3">
      <c r="A710" s="173"/>
      <c r="D710" s="173"/>
      <c r="E710" s="173"/>
      <c r="F710" s="173"/>
      <c r="G710" s="173"/>
      <c r="H710" s="173"/>
      <c r="I710" s="173"/>
      <c r="J710" s="173"/>
      <c r="K710" s="173"/>
      <c r="L710" s="173"/>
      <c r="AM710" s="173"/>
      <c r="AN710" s="173"/>
      <c r="AZ710" s="337"/>
      <c r="BL710" s="349"/>
      <c r="BM710" s="300"/>
      <c r="BN710" s="300"/>
      <c r="BO710" s="300"/>
      <c r="BP710" s="300"/>
      <c r="BQ710" s="300"/>
      <c r="BR710" s="300"/>
      <c r="BS710" s="300"/>
      <c r="BT710" s="300"/>
      <c r="BU710" s="300"/>
      <c r="BV710" s="300"/>
      <c r="BW710" s="300"/>
      <c r="BX710" s="300"/>
      <c r="BY710" s="300"/>
      <c r="BZ710" s="300"/>
      <c r="CA710" s="300"/>
      <c r="CB710" s="300"/>
    </row>
    <row r="711" spans="1:80" s="27" customFormat="1" x14ac:dyDescent="0.3">
      <c r="A711" s="173"/>
      <c r="D711" s="173"/>
      <c r="E711" s="173"/>
      <c r="F711" s="173"/>
      <c r="G711" s="173"/>
      <c r="H711" s="173"/>
      <c r="I711" s="173"/>
      <c r="J711" s="173"/>
      <c r="K711" s="173"/>
      <c r="L711" s="173"/>
      <c r="AM711" s="173"/>
      <c r="AN711" s="173"/>
      <c r="AZ711" s="337"/>
      <c r="BL711" s="349"/>
      <c r="BM711" s="300"/>
      <c r="BN711" s="300"/>
      <c r="BO711" s="300"/>
      <c r="BP711" s="300"/>
      <c r="BQ711" s="300"/>
      <c r="BR711" s="300"/>
      <c r="BS711" s="300"/>
      <c r="BT711" s="300"/>
      <c r="BU711" s="300"/>
      <c r="BV711" s="300"/>
      <c r="BW711" s="300"/>
      <c r="BX711" s="300"/>
      <c r="BY711" s="300"/>
      <c r="BZ711" s="300"/>
      <c r="CA711" s="300"/>
      <c r="CB711" s="300"/>
    </row>
    <row r="712" spans="1:80" s="27" customFormat="1" x14ac:dyDescent="0.3">
      <c r="A712" s="173"/>
      <c r="D712" s="173"/>
      <c r="E712" s="173"/>
      <c r="F712" s="173"/>
      <c r="G712" s="173"/>
      <c r="H712" s="173"/>
      <c r="I712" s="173"/>
      <c r="J712" s="173"/>
      <c r="K712" s="173"/>
      <c r="L712" s="173"/>
      <c r="AM712" s="173"/>
      <c r="AN712" s="173"/>
      <c r="AZ712" s="337"/>
      <c r="BL712" s="349"/>
      <c r="BM712" s="300"/>
      <c r="BN712" s="300"/>
      <c r="BO712" s="300"/>
      <c r="BP712" s="300"/>
      <c r="BQ712" s="300"/>
      <c r="BR712" s="300"/>
      <c r="BS712" s="300"/>
      <c r="BT712" s="300"/>
      <c r="BU712" s="300"/>
      <c r="BV712" s="300"/>
      <c r="BW712" s="300"/>
      <c r="BX712" s="300"/>
      <c r="BY712" s="300"/>
      <c r="BZ712" s="300"/>
      <c r="CA712" s="300"/>
      <c r="CB712" s="300"/>
    </row>
    <row r="713" spans="1:80" s="27" customFormat="1" x14ac:dyDescent="0.3">
      <c r="A713" s="173"/>
      <c r="D713" s="173"/>
      <c r="E713" s="173"/>
      <c r="F713" s="173"/>
      <c r="G713" s="173"/>
      <c r="H713" s="173"/>
      <c r="I713" s="173"/>
      <c r="J713" s="173"/>
      <c r="K713" s="173"/>
      <c r="L713" s="173"/>
      <c r="AM713" s="173"/>
      <c r="AN713" s="173"/>
      <c r="AZ713" s="337"/>
      <c r="BL713" s="349"/>
      <c r="BM713" s="300"/>
      <c r="BN713" s="300"/>
      <c r="BO713" s="300"/>
      <c r="BP713" s="300"/>
      <c r="BQ713" s="300"/>
      <c r="BR713" s="300"/>
      <c r="BS713" s="300"/>
      <c r="BT713" s="300"/>
      <c r="BU713" s="300"/>
      <c r="BV713" s="300"/>
      <c r="BW713" s="300"/>
      <c r="BX713" s="300"/>
      <c r="BY713" s="300"/>
      <c r="BZ713" s="300"/>
      <c r="CA713" s="300"/>
      <c r="CB713" s="300"/>
    </row>
    <row r="714" spans="1:80" s="27" customFormat="1" x14ac:dyDescent="0.3">
      <c r="A714" s="173"/>
      <c r="D714" s="173"/>
      <c r="E714" s="173"/>
      <c r="F714" s="173"/>
      <c r="G714" s="173"/>
      <c r="H714" s="173"/>
      <c r="I714" s="173"/>
      <c r="J714" s="173"/>
      <c r="K714" s="173"/>
      <c r="L714" s="173"/>
      <c r="AM714" s="173"/>
      <c r="AN714" s="173"/>
      <c r="AZ714" s="337"/>
      <c r="BL714" s="349"/>
      <c r="BM714" s="300"/>
      <c r="BN714" s="300"/>
      <c r="BO714" s="300"/>
      <c r="BP714" s="300"/>
      <c r="BQ714" s="300"/>
      <c r="BR714" s="300"/>
      <c r="BS714" s="300"/>
      <c r="BT714" s="300"/>
      <c r="BU714" s="300"/>
      <c r="BV714" s="300"/>
      <c r="BW714" s="300"/>
      <c r="BX714" s="300"/>
      <c r="BY714" s="300"/>
      <c r="BZ714" s="300"/>
      <c r="CA714" s="300"/>
      <c r="CB714" s="300"/>
    </row>
    <row r="715" spans="1:80" s="27" customFormat="1" x14ac:dyDescent="0.3">
      <c r="A715" s="173"/>
      <c r="D715" s="173"/>
      <c r="E715" s="173"/>
      <c r="F715" s="173"/>
      <c r="G715" s="173"/>
      <c r="H715" s="173"/>
      <c r="I715" s="173"/>
      <c r="J715" s="173"/>
      <c r="K715" s="173"/>
      <c r="L715" s="173"/>
      <c r="AM715" s="173"/>
      <c r="AN715" s="173"/>
      <c r="AZ715" s="337"/>
      <c r="BL715" s="349"/>
      <c r="BM715" s="300"/>
      <c r="BN715" s="300"/>
      <c r="BO715" s="300"/>
      <c r="BP715" s="300"/>
      <c r="BQ715" s="300"/>
      <c r="BR715" s="300"/>
      <c r="BS715" s="300"/>
      <c r="BT715" s="300"/>
      <c r="BU715" s="300"/>
      <c r="BV715" s="300"/>
      <c r="BW715" s="300"/>
      <c r="BX715" s="300"/>
      <c r="BY715" s="300"/>
      <c r="BZ715" s="300"/>
      <c r="CA715" s="300"/>
      <c r="CB715" s="300"/>
    </row>
    <row r="716" spans="1:80" s="27" customFormat="1" x14ac:dyDescent="0.3">
      <c r="A716" s="173"/>
      <c r="D716" s="173"/>
      <c r="E716" s="173"/>
      <c r="F716" s="173"/>
      <c r="G716" s="173"/>
      <c r="H716" s="173"/>
      <c r="I716" s="173"/>
      <c r="J716" s="173"/>
      <c r="K716" s="173"/>
      <c r="L716" s="173"/>
      <c r="AM716" s="173"/>
      <c r="AN716" s="173"/>
      <c r="AZ716" s="337"/>
      <c r="BL716" s="349"/>
      <c r="BM716" s="300"/>
      <c r="BN716" s="300"/>
      <c r="BO716" s="300"/>
      <c r="BP716" s="300"/>
      <c r="BQ716" s="300"/>
      <c r="BR716" s="300"/>
      <c r="BS716" s="300"/>
      <c r="BT716" s="300"/>
      <c r="BU716" s="300"/>
      <c r="BV716" s="300"/>
      <c r="BW716" s="300"/>
      <c r="BX716" s="300"/>
      <c r="BY716" s="300"/>
      <c r="BZ716" s="300"/>
      <c r="CA716" s="300"/>
      <c r="CB716" s="300"/>
    </row>
    <row r="717" spans="1:80" s="27" customFormat="1" x14ac:dyDescent="0.3">
      <c r="A717" s="173"/>
      <c r="D717" s="173"/>
      <c r="E717" s="173"/>
      <c r="F717" s="173"/>
      <c r="G717" s="173"/>
      <c r="H717" s="173"/>
      <c r="I717" s="173"/>
      <c r="J717" s="173"/>
      <c r="K717" s="173"/>
      <c r="L717" s="173"/>
      <c r="AM717" s="173"/>
      <c r="AN717" s="173"/>
      <c r="AZ717" s="337"/>
      <c r="BL717" s="349"/>
      <c r="BM717" s="300"/>
      <c r="BN717" s="300"/>
      <c r="BO717" s="300"/>
      <c r="BP717" s="300"/>
      <c r="BQ717" s="300"/>
      <c r="BR717" s="300"/>
      <c r="BS717" s="300"/>
      <c r="BT717" s="300"/>
      <c r="BU717" s="300"/>
      <c r="BV717" s="300"/>
      <c r="BW717" s="300"/>
      <c r="BX717" s="300"/>
      <c r="BY717" s="300"/>
      <c r="BZ717" s="300"/>
      <c r="CA717" s="300"/>
      <c r="CB717" s="300"/>
    </row>
    <row r="718" spans="1:80" s="27" customFormat="1" x14ac:dyDescent="0.3">
      <c r="A718" s="173"/>
      <c r="D718" s="173"/>
      <c r="E718" s="173"/>
      <c r="F718" s="173"/>
      <c r="G718" s="173"/>
      <c r="H718" s="173"/>
      <c r="I718" s="173"/>
      <c r="J718" s="173"/>
      <c r="K718" s="173"/>
      <c r="L718" s="173"/>
      <c r="AM718" s="173"/>
      <c r="AN718" s="173"/>
      <c r="AZ718" s="337"/>
      <c r="BL718" s="349"/>
      <c r="BM718" s="300"/>
      <c r="BN718" s="300"/>
      <c r="BO718" s="300"/>
      <c r="BP718" s="300"/>
      <c r="BQ718" s="300"/>
      <c r="BR718" s="300"/>
      <c r="BS718" s="300"/>
      <c r="BT718" s="300"/>
      <c r="BU718" s="300"/>
      <c r="BV718" s="300"/>
      <c r="BW718" s="300"/>
      <c r="BX718" s="300"/>
      <c r="BY718" s="300"/>
      <c r="BZ718" s="300"/>
      <c r="CA718" s="300"/>
      <c r="CB718" s="300"/>
    </row>
    <row r="719" spans="1:80" s="27" customFormat="1" x14ac:dyDescent="0.3">
      <c r="A719" s="173"/>
      <c r="D719" s="173"/>
      <c r="E719" s="173"/>
      <c r="F719" s="173"/>
      <c r="G719" s="173"/>
      <c r="H719" s="173"/>
      <c r="I719" s="173"/>
      <c r="J719" s="173"/>
      <c r="K719" s="173"/>
      <c r="L719" s="173"/>
      <c r="AM719" s="173"/>
      <c r="AN719" s="173"/>
      <c r="AZ719" s="337"/>
      <c r="BL719" s="349"/>
      <c r="BM719" s="300"/>
      <c r="BN719" s="300"/>
      <c r="BO719" s="300"/>
      <c r="BP719" s="300"/>
      <c r="BQ719" s="300"/>
      <c r="BR719" s="300"/>
      <c r="BS719" s="300"/>
      <c r="BT719" s="300"/>
      <c r="BU719" s="300"/>
      <c r="BV719" s="300"/>
      <c r="BW719" s="300"/>
      <c r="BX719" s="300"/>
      <c r="BY719" s="300"/>
      <c r="BZ719" s="300"/>
      <c r="CA719" s="300"/>
      <c r="CB719" s="300"/>
    </row>
    <row r="720" spans="1:80" s="27" customFormat="1" x14ac:dyDescent="0.3">
      <c r="A720" s="173"/>
      <c r="D720" s="173"/>
      <c r="E720" s="173"/>
      <c r="F720" s="173"/>
      <c r="G720" s="173"/>
      <c r="H720" s="173"/>
      <c r="I720" s="173"/>
      <c r="J720" s="173"/>
      <c r="K720" s="173"/>
      <c r="L720" s="173"/>
      <c r="AM720" s="173"/>
      <c r="AN720" s="173"/>
      <c r="AZ720" s="337"/>
      <c r="BL720" s="349"/>
      <c r="BM720" s="300"/>
      <c r="BN720" s="300"/>
      <c r="BO720" s="300"/>
      <c r="BP720" s="300"/>
      <c r="BQ720" s="300"/>
      <c r="BR720" s="300"/>
      <c r="BS720" s="300"/>
      <c r="BT720" s="300"/>
      <c r="BU720" s="300"/>
      <c r="BV720" s="300"/>
      <c r="BW720" s="300"/>
      <c r="BX720" s="300"/>
      <c r="BY720" s="300"/>
      <c r="BZ720" s="300"/>
      <c r="CA720" s="300"/>
      <c r="CB720" s="300"/>
    </row>
    <row r="721" spans="1:80" s="27" customFormat="1" x14ac:dyDescent="0.3">
      <c r="A721" s="173"/>
      <c r="D721" s="173"/>
      <c r="E721" s="173"/>
      <c r="F721" s="173"/>
      <c r="G721" s="173"/>
      <c r="H721" s="173"/>
      <c r="I721" s="173"/>
      <c r="J721" s="173"/>
      <c r="K721" s="173"/>
      <c r="L721" s="173"/>
      <c r="AM721" s="173"/>
      <c r="AN721" s="173"/>
      <c r="AZ721" s="337"/>
      <c r="BL721" s="349"/>
      <c r="BM721" s="300"/>
      <c r="BN721" s="300"/>
      <c r="BO721" s="300"/>
      <c r="BP721" s="300"/>
      <c r="BQ721" s="300"/>
      <c r="BR721" s="300"/>
      <c r="BS721" s="300"/>
      <c r="BT721" s="300"/>
      <c r="BU721" s="300"/>
      <c r="BV721" s="300"/>
      <c r="BW721" s="300"/>
      <c r="BX721" s="300"/>
      <c r="BY721" s="300"/>
      <c r="BZ721" s="300"/>
      <c r="CA721" s="300"/>
      <c r="CB721" s="300"/>
    </row>
    <row r="722" spans="1:80" s="27" customFormat="1" x14ac:dyDescent="0.3">
      <c r="A722" s="173"/>
      <c r="D722" s="173"/>
      <c r="E722" s="173"/>
      <c r="F722" s="173"/>
      <c r="G722" s="173"/>
      <c r="H722" s="173"/>
      <c r="I722" s="173"/>
      <c r="J722" s="173"/>
      <c r="K722" s="173"/>
      <c r="L722" s="173"/>
      <c r="AM722" s="173"/>
      <c r="AN722" s="173"/>
      <c r="AZ722" s="337"/>
      <c r="BL722" s="349"/>
      <c r="BM722" s="300"/>
      <c r="BN722" s="300"/>
      <c r="BO722" s="300"/>
      <c r="BP722" s="300"/>
      <c r="BQ722" s="300"/>
      <c r="BR722" s="300"/>
      <c r="BS722" s="300"/>
      <c r="BT722" s="300"/>
      <c r="BU722" s="300"/>
      <c r="BV722" s="300"/>
      <c r="BW722" s="300"/>
      <c r="BX722" s="300"/>
      <c r="BY722" s="300"/>
      <c r="BZ722" s="300"/>
      <c r="CA722" s="300"/>
      <c r="CB722" s="300"/>
    </row>
    <row r="723" spans="1:80" s="27" customFormat="1" x14ac:dyDescent="0.3">
      <c r="A723" s="173"/>
      <c r="D723" s="173"/>
      <c r="E723" s="173"/>
      <c r="F723" s="173"/>
      <c r="G723" s="173"/>
      <c r="H723" s="173"/>
      <c r="I723" s="173"/>
      <c r="J723" s="173"/>
      <c r="K723" s="173"/>
      <c r="L723" s="173"/>
      <c r="AM723" s="173"/>
      <c r="AN723" s="173"/>
      <c r="AZ723" s="337"/>
      <c r="BL723" s="349"/>
      <c r="BM723" s="300"/>
      <c r="BN723" s="300"/>
      <c r="BO723" s="300"/>
      <c r="BP723" s="300"/>
      <c r="BQ723" s="300"/>
      <c r="BR723" s="300"/>
      <c r="BS723" s="300"/>
      <c r="BT723" s="300"/>
      <c r="BU723" s="300"/>
      <c r="BV723" s="300"/>
      <c r="BW723" s="300"/>
      <c r="BX723" s="300"/>
      <c r="BY723" s="300"/>
      <c r="BZ723" s="300"/>
      <c r="CA723" s="300"/>
      <c r="CB723" s="300"/>
    </row>
    <row r="724" spans="1:80" s="27" customFormat="1" x14ac:dyDescent="0.3">
      <c r="A724" s="173"/>
      <c r="D724" s="173"/>
      <c r="E724" s="173"/>
      <c r="F724" s="173"/>
      <c r="G724" s="173"/>
      <c r="H724" s="173"/>
      <c r="I724" s="173"/>
      <c r="J724" s="173"/>
      <c r="K724" s="173"/>
      <c r="L724" s="173"/>
      <c r="AM724" s="173"/>
      <c r="AN724" s="173"/>
      <c r="AZ724" s="337"/>
      <c r="BL724" s="349"/>
      <c r="BM724" s="300"/>
      <c r="BN724" s="300"/>
      <c r="BO724" s="300"/>
      <c r="BP724" s="300"/>
      <c r="BQ724" s="300"/>
      <c r="BR724" s="300"/>
      <c r="BS724" s="300"/>
      <c r="BT724" s="300"/>
      <c r="BU724" s="300"/>
      <c r="BV724" s="300"/>
      <c r="BW724" s="300"/>
      <c r="BX724" s="300"/>
      <c r="BY724" s="300"/>
      <c r="BZ724" s="300"/>
      <c r="CA724" s="300"/>
      <c r="CB724" s="300"/>
    </row>
    <row r="725" spans="1:80" s="27" customFormat="1" x14ac:dyDescent="0.3">
      <c r="A725" s="173"/>
      <c r="D725" s="173"/>
      <c r="E725" s="173"/>
      <c r="F725" s="173"/>
      <c r="G725" s="173"/>
      <c r="H725" s="173"/>
      <c r="I725" s="173"/>
      <c r="J725" s="173"/>
      <c r="K725" s="173"/>
      <c r="L725" s="173"/>
      <c r="AM725" s="173"/>
      <c r="AN725" s="173"/>
      <c r="AZ725" s="337"/>
      <c r="BL725" s="349"/>
      <c r="BM725" s="300"/>
      <c r="BN725" s="300"/>
      <c r="BO725" s="300"/>
      <c r="BP725" s="300"/>
      <c r="BQ725" s="300"/>
      <c r="BR725" s="300"/>
      <c r="BS725" s="300"/>
      <c r="BT725" s="300"/>
      <c r="BU725" s="300"/>
      <c r="BV725" s="300"/>
      <c r="BW725" s="300"/>
      <c r="BX725" s="300"/>
      <c r="BY725" s="300"/>
      <c r="BZ725" s="300"/>
      <c r="CA725" s="300"/>
      <c r="CB725" s="300"/>
    </row>
    <row r="726" spans="1:80" s="27" customFormat="1" x14ac:dyDescent="0.3">
      <c r="A726" s="173"/>
      <c r="D726" s="173"/>
      <c r="E726" s="173"/>
      <c r="F726" s="173"/>
      <c r="G726" s="173"/>
      <c r="H726" s="173"/>
      <c r="I726" s="173"/>
      <c r="J726" s="173"/>
      <c r="K726" s="173"/>
      <c r="L726" s="173"/>
      <c r="AM726" s="173"/>
      <c r="AN726" s="173"/>
      <c r="AZ726" s="337"/>
      <c r="BL726" s="349"/>
      <c r="BM726" s="300"/>
      <c r="BN726" s="300"/>
      <c r="BO726" s="300"/>
      <c r="BP726" s="300"/>
      <c r="BQ726" s="300"/>
      <c r="BR726" s="300"/>
      <c r="BS726" s="300"/>
      <c r="BT726" s="300"/>
      <c r="BU726" s="300"/>
      <c r="BV726" s="300"/>
      <c r="BW726" s="300"/>
      <c r="BX726" s="300"/>
      <c r="BY726" s="300"/>
      <c r="BZ726" s="300"/>
      <c r="CA726" s="300"/>
      <c r="CB726" s="300"/>
    </row>
    <row r="727" spans="1:80" s="27" customFormat="1" x14ac:dyDescent="0.3">
      <c r="A727" s="173"/>
      <c r="D727" s="173"/>
      <c r="E727" s="173"/>
      <c r="F727" s="173"/>
      <c r="G727" s="173"/>
      <c r="H727" s="173"/>
      <c r="I727" s="173"/>
      <c r="J727" s="173"/>
      <c r="K727" s="173"/>
      <c r="L727" s="173"/>
      <c r="AM727" s="173"/>
      <c r="AN727" s="173"/>
      <c r="AZ727" s="337"/>
      <c r="BL727" s="349"/>
      <c r="BM727" s="300"/>
      <c r="BN727" s="300"/>
      <c r="BO727" s="300"/>
      <c r="BP727" s="300"/>
      <c r="BQ727" s="300"/>
      <c r="BR727" s="300"/>
      <c r="BS727" s="300"/>
      <c r="BT727" s="300"/>
      <c r="BU727" s="300"/>
      <c r="BV727" s="300"/>
      <c r="BW727" s="300"/>
      <c r="BX727" s="300"/>
      <c r="BY727" s="300"/>
      <c r="BZ727" s="300"/>
      <c r="CA727" s="300"/>
      <c r="CB727" s="300"/>
    </row>
    <row r="728" spans="1:80" s="27" customFormat="1" x14ac:dyDescent="0.3">
      <c r="A728" s="173"/>
      <c r="D728" s="173"/>
      <c r="E728" s="173"/>
      <c r="F728" s="173"/>
      <c r="G728" s="173"/>
      <c r="H728" s="173"/>
      <c r="I728" s="173"/>
      <c r="J728" s="173"/>
      <c r="K728" s="173"/>
      <c r="L728" s="173"/>
      <c r="AM728" s="173"/>
      <c r="AN728" s="173"/>
      <c r="AZ728" s="337"/>
      <c r="BL728" s="349"/>
      <c r="BM728" s="300"/>
      <c r="BN728" s="300"/>
      <c r="BO728" s="300"/>
      <c r="BP728" s="300"/>
      <c r="BQ728" s="300"/>
      <c r="BR728" s="300"/>
      <c r="BS728" s="300"/>
      <c r="BT728" s="300"/>
      <c r="BU728" s="300"/>
      <c r="BV728" s="300"/>
      <c r="BW728" s="300"/>
      <c r="BX728" s="300"/>
      <c r="BY728" s="300"/>
      <c r="BZ728" s="300"/>
      <c r="CA728" s="300"/>
      <c r="CB728" s="300"/>
    </row>
    <row r="729" spans="1:80" s="27" customFormat="1" x14ac:dyDescent="0.3">
      <c r="A729" s="173"/>
      <c r="D729" s="173"/>
      <c r="E729" s="173"/>
      <c r="F729" s="173"/>
      <c r="G729" s="173"/>
      <c r="H729" s="173"/>
      <c r="I729" s="173"/>
      <c r="J729" s="173"/>
      <c r="K729" s="173"/>
      <c r="L729" s="173"/>
      <c r="AM729" s="173"/>
      <c r="AN729" s="173"/>
      <c r="AZ729" s="337"/>
      <c r="BL729" s="349"/>
      <c r="BM729" s="300"/>
      <c r="BN729" s="300"/>
      <c r="BO729" s="300"/>
      <c r="BP729" s="300"/>
      <c r="BQ729" s="300"/>
      <c r="BR729" s="300"/>
      <c r="BS729" s="300"/>
      <c r="BT729" s="300"/>
      <c r="BU729" s="300"/>
      <c r="BV729" s="300"/>
      <c r="BW729" s="300"/>
      <c r="BX729" s="300"/>
      <c r="BY729" s="300"/>
      <c r="BZ729" s="300"/>
      <c r="CA729" s="300"/>
      <c r="CB729" s="300"/>
    </row>
    <row r="730" spans="1:80" s="27" customFormat="1" x14ac:dyDescent="0.3">
      <c r="A730" s="173"/>
      <c r="D730" s="173"/>
      <c r="E730" s="173"/>
      <c r="F730" s="173"/>
      <c r="G730" s="173"/>
      <c r="H730" s="173"/>
      <c r="I730" s="173"/>
      <c r="J730" s="173"/>
      <c r="K730" s="173"/>
      <c r="L730" s="173"/>
      <c r="AM730" s="173"/>
      <c r="AN730" s="173"/>
      <c r="AZ730" s="337"/>
      <c r="BL730" s="349"/>
      <c r="BM730" s="300"/>
      <c r="BN730" s="300"/>
      <c r="BO730" s="300"/>
      <c r="BP730" s="300"/>
      <c r="BQ730" s="300"/>
      <c r="BR730" s="300"/>
      <c r="BS730" s="300"/>
      <c r="BT730" s="300"/>
      <c r="BU730" s="300"/>
      <c r="BV730" s="300"/>
      <c r="BW730" s="300"/>
      <c r="BX730" s="300"/>
      <c r="BY730" s="300"/>
      <c r="BZ730" s="300"/>
      <c r="CA730" s="300"/>
      <c r="CB730" s="300"/>
    </row>
    <row r="731" spans="1:80" s="27" customFormat="1" x14ac:dyDescent="0.3">
      <c r="A731" s="173"/>
      <c r="D731" s="173"/>
      <c r="E731" s="173"/>
      <c r="F731" s="173"/>
      <c r="G731" s="173"/>
      <c r="H731" s="173"/>
      <c r="I731" s="173"/>
      <c r="J731" s="173"/>
      <c r="K731" s="173"/>
      <c r="L731" s="173"/>
      <c r="AM731" s="173"/>
      <c r="AN731" s="173"/>
      <c r="AZ731" s="337"/>
      <c r="BL731" s="349"/>
      <c r="BM731" s="300"/>
      <c r="BN731" s="300"/>
      <c r="BO731" s="300"/>
      <c r="BP731" s="300"/>
      <c r="BQ731" s="300"/>
      <c r="BR731" s="300"/>
      <c r="BS731" s="300"/>
      <c r="BT731" s="300"/>
      <c r="BU731" s="300"/>
      <c r="BV731" s="300"/>
      <c r="BW731" s="300"/>
      <c r="BX731" s="300"/>
      <c r="BY731" s="300"/>
      <c r="BZ731" s="300"/>
      <c r="CA731" s="300"/>
      <c r="CB731" s="300"/>
    </row>
    <row r="732" spans="1:80" s="27" customFormat="1" x14ac:dyDescent="0.3">
      <c r="A732" s="173"/>
      <c r="D732" s="173"/>
      <c r="E732" s="173"/>
      <c r="F732" s="173"/>
      <c r="G732" s="173"/>
      <c r="H732" s="173"/>
      <c r="I732" s="173"/>
      <c r="J732" s="173"/>
      <c r="K732" s="173"/>
      <c r="L732" s="173"/>
      <c r="AM732" s="173"/>
      <c r="AN732" s="173"/>
      <c r="AZ732" s="337"/>
      <c r="BL732" s="349"/>
      <c r="BM732" s="300"/>
      <c r="BN732" s="300"/>
      <c r="BO732" s="300"/>
      <c r="BP732" s="300"/>
      <c r="BQ732" s="300"/>
      <c r="BR732" s="300"/>
      <c r="BS732" s="300"/>
      <c r="BT732" s="300"/>
      <c r="BU732" s="300"/>
      <c r="BV732" s="300"/>
      <c r="BW732" s="300"/>
      <c r="BX732" s="300"/>
      <c r="BY732" s="300"/>
      <c r="BZ732" s="300"/>
      <c r="CA732" s="300"/>
      <c r="CB732" s="300"/>
    </row>
    <row r="733" spans="1:80" s="27" customFormat="1" x14ac:dyDescent="0.3">
      <c r="A733" s="173"/>
      <c r="D733" s="173"/>
      <c r="E733" s="173"/>
      <c r="F733" s="173"/>
      <c r="G733" s="173"/>
      <c r="H733" s="173"/>
      <c r="I733" s="173"/>
      <c r="J733" s="173"/>
      <c r="K733" s="173"/>
      <c r="L733" s="173"/>
      <c r="AM733" s="173"/>
      <c r="AN733" s="173"/>
      <c r="AZ733" s="337"/>
      <c r="BL733" s="349"/>
      <c r="BM733" s="300"/>
      <c r="BN733" s="300"/>
      <c r="BO733" s="300"/>
      <c r="BP733" s="300"/>
      <c r="BQ733" s="300"/>
      <c r="BR733" s="300"/>
      <c r="BS733" s="300"/>
      <c r="BT733" s="300"/>
      <c r="BU733" s="300"/>
      <c r="BV733" s="300"/>
      <c r="BW733" s="300"/>
      <c r="BX733" s="300"/>
      <c r="BY733" s="300"/>
      <c r="BZ733" s="300"/>
      <c r="CA733" s="300"/>
      <c r="CB733" s="300"/>
    </row>
    <row r="734" spans="1:80" s="27" customFormat="1" x14ac:dyDescent="0.3">
      <c r="A734" s="173"/>
      <c r="D734" s="173"/>
      <c r="E734" s="173"/>
      <c r="F734" s="173"/>
      <c r="G734" s="173"/>
      <c r="H734" s="173"/>
      <c r="I734" s="173"/>
      <c r="J734" s="173"/>
      <c r="K734" s="173"/>
      <c r="L734" s="173"/>
      <c r="AM734" s="173"/>
      <c r="AN734" s="173"/>
      <c r="AZ734" s="337"/>
      <c r="BL734" s="349"/>
      <c r="BM734" s="300"/>
      <c r="BN734" s="300"/>
      <c r="BO734" s="300"/>
      <c r="BP734" s="300"/>
      <c r="BQ734" s="300"/>
      <c r="BR734" s="300"/>
      <c r="BS734" s="300"/>
      <c r="BT734" s="300"/>
      <c r="BU734" s="300"/>
      <c r="BV734" s="300"/>
      <c r="BW734" s="300"/>
      <c r="BX734" s="300"/>
      <c r="BY734" s="300"/>
      <c r="BZ734" s="300"/>
      <c r="CA734" s="300"/>
      <c r="CB734" s="300"/>
    </row>
    <row r="735" spans="1:80" s="27" customFormat="1" x14ac:dyDescent="0.3">
      <c r="A735" s="173"/>
      <c r="D735" s="173"/>
      <c r="E735" s="173"/>
      <c r="F735" s="173"/>
      <c r="G735" s="173"/>
      <c r="H735" s="173"/>
      <c r="I735" s="173"/>
      <c r="J735" s="173"/>
      <c r="K735" s="173"/>
      <c r="L735" s="173"/>
      <c r="AM735" s="173"/>
      <c r="AN735" s="173"/>
      <c r="AZ735" s="337"/>
      <c r="BL735" s="349"/>
      <c r="BM735" s="300"/>
      <c r="BN735" s="300"/>
      <c r="BO735" s="300"/>
      <c r="BP735" s="300"/>
      <c r="BQ735" s="300"/>
      <c r="BR735" s="300"/>
      <c r="BS735" s="300"/>
      <c r="BT735" s="300"/>
      <c r="BU735" s="300"/>
      <c r="BV735" s="300"/>
      <c r="BW735" s="300"/>
      <c r="BX735" s="300"/>
      <c r="BY735" s="300"/>
      <c r="BZ735" s="300"/>
      <c r="CA735" s="300"/>
      <c r="CB735" s="300"/>
    </row>
    <row r="736" spans="1:80" s="27" customFormat="1" x14ac:dyDescent="0.3">
      <c r="A736" s="173"/>
      <c r="D736" s="173"/>
      <c r="E736" s="173"/>
      <c r="F736" s="173"/>
      <c r="G736" s="173"/>
      <c r="H736" s="173"/>
      <c r="I736" s="173"/>
      <c r="J736" s="173"/>
      <c r="K736" s="173"/>
      <c r="L736" s="173"/>
      <c r="AM736" s="173"/>
      <c r="AN736" s="173"/>
      <c r="AZ736" s="337"/>
      <c r="BL736" s="349"/>
      <c r="BM736" s="300"/>
      <c r="BN736" s="300"/>
      <c r="BO736" s="300"/>
      <c r="BP736" s="300"/>
      <c r="BQ736" s="300"/>
      <c r="BR736" s="300"/>
      <c r="BS736" s="300"/>
      <c r="BT736" s="300"/>
      <c r="BU736" s="300"/>
      <c r="BV736" s="300"/>
      <c r="BW736" s="300"/>
      <c r="BX736" s="300"/>
      <c r="BY736" s="300"/>
      <c r="BZ736" s="300"/>
      <c r="CA736" s="300"/>
      <c r="CB736" s="300"/>
    </row>
    <row r="737" spans="1:80" s="27" customFormat="1" x14ac:dyDescent="0.3">
      <c r="A737" s="173"/>
      <c r="D737" s="173"/>
      <c r="E737" s="173"/>
      <c r="F737" s="173"/>
      <c r="G737" s="173"/>
      <c r="H737" s="173"/>
      <c r="I737" s="173"/>
      <c r="J737" s="173"/>
      <c r="K737" s="173"/>
      <c r="L737" s="173"/>
      <c r="AM737" s="173"/>
      <c r="AN737" s="173"/>
      <c r="AZ737" s="337"/>
      <c r="BL737" s="349"/>
      <c r="BM737" s="300"/>
      <c r="BN737" s="300"/>
      <c r="BO737" s="300"/>
      <c r="BP737" s="300"/>
      <c r="BQ737" s="300"/>
      <c r="BR737" s="300"/>
      <c r="BS737" s="300"/>
      <c r="BT737" s="300"/>
      <c r="BU737" s="300"/>
      <c r="BV737" s="300"/>
      <c r="BW737" s="300"/>
      <c r="BX737" s="300"/>
      <c r="BY737" s="300"/>
      <c r="BZ737" s="300"/>
      <c r="CA737" s="300"/>
      <c r="CB737" s="300"/>
    </row>
    <row r="738" spans="1:80" s="27" customFormat="1" x14ac:dyDescent="0.3">
      <c r="A738" s="173"/>
      <c r="D738" s="173"/>
      <c r="E738" s="173"/>
      <c r="F738" s="173"/>
      <c r="G738" s="173"/>
      <c r="H738" s="173"/>
      <c r="I738" s="173"/>
      <c r="J738" s="173"/>
      <c r="K738" s="173"/>
      <c r="L738" s="173"/>
      <c r="AM738" s="173"/>
      <c r="AN738" s="173"/>
      <c r="AZ738" s="337"/>
      <c r="BL738" s="349"/>
      <c r="BM738" s="300"/>
      <c r="BN738" s="300"/>
      <c r="BO738" s="300"/>
      <c r="BP738" s="300"/>
      <c r="BQ738" s="300"/>
      <c r="BR738" s="300"/>
      <c r="BS738" s="300"/>
      <c r="BT738" s="300"/>
      <c r="BU738" s="300"/>
      <c r="BV738" s="300"/>
      <c r="BW738" s="300"/>
      <c r="BX738" s="300"/>
      <c r="BY738" s="300"/>
      <c r="BZ738" s="300"/>
      <c r="CA738" s="300"/>
      <c r="CB738" s="300"/>
    </row>
    <row r="739" spans="1:80" s="27" customFormat="1" x14ac:dyDescent="0.3">
      <c r="A739" s="173"/>
      <c r="D739" s="173"/>
      <c r="E739" s="173"/>
      <c r="F739" s="173"/>
      <c r="G739" s="173"/>
      <c r="H739" s="173"/>
      <c r="I739" s="173"/>
      <c r="J739" s="173"/>
      <c r="K739" s="173"/>
      <c r="L739" s="173"/>
      <c r="AM739" s="173"/>
      <c r="AN739" s="173"/>
      <c r="AZ739" s="337"/>
      <c r="BL739" s="349"/>
      <c r="BM739" s="300"/>
      <c r="BN739" s="300"/>
      <c r="BO739" s="300"/>
      <c r="BP739" s="300"/>
      <c r="BQ739" s="300"/>
      <c r="BR739" s="300"/>
      <c r="BS739" s="300"/>
      <c r="BT739" s="300"/>
      <c r="BU739" s="300"/>
      <c r="BV739" s="300"/>
      <c r="BW739" s="300"/>
      <c r="BX739" s="300"/>
      <c r="BY739" s="300"/>
      <c r="BZ739" s="300"/>
      <c r="CA739" s="300"/>
      <c r="CB739" s="300"/>
    </row>
    <row r="740" spans="1:80" s="27" customFormat="1" x14ac:dyDescent="0.3">
      <c r="A740" s="173"/>
      <c r="D740" s="173"/>
      <c r="E740" s="173"/>
      <c r="F740" s="173"/>
      <c r="G740" s="173"/>
      <c r="H740" s="173"/>
      <c r="I740" s="173"/>
      <c r="J740" s="173"/>
      <c r="K740" s="173"/>
      <c r="L740" s="173"/>
      <c r="AM740" s="173"/>
      <c r="AN740" s="173"/>
      <c r="AZ740" s="337"/>
      <c r="BL740" s="349"/>
      <c r="BM740" s="300"/>
      <c r="BN740" s="300"/>
      <c r="BO740" s="300"/>
      <c r="BP740" s="300"/>
      <c r="BQ740" s="300"/>
      <c r="BR740" s="300"/>
      <c r="BS740" s="300"/>
      <c r="BT740" s="300"/>
      <c r="BU740" s="300"/>
      <c r="BV740" s="300"/>
      <c r="BW740" s="300"/>
      <c r="BX740" s="300"/>
      <c r="BY740" s="300"/>
      <c r="BZ740" s="300"/>
      <c r="CA740" s="300"/>
      <c r="CB740" s="300"/>
    </row>
    <row r="741" spans="1:80" s="27" customFormat="1" x14ac:dyDescent="0.3">
      <c r="A741" s="173"/>
      <c r="D741" s="173"/>
      <c r="E741" s="173"/>
      <c r="F741" s="173"/>
      <c r="G741" s="173"/>
      <c r="H741" s="173"/>
      <c r="I741" s="173"/>
      <c r="J741" s="173"/>
      <c r="K741" s="173"/>
      <c r="L741" s="173"/>
      <c r="AM741" s="173"/>
      <c r="AN741" s="173"/>
      <c r="AZ741" s="337"/>
      <c r="BL741" s="349"/>
      <c r="BM741" s="300"/>
      <c r="BN741" s="300"/>
      <c r="BO741" s="300"/>
      <c r="BP741" s="300"/>
      <c r="BQ741" s="300"/>
      <c r="BR741" s="300"/>
      <c r="BS741" s="300"/>
      <c r="BT741" s="300"/>
      <c r="BU741" s="300"/>
      <c r="BV741" s="300"/>
      <c r="BW741" s="300"/>
      <c r="BX741" s="300"/>
      <c r="BY741" s="300"/>
      <c r="BZ741" s="300"/>
      <c r="CA741" s="300"/>
      <c r="CB741" s="300"/>
    </row>
    <row r="742" spans="1:80" s="27" customFormat="1" x14ac:dyDescent="0.3">
      <c r="A742" s="173"/>
      <c r="D742" s="173"/>
      <c r="E742" s="173"/>
      <c r="F742" s="173"/>
      <c r="G742" s="173"/>
      <c r="H742" s="173"/>
      <c r="I742" s="173"/>
      <c r="J742" s="173"/>
      <c r="K742" s="173"/>
      <c r="L742" s="173"/>
      <c r="AM742" s="173"/>
      <c r="AN742" s="173"/>
      <c r="AZ742" s="337"/>
      <c r="BL742" s="349"/>
      <c r="BM742" s="300"/>
      <c r="BN742" s="300"/>
      <c r="BO742" s="300"/>
      <c r="BP742" s="300"/>
      <c r="BQ742" s="300"/>
      <c r="BR742" s="300"/>
      <c r="BS742" s="300"/>
      <c r="BT742" s="300"/>
      <c r="BU742" s="300"/>
      <c r="BV742" s="300"/>
      <c r="BW742" s="300"/>
      <c r="BX742" s="300"/>
      <c r="BY742" s="300"/>
      <c r="BZ742" s="300"/>
      <c r="CA742" s="300"/>
      <c r="CB742" s="300"/>
    </row>
    <row r="743" spans="1:80" s="27" customFormat="1" x14ac:dyDescent="0.3">
      <c r="A743" s="173"/>
      <c r="D743" s="173"/>
      <c r="E743" s="173"/>
      <c r="F743" s="173"/>
      <c r="G743" s="173"/>
      <c r="H743" s="173"/>
      <c r="I743" s="173"/>
      <c r="J743" s="173"/>
      <c r="K743" s="173"/>
      <c r="L743" s="173"/>
      <c r="AM743" s="173"/>
      <c r="AN743" s="173"/>
      <c r="AZ743" s="337"/>
      <c r="BL743" s="349"/>
      <c r="BM743" s="300"/>
      <c r="BN743" s="300"/>
      <c r="BO743" s="300"/>
      <c r="BP743" s="300"/>
      <c r="BQ743" s="300"/>
      <c r="BR743" s="300"/>
      <c r="BS743" s="300"/>
      <c r="BT743" s="300"/>
      <c r="BU743" s="300"/>
      <c r="BV743" s="300"/>
      <c r="BW743" s="300"/>
      <c r="BX743" s="300"/>
      <c r="BY743" s="300"/>
      <c r="BZ743" s="300"/>
      <c r="CA743" s="300"/>
      <c r="CB743" s="300"/>
    </row>
    <row r="744" spans="1:80" s="27" customFormat="1" x14ac:dyDescent="0.3">
      <c r="A744" s="173"/>
      <c r="D744" s="173"/>
      <c r="E744" s="173"/>
      <c r="F744" s="173"/>
      <c r="G744" s="173"/>
      <c r="H744" s="173"/>
      <c r="I744" s="173"/>
      <c r="J744" s="173"/>
      <c r="K744" s="173"/>
      <c r="L744" s="173"/>
      <c r="AM744" s="173"/>
      <c r="AN744" s="173"/>
      <c r="AZ744" s="337"/>
      <c r="BL744" s="349"/>
      <c r="BM744" s="300"/>
      <c r="BN744" s="300"/>
      <c r="BO744" s="300"/>
      <c r="BP744" s="300"/>
      <c r="BQ744" s="300"/>
      <c r="BR744" s="300"/>
      <c r="BS744" s="300"/>
      <c r="BT744" s="300"/>
      <c r="BU744" s="300"/>
      <c r="BV744" s="300"/>
      <c r="BW744" s="300"/>
      <c r="BX744" s="300"/>
      <c r="BY744" s="300"/>
      <c r="BZ744" s="300"/>
      <c r="CA744" s="300"/>
      <c r="CB744" s="300"/>
    </row>
    <row r="745" spans="1:80" s="27" customFormat="1" x14ac:dyDescent="0.3">
      <c r="A745" s="173"/>
      <c r="D745" s="173"/>
      <c r="E745" s="173"/>
      <c r="F745" s="173"/>
      <c r="G745" s="173"/>
      <c r="H745" s="173"/>
      <c r="I745" s="173"/>
      <c r="J745" s="173"/>
      <c r="K745" s="173"/>
      <c r="L745" s="173"/>
      <c r="AM745" s="173"/>
      <c r="AN745" s="173"/>
      <c r="AZ745" s="337"/>
      <c r="BL745" s="349"/>
      <c r="BM745" s="300"/>
      <c r="BN745" s="300"/>
      <c r="BO745" s="300"/>
      <c r="BP745" s="300"/>
      <c r="BQ745" s="300"/>
      <c r="BR745" s="300"/>
      <c r="BS745" s="300"/>
      <c r="BT745" s="300"/>
      <c r="BU745" s="300"/>
      <c r="BV745" s="300"/>
      <c r="BW745" s="300"/>
      <c r="BX745" s="300"/>
      <c r="BY745" s="300"/>
      <c r="BZ745" s="300"/>
      <c r="CA745" s="300"/>
      <c r="CB745" s="300"/>
    </row>
    <row r="746" spans="1:80" s="27" customFormat="1" x14ac:dyDescent="0.3">
      <c r="A746" s="173"/>
      <c r="D746" s="173"/>
      <c r="E746" s="173"/>
      <c r="F746" s="173"/>
      <c r="G746" s="173"/>
      <c r="H746" s="173"/>
      <c r="I746" s="173"/>
      <c r="J746" s="173"/>
      <c r="K746" s="173"/>
      <c r="L746" s="173"/>
      <c r="AM746" s="173"/>
      <c r="AN746" s="173"/>
      <c r="AZ746" s="337"/>
      <c r="BL746" s="349"/>
      <c r="BM746" s="300"/>
      <c r="BN746" s="300"/>
      <c r="BO746" s="300"/>
      <c r="BP746" s="300"/>
      <c r="BQ746" s="300"/>
      <c r="BR746" s="300"/>
      <c r="BS746" s="300"/>
      <c r="BT746" s="300"/>
      <c r="BU746" s="300"/>
      <c r="BV746" s="300"/>
      <c r="BW746" s="300"/>
      <c r="BX746" s="300"/>
      <c r="BY746" s="300"/>
      <c r="BZ746" s="300"/>
      <c r="CA746" s="300"/>
      <c r="CB746" s="300"/>
    </row>
    <row r="747" spans="1:80" s="27" customFormat="1" x14ac:dyDescent="0.3">
      <c r="A747" s="173"/>
      <c r="D747" s="173"/>
      <c r="E747" s="173"/>
      <c r="F747" s="173"/>
      <c r="G747" s="173"/>
      <c r="H747" s="173"/>
      <c r="I747" s="173"/>
      <c r="J747" s="173"/>
      <c r="K747" s="173"/>
      <c r="L747" s="173"/>
      <c r="AM747" s="173"/>
      <c r="AN747" s="173"/>
      <c r="AZ747" s="337"/>
      <c r="BL747" s="349"/>
      <c r="BM747" s="300"/>
      <c r="BN747" s="300"/>
      <c r="BO747" s="300"/>
      <c r="BP747" s="300"/>
      <c r="BQ747" s="300"/>
      <c r="BR747" s="300"/>
      <c r="BS747" s="300"/>
      <c r="BT747" s="300"/>
      <c r="BU747" s="300"/>
      <c r="BV747" s="300"/>
      <c r="BW747" s="300"/>
      <c r="BX747" s="300"/>
      <c r="BY747" s="300"/>
      <c r="BZ747" s="300"/>
      <c r="CA747" s="300"/>
      <c r="CB747" s="300"/>
    </row>
    <row r="748" spans="1:80" s="27" customFormat="1" x14ac:dyDescent="0.3">
      <c r="A748" s="173"/>
      <c r="D748" s="173"/>
      <c r="E748" s="173"/>
      <c r="F748" s="173"/>
      <c r="G748" s="173"/>
      <c r="H748" s="173"/>
      <c r="I748" s="173"/>
      <c r="J748" s="173"/>
      <c r="K748" s="173"/>
      <c r="L748" s="173"/>
      <c r="AM748" s="173"/>
      <c r="AN748" s="173"/>
      <c r="AZ748" s="337"/>
      <c r="BL748" s="349"/>
      <c r="BM748" s="300"/>
      <c r="BN748" s="300"/>
      <c r="BO748" s="300"/>
      <c r="BP748" s="300"/>
      <c r="BQ748" s="300"/>
      <c r="BR748" s="300"/>
      <c r="BS748" s="300"/>
      <c r="BT748" s="300"/>
      <c r="BU748" s="300"/>
      <c r="BV748" s="300"/>
      <c r="BW748" s="300"/>
      <c r="BX748" s="300"/>
      <c r="BY748" s="300"/>
      <c r="BZ748" s="300"/>
      <c r="CA748" s="300"/>
      <c r="CB748" s="300"/>
    </row>
    <row r="749" spans="1:80" s="27" customFormat="1" x14ac:dyDescent="0.3">
      <c r="A749" s="173"/>
      <c r="D749" s="173"/>
      <c r="E749" s="173"/>
      <c r="F749" s="173"/>
      <c r="G749" s="173"/>
      <c r="H749" s="173"/>
      <c r="I749" s="173"/>
      <c r="J749" s="173"/>
      <c r="K749" s="173"/>
      <c r="L749" s="173"/>
      <c r="AM749" s="173"/>
      <c r="AN749" s="173"/>
      <c r="AZ749" s="337"/>
      <c r="BL749" s="349"/>
      <c r="BM749" s="300"/>
      <c r="BN749" s="300"/>
      <c r="BO749" s="300"/>
      <c r="BP749" s="300"/>
      <c r="BQ749" s="300"/>
      <c r="BR749" s="300"/>
      <c r="BS749" s="300"/>
      <c r="BT749" s="300"/>
      <c r="BU749" s="300"/>
      <c r="BV749" s="300"/>
      <c r="BW749" s="300"/>
      <c r="BX749" s="300"/>
      <c r="BY749" s="300"/>
      <c r="BZ749" s="300"/>
      <c r="CA749" s="300"/>
      <c r="CB749" s="300"/>
    </row>
    <row r="750" spans="1:80" s="27" customFormat="1" x14ac:dyDescent="0.3">
      <c r="A750" s="173"/>
      <c r="D750" s="173"/>
      <c r="E750" s="173"/>
      <c r="F750" s="173"/>
      <c r="G750" s="173"/>
      <c r="H750" s="173"/>
      <c r="I750" s="173"/>
      <c r="J750" s="173"/>
      <c r="K750" s="173"/>
      <c r="L750" s="173"/>
      <c r="AM750" s="173"/>
      <c r="AN750" s="173"/>
      <c r="AZ750" s="337"/>
      <c r="BL750" s="349"/>
      <c r="BM750" s="300"/>
      <c r="BN750" s="300"/>
      <c r="BO750" s="300"/>
      <c r="BP750" s="300"/>
      <c r="BQ750" s="300"/>
      <c r="BR750" s="300"/>
      <c r="BS750" s="300"/>
      <c r="BT750" s="300"/>
      <c r="BU750" s="300"/>
      <c r="BV750" s="300"/>
      <c r="BW750" s="300"/>
      <c r="BX750" s="300"/>
      <c r="BY750" s="300"/>
      <c r="BZ750" s="300"/>
      <c r="CA750" s="300"/>
      <c r="CB750" s="300"/>
    </row>
    <row r="751" spans="1:80" s="27" customFormat="1" x14ac:dyDescent="0.3">
      <c r="A751" s="173"/>
      <c r="D751" s="173"/>
      <c r="E751" s="173"/>
      <c r="F751" s="173"/>
      <c r="G751" s="173"/>
      <c r="H751" s="173"/>
      <c r="I751" s="173"/>
      <c r="J751" s="173"/>
      <c r="K751" s="173"/>
      <c r="L751" s="173"/>
      <c r="AM751" s="173"/>
      <c r="AN751" s="173"/>
      <c r="AZ751" s="337"/>
      <c r="BL751" s="349"/>
      <c r="BM751" s="300"/>
      <c r="BN751" s="300"/>
      <c r="BO751" s="300"/>
      <c r="BP751" s="300"/>
      <c r="BQ751" s="300"/>
      <c r="BR751" s="300"/>
      <c r="BS751" s="300"/>
      <c r="BT751" s="300"/>
      <c r="BU751" s="300"/>
      <c r="BV751" s="300"/>
      <c r="BW751" s="300"/>
      <c r="BX751" s="300"/>
      <c r="BY751" s="300"/>
      <c r="BZ751" s="300"/>
      <c r="CA751" s="300"/>
      <c r="CB751" s="300"/>
    </row>
    <row r="752" spans="1:80" s="27" customFormat="1" x14ac:dyDescent="0.3">
      <c r="A752" s="173"/>
      <c r="D752" s="173"/>
      <c r="E752" s="173"/>
      <c r="F752" s="173"/>
      <c r="G752" s="173"/>
      <c r="H752" s="173"/>
      <c r="I752" s="173"/>
      <c r="J752" s="173"/>
      <c r="K752" s="173"/>
      <c r="L752" s="173"/>
      <c r="AM752" s="173"/>
      <c r="AN752" s="173"/>
      <c r="AZ752" s="337"/>
      <c r="BL752" s="349"/>
      <c r="BM752" s="300"/>
      <c r="BN752" s="300"/>
      <c r="BO752" s="300"/>
      <c r="BP752" s="300"/>
      <c r="BQ752" s="300"/>
      <c r="BR752" s="300"/>
      <c r="BS752" s="300"/>
      <c r="BT752" s="300"/>
      <c r="BU752" s="300"/>
      <c r="BV752" s="300"/>
      <c r="BW752" s="300"/>
      <c r="BX752" s="300"/>
      <c r="BY752" s="300"/>
      <c r="BZ752" s="300"/>
      <c r="CA752" s="300"/>
      <c r="CB752" s="300"/>
    </row>
    <row r="753" spans="1:80" s="27" customFormat="1" x14ac:dyDescent="0.3">
      <c r="A753" s="173"/>
      <c r="D753" s="173"/>
      <c r="E753" s="173"/>
      <c r="F753" s="173"/>
      <c r="G753" s="173"/>
      <c r="H753" s="173"/>
      <c r="I753" s="173"/>
      <c r="J753" s="173"/>
      <c r="K753" s="173"/>
      <c r="L753" s="173"/>
      <c r="AM753" s="173"/>
      <c r="AN753" s="173"/>
      <c r="AZ753" s="337"/>
      <c r="BL753" s="349"/>
      <c r="BM753" s="300"/>
      <c r="BN753" s="300"/>
      <c r="BO753" s="300"/>
      <c r="BP753" s="300"/>
      <c r="BQ753" s="300"/>
      <c r="BR753" s="300"/>
      <c r="BS753" s="300"/>
      <c r="BT753" s="300"/>
      <c r="BU753" s="300"/>
      <c r="BV753" s="300"/>
      <c r="BW753" s="300"/>
      <c r="BX753" s="300"/>
      <c r="BY753" s="300"/>
      <c r="BZ753" s="300"/>
      <c r="CA753" s="300"/>
      <c r="CB753" s="300"/>
    </row>
    <row r="754" spans="1:80" s="27" customFormat="1" x14ac:dyDescent="0.3">
      <c r="A754" s="173"/>
      <c r="D754" s="173"/>
      <c r="E754" s="173"/>
      <c r="F754" s="173"/>
      <c r="G754" s="173"/>
      <c r="H754" s="173"/>
      <c r="I754" s="173"/>
      <c r="J754" s="173"/>
      <c r="K754" s="173"/>
      <c r="L754" s="173"/>
      <c r="AM754" s="173"/>
      <c r="AN754" s="173"/>
      <c r="AZ754" s="337"/>
      <c r="BL754" s="349"/>
      <c r="BM754" s="300"/>
      <c r="BN754" s="300"/>
      <c r="BO754" s="300"/>
      <c r="BP754" s="300"/>
      <c r="BQ754" s="300"/>
      <c r="BR754" s="300"/>
      <c r="BS754" s="300"/>
      <c r="BT754" s="300"/>
      <c r="BU754" s="300"/>
      <c r="BV754" s="300"/>
      <c r="BW754" s="300"/>
      <c r="BX754" s="300"/>
      <c r="BY754" s="300"/>
      <c r="BZ754" s="300"/>
      <c r="CA754" s="300"/>
      <c r="CB754" s="300"/>
    </row>
    <row r="755" spans="1:80" s="27" customFormat="1" x14ac:dyDescent="0.3">
      <c r="A755" s="173"/>
      <c r="D755" s="173"/>
      <c r="E755" s="173"/>
      <c r="F755" s="173"/>
      <c r="G755" s="173"/>
      <c r="H755" s="173"/>
      <c r="I755" s="173"/>
      <c r="J755" s="173"/>
      <c r="K755" s="173"/>
      <c r="L755" s="173"/>
      <c r="AM755" s="173"/>
      <c r="AN755" s="173"/>
      <c r="AZ755" s="337"/>
      <c r="BL755" s="349"/>
      <c r="BM755" s="300"/>
      <c r="BN755" s="300"/>
      <c r="BO755" s="300"/>
      <c r="BP755" s="300"/>
      <c r="BQ755" s="300"/>
      <c r="BR755" s="300"/>
      <c r="BS755" s="300"/>
      <c r="BT755" s="300"/>
      <c r="BU755" s="300"/>
      <c r="BV755" s="300"/>
      <c r="BW755" s="300"/>
      <c r="BX755" s="300"/>
      <c r="BY755" s="300"/>
      <c r="BZ755" s="300"/>
      <c r="CA755" s="300"/>
      <c r="CB755" s="300"/>
    </row>
    <row r="756" spans="1:80" s="27" customFormat="1" x14ac:dyDescent="0.3">
      <c r="A756" s="173"/>
      <c r="D756" s="173"/>
      <c r="E756" s="173"/>
      <c r="F756" s="173"/>
      <c r="G756" s="173"/>
      <c r="H756" s="173"/>
      <c r="I756" s="173"/>
      <c r="J756" s="173"/>
      <c r="K756" s="173"/>
      <c r="L756" s="173"/>
      <c r="AM756" s="173"/>
      <c r="AN756" s="173"/>
      <c r="AZ756" s="337"/>
      <c r="BL756" s="349"/>
      <c r="BM756" s="300"/>
      <c r="BN756" s="300"/>
      <c r="BO756" s="300"/>
      <c r="BP756" s="300"/>
      <c r="BQ756" s="300"/>
      <c r="BR756" s="300"/>
      <c r="BS756" s="300"/>
      <c r="BT756" s="300"/>
      <c r="BU756" s="300"/>
      <c r="BV756" s="300"/>
      <c r="BW756" s="300"/>
      <c r="BX756" s="300"/>
      <c r="BY756" s="300"/>
      <c r="BZ756" s="300"/>
      <c r="CA756" s="300"/>
      <c r="CB756" s="300"/>
    </row>
    <row r="757" spans="1:80" s="27" customFormat="1" x14ac:dyDescent="0.3">
      <c r="A757" s="173"/>
      <c r="D757" s="173"/>
      <c r="E757" s="173"/>
      <c r="F757" s="173"/>
      <c r="G757" s="173"/>
      <c r="H757" s="173"/>
      <c r="I757" s="173"/>
      <c r="J757" s="173"/>
      <c r="K757" s="173"/>
      <c r="L757" s="173"/>
      <c r="AM757" s="173"/>
      <c r="AN757" s="173"/>
      <c r="AZ757" s="337"/>
      <c r="BL757" s="349"/>
      <c r="BM757" s="300"/>
      <c r="BN757" s="300"/>
      <c r="BO757" s="300"/>
      <c r="BP757" s="300"/>
      <c r="BQ757" s="300"/>
      <c r="BR757" s="300"/>
      <c r="BS757" s="300"/>
      <c r="BT757" s="300"/>
      <c r="BU757" s="300"/>
      <c r="BV757" s="300"/>
      <c r="BW757" s="300"/>
      <c r="BX757" s="300"/>
      <c r="BY757" s="300"/>
      <c r="BZ757" s="300"/>
      <c r="CA757" s="300"/>
      <c r="CB757" s="300"/>
    </row>
    <row r="758" spans="1:80" s="27" customFormat="1" x14ac:dyDescent="0.3">
      <c r="A758" s="173"/>
      <c r="D758" s="173"/>
      <c r="E758" s="173"/>
      <c r="F758" s="173"/>
      <c r="G758" s="173"/>
      <c r="H758" s="173"/>
      <c r="I758" s="173"/>
      <c r="J758" s="173"/>
      <c r="K758" s="173"/>
      <c r="L758" s="173"/>
      <c r="AM758" s="173"/>
      <c r="AN758" s="173"/>
      <c r="AZ758" s="337"/>
      <c r="BL758" s="349"/>
      <c r="BM758" s="300"/>
      <c r="BN758" s="300"/>
      <c r="BO758" s="300"/>
      <c r="BP758" s="300"/>
      <c r="BQ758" s="300"/>
      <c r="BR758" s="300"/>
      <c r="BS758" s="300"/>
      <c r="BT758" s="300"/>
      <c r="BU758" s="300"/>
      <c r="BV758" s="300"/>
      <c r="BW758" s="300"/>
      <c r="BX758" s="300"/>
      <c r="BY758" s="300"/>
      <c r="BZ758" s="300"/>
      <c r="CA758" s="300"/>
      <c r="CB758" s="300"/>
    </row>
    <row r="759" spans="1:80" s="27" customFormat="1" x14ac:dyDescent="0.3">
      <c r="A759" s="173"/>
      <c r="D759" s="173"/>
      <c r="E759" s="173"/>
      <c r="F759" s="173"/>
      <c r="G759" s="173"/>
      <c r="H759" s="173"/>
      <c r="I759" s="173"/>
      <c r="J759" s="173"/>
      <c r="K759" s="173"/>
      <c r="L759" s="173"/>
      <c r="AM759" s="173"/>
      <c r="AN759" s="173"/>
      <c r="AZ759" s="337"/>
      <c r="BL759" s="349"/>
      <c r="BM759" s="300"/>
      <c r="BN759" s="300"/>
      <c r="BO759" s="300"/>
      <c r="BP759" s="300"/>
      <c r="BQ759" s="300"/>
      <c r="BR759" s="300"/>
      <c r="BS759" s="300"/>
      <c r="BT759" s="300"/>
      <c r="BU759" s="300"/>
      <c r="BV759" s="300"/>
      <c r="BW759" s="300"/>
      <c r="BX759" s="300"/>
      <c r="BY759" s="300"/>
      <c r="BZ759" s="300"/>
      <c r="CA759" s="300"/>
      <c r="CB759" s="300"/>
    </row>
    <row r="760" spans="1:80" s="27" customFormat="1" x14ac:dyDescent="0.3">
      <c r="A760" s="173"/>
      <c r="D760" s="173"/>
      <c r="E760" s="173"/>
      <c r="F760" s="173"/>
      <c r="G760" s="173"/>
      <c r="H760" s="173"/>
      <c r="I760" s="173"/>
      <c r="J760" s="173"/>
      <c r="K760" s="173"/>
      <c r="L760" s="173"/>
      <c r="AM760" s="173"/>
      <c r="AN760" s="173"/>
      <c r="AZ760" s="337"/>
      <c r="BL760" s="349"/>
      <c r="BM760" s="300"/>
      <c r="BN760" s="300"/>
      <c r="BO760" s="300"/>
      <c r="BP760" s="300"/>
      <c r="BQ760" s="300"/>
      <c r="BR760" s="300"/>
      <c r="BS760" s="300"/>
      <c r="BT760" s="300"/>
      <c r="BU760" s="300"/>
      <c r="BV760" s="300"/>
      <c r="BW760" s="300"/>
      <c r="BX760" s="300"/>
      <c r="BY760" s="300"/>
      <c r="BZ760" s="300"/>
      <c r="CA760" s="300"/>
      <c r="CB760" s="300"/>
    </row>
    <row r="761" spans="1:80" s="27" customFormat="1" x14ac:dyDescent="0.3">
      <c r="A761" s="173"/>
      <c r="D761" s="173"/>
      <c r="E761" s="173"/>
      <c r="F761" s="173"/>
      <c r="G761" s="173"/>
      <c r="H761" s="173"/>
      <c r="I761" s="173"/>
      <c r="J761" s="173"/>
      <c r="K761" s="173"/>
      <c r="L761" s="173"/>
      <c r="AM761" s="173"/>
      <c r="AN761" s="173"/>
      <c r="AZ761" s="337"/>
      <c r="BL761" s="349"/>
      <c r="BM761" s="300"/>
      <c r="BN761" s="300"/>
      <c r="BO761" s="300"/>
      <c r="BP761" s="300"/>
      <c r="BQ761" s="300"/>
      <c r="BR761" s="300"/>
      <c r="BS761" s="300"/>
      <c r="BT761" s="300"/>
      <c r="BU761" s="300"/>
      <c r="BV761" s="300"/>
      <c r="BW761" s="300"/>
      <c r="BX761" s="300"/>
      <c r="BY761" s="300"/>
      <c r="BZ761" s="300"/>
      <c r="CA761" s="300"/>
      <c r="CB761" s="300"/>
    </row>
    <row r="762" spans="1:80" s="27" customFormat="1" x14ac:dyDescent="0.3">
      <c r="A762" s="173"/>
      <c r="D762" s="173"/>
      <c r="E762" s="173"/>
      <c r="F762" s="173"/>
      <c r="G762" s="173"/>
      <c r="H762" s="173"/>
      <c r="I762" s="173"/>
      <c r="J762" s="173"/>
      <c r="K762" s="173"/>
      <c r="L762" s="173"/>
      <c r="AM762" s="173"/>
      <c r="AN762" s="173"/>
      <c r="AZ762" s="337"/>
      <c r="BL762" s="349"/>
      <c r="BM762" s="300"/>
      <c r="BN762" s="300"/>
      <c r="BO762" s="300"/>
      <c r="BP762" s="300"/>
      <c r="BQ762" s="300"/>
      <c r="BR762" s="300"/>
      <c r="BS762" s="300"/>
      <c r="BT762" s="300"/>
      <c r="BU762" s="300"/>
      <c r="BV762" s="300"/>
      <c r="BW762" s="300"/>
      <c r="BX762" s="300"/>
      <c r="BY762" s="300"/>
      <c r="BZ762" s="300"/>
      <c r="CA762" s="300"/>
      <c r="CB762" s="300"/>
    </row>
    <row r="763" spans="1:80" s="27" customFormat="1" x14ac:dyDescent="0.3">
      <c r="A763" s="173"/>
      <c r="D763" s="173"/>
      <c r="E763" s="173"/>
      <c r="F763" s="173"/>
      <c r="G763" s="173"/>
      <c r="H763" s="173"/>
      <c r="I763" s="173"/>
      <c r="J763" s="173"/>
      <c r="K763" s="173"/>
      <c r="L763" s="173"/>
      <c r="AM763" s="173"/>
      <c r="AN763" s="173"/>
      <c r="AZ763" s="337"/>
      <c r="BL763" s="349"/>
      <c r="BM763" s="300"/>
      <c r="BN763" s="300"/>
      <c r="BO763" s="300"/>
      <c r="BP763" s="300"/>
      <c r="BQ763" s="300"/>
      <c r="BR763" s="300"/>
      <c r="BS763" s="300"/>
      <c r="BT763" s="300"/>
      <c r="BU763" s="300"/>
      <c r="BV763" s="300"/>
      <c r="BW763" s="300"/>
      <c r="BX763" s="300"/>
      <c r="BY763" s="300"/>
      <c r="BZ763" s="300"/>
      <c r="CA763" s="300"/>
      <c r="CB763" s="300"/>
    </row>
    <row r="764" spans="1:80" s="27" customFormat="1" x14ac:dyDescent="0.3">
      <c r="A764" s="173"/>
      <c r="D764" s="173"/>
      <c r="E764" s="173"/>
      <c r="F764" s="173"/>
      <c r="G764" s="173"/>
      <c r="H764" s="173"/>
      <c r="I764" s="173"/>
      <c r="J764" s="173"/>
      <c r="K764" s="173"/>
      <c r="L764" s="173"/>
      <c r="AM764" s="173"/>
      <c r="AN764" s="173"/>
      <c r="AZ764" s="337"/>
      <c r="BL764" s="349"/>
      <c r="BM764" s="300"/>
      <c r="BN764" s="300"/>
      <c r="BO764" s="300"/>
      <c r="BP764" s="300"/>
      <c r="BQ764" s="300"/>
      <c r="BR764" s="300"/>
      <c r="BS764" s="300"/>
      <c r="BT764" s="300"/>
      <c r="BU764" s="300"/>
      <c r="BV764" s="300"/>
      <c r="BW764" s="300"/>
      <c r="BX764" s="300"/>
      <c r="BY764" s="300"/>
      <c r="BZ764" s="300"/>
      <c r="CA764" s="300"/>
      <c r="CB764" s="300"/>
    </row>
    <row r="765" spans="1:80" s="27" customFormat="1" x14ac:dyDescent="0.3">
      <c r="A765" s="173"/>
      <c r="D765" s="173"/>
      <c r="E765" s="173"/>
      <c r="F765" s="173"/>
      <c r="G765" s="173"/>
      <c r="H765" s="173"/>
      <c r="I765" s="173"/>
      <c r="J765" s="173"/>
      <c r="K765" s="173"/>
      <c r="L765" s="173"/>
      <c r="AM765" s="173"/>
      <c r="AN765" s="173"/>
      <c r="AZ765" s="337"/>
      <c r="BL765" s="349"/>
      <c r="BM765" s="300"/>
      <c r="BN765" s="300"/>
      <c r="BO765" s="300"/>
      <c r="BP765" s="300"/>
      <c r="BQ765" s="300"/>
      <c r="BR765" s="300"/>
      <c r="BS765" s="300"/>
      <c r="BT765" s="300"/>
      <c r="BU765" s="300"/>
      <c r="BV765" s="300"/>
      <c r="BW765" s="300"/>
      <c r="BX765" s="300"/>
      <c r="BY765" s="300"/>
      <c r="BZ765" s="300"/>
      <c r="CA765" s="300"/>
      <c r="CB765" s="300"/>
    </row>
    <row r="766" spans="1:80" s="27" customFormat="1" x14ac:dyDescent="0.3">
      <c r="A766" s="173"/>
      <c r="D766" s="173"/>
      <c r="E766" s="173"/>
      <c r="F766" s="173"/>
      <c r="G766" s="173"/>
      <c r="H766" s="173"/>
      <c r="I766" s="173"/>
      <c r="J766" s="173"/>
      <c r="K766" s="173"/>
      <c r="L766" s="173"/>
      <c r="AM766" s="173"/>
      <c r="AN766" s="173"/>
      <c r="AZ766" s="337"/>
      <c r="BL766" s="349"/>
      <c r="BM766" s="300"/>
      <c r="BN766" s="300"/>
      <c r="BO766" s="300"/>
      <c r="BP766" s="300"/>
      <c r="BQ766" s="300"/>
      <c r="BR766" s="300"/>
      <c r="BS766" s="300"/>
      <c r="BT766" s="300"/>
      <c r="BU766" s="300"/>
      <c r="BV766" s="300"/>
      <c r="BW766" s="300"/>
      <c r="BX766" s="300"/>
      <c r="BY766" s="300"/>
      <c r="BZ766" s="300"/>
      <c r="CA766" s="300"/>
      <c r="CB766" s="300"/>
    </row>
    <row r="767" spans="1:80" s="27" customFormat="1" x14ac:dyDescent="0.3">
      <c r="A767" s="173"/>
      <c r="D767" s="173"/>
      <c r="E767" s="173"/>
      <c r="F767" s="173"/>
      <c r="G767" s="173"/>
      <c r="H767" s="173"/>
      <c r="I767" s="173"/>
      <c r="J767" s="173"/>
      <c r="K767" s="173"/>
      <c r="L767" s="173"/>
      <c r="AM767" s="173"/>
      <c r="AN767" s="173"/>
      <c r="AZ767" s="337"/>
      <c r="BL767" s="349"/>
      <c r="BM767" s="300"/>
      <c r="BN767" s="300"/>
      <c r="BO767" s="300"/>
      <c r="BP767" s="300"/>
      <c r="BQ767" s="300"/>
      <c r="BR767" s="300"/>
      <c r="BS767" s="300"/>
      <c r="BT767" s="300"/>
      <c r="BU767" s="300"/>
      <c r="BV767" s="300"/>
      <c r="BW767" s="300"/>
      <c r="BX767" s="300"/>
      <c r="BY767" s="300"/>
      <c r="BZ767" s="300"/>
      <c r="CA767" s="300"/>
      <c r="CB767" s="300"/>
    </row>
    <row r="768" spans="1:80" s="27" customFormat="1" x14ac:dyDescent="0.3">
      <c r="A768" s="173"/>
      <c r="D768" s="173"/>
      <c r="E768" s="173"/>
      <c r="F768" s="173"/>
      <c r="G768" s="173"/>
      <c r="H768" s="173"/>
      <c r="I768" s="173"/>
      <c r="J768" s="173"/>
      <c r="K768" s="173"/>
      <c r="L768" s="173"/>
      <c r="AM768" s="173"/>
      <c r="AN768" s="173"/>
      <c r="AZ768" s="337"/>
      <c r="BL768" s="349"/>
      <c r="BM768" s="300"/>
      <c r="BN768" s="300"/>
      <c r="BO768" s="300"/>
      <c r="BP768" s="300"/>
      <c r="BQ768" s="300"/>
      <c r="BR768" s="300"/>
      <c r="BS768" s="300"/>
      <c r="BT768" s="300"/>
      <c r="BU768" s="300"/>
      <c r="BV768" s="300"/>
      <c r="BW768" s="300"/>
      <c r="BX768" s="300"/>
      <c r="BY768" s="300"/>
      <c r="BZ768" s="300"/>
      <c r="CA768" s="300"/>
      <c r="CB768" s="300"/>
    </row>
    <row r="769" spans="1:80" s="27" customFormat="1" x14ac:dyDescent="0.3">
      <c r="A769" s="173"/>
      <c r="D769" s="173"/>
      <c r="E769" s="173"/>
      <c r="F769" s="173"/>
      <c r="G769" s="173"/>
      <c r="H769" s="173"/>
      <c r="I769" s="173"/>
      <c r="J769" s="173"/>
      <c r="K769" s="173"/>
      <c r="L769" s="173"/>
      <c r="AM769" s="173"/>
      <c r="AN769" s="173"/>
      <c r="AZ769" s="337"/>
      <c r="BL769" s="349"/>
      <c r="BM769" s="300"/>
      <c r="BN769" s="300"/>
      <c r="BO769" s="300"/>
      <c r="BP769" s="300"/>
      <c r="BQ769" s="300"/>
      <c r="BR769" s="300"/>
      <c r="BS769" s="300"/>
      <c r="BT769" s="300"/>
      <c r="BU769" s="300"/>
      <c r="BV769" s="300"/>
      <c r="BW769" s="300"/>
      <c r="BX769" s="300"/>
      <c r="BY769" s="300"/>
      <c r="BZ769" s="300"/>
      <c r="CA769" s="300"/>
      <c r="CB769" s="300"/>
    </row>
    <row r="770" spans="1:80" s="27" customFormat="1" x14ac:dyDescent="0.3">
      <c r="A770" s="173"/>
      <c r="D770" s="173"/>
      <c r="E770" s="173"/>
      <c r="F770" s="173"/>
      <c r="G770" s="173"/>
      <c r="H770" s="173"/>
      <c r="I770" s="173"/>
      <c r="J770" s="173"/>
      <c r="K770" s="173"/>
      <c r="L770" s="173"/>
      <c r="AM770" s="173"/>
      <c r="AN770" s="173"/>
      <c r="AZ770" s="337"/>
      <c r="BL770" s="349"/>
      <c r="BM770" s="300"/>
      <c r="BN770" s="300"/>
      <c r="BO770" s="300"/>
      <c r="BP770" s="300"/>
      <c r="BQ770" s="300"/>
      <c r="BR770" s="300"/>
      <c r="BS770" s="300"/>
      <c r="BT770" s="300"/>
      <c r="BU770" s="300"/>
      <c r="BV770" s="300"/>
      <c r="BW770" s="300"/>
      <c r="BX770" s="300"/>
      <c r="BY770" s="300"/>
      <c r="BZ770" s="300"/>
      <c r="CA770" s="300"/>
      <c r="CB770" s="300"/>
    </row>
    <row r="771" spans="1:80" s="27" customFormat="1" x14ac:dyDescent="0.3">
      <c r="A771" s="173"/>
      <c r="D771" s="173"/>
      <c r="E771" s="173"/>
      <c r="F771" s="173"/>
      <c r="G771" s="173"/>
      <c r="H771" s="173"/>
      <c r="I771" s="173"/>
      <c r="J771" s="173"/>
      <c r="K771" s="173"/>
      <c r="L771" s="173"/>
      <c r="AM771" s="173"/>
      <c r="AN771" s="173"/>
      <c r="AZ771" s="337"/>
      <c r="BL771" s="349"/>
      <c r="BM771" s="300"/>
      <c r="BN771" s="300"/>
      <c r="BO771" s="300"/>
      <c r="BP771" s="300"/>
      <c r="BQ771" s="300"/>
      <c r="BR771" s="300"/>
      <c r="BS771" s="300"/>
      <c r="BT771" s="300"/>
      <c r="BU771" s="300"/>
      <c r="BV771" s="300"/>
      <c r="BW771" s="300"/>
      <c r="BX771" s="300"/>
      <c r="BY771" s="300"/>
      <c r="BZ771" s="300"/>
      <c r="CA771" s="300"/>
      <c r="CB771" s="300"/>
    </row>
    <row r="772" spans="1:80" s="27" customFormat="1" x14ac:dyDescent="0.3">
      <c r="A772" s="173"/>
      <c r="D772" s="173"/>
      <c r="E772" s="173"/>
      <c r="F772" s="173"/>
      <c r="G772" s="173"/>
      <c r="H772" s="173"/>
      <c r="I772" s="173"/>
      <c r="J772" s="173"/>
      <c r="K772" s="173"/>
      <c r="L772" s="173"/>
      <c r="AM772" s="173"/>
      <c r="AN772" s="173"/>
      <c r="AZ772" s="337"/>
      <c r="BL772" s="349"/>
      <c r="BM772" s="300"/>
      <c r="BN772" s="300"/>
      <c r="BO772" s="300"/>
      <c r="BP772" s="300"/>
      <c r="BQ772" s="300"/>
      <c r="BR772" s="300"/>
      <c r="BS772" s="300"/>
      <c r="BT772" s="300"/>
      <c r="BU772" s="300"/>
      <c r="BV772" s="300"/>
      <c r="BW772" s="300"/>
      <c r="BX772" s="300"/>
      <c r="BY772" s="300"/>
      <c r="BZ772" s="300"/>
      <c r="CA772" s="300"/>
      <c r="CB772" s="300"/>
    </row>
    <row r="773" spans="1:80" s="27" customFormat="1" x14ac:dyDescent="0.3">
      <c r="A773" s="173"/>
      <c r="D773" s="173"/>
      <c r="E773" s="173"/>
      <c r="F773" s="173"/>
      <c r="G773" s="173"/>
      <c r="H773" s="173"/>
      <c r="I773" s="173"/>
      <c r="J773" s="173"/>
      <c r="K773" s="173"/>
      <c r="L773" s="173"/>
      <c r="AM773" s="173"/>
      <c r="AN773" s="173"/>
      <c r="AZ773" s="337"/>
      <c r="BL773" s="349"/>
      <c r="BM773" s="300"/>
      <c r="BN773" s="300"/>
      <c r="BO773" s="300"/>
      <c r="BP773" s="300"/>
      <c r="BQ773" s="300"/>
      <c r="BR773" s="300"/>
      <c r="BS773" s="300"/>
      <c r="BT773" s="300"/>
      <c r="BU773" s="300"/>
      <c r="BV773" s="300"/>
      <c r="BW773" s="300"/>
      <c r="BX773" s="300"/>
      <c r="BY773" s="300"/>
      <c r="BZ773" s="300"/>
      <c r="CA773" s="300"/>
      <c r="CB773" s="300"/>
    </row>
    <row r="774" spans="1:80" s="27" customFormat="1" x14ac:dyDescent="0.3">
      <c r="A774" s="173"/>
      <c r="D774" s="173"/>
      <c r="E774" s="173"/>
      <c r="F774" s="173"/>
      <c r="G774" s="173"/>
      <c r="H774" s="173"/>
      <c r="I774" s="173"/>
      <c r="J774" s="173"/>
      <c r="K774" s="173"/>
      <c r="L774" s="173"/>
      <c r="AM774" s="173"/>
      <c r="AN774" s="173"/>
      <c r="AZ774" s="337"/>
      <c r="BL774" s="349"/>
      <c r="BM774" s="300"/>
      <c r="BN774" s="300"/>
      <c r="BO774" s="300"/>
      <c r="BP774" s="300"/>
      <c r="BQ774" s="300"/>
      <c r="BR774" s="300"/>
      <c r="BS774" s="300"/>
      <c r="BT774" s="300"/>
      <c r="BU774" s="300"/>
      <c r="BV774" s="300"/>
      <c r="BW774" s="300"/>
      <c r="BX774" s="300"/>
      <c r="BY774" s="300"/>
      <c r="BZ774" s="300"/>
      <c r="CA774" s="300"/>
      <c r="CB774" s="300"/>
    </row>
    <row r="775" spans="1:80" s="27" customFormat="1" x14ac:dyDescent="0.3">
      <c r="A775" s="173"/>
      <c r="D775" s="173"/>
      <c r="E775" s="173"/>
      <c r="F775" s="173"/>
      <c r="G775" s="173"/>
      <c r="H775" s="173"/>
      <c r="I775" s="173"/>
      <c r="J775" s="173"/>
      <c r="K775" s="173"/>
      <c r="L775" s="173"/>
      <c r="AM775" s="173"/>
      <c r="AN775" s="173"/>
      <c r="AZ775" s="337"/>
      <c r="BL775" s="349"/>
      <c r="BM775" s="300"/>
      <c r="BN775" s="300"/>
      <c r="BO775" s="300"/>
      <c r="BP775" s="300"/>
      <c r="BQ775" s="300"/>
      <c r="BR775" s="300"/>
      <c r="BS775" s="300"/>
      <c r="BT775" s="300"/>
      <c r="BU775" s="300"/>
      <c r="BV775" s="300"/>
      <c r="BW775" s="300"/>
      <c r="BX775" s="300"/>
      <c r="BY775" s="300"/>
      <c r="BZ775" s="300"/>
      <c r="CA775" s="300"/>
      <c r="CB775" s="300"/>
    </row>
    <row r="776" spans="1:80" s="27" customFormat="1" x14ac:dyDescent="0.3">
      <c r="A776" s="173"/>
      <c r="D776" s="173"/>
      <c r="E776" s="173"/>
      <c r="F776" s="173"/>
      <c r="G776" s="173"/>
      <c r="H776" s="173"/>
      <c r="I776" s="173"/>
      <c r="J776" s="173"/>
      <c r="K776" s="173"/>
      <c r="L776" s="173"/>
      <c r="AM776" s="173"/>
      <c r="AN776" s="173"/>
      <c r="AZ776" s="337"/>
      <c r="BL776" s="349"/>
      <c r="BM776" s="300"/>
      <c r="BN776" s="300"/>
      <c r="BO776" s="300"/>
      <c r="BP776" s="300"/>
      <c r="BQ776" s="300"/>
      <c r="BR776" s="300"/>
      <c r="BS776" s="300"/>
      <c r="BT776" s="300"/>
      <c r="BU776" s="300"/>
      <c r="BV776" s="300"/>
      <c r="BW776" s="300"/>
      <c r="BX776" s="300"/>
      <c r="BY776" s="300"/>
      <c r="BZ776" s="300"/>
      <c r="CA776" s="300"/>
      <c r="CB776" s="300"/>
    </row>
    <row r="777" spans="1:80" s="27" customFormat="1" x14ac:dyDescent="0.3">
      <c r="A777" s="173"/>
      <c r="D777" s="173"/>
      <c r="E777" s="173"/>
      <c r="F777" s="173"/>
      <c r="G777" s="173"/>
      <c r="H777" s="173"/>
      <c r="I777" s="173"/>
      <c r="J777" s="173"/>
      <c r="K777" s="173"/>
      <c r="L777" s="173"/>
      <c r="AM777" s="173"/>
      <c r="AN777" s="173"/>
      <c r="AZ777" s="337"/>
      <c r="BL777" s="349"/>
      <c r="BM777" s="300"/>
      <c r="BN777" s="300"/>
      <c r="BO777" s="300"/>
      <c r="BP777" s="300"/>
      <c r="BQ777" s="300"/>
      <c r="BR777" s="300"/>
      <c r="BS777" s="300"/>
      <c r="BT777" s="300"/>
      <c r="BU777" s="300"/>
      <c r="BV777" s="300"/>
      <c r="BW777" s="300"/>
      <c r="BX777" s="300"/>
      <c r="BY777" s="300"/>
      <c r="BZ777" s="300"/>
      <c r="CA777" s="300"/>
      <c r="CB777" s="300"/>
    </row>
    <row r="778" spans="1:80" s="27" customFormat="1" x14ac:dyDescent="0.3">
      <c r="A778" s="173"/>
      <c r="D778" s="173"/>
      <c r="E778" s="173"/>
      <c r="F778" s="173"/>
      <c r="G778" s="173"/>
      <c r="H778" s="173"/>
      <c r="I778" s="173"/>
      <c r="J778" s="173"/>
      <c r="K778" s="173"/>
      <c r="L778" s="173"/>
      <c r="AM778" s="173"/>
      <c r="AN778" s="173"/>
      <c r="AZ778" s="337"/>
      <c r="BL778" s="349"/>
      <c r="BM778" s="300"/>
      <c r="BN778" s="300"/>
      <c r="BO778" s="300"/>
      <c r="BP778" s="300"/>
      <c r="BQ778" s="300"/>
      <c r="BR778" s="300"/>
      <c r="BS778" s="300"/>
      <c r="BT778" s="300"/>
      <c r="BU778" s="300"/>
      <c r="BV778" s="300"/>
      <c r="BW778" s="300"/>
      <c r="BX778" s="300"/>
      <c r="BY778" s="300"/>
      <c r="BZ778" s="300"/>
      <c r="CA778" s="300"/>
      <c r="CB778" s="300"/>
    </row>
    <row r="779" spans="1:80" s="27" customFormat="1" x14ac:dyDescent="0.3">
      <c r="A779" s="173"/>
      <c r="D779" s="173"/>
      <c r="E779" s="173"/>
      <c r="F779" s="173"/>
      <c r="G779" s="173"/>
      <c r="H779" s="173"/>
      <c r="I779" s="173"/>
      <c r="J779" s="173"/>
      <c r="K779" s="173"/>
      <c r="L779" s="173"/>
      <c r="AM779" s="173"/>
      <c r="AN779" s="173"/>
      <c r="AZ779" s="337"/>
      <c r="BL779" s="349"/>
      <c r="BM779" s="300"/>
      <c r="BN779" s="300"/>
      <c r="BO779" s="300"/>
      <c r="BP779" s="300"/>
      <c r="BQ779" s="300"/>
      <c r="BR779" s="300"/>
      <c r="BS779" s="300"/>
      <c r="BT779" s="300"/>
      <c r="BU779" s="300"/>
      <c r="BV779" s="300"/>
      <c r="BW779" s="300"/>
      <c r="BX779" s="300"/>
      <c r="BY779" s="300"/>
      <c r="BZ779" s="300"/>
      <c r="CA779" s="300"/>
      <c r="CB779" s="300"/>
    </row>
    <row r="780" spans="1:80" s="27" customFormat="1" x14ac:dyDescent="0.3">
      <c r="A780" s="173"/>
      <c r="D780" s="173"/>
      <c r="E780" s="173"/>
      <c r="F780" s="173"/>
      <c r="G780" s="173"/>
      <c r="H780" s="173"/>
      <c r="I780" s="173"/>
      <c r="J780" s="173"/>
      <c r="K780" s="173"/>
      <c r="L780" s="173"/>
      <c r="AM780" s="173"/>
      <c r="AN780" s="173"/>
      <c r="AZ780" s="337"/>
      <c r="BL780" s="349"/>
      <c r="BM780" s="300"/>
      <c r="BN780" s="300"/>
      <c r="BO780" s="300"/>
      <c r="BP780" s="300"/>
      <c r="BQ780" s="300"/>
      <c r="BR780" s="300"/>
      <c r="BS780" s="300"/>
      <c r="BT780" s="300"/>
      <c r="BU780" s="300"/>
      <c r="BV780" s="300"/>
      <c r="BW780" s="300"/>
      <c r="BX780" s="300"/>
      <c r="BY780" s="300"/>
      <c r="BZ780" s="300"/>
      <c r="CA780" s="300"/>
      <c r="CB780" s="300"/>
    </row>
    <row r="781" spans="1:80" s="27" customFormat="1" x14ac:dyDescent="0.3">
      <c r="A781" s="173"/>
      <c r="D781" s="173"/>
      <c r="E781" s="173"/>
      <c r="F781" s="173"/>
      <c r="G781" s="173"/>
      <c r="H781" s="173"/>
      <c r="I781" s="173"/>
      <c r="J781" s="173"/>
      <c r="K781" s="173"/>
      <c r="L781" s="173"/>
      <c r="AM781" s="173"/>
      <c r="AN781" s="173"/>
      <c r="AZ781" s="337"/>
      <c r="BL781" s="349"/>
      <c r="BM781" s="300"/>
      <c r="BN781" s="300"/>
      <c r="BO781" s="300"/>
      <c r="BP781" s="300"/>
      <c r="BQ781" s="300"/>
      <c r="BR781" s="300"/>
      <c r="BS781" s="300"/>
      <c r="BT781" s="300"/>
      <c r="BU781" s="300"/>
      <c r="BV781" s="300"/>
      <c r="BW781" s="300"/>
      <c r="BX781" s="300"/>
      <c r="BY781" s="300"/>
      <c r="BZ781" s="300"/>
      <c r="CA781" s="300"/>
      <c r="CB781" s="300"/>
    </row>
    <row r="782" spans="1:80" s="27" customFormat="1" x14ac:dyDescent="0.3">
      <c r="A782" s="173"/>
      <c r="D782" s="173"/>
      <c r="E782" s="173"/>
      <c r="F782" s="173"/>
      <c r="G782" s="173"/>
      <c r="H782" s="173"/>
      <c r="I782" s="173"/>
      <c r="J782" s="173"/>
      <c r="K782" s="173"/>
      <c r="L782" s="173"/>
      <c r="AM782" s="173"/>
      <c r="AN782" s="173"/>
      <c r="AZ782" s="337"/>
      <c r="BL782" s="349"/>
      <c r="BM782" s="300"/>
      <c r="BN782" s="300"/>
      <c r="BO782" s="300"/>
      <c r="BP782" s="300"/>
      <c r="BQ782" s="300"/>
      <c r="BR782" s="300"/>
      <c r="BS782" s="300"/>
      <c r="BT782" s="300"/>
      <c r="BU782" s="300"/>
      <c r="BV782" s="300"/>
      <c r="BW782" s="300"/>
      <c r="BX782" s="300"/>
      <c r="BY782" s="300"/>
      <c r="BZ782" s="300"/>
      <c r="CA782" s="300"/>
      <c r="CB782" s="300"/>
    </row>
    <row r="783" spans="1:80" s="27" customFormat="1" x14ac:dyDescent="0.3">
      <c r="A783" s="173"/>
      <c r="D783" s="173"/>
      <c r="E783" s="173"/>
      <c r="F783" s="173"/>
      <c r="G783" s="173"/>
      <c r="H783" s="173"/>
      <c r="I783" s="173"/>
      <c r="J783" s="173"/>
      <c r="K783" s="173"/>
      <c r="L783" s="173"/>
      <c r="AM783" s="173"/>
      <c r="AN783" s="173"/>
      <c r="AZ783" s="337"/>
      <c r="BL783" s="349"/>
      <c r="BM783" s="300"/>
      <c r="BN783" s="300"/>
      <c r="BO783" s="300"/>
      <c r="BP783" s="300"/>
      <c r="BQ783" s="300"/>
      <c r="BR783" s="300"/>
      <c r="BS783" s="300"/>
      <c r="BT783" s="300"/>
      <c r="BU783" s="300"/>
      <c r="BV783" s="300"/>
      <c r="BW783" s="300"/>
      <c r="BX783" s="300"/>
      <c r="BY783" s="300"/>
      <c r="BZ783" s="300"/>
      <c r="CA783" s="300"/>
      <c r="CB783" s="300"/>
    </row>
    <row r="784" spans="1:80" s="27" customFormat="1" x14ac:dyDescent="0.3">
      <c r="A784" s="173"/>
      <c r="D784" s="173"/>
      <c r="E784" s="173"/>
      <c r="F784" s="173"/>
      <c r="G784" s="173"/>
      <c r="H784" s="173"/>
      <c r="I784" s="173"/>
      <c r="J784" s="173"/>
      <c r="K784" s="173"/>
      <c r="L784" s="173"/>
      <c r="AM784" s="173"/>
      <c r="AN784" s="173"/>
      <c r="AZ784" s="337"/>
      <c r="BL784" s="349"/>
      <c r="BM784" s="300"/>
      <c r="BN784" s="300"/>
      <c r="BO784" s="300"/>
      <c r="BP784" s="300"/>
      <c r="BQ784" s="300"/>
      <c r="BR784" s="300"/>
      <c r="BS784" s="300"/>
      <c r="BT784" s="300"/>
      <c r="BU784" s="300"/>
      <c r="BV784" s="300"/>
      <c r="BW784" s="300"/>
      <c r="BX784" s="300"/>
      <c r="BY784" s="300"/>
      <c r="BZ784" s="300"/>
      <c r="CA784" s="300"/>
      <c r="CB784" s="300"/>
    </row>
    <row r="785" spans="1:80" s="27" customFormat="1" x14ac:dyDescent="0.3">
      <c r="A785" s="173"/>
      <c r="D785" s="173"/>
      <c r="E785" s="173"/>
      <c r="F785" s="173"/>
      <c r="G785" s="173"/>
      <c r="H785" s="173"/>
      <c r="I785" s="173"/>
      <c r="J785" s="173"/>
      <c r="K785" s="173"/>
      <c r="L785" s="173"/>
      <c r="AM785" s="173"/>
      <c r="AN785" s="173"/>
      <c r="AZ785" s="337"/>
      <c r="BL785" s="349"/>
      <c r="BM785" s="300"/>
      <c r="BN785" s="300"/>
      <c r="BO785" s="300"/>
      <c r="BP785" s="300"/>
      <c r="BQ785" s="300"/>
      <c r="BR785" s="300"/>
      <c r="BS785" s="300"/>
      <c r="BT785" s="300"/>
      <c r="BU785" s="300"/>
      <c r="BV785" s="300"/>
      <c r="BW785" s="300"/>
      <c r="BX785" s="300"/>
      <c r="BY785" s="300"/>
      <c r="BZ785" s="300"/>
      <c r="CA785" s="300"/>
      <c r="CB785" s="300"/>
    </row>
    <row r="786" spans="1:80" s="27" customFormat="1" x14ac:dyDescent="0.3">
      <c r="A786" s="173"/>
      <c r="D786" s="173"/>
      <c r="E786" s="173"/>
      <c r="F786" s="173"/>
      <c r="G786" s="173"/>
      <c r="H786" s="173"/>
      <c r="I786" s="173"/>
      <c r="J786" s="173"/>
      <c r="K786" s="173"/>
      <c r="L786" s="173"/>
      <c r="AM786" s="173"/>
      <c r="AN786" s="173"/>
      <c r="AZ786" s="337"/>
      <c r="BL786" s="349"/>
      <c r="BM786" s="300"/>
      <c r="BN786" s="300"/>
      <c r="BO786" s="300"/>
      <c r="BP786" s="300"/>
      <c r="BQ786" s="300"/>
      <c r="BR786" s="300"/>
      <c r="BS786" s="300"/>
      <c r="BT786" s="300"/>
      <c r="BU786" s="300"/>
      <c r="BV786" s="300"/>
      <c r="BW786" s="300"/>
      <c r="BX786" s="300"/>
      <c r="BY786" s="300"/>
      <c r="BZ786" s="300"/>
      <c r="CA786" s="300"/>
      <c r="CB786" s="300"/>
    </row>
    <row r="787" spans="1:80" s="27" customFormat="1" x14ac:dyDescent="0.3">
      <c r="A787" s="173"/>
      <c r="D787" s="173"/>
      <c r="E787" s="173"/>
      <c r="F787" s="173"/>
      <c r="G787" s="173"/>
      <c r="H787" s="173"/>
      <c r="I787" s="173"/>
      <c r="J787" s="173"/>
      <c r="K787" s="173"/>
      <c r="L787" s="173"/>
      <c r="AM787" s="173"/>
      <c r="AN787" s="173"/>
      <c r="AZ787" s="337"/>
      <c r="BL787" s="349"/>
      <c r="BM787" s="300"/>
      <c r="BN787" s="300"/>
      <c r="BO787" s="300"/>
      <c r="BP787" s="300"/>
      <c r="BQ787" s="300"/>
      <c r="BR787" s="300"/>
      <c r="BS787" s="300"/>
      <c r="BT787" s="300"/>
      <c r="BU787" s="300"/>
      <c r="BV787" s="300"/>
      <c r="BW787" s="300"/>
      <c r="BX787" s="300"/>
      <c r="BY787" s="300"/>
      <c r="BZ787" s="300"/>
      <c r="CA787" s="300"/>
      <c r="CB787" s="300"/>
    </row>
    <row r="788" spans="1:80" s="27" customFormat="1" x14ac:dyDescent="0.3">
      <c r="A788" s="173"/>
      <c r="D788" s="173"/>
      <c r="E788" s="173"/>
      <c r="F788" s="173"/>
      <c r="G788" s="173"/>
      <c r="H788" s="173"/>
      <c r="I788" s="173"/>
      <c r="J788" s="173"/>
      <c r="K788" s="173"/>
      <c r="L788" s="173"/>
      <c r="AM788" s="173"/>
      <c r="AN788" s="173"/>
      <c r="AZ788" s="337"/>
      <c r="BL788" s="349"/>
      <c r="BM788" s="300"/>
      <c r="BN788" s="300"/>
      <c r="BO788" s="300"/>
      <c r="BP788" s="300"/>
      <c r="BQ788" s="300"/>
      <c r="BR788" s="300"/>
      <c r="BS788" s="300"/>
      <c r="BT788" s="300"/>
      <c r="BU788" s="300"/>
      <c r="BV788" s="300"/>
      <c r="BW788" s="300"/>
      <c r="BX788" s="300"/>
      <c r="BY788" s="300"/>
      <c r="BZ788" s="300"/>
      <c r="CA788" s="300"/>
      <c r="CB788" s="300"/>
    </row>
    <row r="789" spans="1:80" s="27" customFormat="1" x14ac:dyDescent="0.3">
      <c r="A789" s="173"/>
      <c r="D789" s="173"/>
      <c r="E789" s="173"/>
      <c r="F789" s="173"/>
      <c r="G789" s="173"/>
      <c r="H789" s="173"/>
      <c r="I789" s="173"/>
      <c r="J789" s="173"/>
      <c r="K789" s="173"/>
      <c r="L789" s="173"/>
      <c r="AM789" s="173"/>
      <c r="AN789" s="173"/>
      <c r="AZ789" s="337"/>
      <c r="BL789" s="349"/>
      <c r="BM789" s="300"/>
      <c r="BN789" s="300"/>
      <c r="BO789" s="300"/>
      <c r="BP789" s="300"/>
      <c r="BQ789" s="300"/>
      <c r="BR789" s="300"/>
      <c r="BS789" s="300"/>
      <c r="BT789" s="300"/>
      <c r="BU789" s="300"/>
      <c r="BV789" s="300"/>
      <c r="BW789" s="300"/>
      <c r="BX789" s="300"/>
      <c r="BY789" s="300"/>
      <c r="BZ789" s="300"/>
      <c r="CA789" s="300"/>
      <c r="CB789" s="300"/>
    </row>
    <row r="790" spans="1:80" s="27" customFormat="1" x14ac:dyDescent="0.3">
      <c r="A790" s="173"/>
      <c r="D790" s="173"/>
      <c r="E790" s="173"/>
      <c r="F790" s="173"/>
      <c r="G790" s="173"/>
      <c r="H790" s="173"/>
      <c r="I790" s="173"/>
      <c r="J790" s="173"/>
      <c r="K790" s="173"/>
      <c r="L790" s="173"/>
      <c r="AM790" s="173"/>
      <c r="AN790" s="173"/>
      <c r="AZ790" s="337"/>
      <c r="BL790" s="349"/>
      <c r="BM790" s="300"/>
      <c r="BN790" s="300"/>
      <c r="BO790" s="300"/>
      <c r="BP790" s="300"/>
      <c r="BQ790" s="300"/>
      <c r="BR790" s="300"/>
      <c r="BS790" s="300"/>
      <c r="BT790" s="300"/>
      <c r="BU790" s="300"/>
      <c r="BV790" s="300"/>
      <c r="BW790" s="300"/>
      <c r="BX790" s="300"/>
      <c r="BY790" s="300"/>
      <c r="BZ790" s="300"/>
      <c r="CA790" s="300"/>
      <c r="CB790" s="300"/>
    </row>
    <row r="791" spans="1:80" s="27" customFormat="1" x14ac:dyDescent="0.3">
      <c r="A791" s="173"/>
      <c r="D791" s="173"/>
      <c r="E791" s="173"/>
      <c r="F791" s="173"/>
      <c r="G791" s="173"/>
      <c r="H791" s="173"/>
      <c r="I791" s="173"/>
      <c r="J791" s="173"/>
      <c r="K791" s="173"/>
      <c r="L791" s="173"/>
      <c r="AM791" s="173"/>
      <c r="AN791" s="173"/>
      <c r="AZ791" s="337"/>
      <c r="BL791" s="349"/>
      <c r="BM791" s="300"/>
      <c r="BN791" s="300"/>
      <c r="BO791" s="300"/>
      <c r="BP791" s="300"/>
      <c r="BQ791" s="300"/>
      <c r="BR791" s="300"/>
      <c r="BS791" s="300"/>
      <c r="BT791" s="300"/>
      <c r="BU791" s="300"/>
      <c r="BV791" s="300"/>
      <c r="BW791" s="300"/>
      <c r="BX791" s="300"/>
      <c r="BY791" s="300"/>
      <c r="BZ791" s="300"/>
      <c r="CA791" s="300"/>
      <c r="CB791" s="300"/>
    </row>
    <row r="792" spans="1:80" s="27" customFormat="1" x14ac:dyDescent="0.3">
      <c r="A792" s="173"/>
      <c r="D792" s="173"/>
      <c r="E792" s="173"/>
      <c r="F792" s="173"/>
      <c r="G792" s="173"/>
      <c r="H792" s="173"/>
      <c r="I792" s="173"/>
      <c r="J792" s="173"/>
      <c r="K792" s="173"/>
      <c r="L792" s="173"/>
      <c r="AM792" s="173"/>
      <c r="AN792" s="173"/>
      <c r="AZ792" s="337"/>
      <c r="BL792" s="349"/>
      <c r="BM792" s="300"/>
      <c r="BN792" s="300"/>
      <c r="BO792" s="300"/>
      <c r="BP792" s="300"/>
      <c r="BQ792" s="300"/>
      <c r="BR792" s="300"/>
      <c r="BS792" s="300"/>
      <c r="BT792" s="300"/>
      <c r="BU792" s="300"/>
      <c r="BV792" s="300"/>
      <c r="BW792" s="300"/>
      <c r="BX792" s="300"/>
      <c r="BY792" s="300"/>
      <c r="BZ792" s="300"/>
      <c r="CA792" s="300"/>
      <c r="CB792" s="300"/>
    </row>
    <row r="793" spans="1:80" s="27" customFormat="1" x14ac:dyDescent="0.3">
      <c r="A793" s="173"/>
      <c r="D793" s="173"/>
      <c r="E793" s="173"/>
      <c r="F793" s="173"/>
      <c r="G793" s="173"/>
      <c r="H793" s="173"/>
      <c r="I793" s="173"/>
      <c r="J793" s="173"/>
      <c r="K793" s="173"/>
      <c r="L793" s="173"/>
      <c r="AM793" s="173"/>
      <c r="AN793" s="173"/>
      <c r="AZ793" s="337"/>
      <c r="BL793" s="349"/>
      <c r="BM793" s="300"/>
      <c r="BN793" s="300"/>
      <c r="BO793" s="300"/>
      <c r="BP793" s="300"/>
      <c r="BQ793" s="300"/>
      <c r="BR793" s="300"/>
      <c r="BS793" s="300"/>
      <c r="BT793" s="300"/>
      <c r="BU793" s="300"/>
      <c r="BV793" s="300"/>
      <c r="BW793" s="300"/>
      <c r="BX793" s="300"/>
      <c r="BY793" s="300"/>
      <c r="BZ793" s="300"/>
      <c r="CA793" s="300"/>
      <c r="CB793" s="300"/>
    </row>
    <row r="794" spans="1:80" s="27" customFormat="1" x14ac:dyDescent="0.3">
      <c r="A794" s="173"/>
      <c r="D794" s="173"/>
      <c r="E794" s="173"/>
      <c r="F794" s="173"/>
      <c r="G794" s="173"/>
      <c r="H794" s="173"/>
      <c r="I794" s="173"/>
      <c r="J794" s="173"/>
      <c r="K794" s="173"/>
      <c r="L794" s="173"/>
      <c r="AM794" s="173"/>
      <c r="AN794" s="173"/>
      <c r="AZ794" s="337"/>
      <c r="BL794" s="349"/>
      <c r="BM794" s="300"/>
      <c r="BN794" s="300"/>
      <c r="BO794" s="300"/>
      <c r="BP794" s="300"/>
      <c r="BQ794" s="300"/>
      <c r="BR794" s="300"/>
      <c r="BS794" s="300"/>
      <c r="BT794" s="300"/>
      <c r="BU794" s="300"/>
      <c r="BV794" s="300"/>
      <c r="BW794" s="300"/>
      <c r="BX794" s="300"/>
      <c r="BY794" s="300"/>
      <c r="BZ794" s="300"/>
      <c r="CA794" s="300"/>
      <c r="CB794" s="300"/>
    </row>
    <row r="795" spans="1:80" s="27" customFormat="1" x14ac:dyDescent="0.3">
      <c r="A795" s="173"/>
      <c r="D795" s="173"/>
      <c r="E795" s="173"/>
      <c r="F795" s="173"/>
      <c r="G795" s="173"/>
      <c r="H795" s="173"/>
      <c r="I795" s="173"/>
      <c r="J795" s="173"/>
      <c r="K795" s="173"/>
      <c r="L795" s="173"/>
      <c r="AM795" s="173"/>
      <c r="AN795" s="173"/>
      <c r="AZ795" s="337"/>
      <c r="BL795" s="349"/>
      <c r="BM795" s="300"/>
      <c r="BN795" s="300"/>
      <c r="BO795" s="300"/>
      <c r="BP795" s="300"/>
      <c r="BQ795" s="300"/>
      <c r="BR795" s="300"/>
      <c r="BS795" s="300"/>
      <c r="BT795" s="300"/>
      <c r="BU795" s="300"/>
      <c r="BV795" s="300"/>
      <c r="BW795" s="300"/>
      <c r="BX795" s="300"/>
      <c r="BY795" s="300"/>
      <c r="BZ795" s="300"/>
      <c r="CA795" s="300"/>
      <c r="CB795" s="300"/>
    </row>
    <row r="796" spans="1:80" s="27" customFormat="1" x14ac:dyDescent="0.3">
      <c r="A796" s="173"/>
      <c r="D796" s="173"/>
      <c r="E796" s="173"/>
      <c r="F796" s="173"/>
      <c r="G796" s="173"/>
      <c r="H796" s="173"/>
      <c r="I796" s="173"/>
      <c r="J796" s="173"/>
      <c r="K796" s="173"/>
      <c r="L796" s="173"/>
      <c r="AM796" s="173"/>
      <c r="AN796" s="173"/>
      <c r="AZ796" s="337"/>
      <c r="BL796" s="349"/>
      <c r="BM796" s="300"/>
      <c r="BN796" s="300"/>
      <c r="BO796" s="300"/>
      <c r="BP796" s="300"/>
      <c r="BQ796" s="300"/>
      <c r="BR796" s="300"/>
      <c r="BS796" s="300"/>
      <c r="BT796" s="300"/>
      <c r="BU796" s="300"/>
      <c r="BV796" s="300"/>
      <c r="BW796" s="300"/>
      <c r="BX796" s="300"/>
      <c r="BY796" s="300"/>
      <c r="BZ796" s="300"/>
      <c r="CA796" s="300"/>
      <c r="CB796" s="300"/>
    </row>
    <row r="797" spans="1:80" s="27" customFormat="1" x14ac:dyDescent="0.3">
      <c r="A797" s="173"/>
      <c r="D797" s="173"/>
      <c r="E797" s="173"/>
      <c r="F797" s="173"/>
      <c r="G797" s="173"/>
      <c r="H797" s="173"/>
      <c r="I797" s="173"/>
      <c r="J797" s="173"/>
      <c r="K797" s="173"/>
      <c r="L797" s="173"/>
      <c r="AM797" s="173"/>
      <c r="AN797" s="173"/>
      <c r="AZ797" s="337"/>
      <c r="BL797" s="349"/>
      <c r="BM797" s="300"/>
      <c r="BN797" s="300"/>
      <c r="BO797" s="300"/>
      <c r="BP797" s="300"/>
      <c r="BQ797" s="300"/>
      <c r="BR797" s="300"/>
      <c r="BS797" s="300"/>
      <c r="BT797" s="300"/>
      <c r="BU797" s="300"/>
      <c r="BV797" s="300"/>
      <c r="BW797" s="300"/>
      <c r="BX797" s="300"/>
      <c r="BY797" s="300"/>
      <c r="BZ797" s="300"/>
      <c r="CA797" s="300"/>
      <c r="CB797" s="300"/>
    </row>
    <row r="798" spans="1:80" s="27" customFormat="1" x14ac:dyDescent="0.3">
      <c r="A798" s="173"/>
      <c r="D798" s="173"/>
      <c r="E798" s="173"/>
      <c r="F798" s="173"/>
      <c r="G798" s="173"/>
      <c r="H798" s="173"/>
      <c r="I798" s="173"/>
      <c r="J798" s="173"/>
      <c r="K798" s="173"/>
      <c r="L798" s="173"/>
      <c r="AM798" s="173"/>
      <c r="AN798" s="173"/>
      <c r="AZ798" s="337"/>
      <c r="BL798" s="349"/>
      <c r="BM798" s="300"/>
      <c r="BN798" s="300"/>
      <c r="BO798" s="300"/>
      <c r="BP798" s="300"/>
      <c r="BQ798" s="300"/>
      <c r="BR798" s="300"/>
      <c r="BS798" s="300"/>
      <c r="BT798" s="300"/>
      <c r="BU798" s="300"/>
      <c r="BV798" s="300"/>
      <c r="BW798" s="300"/>
      <c r="BX798" s="300"/>
      <c r="BY798" s="300"/>
      <c r="BZ798" s="300"/>
      <c r="CA798" s="300"/>
      <c r="CB798" s="300"/>
    </row>
    <row r="799" spans="1:80" s="27" customFormat="1" x14ac:dyDescent="0.3">
      <c r="A799" s="173"/>
      <c r="D799" s="173"/>
      <c r="E799" s="173"/>
      <c r="F799" s="173"/>
      <c r="G799" s="173"/>
      <c r="H799" s="173"/>
      <c r="I799" s="173"/>
      <c r="J799" s="173"/>
      <c r="K799" s="173"/>
      <c r="L799" s="173"/>
      <c r="AM799" s="173"/>
      <c r="AN799" s="173"/>
      <c r="AZ799" s="337"/>
      <c r="BL799" s="349"/>
      <c r="BM799" s="300"/>
      <c r="BN799" s="300"/>
      <c r="BO799" s="300"/>
      <c r="BP799" s="300"/>
      <c r="BQ799" s="300"/>
      <c r="BR799" s="300"/>
      <c r="BS799" s="300"/>
      <c r="BT799" s="300"/>
      <c r="BU799" s="300"/>
      <c r="BV799" s="300"/>
      <c r="BW799" s="300"/>
      <c r="BX799" s="300"/>
      <c r="BY799" s="300"/>
      <c r="BZ799" s="300"/>
      <c r="CA799" s="300"/>
      <c r="CB799" s="300"/>
    </row>
    <row r="800" spans="1:80" s="27" customFormat="1" x14ac:dyDescent="0.3">
      <c r="A800" s="173"/>
      <c r="D800" s="173"/>
      <c r="E800" s="173"/>
      <c r="F800" s="173"/>
      <c r="G800" s="173"/>
      <c r="H800" s="173"/>
      <c r="I800" s="173"/>
      <c r="J800" s="173"/>
      <c r="K800" s="173"/>
      <c r="L800" s="173"/>
      <c r="AM800" s="173"/>
      <c r="AN800" s="173"/>
      <c r="AZ800" s="337"/>
      <c r="BL800" s="349"/>
      <c r="BM800" s="300"/>
      <c r="BN800" s="300"/>
      <c r="BO800" s="300"/>
      <c r="BP800" s="300"/>
      <c r="BQ800" s="300"/>
      <c r="BR800" s="300"/>
      <c r="BS800" s="300"/>
      <c r="BT800" s="300"/>
      <c r="BU800" s="300"/>
      <c r="BV800" s="300"/>
      <c r="BW800" s="300"/>
      <c r="BX800" s="300"/>
      <c r="BY800" s="300"/>
      <c r="BZ800" s="300"/>
      <c r="CA800" s="300"/>
      <c r="CB800" s="300"/>
    </row>
    <row r="801" spans="1:80" s="27" customFormat="1" x14ac:dyDescent="0.3">
      <c r="A801" s="173"/>
      <c r="D801" s="173"/>
      <c r="E801" s="173"/>
      <c r="F801" s="173"/>
      <c r="G801" s="173"/>
      <c r="H801" s="173"/>
      <c r="I801" s="173"/>
      <c r="J801" s="173"/>
      <c r="K801" s="173"/>
      <c r="L801" s="173"/>
      <c r="AM801" s="173"/>
      <c r="AN801" s="173"/>
      <c r="AZ801" s="337"/>
      <c r="BL801" s="349"/>
      <c r="BM801" s="300"/>
      <c r="BN801" s="300"/>
      <c r="BO801" s="300"/>
      <c r="BP801" s="300"/>
      <c r="BQ801" s="300"/>
      <c r="BR801" s="300"/>
      <c r="BS801" s="300"/>
      <c r="BT801" s="300"/>
      <c r="BU801" s="300"/>
      <c r="BV801" s="300"/>
      <c r="BW801" s="300"/>
      <c r="BX801" s="300"/>
      <c r="BY801" s="300"/>
      <c r="BZ801" s="300"/>
      <c r="CA801" s="300"/>
      <c r="CB801" s="300"/>
    </row>
    <row r="802" spans="1:80" s="27" customFormat="1" x14ac:dyDescent="0.3">
      <c r="A802" s="173"/>
      <c r="D802" s="173"/>
      <c r="E802" s="173"/>
      <c r="F802" s="173"/>
      <c r="G802" s="173"/>
      <c r="H802" s="173"/>
      <c r="I802" s="173"/>
      <c r="J802" s="173"/>
      <c r="K802" s="173"/>
      <c r="L802" s="173"/>
      <c r="AM802" s="173"/>
      <c r="AN802" s="173"/>
      <c r="AZ802" s="337"/>
      <c r="BL802" s="349"/>
      <c r="BM802" s="300"/>
      <c r="BN802" s="300"/>
      <c r="BO802" s="300"/>
      <c r="BP802" s="300"/>
      <c r="BQ802" s="300"/>
      <c r="BR802" s="300"/>
      <c r="BS802" s="300"/>
      <c r="BT802" s="300"/>
      <c r="BU802" s="300"/>
      <c r="BV802" s="300"/>
      <c r="BW802" s="300"/>
      <c r="BX802" s="300"/>
      <c r="BY802" s="300"/>
      <c r="BZ802" s="300"/>
      <c r="CA802" s="300"/>
      <c r="CB802" s="300"/>
    </row>
    <row r="803" spans="1:80" s="27" customFormat="1" x14ac:dyDescent="0.3">
      <c r="A803" s="173"/>
      <c r="D803" s="173"/>
      <c r="E803" s="173"/>
      <c r="F803" s="173"/>
      <c r="G803" s="173"/>
      <c r="H803" s="173"/>
      <c r="I803" s="173"/>
      <c r="J803" s="173"/>
      <c r="K803" s="173"/>
      <c r="L803" s="173"/>
      <c r="AM803" s="173"/>
      <c r="AN803" s="173"/>
      <c r="AZ803" s="337"/>
      <c r="BL803" s="349"/>
      <c r="BM803" s="300"/>
      <c r="BN803" s="300"/>
      <c r="BO803" s="300"/>
      <c r="BP803" s="300"/>
      <c r="BQ803" s="300"/>
      <c r="BR803" s="300"/>
      <c r="BS803" s="300"/>
      <c r="BT803" s="300"/>
      <c r="BU803" s="300"/>
      <c r="BV803" s="300"/>
      <c r="BW803" s="300"/>
      <c r="BX803" s="300"/>
      <c r="BY803" s="300"/>
      <c r="BZ803" s="300"/>
      <c r="CA803" s="300"/>
      <c r="CB803" s="300"/>
    </row>
    <row r="804" spans="1:80" s="27" customFormat="1" x14ac:dyDescent="0.3">
      <c r="A804" s="173"/>
      <c r="D804" s="173"/>
      <c r="E804" s="173"/>
      <c r="F804" s="173"/>
      <c r="G804" s="173"/>
      <c r="H804" s="173"/>
      <c r="I804" s="173"/>
      <c r="J804" s="173"/>
      <c r="K804" s="173"/>
      <c r="L804" s="173"/>
      <c r="AM804" s="173"/>
      <c r="AN804" s="173"/>
      <c r="AZ804" s="337"/>
      <c r="BL804" s="349"/>
      <c r="BM804" s="300"/>
      <c r="BN804" s="300"/>
      <c r="BO804" s="300"/>
      <c r="BP804" s="300"/>
      <c r="BQ804" s="300"/>
      <c r="BR804" s="300"/>
      <c r="BS804" s="300"/>
      <c r="BT804" s="300"/>
      <c r="BU804" s="300"/>
      <c r="BV804" s="300"/>
      <c r="BW804" s="300"/>
      <c r="BX804" s="300"/>
      <c r="BY804" s="300"/>
      <c r="BZ804" s="300"/>
      <c r="CA804" s="300"/>
      <c r="CB804" s="300"/>
    </row>
    <row r="805" spans="1:80" s="27" customFormat="1" x14ac:dyDescent="0.3">
      <c r="A805" s="173"/>
      <c r="D805" s="173"/>
      <c r="E805" s="173"/>
      <c r="F805" s="173"/>
      <c r="G805" s="173"/>
      <c r="H805" s="173"/>
      <c r="I805" s="173"/>
      <c r="J805" s="173"/>
      <c r="K805" s="173"/>
      <c r="L805" s="173"/>
      <c r="AM805" s="173"/>
      <c r="AN805" s="173"/>
      <c r="AZ805" s="337"/>
      <c r="BL805" s="349"/>
      <c r="BM805" s="300"/>
      <c r="BN805" s="300"/>
      <c r="BO805" s="300"/>
      <c r="BP805" s="300"/>
      <c r="BQ805" s="300"/>
      <c r="BR805" s="300"/>
      <c r="BS805" s="300"/>
      <c r="BT805" s="300"/>
      <c r="BU805" s="300"/>
      <c r="BV805" s="300"/>
      <c r="BW805" s="300"/>
      <c r="BX805" s="300"/>
      <c r="BY805" s="300"/>
      <c r="BZ805" s="300"/>
      <c r="CA805" s="300"/>
      <c r="CB805" s="300"/>
    </row>
    <row r="806" spans="1:80" s="27" customFormat="1" x14ac:dyDescent="0.3">
      <c r="A806" s="173"/>
      <c r="D806" s="173"/>
      <c r="E806" s="173"/>
      <c r="F806" s="173"/>
      <c r="G806" s="173"/>
      <c r="H806" s="173"/>
      <c r="I806" s="173"/>
      <c r="J806" s="173"/>
      <c r="K806" s="173"/>
      <c r="L806" s="173"/>
      <c r="AM806" s="173"/>
      <c r="AN806" s="173"/>
      <c r="AZ806" s="337"/>
      <c r="BL806" s="349"/>
      <c r="BM806" s="300"/>
      <c r="BN806" s="300"/>
      <c r="BO806" s="300"/>
      <c r="BP806" s="300"/>
      <c r="BQ806" s="300"/>
      <c r="BR806" s="300"/>
      <c r="BS806" s="300"/>
      <c r="BT806" s="300"/>
      <c r="BU806" s="300"/>
      <c r="BV806" s="300"/>
      <c r="BW806" s="300"/>
      <c r="BX806" s="300"/>
      <c r="BY806" s="300"/>
      <c r="BZ806" s="300"/>
      <c r="CA806" s="300"/>
      <c r="CB806" s="300"/>
    </row>
    <row r="807" spans="1:80" s="27" customFormat="1" x14ac:dyDescent="0.3">
      <c r="A807" s="173"/>
      <c r="D807" s="173"/>
      <c r="E807" s="173"/>
      <c r="F807" s="173"/>
      <c r="G807" s="173"/>
      <c r="H807" s="173"/>
      <c r="I807" s="173"/>
      <c r="J807" s="173"/>
      <c r="K807" s="173"/>
      <c r="L807" s="173"/>
      <c r="AM807" s="173"/>
      <c r="AN807" s="173"/>
      <c r="AZ807" s="337"/>
      <c r="BL807" s="349"/>
      <c r="BM807" s="300"/>
      <c r="BN807" s="300"/>
      <c r="BO807" s="300"/>
      <c r="BP807" s="300"/>
      <c r="BQ807" s="300"/>
      <c r="BR807" s="300"/>
      <c r="BS807" s="300"/>
      <c r="BT807" s="300"/>
      <c r="BU807" s="300"/>
      <c r="BV807" s="300"/>
      <c r="BW807" s="300"/>
      <c r="BX807" s="300"/>
      <c r="BY807" s="300"/>
      <c r="BZ807" s="300"/>
      <c r="CA807" s="300"/>
      <c r="CB807" s="300"/>
    </row>
    <row r="808" spans="1:80" s="27" customFormat="1" x14ac:dyDescent="0.3">
      <c r="A808" s="173"/>
      <c r="D808" s="173"/>
      <c r="E808" s="173"/>
      <c r="F808" s="173"/>
      <c r="G808" s="173"/>
      <c r="H808" s="173"/>
      <c r="I808" s="173"/>
      <c r="J808" s="173"/>
      <c r="K808" s="173"/>
      <c r="L808" s="173"/>
      <c r="AM808" s="173"/>
      <c r="AN808" s="173"/>
      <c r="AZ808" s="337"/>
      <c r="BL808" s="349"/>
      <c r="BM808" s="300"/>
      <c r="BN808" s="300"/>
      <c r="BO808" s="300"/>
      <c r="BP808" s="300"/>
      <c r="BQ808" s="300"/>
      <c r="BR808" s="300"/>
      <c r="BS808" s="300"/>
      <c r="BT808" s="300"/>
      <c r="BU808" s="300"/>
      <c r="BV808" s="300"/>
      <c r="BW808" s="300"/>
      <c r="BX808" s="300"/>
      <c r="BY808" s="300"/>
      <c r="BZ808" s="300"/>
      <c r="CA808" s="300"/>
      <c r="CB808" s="300"/>
    </row>
    <row r="809" spans="1:80" s="27" customFormat="1" x14ac:dyDescent="0.3">
      <c r="A809" s="173"/>
      <c r="D809" s="173"/>
      <c r="E809" s="173"/>
      <c r="F809" s="173"/>
      <c r="G809" s="173"/>
      <c r="H809" s="173"/>
      <c r="I809" s="173"/>
      <c r="J809" s="173"/>
      <c r="K809" s="173"/>
      <c r="L809" s="173"/>
      <c r="AM809" s="173"/>
      <c r="AN809" s="173"/>
      <c r="AZ809" s="337"/>
      <c r="BL809" s="349"/>
      <c r="BM809" s="300"/>
      <c r="BN809" s="300"/>
      <c r="BO809" s="300"/>
      <c r="BP809" s="300"/>
      <c r="BQ809" s="300"/>
      <c r="BR809" s="300"/>
      <c r="BS809" s="300"/>
      <c r="BT809" s="300"/>
      <c r="BU809" s="300"/>
      <c r="BV809" s="300"/>
      <c r="BW809" s="300"/>
      <c r="BX809" s="300"/>
      <c r="BY809" s="300"/>
      <c r="BZ809" s="300"/>
      <c r="CA809" s="300"/>
      <c r="CB809" s="300"/>
    </row>
    <row r="810" spans="1:80" s="27" customFormat="1" x14ac:dyDescent="0.3">
      <c r="A810" s="173"/>
      <c r="D810" s="173"/>
      <c r="E810" s="173"/>
      <c r="F810" s="173"/>
      <c r="G810" s="173"/>
      <c r="H810" s="173"/>
      <c r="I810" s="173"/>
      <c r="J810" s="173"/>
      <c r="K810" s="173"/>
      <c r="L810" s="173"/>
      <c r="AM810" s="173"/>
      <c r="AN810" s="173"/>
      <c r="AZ810" s="337"/>
      <c r="BL810" s="349"/>
      <c r="BM810" s="300"/>
      <c r="BN810" s="300"/>
      <c r="BO810" s="300"/>
      <c r="BP810" s="300"/>
      <c r="BQ810" s="300"/>
      <c r="BR810" s="300"/>
      <c r="BS810" s="300"/>
      <c r="BT810" s="300"/>
      <c r="BU810" s="300"/>
      <c r="BV810" s="300"/>
      <c r="BW810" s="300"/>
      <c r="BX810" s="300"/>
      <c r="BY810" s="300"/>
      <c r="BZ810" s="300"/>
      <c r="CA810" s="300"/>
      <c r="CB810" s="300"/>
    </row>
    <row r="811" spans="1:80" s="27" customFormat="1" x14ac:dyDescent="0.3">
      <c r="A811" s="173"/>
      <c r="D811" s="173"/>
      <c r="E811" s="173"/>
      <c r="F811" s="173"/>
      <c r="G811" s="173"/>
      <c r="H811" s="173"/>
      <c r="I811" s="173"/>
      <c r="J811" s="173"/>
      <c r="K811" s="173"/>
      <c r="L811" s="173"/>
      <c r="AM811" s="173"/>
      <c r="AN811" s="173"/>
      <c r="AZ811" s="337"/>
      <c r="BL811" s="349"/>
      <c r="BM811" s="300"/>
      <c r="BN811" s="300"/>
      <c r="BO811" s="300"/>
      <c r="BP811" s="300"/>
      <c r="BQ811" s="300"/>
      <c r="BR811" s="300"/>
      <c r="BS811" s="300"/>
      <c r="BT811" s="300"/>
      <c r="BU811" s="300"/>
      <c r="BV811" s="300"/>
      <c r="BW811" s="300"/>
      <c r="BX811" s="300"/>
      <c r="BY811" s="300"/>
      <c r="BZ811" s="300"/>
      <c r="CA811" s="300"/>
      <c r="CB811" s="300"/>
    </row>
    <row r="812" spans="1:80" s="27" customFormat="1" x14ac:dyDescent="0.3">
      <c r="A812" s="173"/>
      <c r="D812" s="173"/>
      <c r="E812" s="173"/>
      <c r="F812" s="173"/>
      <c r="G812" s="173"/>
      <c r="H812" s="173"/>
      <c r="I812" s="173"/>
      <c r="J812" s="173"/>
      <c r="K812" s="173"/>
      <c r="L812" s="173"/>
      <c r="AM812" s="173"/>
      <c r="AN812" s="173"/>
      <c r="AZ812" s="337"/>
      <c r="BL812" s="349"/>
      <c r="BM812" s="300"/>
      <c r="BN812" s="300"/>
      <c r="BO812" s="300"/>
      <c r="BP812" s="300"/>
      <c r="BQ812" s="300"/>
      <c r="BR812" s="300"/>
      <c r="BS812" s="300"/>
      <c r="BT812" s="300"/>
      <c r="BU812" s="300"/>
      <c r="BV812" s="300"/>
      <c r="BW812" s="300"/>
      <c r="BX812" s="300"/>
      <c r="BY812" s="300"/>
      <c r="BZ812" s="300"/>
      <c r="CA812" s="300"/>
      <c r="CB812" s="300"/>
    </row>
    <row r="813" spans="1:80" s="27" customFormat="1" x14ac:dyDescent="0.3">
      <c r="A813" s="173"/>
      <c r="D813" s="173"/>
      <c r="E813" s="173"/>
      <c r="F813" s="173"/>
      <c r="G813" s="173"/>
      <c r="H813" s="173"/>
      <c r="I813" s="173"/>
      <c r="J813" s="173"/>
      <c r="K813" s="173"/>
      <c r="L813" s="173"/>
      <c r="AM813" s="173"/>
      <c r="AN813" s="173"/>
      <c r="AZ813" s="337"/>
      <c r="BL813" s="349"/>
      <c r="BM813" s="300"/>
      <c r="BN813" s="300"/>
      <c r="BO813" s="300"/>
      <c r="BP813" s="300"/>
      <c r="BQ813" s="300"/>
      <c r="BR813" s="300"/>
      <c r="BS813" s="300"/>
      <c r="BT813" s="300"/>
      <c r="BU813" s="300"/>
      <c r="BV813" s="300"/>
      <c r="BW813" s="300"/>
      <c r="BX813" s="300"/>
      <c r="BY813" s="300"/>
      <c r="BZ813" s="300"/>
      <c r="CA813" s="300"/>
      <c r="CB813" s="300"/>
    </row>
    <row r="814" spans="1:80" s="27" customFormat="1" x14ac:dyDescent="0.3">
      <c r="A814" s="173"/>
      <c r="D814" s="173"/>
      <c r="E814" s="173"/>
      <c r="F814" s="173"/>
      <c r="G814" s="173"/>
      <c r="H814" s="173"/>
      <c r="I814" s="173"/>
      <c r="J814" s="173"/>
      <c r="K814" s="173"/>
      <c r="L814" s="173"/>
      <c r="AM814" s="173"/>
      <c r="AN814" s="173"/>
      <c r="AZ814" s="337"/>
      <c r="BL814" s="349"/>
      <c r="BM814" s="300"/>
      <c r="BN814" s="300"/>
      <c r="BO814" s="300"/>
      <c r="BP814" s="300"/>
      <c r="BQ814" s="300"/>
      <c r="BR814" s="300"/>
      <c r="BS814" s="300"/>
      <c r="BT814" s="300"/>
      <c r="BU814" s="300"/>
      <c r="BV814" s="300"/>
      <c r="BW814" s="300"/>
      <c r="BX814" s="300"/>
      <c r="BY814" s="300"/>
      <c r="BZ814" s="300"/>
      <c r="CA814" s="300"/>
      <c r="CB814" s="300"/>
    </row>
    <row r="815" spans="1:80" s="27" customFormat="1" x14ac:dyDescent="0.3">
      <c r="A815" s="173"/>
      <c r="D815" s="173"/>
      <c r="E815" s="173"/>
      <c r="F815" s="173"/>
      <c r="G815" s="173"/>
      <c r="H815" s="173"/>
      <c r="I815" s="173"/>
      <c r="J815" s="173"/>
      <c r="K815" s="173"/>
      <c r="L815" s="173"/>
      <c r="AM815" s="173"/>
      <c r="AN815" s="173"/>
      <c r="AZ815" s="337"/>
      <c r="BL815" s="349"/>
      <c r="BM815" s="300"/>
      <c r="BN815" s="300"/>
      <c r="BO815" s="300"/>
      <c r="BP815" s="300"/>
      <c r="BQ815" s="300"/>
      <c r="BR815" s="300"/>
      <c r="BS815" s="300"/>
      <c r="BT815" s="300"/>
      <c r="BU815" s="300"/>
      <c r="BV815" s="300"/>
      <c r="BW815" s="300"/>
      <c r="BX815" s="300"/>
      <c r="BY815" s="300"/>
      <c r="BZ815" s="300"/>
      <c r="CA815" s="300"/>
      <c r="CB815" s="300"/>
    </row>
    <row r="816" spans="1:80" s="27" customFormat="1" x14ac:dyDescent="0.3">
      <c r="A816" s="173"/>
      <c r="D816" s="173"/>
      <c r="E816" s="173"/>
      <c r="F816" s="173"/>
      <c r="G816" s="173"/>
      <c r="H816" s="173"/>
      <c r="I816" s="173"/>
      <c r="J816" s="173"/>
      <c r="K816" s="173"/>
      <c r="L816" s="173"/>
      <c r="AM816" s="173"/>
      <c r="AN816" s="173"/>
      <c r="AZ816" s="337"/>
      <c r="BL816" s="349"/>
      <c r="BM816" s="300"/>
      <c r="BN816" s="300"/>
      <c r="BO816" s="300"/>
      <c r="BP816" s="300"/>
      <c r="BQ816" s="300"/>
      <c r="BR816" s="300"/>
      <c r="BS816" s="300"/>
      <c r="BT816" s="300"/>
      <c r="BU816" s="300"/>
      <c r="BV816" s="300"/>
      <c r="BW816" s="300"/>
      <c r="BX816" s="300"/>
      <c r="BY816" s="300"/>
      <c r="BZ816" s="300"/>
      <c r="CA816" s="300"/>
      <c r="CB816" s="300"/>
    </row>
    <row r="817" spans="1:80" s="27" customFormat="1" x14ac:dyDescent="0.3">
      <c r="A817" s="173"/>
      <c r="D817" s="173"/>
      <c r="E817" s="173"/>
      <c r="F817" s="173"/>
      <c r="G817" s="173"/>
      <c r="H817" s="173"/>
      <c r="I817" s="173"/>
      <c r="J817" s="173"/>
      <c r="K817" s="173"/>
      <c r="L817" s="173"/>
      <c r="AM817" s="173"/>
      <c r="AN817" s="173"/>
      <c r="AZ817" s="337"/>
      <c r="BL817" s="349"/>
      <c r="BM817" s="300"/>
      <c r="BN817" s="300"/>
      <c r="BO817" s="300"/>
      <c r="BP817" s="300"/>
      <c r="BQ817" s="300"/>
      <c r="BR817" s="300"/>
      <c r="BS817" s="300"/>
      <c r="BT817" s="300"/>
      <c r="BU817" s="300"/>
      <c r="BV817" s="300"/>
      <c r="BW817" s="300"/>
      <c r="BX817" s="300"/>
      <c r="BY817" s="300"/>
      <c r="BZ817" s="300"/>
      <c r="CA817" s="300"/>
      <c r="CB817" s="300"/>
    </row>
    <row r="818" spans="1:80" s="27" customFormat="1" x14ac:dyDescent="0.3">
      <c r="A818" s="173"/>
      <c r="D818" s="173"/>
      <c r="E818" s="173"/>
      <c r="F818" s="173"/>
      <c r="G818" s="173"/>
      <c r="H818" s="173"/>
      <c r="I818" s="173"/>
      <c r="J818" s="173"/>
      <c r="K818" s="173"/>
      <c r="L818" s="173"/>
      <c r="AM818" s="173"/>
      <c r="AN818" s="173"/>
      <c r="AZ818" s="337"/>
      <c r="BL818" s="349"/>
      <c r="BM818" s="300"/>
      <c r="BN818" s="300"/>
      <c r="BO818" s="300"/>
      <c r="BP818" s="300"/>
      <c r="BQ818" s="300"/>
      <c r="BR818" s="300"/>
      <c r="BS818" s="300"/>
      <c r="BT818" s="300"/>
      <c r="BU818" s="300"/>
      <c r="BV818" s="300"/>
      <c r="BW818" s="300"/>
      <c r="BX818" s="300"/>
      <c r="BY818" s="300"/>
      <c r="BZ818" s="300"/>
      <c r="CA818" s="300"/>
      <c r="CB818" s="300"/>
    </row>
    <row r="819" spans="1:80" s="27" customFormat="1" x14ac:dyDescent="0.3">
      <c r="A819" s="173"/>
      <c r="D819" s="173"/>
      <c r="E819" s="173"/>
      <c r="F819" s="173"/>
      <c r="G819" s="173"/>
      <c r="H819" s="173"/>
      <c r="I819" s="173"/>
      <c r="J819" s="173"/>
      <c r="K819" s="173"/>
      <c r="L819" s="173"/>
      <c r="AM819" s="173"/>
      <c r="AN819" s="173"/>
      <c r="AZ819" s="337"/>
      <c r="BL819" s="349"/>
      <c r="BM819" s="300"/>
      <c r="BN819" s="300"/>
      <c r="BO819" s="300"/>
      <c r="BP819" s="300"/>
      <c r="BQ819" s="300"/>
      <c r="BR819" s="300"/>
      <c r="BS819" s="300"/>
      <c r="BT819" s="300"/>
      <c r="BU819" s="300"/>
      <c r="BV819" s="300"/>
      <c r="BW819" s="300"/>
      <c r="BX819" s="300"/>
      <c r="BY819" s="300"/>
      <c r="BZ819" s="300"/>
      <c r="CA819" s="300"/>
      <c r="CB819" s="300"/>
    </row>
    <row r="820" spans="1:80" s="27" customFormat="1" x14ac:dyDescent="0.3">
      <c r="A820" s="173"/>
      <c r="D820" s="173"/>
      <c r="E820" s="173"/>
      <c r="F820" s="173"/>
      <c r="G820" s="173"/>
      <c r="H820" s="173"/>
      <c r="I820" s="173"/>
      <c r="J820" s="173"/>
      <c r="K820" s="173"/>
      <c r="L820" s="173"/>
      <c r="AM820" s="173"/>
      <c r="AN820" s="173"/>
      <c r="AZ820" s="337"/>
      <c r="BL820" s="349"/>
      <c r="BM820" s="300"/>
      <c r="BN820" s="300"/>
      <c r="BO820" s="300"/>
      <c r="BP820" s="300"/>
      <c r="BQ820" s="300"/>
      <c r="BR820" s="300"/>
      <c r="BS820" s="300"/>
      <c r="BT820" s="300"/>
      <c r="BU820" s="300"/>
      <c r="BV820" s="300"/>
      <c r="BW820" s="300"/>
      <c r="BX820" s="300"/>
      <c r="BY820" s="300"/>
      <c r="BZ820" s="300"/>
      <c r="CA820" s="300"/>
      <c r="CB820" s="300"/>
    </row>
    <row r="821" spans="1:80" s="27" customFormat="1" x14ac:dyDescent="0.3">
      <c r="A821" s="173"/>
      <c r="D821" s="173"/>
      <c r="E821" s="173"/>
      <c r="F821" s="173"/>
      <c r="G821" s="173"/>
      <c r="H821" s="173"/>
      <c r="I821" s="173"/>
      <c r="J821" s="173"/>
      <c r="K821" s="173"/>
      <c r="L821" s="173"/>
      <c r="AM821" s="173"/>
      <c r="AN821" s="173"/>
      <c r="AZ821" s="337"/>
      <c r="BL821" s="349"/>
      <c r="BM821" s="300"/>
      <c r="BN821" s="300"/>
      <c r="BO821" s="300"/>
      <c r="BP821" s="300"/>
      <c r="BQ821" s="300"/>
      <c r="BR821" s="300"/>
      <c r="BS821" s="300"/>
      <c r="BT821" s="300"/>
      <c r="BU821" s="300"/>
      <c r="BV821" s="300"/>
      <c r="BW821" s="300"/>
      <c r="BX821" s="300"/>
      <c r="BY821" s="300"/>
      <c r="BZ821" s="300"/>
      <c r="CA821" s="300"/>
      <c r="CB821" s="300"/>
    </row>
    <row r="822" spans="1:80" s="27" customFormat="1" x14ac:dyDescent="0.3">
      <c r="A822" s="173"/>
      <c r="D822" s="173"/>
      <c r="E822" s="173"/>
      <c r="F822" s="173"/>
      <c r="G822" s="173"/>
      <c r="H822" s="173"/>
      <c r="I822" s="173"/>
      <c r="J822" s="173"/>
      <c r="K822" s="173"/>
      <c r="L822" s="173"/>
      <c r="AM822" s="173"/>
      <c r="AN822" s="173"/>
      <c r="AZ822" s="337"/>
      <c r="BL822" s="349"/>
      <c r="BM822" s="300"/>
      <c r="BN822" s="300"/>
      <c r="BO822" s="300"/>
      <c r="BP822" s="300"/>
      <c r="BQ822" s="300"/>
      <c r="BR822" s="300"/>
      <c r="BS822" s="300"/>
      <c r="BT822" s="300"/>
      <c r="BU822" s="300"/>
      <c r="BV822" s="300"/>
      <c r="BW822" s="300"/>
      <c r="BX822" s="300"/>
      <c r="BY822" s="300"/>
      <c r="BZ822" s="300"/>
      <c r="CA822" s="300"/>
      <c r="CB822" s="300"/>
    </row>
    <row r="823" spans="1:80" s="27" customFormat="1" x14ac:dyDescent="0.3">
      <c r="A823" s="173"/>
      <c r="D823" s="173"/>
      <c r="E823" s="173"/>
      <c r="F823" s="173"/>
      <c r="G823" s="173"/>
      <c r="H823" s="173"/>
      <c r="I823" s="173"/>
      <c r="J823" s="173"/>
      <c r="K823" s="173"/>
      <c r="L823" s="173"/>
      <c r="AM823" s="173"/>
      <c r="AN823" s="173"/>
      <c r="AZ823" s="337"/>
      <c r="BL823" s="349"/>
      <c r="BM823" s="300"/>
      <c r="BN823" s="300"/>
      <c r="BO823" s="300"/>
      <c r="BP823" s="300"/>
      <c r="BQ823" s="300"/>
      <c r="BR823" s="300"/>
      <c r="BS823" s="300"/>
      <c r="BT823" s="300"/>
      <c r="BU823" s="300"/>
      <c r="BV823" s="300"/>
      <c r="BW823" s="300"/>
      <c r="BX823" s="300"/>
      <c r="BY823" s="300"/>
      <c r="BZ823" s="300"/>
      <c r="CA823" s="300"/>
      <c r="CB823" s="300"/>
    </row>
    <row r="824" spans="1:80" s="27" customFormat="1" x14ac:dyDescent="0.3">
      <c r="A824" s="173"/>
      <c r="D824" s="173"/>
      <c r="E824" s="173"/>
      <c r="F824" s="173"/>
      <c r="G824" s="173"/>
      <c r="H824" s="173"/>
      <c r="I824" s="173"/>
      <c r="J824" s="173"/>
      <c r="K824" s="173"/>
      <c r="L824" s="173"/>
      <c r="AM824" s="173"/>
      <c r="AN824" s="173"/>
      <c r="AZ824" s="337"/>
      <c r="BL824" s="349"/>
      <c r="BM824" s="300"/>
      <c r="BN824" s="300"/>
      <c r="BO824" s="300"/>
      <c r="BP824" s="300"/>
      <c r="BQ824" s="300"/>
      <c r="BR824" s="300"/>
      <c r="BS824" s="300"/>
      <c r="BT824" s="300"/>
      <c r="BU824" s="300"/>
      <c r="BV824" s="300"/>
      <c r="BW824" s="300"/>
      <c r="BX824" s="300"/>
      <c r="BY824" s="300"/>
      <c r="BZ824" s="300"/>
      <c r="CA824" s="300"/>
      <c r="CB824" s="300"/>
    </row>
    <row r="825" spans="1:80" s="27" customFormat="1" x14ac:dyDescent="0.3">
      <c r="A825" s="173"/>
      <c r="D825" s="173"/>
      <c r="E825" s="173"/>
      <c r="F825" s="173"/>
      <c r="G825" s="173"/>
      <c r="H825" s="173"/>
      <c r="I825" s="173"/>
      <c r="J825" s="173"/>
      <c r="K825" s="173"/>
      <c r="L825" s="173"/>
      <c r="AM825" s="173"/>
      <c r="AN825" s="173"/>
      <c r="AZ825" s="337"/>
      <c r="BL825" s="349"/>
      <c r="BM825" s="300"/>
      <c r="BN825" s="300"/>
      <c r="BO825" s="300"/>
      <c r="BP825" s="300"/>
      <c r="BQ825" s="300"/>
      <c r="BR825" s="300"/>
      <c r="BS825" s="300"/>
      <c r="BT825" s="300"/>
      <c r="BU825" s="300"/>
      <c r="BV825" s="300"/>
      <c r="BW825" s="300"/>
      <c r="BX825" s="300"/>
      <c r="BY825" s="300"/>
      <c r="BZ825" s="300"/>
      <c r="CA825" s="300"/>
      <c r="CB825" s="300"/>
    </row>
    <row r="826" spans="1:80" s="27" customFormat="1" x14ac:dyDescent="0.3">
      <c r="A826" s="173"/>
      <c r="D826" s="173"/>
      <c r="E826" s="173"/>
      <c r="F826" s="173"/>
      <c r="G826" s="173"/>
      <c r="H826" s="173"/>
      <c r="I826" s="173"/>
      <c r="J826" s="173"/>
      <c r="K826" s="173"/>
      <c r="L826" s="173"/>
      <c r="AM826" s="173"/>
      <c r="AN826" s="173"/>
      <c r="AZ826" s="337"/>
      <c r="BL826" s="349"/>
      <c r="BM826" s="300"/>
      <c r="BN826" s="300"/>
      <c r="BO826" s="300"/>
      <c r="BP826" s="300"/>
      <c r="BQ826" s="300"/>
      <c r="BR826" s="300"/>
      <c r="BS826" s="300"/>
      <c r="BT826" s="300"/>
      <c r="BU826" s="300"/>
      <c r="BV826" s="300"/>
      <c r="BW826" s="300"/>
      <c r="BX826" s="300"/>
      <c r="BY826" s="300"/>
      <c r="BZ826" s="300"/>
      <c r="CA826" s="300"/>
      <c r="CB826" s="300"/>
    </row>
    <row r="827" spans="1:80" s="27" customFormat="1" x14ac:dyDescent="0.3">
      <c r="A827" s="173"/>
      <c r="D827" s="173"/>
      <c r="E827" s="173"/>
      <c r="F827" s="173"/>
      <c r="G827" s="173"/>
      <c r="H827" s="173"/>
      <c r="I827" s="173"/>
      <c r="J827" s="173"/>
      <c r="K827" s="173"/>
      <c r="L827" s="173"/>
      <c r="AM827" s="173"/>
      <c r="AN827" s="173"/>
      <c r="AZ827" s="337"/>
      <c r="BL827" s="349"/>
      <c r="BM827" s="300"/>
      <c r="BN827" s="300"/>
      <c r="BO827" s="300"/>
      <c r="BP827" s="300"/>
      <c r="BQ827" s="300"/>
      <c r="BR827" s="300"/>
      <c r="BS827" s="300"/>
      <c r="BT827" s="300"/>
      <c r="BU827" s="300"/>
      <c r="BV827" s="300"/>
      <c r="BW827" s="300"/>
      <c r="BX827" s="300"/>
      <c r="BY827" s="300"/>
      <c r="BZ827" s="300"/>
      <c r="CA827" s="300"/>
      <c r="CB827" s="300"/>
    </row>
    <row r="828" spans="1:80" s="27" customFormat="1" x14ac:dyDescent="0.3">
      <c r="A828" s="173"/>
      <c r="D828" s="173"/>
      <c r="E828" s="173"/>
      <c r="F828" s="173"/>
      <c r="G828" s="173"/>
      <c r="H828" s="173"/>
      <c r="I828" s="173"/>
      <c r="J828" s="173"/>
      <c r="K828" s="173"/>
      <c r="L828" s="173"/>
      <c r="AM828" s="173"/>
      <c r="AN828" s="173"/>
      <c r="AZ828" s="337"/>
      <c r="BL828" s="349"/>
      <c r="BM828" s="300"/>
      <c r="BN828" s="300"/>
      <c r="BO828" s="300"/>
      <c r="BP828" s="300"/>
      <c r="BQ828" s="300"/>
      <c r="BR828" s="300"/>
      <c r="BS828" s="300"/>
      <c r="BT828" s="300"/>
      <c r="BU828" s="300"/>
      <c r="BV828" s="300"/>
      <c r="BW828" s="300"/>
      <c r="BX828" s="300"/>
      <c r="BY828" s="300"/>
      <c r="BZ828" s="300"/>
      <c r="CA828" s="300"/>
      <c r="CB828" s="300"/>
    </row>
    <row r="829" spans="1:80" s="27" customFormat="1" x14ac:dyDescent="0.3">
      <c r="A829" s="173"/>
      <c r="D829" s="173"/>
      <c r="E829" s="173"/>
      <c r="F829" s="173"/>
      <c r="G829" s="173"/>
      <c r="H829" s="173"/>
      <c r="I829" s="173"/>
      <c r="J829" s="173"/>
      <c r="K829" s="173"/>
      <c r="L829" s="173"/>
      <c r="AM829" s="173"/>
      <c r="AN829" s="173"/>
      <c r="AZ829" s="337"/>
      <c r="BL829" s="349"/>
      <c r="BM829" s="300"/>
      <c r="BN829" s="300"/>
      <c r="BO829" s="300"/>
      <c r="BP829" s="300"/>
      <c r="BQ829" s="300"/>
      <c r="BR829" s="300"/>
      <c r="BS829" s="300"/>
      <c r="BT829" s="300"/>
      <c r="BU829" s="300"/>
      <c r="BV829" s="300"/>
      <c r="BW829" s="300"/>
      <c r="BX829" s="300"/>
      <c r="BY829" s="300"/>
      <c r="BZ829" s="300"/>
      <c r="CA829" s="300"/>
      <c r="CB829" s="300"/>
    </row>
    <row r="830" spans="1:80" s="27" customFormat="1" x14ac:dyDescent="0.3">
      <c r="A830" s="173"/>
      <c r="D830" s="173"/>
      <c r="E830" s="173"/>
      <c r="F830" s="173"/>
      <c r="G830" s="173"/>
      <c r="H830" s="173"/>
      <c r="I830" s="173"/>
      <c r="J830" s="173"/>
      <c r="K830" s="173"/>
      <c r="L830" s="173"/>
      <c r="AM830" s="173"/>
      <c r="AN830" s="173"/>
      <c r="AZ830" s="337"/>
      <c r="BL830" s="349"/>
      <c r="BM830" s="300"/>
      <c r="BN830" s="300"/>
      <c r="BO830" s="300"/>
      <c r="BP830" s="300"/>
      <c r="BQ830" s="300"/>
      <c r="BR830" s="300"/>
      <c r="BS830" s="300"/>
      <c r="BT830" s="300"/>
      <c r="BU830" s="300"/>
      <c r="BV830" s="300"/>
      <c r="BW830" s="300"/>
      <c r="BX830" s="300"/>
      <c r="BY830" s="300"/>
      <c r="BZ830" s="300"/>
      <c r="CA830" s="300"/>
      <c r="CB830" s="300"/>
    </row>
    <row r="831" spans="1:80" s="27" customFormat="1" x14ac:dyDescent="0.3">
      <c r="A831" s="173"/>
      <c r="D831" s="173"/>
      <c r="E831" s="173"/>
      <c r="F831" s="173"/>
      <c r="G831" s="173"/>
      <c r="H831" s="173"/>
      <c r="I831" s="173"/>
      <c r="J831" s="173"/>
      <c r="K831" s="173"/>
      <c r="L831" s="173"/>
      <c r="AM831" s="173"/>
      <c r="AN831" s="173"/>
      <c r="AZ831" s="337"/>
      <c r="BL831" s="349"/>
      <c r="BM831" s="300"/>
      <c r="BN831" s="300"/>
      <c r="BO831" s="300"/>
      <c r="BP831" s="300"/>
      <c r="BQ831" s="300"/>
      <c r="BR831" s="300"/>
      <c r="BS831" s="300"/>
      <c r="BT831" s="300"/>
      <c r="BU831" s="300"/>
      <c r="BV831" s="300"/>
      <c r="BW831" s="300"/>
      <c r="BX831" s="300"/>
      <c r="BY831" s="300"/>
      <c r="BZ831" s="300"/>
      <c r="CA831" s="300"/>
      <c r="CB831" s="300"/>
    </row>
    <row r="832" spans="1:80" s="27" customFormat="1" x14ac:dyDescent="0.3">
      <c r="A832" s="173"/>
      <c r="D832" s="173"/>
      <c r="E832" s="173"/>
      <c r="F832" s="173"/>
      <c r="G832" s="173"/>
      <c r="H832" s="173"/>
      <c r="I832" s="173"/>
      <c r="J832" s="173"/>
      <c r="K832" s="173"/>
      <c r="L832" s="173"/>
      <c r="AM832" s="173"/>
      <c r="AN832" s="173"/>
      <c r="AZ832" s="337"/>
      <c r="BL832" s="349"/>
      <c r="BM832" s="300"/>
      <c r="BN832" s="300"/>
      <c r="BO832" s="300"/>
      <c r="BP832" s="300"/>
      <c r="BQ832" s="300"/>
      <c r="BR832" s="300"/>
      <c r="BS832" s="300"/>
      <c r="BT832" s="300"/>
      <c r="BU832" s="300"/>
      <c r="BV832" s="300"/>
      <c r="BW832" s="300"/>
      <c r="BX832" s="300"/>
      <c r="BY832" s="300"/>
      <c r="BZ832" s="300"/>
      <c r="CA832" s="300"/>
      <c r="CB832" s="300"/>
    </row>
    <row r="833" spans="1:80" s="27" customFormat="1" x14ac:dyDescent="0.3">
      <c r="A833" s="173"/>
      <c r="D833" s="173"/>
      <c r="E833" s="173"/>
      <c r="F833" s="173"/>
      <c r="G833" s="173"/>
      <c r="H833" s="173"/>
      <c r="I833" s="173"/>
      <c r="J833" s="173"/>
      <c r="K833" s="173"/>
      <c r="L833" s="173"/>
      <c r="AM833" s="173"/>
      <c r="AN833" s="173"/>
      <c r="AZ833" s="337"/>
      <c r="BL833" s="349"/>
      <c r="BM833" s="300"/>
      <c r="BN833" s="300"/>
      <c r="BO833" s="300"/>
      <c r="BP833" s="300"/>
      <c r="BQ833" s="300"/>
      <c r="BR833" s="300"/>
      <c r="BS833" s="300"/>
      <c r="BT833" s="300"/>
      <c r="BU833" s="300"/>
      <c r="BV833" s="300"/>
      <c r="BW833" s="300"/>
      <c r="BX833" s="300"/>
      <c r="BY833" s="300"/>
      <c r="BZ833" s="300"/>
      <c r="CA833" s="300"/>
      <c r="CB833" s="300"/>
    </row>
    <row r="834" spans="1:80" s="27" customFormat="1" x14ac:dyDescent="0.3">
      <c r="A834" s="173"/>
      <c r="D834" s="173"/>
      <c r="E834" s="173"/>
      <c r="F834" s="173"/>
      <c r="G834" s="173"/>
      <c r="H834" s="173"/>
      <c r="I834" s="173"/>
      <c r="J834" s="173"/>
      <c r="K834" s="173"/>
      <c r="L834" s="173"/>
      <c r="AM834" s="173"/>
      <c r="AN834" s="173"/>
      <c r="AZ834" s="337"/>
      <c r="BL834" s="349"/>
      <c r="BM834" s="300"/>
      <c r="BN834" s="300"/>
      <c r="BO834" s="300"/>
      <c r="BP834" s="300"/>
      <c r="BQ834" s="300"/>
      <c r="BR834" s="300"/>
      <c r="BS834" s="300"/>
      <c r="BT834" s="300"/>
      <c r="BU834" s="300"/>
      <c r="BV834" s="300"/>
      <c r="BW834" s="300"/>
      <c r="BX834" s="300"/>
      <c r="BY834" s="300"/>
      <c r="BZ834" s="300"/>
      <c r="CA834" s="300"/>
      <c r="CB834" s="300"/>
    </row>
    <row r="835" spans="1:80" s="27" customFormat="1" x14ac:dyDescent="0.3">
      <c r="A835" s="173"/>
      <c r="D835" s="173"/>
      <c r="E835" s="173"/>
      <c r="F835" s="173"/>
      <c r="G835" s="173"/>
      <c r="H835" s="173"/>
      <c r="I835" s="173"/>
      <c r="J835" s="173"/>
      <c r="K835" s="173"/>
      <c r="L835" s="173"/>
      <c r="AM835" s="173"/>
      <c r="AN835" s="173"/>
      <c r="AZ835" s="337"/>
      <c r="BL835" s="349"/>
      <c r="BM835" s="300"/>
      <c r="BN835" s="300"/>
      <c r="BO835" s="300"/>
      <c r="BP835" s="300"/>
      <c r="BQ835" s="300"/>
      <c r="BR835" s="300"/>
      <c r="BS835" s="300"/>
      <c r="BT835" s="300"/>
      <c r="BU835" s="300"/>
      <c r="BV835" s="300"/>
      <c r="BW835" s="300"/>
      <c r="BX835" s="300"/>
      <c r="BY835" s="300"/>
      <c r="BZ835" s="300"/>
      <c r="CA835" s="300"/>
      <c r="CB835" s="300"/>
    </row>
    <row r="836" spans="1:80" s="27" customFormat="1" x14ac:dyDescent="0.3">
      <c r="A836" s="173"/>
      <c r="D836" s="173"/>
      <c r="E836" s="173"/>
      <c r="F836" s="173"/>
      <c r="G836" s="173"/>
      <c r="H836" s="173"/>
      <c r="I836" s="173"/>
      <c r="J836" s="173"/>
      <c r="K836" s="173"/>
      <c r="L836" s="173"/>
      <c r="AM836" s="173"/>
      <c r="AN836" s="173"/>
      <c r="AZ836" s="337"/>
      <c r="BL836" s="349"/>
      <c r="BM836" s="300"/>
      <c r="BN836" s="300"/>
      <c r="BO836" s="300"/>
      <c r="BP836" s="300"/>
      <c r="BQ836" s="300"/>
      <c r="BR836" s="300"/>
      <c r="BS836" s="300"/>
      <c r="BT836" s="300"/>
      <c r="BU836" s="300"/>
      <c r="BV836" s="300"/>
      <c r="BW836" s="300"/>
      <c r="BX836" s="300"/>
      <c r="BY836" s="300"/>
      <c r="BZ836" s="300"/>
      <c r="CA836" s="300"/>
      <c r="CB836" s="300"/>
    </row>
    <row r="837" spans="1:80" s="27" customFormat="1" x14ac:dyDescent="0.3">
      <c r="A837" s="173"/>
      <c r="D837" s="173"/>
      <c r="E837" s="173"/>
      <c r="F837" s="173"/>
      <c r="G837" s="173"/>
      <c r="H837" s="173"/>
      <c r="I837" s="173"/>
      <c r="J837" s="173"/>
      <c r="K837" s="173"/>
      <c r="L837" s="173"/>
      <c r="AM837" s="173"/>
      <c r="AN837" s="173"/>
      <c r="AZ837" s="337"/>
      <c r="BL837" s="349"/>
      <c r="BM837" s="300"/>
      <c r="BN837" s="300"/>
      <c r="BO837" s="300"/>
      <c r="BP837" s="300"/>
      <c r="BQ837" s="300"/>
      <c r="BR837" s="300"/>
      <c r="BS837" s="300"/>
      <c r="BT837" s="300"/>
      <c r="BU837" s="300"/>
      <c r="BV837" s="300"/>
      <c r="BW837" s="300"/>
      <c r="BX837" s="300"/>
      <c r="BY837" s="300"/>
      <c r="BZ837" s="300"/>
      <c r="CA837" s="300"/>
      <c r="CB837" s="300"/>
    </row>
    <row r="838" spans="1:80" s="27" customFormat="1" x14ac:dyDescent="0.3">
      <c r="A838" s="173"/>
      <c r="D838" s="173"/>
      <c r="E838" s="173"/>
      <c r="F838" s="173"/>
      <c r="G838" s="173"/>
      <c r="H838" s="173"/>
      <c r="I838" s="173"/>
      <c r="J838" s="173"/>
      <c r="K838" s="173"/>
      <c r="L838" s="173"/>
      <c r="AM838" s="173"/>
      <c r="AN838" s="173"/>
      <c r="AZ838" s="337"/>
      <c r="BL838" s="349"/>
      <c r="BM838" s="300"/>
      <c r="BN838" s="300"/>
      <c r="BO838" s="300"/>
      <c r="BP838" s="300"/>
      <c r="BQ838" s="300"/>
      <c r="BR838" s="300"/>
      <c r="BS838" s="300"/>
      <c r="BT838" s="300"/>
      <c r="BU838" s="300"/>
      <c r="BV838" s="300"/>
      <c r="BW838" s="300"/>
      <c r="BX838" s="300"/>
      <c r="BY838" s="300"/>
      <c r="BZ838" s="300"/>
      <c r="CA838" s="300"/>
      <c r="CB838" s="300"/>
    </row>
    <row r="839" spans="1:80" s="27" customFormat="1" x14ac:dyDescent="0.3">
      <c r="A839" s="173"/>
      <c r="D839" s="173"/>
      <c r="E839" s="173"/>
      <c r="F839" s="173"/>
      <c r="G839" s="173"/>
      <c r="H839" s="173"/>
      <c r="I839" s="173"/>
      <c r="J839" s="173"/>
      <c r="K839" s="173"/>
      <c r="L839" s="173"/>
      <c r="AM839" s="173"/>
      <c r="AN839" s="173"/>
      <c r="AZ839" s="337"/>
      <c r="BL839" s="349"/>
      <c r="BM839" s="300"/>
      <c r="BN839" s="300"/>
      <c r="BO839" s="300"/>
      <c r="BP839" s="300"/>
      <c r="BQ839" s="300"/>
      <c r="BR839" s="300"/>
      <c r="BS839" s="300"/>
      <c r="BT839" s="300"/>
      <c r="BU839" s="300"/>
      <c r="BV839" s="300"/>
      <c r="BW839" s="300"/>
      <c r="BX839" s="300"/>
      <c r="BY839" s="300"/>
      <c r="BZ839" s="300"/>
      <c r="CA839" s="300"/>
      <c r="CB839" s="300"/>
    </row>
    <row r="840" spans="1:80" s="27" customFormat="1" x14ac:dyDescent="0.3">
      <c r="A840" s="173"/>
      <c r="D840" s="173"/>
      <c r="E840" s="173"/>
      <c r="F840" s="173"/>
      <c r="G840" s="173"/>
      <c r="H840" s="173"/>
      <c r="I840" s="173"/>
      <c r="J840" s="173"/>
      <c r="K840" s="173"/>
      <c r="L840" s="173"/>
      <c r="AM840" s="173"/>
      <c r="AN840" s="173"/>
      <c r="AZ840" s="337"/>
      <c r="BL840" s="349"/>
      <c r="BM840" s="300"/>
      <c r="BN840" s="300"/>
      <c r="BO840" s="300"/>
      <c r="BP840" s="300"/>
      <c r="BQ840" s="300"/>
      <c r="BR840" s="300"/>
      <c r="BS840" s="300"/>
      <c r="BT840" s="300"/>
      <c r="BU840" s="300"/>
      <c r="BV840" s="300"/>
      <c r="BW840" s="300"/>
      <c r="BX840" s="300"/>
      <c r="BY840" s="300"/>
      <c r="BZ840" s="300"/>
      <c r="CA840" s="300"/>
      <c r="CB840" s="300"/>
    </row>
    <row r="841" spans="1:80" s="27" customFormat="1" x14ac:dyDescent="0.3">
      <c r="A841" s="173"/>
      <c r="D841" s="173"/>
      <c r="E841" s="173"/>
      <c r="F841" s="173"/>
      <c r="G841" s="173"/>
      <c r="H841" s="173"/>
      <c r="I841" s="173"/>
      <c r="J841" s="173"/>
      <c r="K841" s="173"/>
      <c r="L841" s="173"/>
      <c r="AM841" s="173"/>
      <c r="AN841" s="173"/>
      <c r="AZ841" s="337"/>
      <c r="BL841" s="349"/>
      <c r="BM841" s="300"/>
      <c r="BN841" s="300"/>
      <c r="BO841" s="300"/>
      <c r="BP841" s="300"/>
      <c r="BQ841" s="300"/>
      <c r="BR841" s="300"/>
      <c r="BS841" s="300"/>
      <c r="BT841" s="300"/>
      <c r="BU841" s="300"/>
      <c r="BV841" s="300"/>
      <c r="BW841" s="300"/>
      <c r="BX841" s="300"/>
      <c r="BY841" s="300"/>
      <c r="BZ841" s="300"/>
      <c r="CA841" s="300"/>
      <c r="CB841" s="300"/>
    </row>
    <row r="842" spans="1:80" s="27" customFormat="1" x14ac:dyDescent="0.3">
      <c r="A842" s="173"/>
      <c r="D842" s="173"/>
      <c r="E842" s="173"/>
      <c r="F842" s="173"/>
      <c r="G842" s="173"/>
      <c r="H842" s="173"/>
      <c r="I842" s="173"/>
      <c r="J842" s="173"/>
      <c r="K842" s="173"/>
      <c r="L842" s="173"/>
      <c r="AM842" s="173"/>
      <c r="AN842" s="173"/>
      <c r="AZ842" s="337"/>
      <c r="BL842" s="349"/>
      <c r="BM842" s="300"/>
      <c r="BN842" s="300"/>
      <c r="BO842" s="300"/>
      <c r="BP842" s="300"/>
      <c r="BQ842" s="300"/>
      <c r="BR842" s="300"/>
      <c r="BS842" s="300"/>
      <c r="BT842" s="300"/>
      <c r="BU842" s="300"/>
      <c r="BV842" s="300"/>
      <c r="BW842" s="300"/>
      <c r="BX842" s="300"/>
      <c r="BY842" s="300"/>
      <c r="BZ842" s="300"/>
      <c r="CA842" s="300"/>
      <c r="CB842" s="300"/>
    </row>
    <row r="843" spans="1:80" s="27" customFormat="1" x14ac:dyDescent="0.3">
      <c r="A843" s="173"/>
      <c r="D843" s="173"/>
      <c r="E843" s="173"/>
      <c r="F843" s="173"/>
      <c r="G843" s="173"/>
      <c r="H843" s="173"/>
      <c r="I843" s="173"/>
      <c r="J843" s="173"/>
      <c r="K843" s="173"/>
      <c r="L843" s="173"/>
      <c r="AM843" s="173"/>
      <c r="AN843" s="173"/>
      <c r="AZ843" s="337"/>
      <c r="BL843" s="349"/>
      <c r="BM843" s="300"/>
      <c r="BN843" s="300"/>
      <c r="BO843" s="300"/>
      <c r="BP843" s="300"/>
      <c r="BQ843" s="300"/>
      <c r="BR843" s="300"/>
      <c r="BS843" s="300"/>
      <c r="BT843" s="300"/>
      <c r="BU843" s="300"/>
      <c r="BV843" s="300"/>
      <c r="BW843" s="300"/>
      <c r="BX843" s="300"/>
      <c r="BY843" s="300"/>
      <c r="BZ843" s="300"/>
      <c r="CA843" s="300"/>
      <c r="CB843" s="300"/>
    </row>
    <row r="844" spans="1:80" s="27" customFormat="1" x14ac:dyDescent="0.3">
      <c r="A844" s="173"/>
      <c r="D844" s="173"/>
      <c r="E844" s="173"/>
      <c r="F844" s="173"/>
      <c r="G844" s="173"/>
      <c r="H844" s="173"/>
      <c r="I844" s="173"/>
      <c r="J844" s="173"/>
      <c r="K844" s="173"/>
      <c r="L844" s="173"/>
      <c r="AM844" s="173"/>
      <c r="AN844" s="173"/>
      <c r="AZ844" s="337"/>
      <c r="BL844" s="349"/>
      <c r="BM844" s="300"/>
      <c r="BN844" s="300"/>
      <c r="BO844" s="300"/>
      <c r="BP844" s="300"/>
      <c r="BQ844" s="300"/>
      <c r="BR844" s="300"/>
      <c r="BS844" s="300"/>
      <c r="BT844" s="300"/>
      <c r="BU844" s="300"/>
      <c r="BV844" s="300"/>
      <c r="BW844" s="300"/>
      <c r="BX844" s="300"/>
      <c r="BY844" s="300"/>
      <c r="BZ844" s="300"/>
      <c r="CA844" s="300"/>
      <c r="CB844" s="300"/>
    </row>
    <row r="845" spans="1:80" s="27" customFormat="1" x14ac:dyDescent="0.3">
      <c r="A845" s="173"/>
      <c r="D845" s="173"/>
      <c r="E845" s="173"/>
      <c r="F845" s="173"/>
      <c r="G845" s="173"/>
      <c r="H845" s="173"/>
      <c r="I845" s="173"/>
      <c r="J845" s="173"/>
      <c r="K845" s="173"/>
      <c r="L845" s="173"/>
      <c r="AM845" s="173"/>
      <c r="AN845" s="173"/>
      <c r="AZ845" s="337"/>
      <c r="BL845" s="349"/>
      <c r="BM845" s="300"/>
      <c r="BN845" s="300"/>
      <c r="BO845" s="300"/>
      <c r="BP845" s="300"/>
      <c r="BQ845" s="300"/>
      <c r="BR845" s="300"/>
      <c r="BS845" s="300"/>
      <c r="BT845" s="300"/>
      <c r="BU845" s="300"/>
      <c r="BV845" s="300"/>
      <c r="BW845" s="300"/>
      <c r="BX845" s="300"/>
      <c r="BY845" s="300"/>
      <c r="BZ845" s="300"/>
      <c r="CA845" s="300"/>
      <c r="CB845" s="300"/>
    </row>
    <row r="846" spans="1:80" s="27" customFormat="1" x14ac:dyDescent="0.3">
      <c r="A846" s="173"/>
      <c r="D846" s="173"/>
      <c r="E846" s="173"/>
      <c r="F846" s="173"/>
      <c r="G846" s="173"/>
      <c r="H846" s="173"/>
      <c r="I846" s="173"/>
      <c r="J846" s="173"/>
      <c r="K846" s="173"/>
      <c r="L846" s="173"/>
      <c r="AM846" s="173"/>
      <c r="AN846" s="173"/>
      <c r="AZ846" s="337"/>
      <c r="BL846" s="349"/>
      <c r="BM846" s="300"/>
      <c r="BN846" s="300"/>
      <c r="BO846" s="300"/>
      <c r="BP846" s="300"/>
      <c r="BQ846" s="300"/>
      <c r="BR846" s="300"/>
      <c r="BS846" s="300"/>
      <c r="BT846" s="300"/>
      <c r="BU846" s="300"/>
      <c r="BV846" s="300"/>
      <c r="BW846" s="300"/>
      <c r="BX846" s="300"/>
      <c r="BY846" s="300"/>
      <c r="BZ846" s="300"/>
      <c r="CA846" s="300"/>
      <c r="CB846" s="300"/>
    </row>
    <row r="847" spans="1:80" s="27" customFormat="1" x14ac:dyDescent="0.3">
      <c r="A847" s="173"/>
      <c r="D847" s="173"/>
      <c r="E847" s="173"/>
      <c r="F847" s="173"/>
      <c r="G847" s="173"/>
      <c r="H847" s="173"/>
      <c r="I847" s="173"/>
      <c r="J847" s="173"/>
      <c r="K847" s="173"/>
      <c r="L847" s="173"/>
      <c r="AM847" s="173"/>
      <c r="AN847" s="173"/>
      <c r="AZ847" s="337"/>
      <c r="BL847" s="349"/>
      <c r="BM847" s="300"/>
      <c r="BN847" s="300"/>
      <c r="BO847" s="300"/>
      <c r="BP847" s="300"/>
      <c r="BQ847" s="300"/>
      <c r="BR847" s="300"/>
      <c r="BS847" s="300"/>
      <c r="BT847" s="300"/>
      <c r="BU847" s="300"/>
      <c r="BV847" s="300"/>
      <c r="BW847" s="300"/>
      <c r="BX847" s="300"/>
      <c r="BY847" s="300"/>
      <c r="BZ847" s="300"/>
      <c r="CA847" s="300"/>
      <c r="CB847" s="300"/>
    </row>
    <row r="848" spans="1:80" s="27" customFormat="1" x14ac:dyDescent="0.3">
      <c r="A848" s="173"/>
      <c r="D848" s="173"/>
      <c r="E848" s="173"/>
      <c r="F848" s="173"/>
      <c r="G848" s="173"/>
      <c r="H848" s="173"/>
      <c r="I848" s="173"/>
      <c r="J848" s="173"/>
      <c r="K848" s="173"/>
      <c r="L848" s="173"/>
      <c r="AM848" s="173"/>
      <c r="AN848" s="173"/>
      <c r="AZ848" s="337"/>
      <c r="BL848" s="349"/>
      <c r="BM848" s="300"/>
      <c r="BN848" s="300"/>
      <c r="BO848" s="300"/>
      <c r="BP848" s="300"/>
      <c r="BQ848" s="300"/>
      <c r="BR848" s="300"/>
      <c r="BS848" s="300"/>
      <c r="BT848" s="300"/>
      <c r="BU848" s="300"/>
      <c r="BV848" s="300"/>
      <c r="BW848" s="300"/>
      <c r="BX848" s="300"/>
      <c r="BY848" s="300"/>
      <c r="BZ848" s="300"/>
      <c r="CA848" s="300"/>
      <c r="CB848" s="300"/>
    </row>
    <row r="849" spans="1:80" s="27" customFormat="1" x14ac:dyDescent="0.3">
      <c r="A849" s="173"/>
      <c r="D849" s="173"/>
      <c r="E849" s="173"/>
      <c r="F849" s="173"/>
      <c r="G849" s="173"/>
      <c r="H849" s="173"/>
      <c r="I849" s="173"/>
      <c r="J849" s="173"/>
      <c r="K849" s="173"/>
      <c r="L849" s="173"/>
      <c r="AM849" s="173"/>
      <c r="AN849" s="173"/>
      <c r="AZ849" s="337"/>
      <c r="BL849" s="349"/>
      <c r="BM849" s="300"/>
      <c r="BN849" s="300"/>
      <c r="BO849" s="300"/>
      <c r="BP849" s="300"/>
      <c r="BQ849" s="300"/>
      <c r="BR849" s="300"/>
      <c r="BS849" s="300"/>
      <c r="BT849" s="300"/>
      <c r="BU849" s="300"/>
      <c r="BV849" s="300"/>
      <c r="BW849" s="300"/>
      <c r="BX849" s="300"/>
      <c r="BY849" s="300"/>
      <c r="BZ849" s="300"/>
      <c r="CA849" s="300"/>
      <c r="CB849" s="300"/>
    </row>
    <row r="850" spans="1:80" s="27" customFormat="1" x14ac:dyDescent="0.3">
      <c r="A850" s="173"/>
      <c r="D850" s="173"/>
      <c r="E850" s="173"/>
      <c r="F850" s="173"/>
      <c r="G850" s="173"/>
      <c r="H850" s="173"/>
      <c r="I850" s="173"/>
      <c r="J850" s="173"/>
      <c r="K850" s="173"/>
      <c r="L850" s="173"/>
      <c r="AM850" s="173"/>
      <c r="AN850" s="173"/>
      <c r="AZ850" s="337"/>
      <c r="BL850" s="349"/>
      <c r="BM850" s="300"/>
      <c r="BN850" s="300"/>
      <c r="BO850" s="300"/>
      <c r="BP850" s="300"/>
      <c r="BQ850" s="300"/>
      <c r="BR850" s="300"/>
      <c r="BS850" s="300"/>
      <c r="BT850" s="300"/>
      <c r="BU850" s="300"/>
      <c r="BV850" s="300"/>
      <c r="BW850" s="300"/>
      <c r="BX850" s="300"/>
      <c r="BY850" s="300"/>
      <c r="BZ850" s="300"/>
      <c r="CA850" s="300"/>
      <c r="CB850" s="300"/>
    </row>
    <row r="851" spans="1:80" s="27" customFormat="1" x14ac:dyDescent="0.3">
      <c r="A851" s="173"/>
      <c r="D851" s="173"/>
      <c r="E851" s="173"/>
      <c r="F851" s="173"/>
      <c r="G851" s="173"/>
      <c r="H851" s="173"/>
      <c r="I851" s="173"/>
      <c r="J851" s="173"/>
      <c r="K851" s="173"/>
      <c r="L851" s="173"/>
      <c r="AM851" s="173"/>
      <c r="AN851" s="173"/>
      <c r="AZ851" s="337"/>
      <c r="BL851" s="349"/>
      <c r="BM851" s="300"/>
      <c r="BN851" s="300"/>
      <c r="BO851" s="300"/>
      <c r="BP851" s="300"/>
      <c r="BQ851" s="300"/>
      <c r="BR851" s="300"/>
      <c r="BS851" s="300"/>
      <c r="BT851" s="300"/>
      <c r="BU851" s="300"/>
      <c r="BV851" s="300"/>
      <c r="BW851" s="300"/>
      <c r="BX851" s="300"/>
      <c r="BY851" s="300"/>
      <c r="BZ851" s="300"/>
      <c r="CA851" s="300"/>
      <c r="CB851" s="300"/>
    </row>
    <row r="852" spans="1:80" s="27" customFormat="1" x14ac:dyDescent="0.3">
      <c r="A852" s="173"/>
      <c r="D852" s="173"/>
      <c r="E852" s="173"/>
      <c r="F852" s="173"/>
      <c r="G852" s="173"/>
      <c r="H852" s="173"/>
      <c r="I852" s="173"/>
      <c r="J852" s="173"/>
      <c r="K852" s="173"/>
      <c r="L852" s="173"/>
      <c r="AM852" s="173"/>
      <c r="AN852" s="173"/>
      <c r="AZ852" s="337"/>
      <c r="BL852" s="349"/>
      <c r="BM852" s="300"/>
      <c r="BN852" s="300"/>
      <c r="BO852" s="300"/>
      <c r="BP852" s="300"/>
      <c r="BQ852" s="300"/>
      <c r="BR852" s="300"/>
      <c r="BS852" s="300"/>
      <c r="BT852" s="300"/>
      <c r="BU852" s="300"/>
      <c r="BV852" s="300"/>
      <c r="BW852" s="300"/>
      <c r="BX852" s="300"/>
      <c r="BY852" s="300"/>
      <c r="BZ852" s="300"/>
      <c r="CA852" s="300"/>
      <c r="CB852" s="300"/>
    </row>
    <row r="853" spans="1:80" s="27" customFormat="1" x14ac:dyDescent="0.3">
      <c r="A853" s="173"/>
      <c r="D853" s="173"/>
      <c r="E853" s="173"/>
      <c r="F853" s="173"/>
      <c r="G853" s="173"/>
      <c r="H853" s="173"/>
      <c r="I853" s="173"/>
      <c r="J853" s="173"/>
      <c r="K853" s="173"/>
      <c r="L853" s="173"/>
      <c r="AM853" s="173"/>
      <c r="AN853" s="173"/>
      <c r="AZ853" s="337"/>
      <c r="BL853" s="349"/>
      <c r="BM853" s="300"/>
      <c r="BN853" s="300"/>
      <c r="BO853" s="300"/>
      <c r="BP853" s="300"/>
      <c r="BQ853" s="300"/>
      <c r="BR853" s="300"/>
      <c r="BS853" s="300"/>
      <c r="BT853" s="300"/>
      <c r="BU853" s="300"/>
      <c r="BV853" s="300"/>
      <c r="BW853" s="300"/>
      <c r="BX853" s="300"/>
      <c r="BY853" s="300"/>
      <c r="BZ853" s="300"/>
      <c r="CA853" s="300"/>
      <c r="CB853" s="300"/>
    </row>
    <row r="854" spans="1:80" s="27" customFormat="1" x14ac:dyDescent="0.3">
      <c r="A854" s="173"/>
      <c r="D854" s="173"/>
      <c r="E854" s="173"/>
      <c r="F854" s="173"/>
      <c r="G854" s="173"/>
      <c r="H854" s="173"/>
      <c r="I854" s="173"/>
      <c r="J854" s="173"/>
      <c r="K854" s="173"/>
      <c r="L854" s="173"/>
      <c r="AM854" s="173"/>
      <c r="AN854" s="173"/>
      <c r="AZ854" s="337"/>
      <c r="BL854" s="349"/>
      <c r="BM854" s="300"/>
      <c r="BN854" s="300"/>
      <c r="BO854" s="300"/>
      <c r="BP854" s="300"/>
      <c r="BQ854" s="300"/>
      <c r="BR854" s="300"/>
      <c r="BS854" s="300"/>
      <c r="BT854" s="300"/>
      <c r="BU854" s="300"/>
      <c r="BV854" s="300"/>
      <c r="BW854" s="300"/>
      <c r="BX854" s="300"/>
      <c r="BY854" s="300"/>
      <c r="BZ854" s="300"/>
      <c r="CA854" s="300"/>
      <c r="CB854" s="300"/>
    </row>
    <row r="855" spans="1:80" s="27" customFormat="1" x14ac:dyDescent="0.3">
      <c r="A855" s="173"/>
      <c r="D855" s="173"/>
      <c r="E855" s="173"/>
      <c r="F855" s="173"/>
      <c r="G855" s="173"/>
      <c r="H855" s="173"/>
      <c r="I855" s="173"/>
      <c r="J855" s="173"/>
      <c r="K855" s="173"/>
      <c r="L855" s="173"/>
      <c r="AM855" s="173"/>
      <c r="AN855" s="173"/>
      <c r="AZ855" s="337"/>
      <c r="BL855" s="349"/>
      <c r="BM855" s="300"/>
      <c r="BN855" s="300"/>
      <c r="BO855" s="300"/>
      <c r="BP855" s="300"/>
      <c r="BQ855" s="300"/>
      <c r="BR855" s="300"/>
      <c r="BS855" s="300"/>
      <c r="BT855" s="300"/>
      <c r="BU855" s="300"/>
      <c r="BV855" s="300"/>
      <c r="BW855" s="300"/>
      <c r="BX855" s="300"/>
      <c r="BY855" s="300"/>
      <c r="BZ855" s="300"/>
      <c r="CA855" s="300"/>
      <c r="CB855" s="300"/>
    </row>
    <row r="856" spans="1:80" s="27" customFormat="1" x14ac:dyDescent="0.3">
      <c r="A856" s="173"/>
      <c r="D856" s="173"/>
      <c r="E856" s="173"/>
      <c r="F856" s="173"/>
      <c r="G856" s="173"/>
      <c r="H856" s="173"/>
      <c r="I856" s="173"/>
      <c r="J856" s="173"/>
      <c r="K856" s="173"/>
      <c r="L856" s="173"/>
      <c r="AM856" s="173"/>
      <c r="AN856" s="173"/>
      <c r="AZ856" s="337"/>
      <c r="BL856" s="349"/>
      <c r="BM856" s="300"/>
      <c r="BN856" s="300"/>
      <c r="BO856" s="300"/>
      <c r="BP856" s="300"/>
      <c r="BQ856" s="300"/>
      <c r="BR856" s="300"/>
      <c r="BS856" s="300"/>
      <c r="BT856" s="300"/>
      <c r="BU856" s="300"/>
      <c r="BV856" s="300"/>
      <c r="BW856" s="300"/>
      <c r="BX856" s="300"/>
      <c r="BY856" s="300"/>
      <c r="BZ856" s="300"/>
      <c r="CA856" s="300"/>
      <c r="CB856" s="300"/>
    </row>
    <row r="857" spans="1:80" s="27" customFormat="1" x14ac:dyDescent="0.3">
      <c r="A857" s="173"/>
      <c r="D857" s="173"/>
      <c r="E857" s="173"/>
      <c r="F857" s="173"/>
      <c r="G857" s="173"/>
      <c r="H857" s="173"/>
      <c r="I857" s="173"/>
      <c r="J857" s="173"/>
      <c r="K857" s="173"/>
      <c r="L857" s="173"/>
      <c r="AM857" s="173"/>
      <c r="AN857" s="173"/>
      <c r="AZ857" s="337"/>
      <c r="BL857" s="349"/>
      <c r="BM857" s="300"/>
      <c r="BN857" s="300"/>
      <c r="BO857" s="300"/>
      <c r="BP857" s="300"/>
      <c r="BQ857" s="300"/>
      <c r="BR857" s="300"/>
      <c r="BS857" s="300"/>
      <c r="BT857" s="300"/>
      <c r="BU857" s="300"/>
      <c r="BV857" s="300"/>
      <c r="BW857" s="300"/>
      <c r="BX857" s="300"/>
      <c r="BY857" s="300"/>
      <c r="BZ857" s="300"/>
      <c r="CA857" s="300"/>
      <c r="CB857" s="300"/>
    </row>
    <row r="858" spans="1:80" s="27" customFormat="1" x14ac:dyDescent="0.3">
      <c r="A858" s="173"/>
      <c r="D858" s="173"/>
      <c r="E858" s="173"/>
      <c r="F858" s="173"/>
      <c r="G858" s="173"/>
      <c r="H858" s="173"/>
      <c r="I858" s="173"/>
      <c r="J858" s="173"/>
      <c r="K858" s="173"/>
      <c r="L858" s="173"/>
      <c r="AM858" s="173"/>
      <c r="AN858" s="173"/>
      <c r="AZ858" s="337"/>
      <c r="BL858" s="349"/>
      <c r="BM858" s="300"/>
      <c r="BN858" s="300"/>
      <c r="BO858" s="300"/>
      <c r="BP858" s="300"/>
      <c r="BQ858" s="300"/>
      <c r="BR858" s="300"/>
      <c r="BS858" s="300"/>
      <c r="BT858" s="300"/>
      <c r="BU858" s="300"/>
      <c r="BV858" s="300"/>
      <c r="BW858" s="300"/>
      <c r="BX858" s="300"/>
      <c r="BY858" s="300"/>
      <c r="BZ858" s="300"/>
      <c r="CA858" s="300"/>
      <c r="CB858" s="300"/>
    </row>
    <row r="859" spans="1:80" s="27" customFormat="1" x14ac:dyDescent="0.3">
      <c r="A859" s="173"/>
      <c r="D859" s="173"/>
      <c r="E859" s="173"/>
      <c r="F859" s="173"/>
      <c r="G859" s="173"/>
      <c r="H859" s="173"/>
      <c r="I859" s="173"/>
      <c r="J859" s="173"/>
      <c r="K859" s="173"/>
      <c r="L859" s="173"/>
      <c r="AM859" s="173"/>
      <c r="AN859" s="173"/>
      <c r="AZ859" s="337"/>
      <c r="BL859" s="349"/>
      <c r="BM859" s="300"/>
      <c r="BN859" s="300"/>
      <c r="BO859" s="300"/>
      <c r="BP859" s="300"/>
      <c r="BQ859" s="300"/>
      <c r="BR859" s="300"/>
      <c r="BS859" s="300"/>
      <c r="BT859" s="300"/>
      <c r="BU859" s="300"/>
      <c r="BV859" s="300"/>
      <c r="BW859" s="300"/>
      <c r="BX859" s="300"/>
      <c r="BY859" s="300"/>
      <c r="BZ859" s="300"/>
      <c r="CA859" s="300"/>
      <c r="CB859" s="300"/>
    </row>
    <row r="860" spans="1:80" s="27" customFormat="1" x14ac:dyDescent="0.3">
      <c r="A860" s="173"/>
      <c r="D860" s="173"/>
      <c r="E860" s="173"/>
      <c r="F860" s="173"/>
      <c r="G860" s="173"/>
      <c r="H860" s="173"/>
      <c r="I860" s="173"/>
      <c r="J860" s="173"/>
      <c r="K860" s="173"/>
      <c r="L860" s="173"/>
      <c r="AM860" s="173"/>
      <c r="AN860" s="173"/>
      <c r="AZ860" s="337"/>
      <c r="BL860" s="349"/>
      <c r="BM860" s="300"/>
      <c r="BN860" s="300"/>
      <c r="BO860" s="300"/>
      <c r="BP860" s="300"/>
      <c r="BQ860" s="300"/>
      <c r="BR860" s="300"/>
      <c r="BS860" s="300"/>
      <c r="BT860" s="300"/>
      <c r="BU860" s="300"/>
      <c r="BV860" s="300"/>
      <c r="BW860" s="300"/>
      <c r="BX860" s="300"/>
      <c r="BY860" s="300"/>
      <c r="BZ860" s="300"/>
      <c r="CA860" s="300"/>
      <c r="CB860" s="300"/>
    </row>
    <row r="861" spans="1:80" s="27" customFormat="1" x14ac:dyDescent="0.3">
      <c r="A861" s="173"/>
      <c r="D861" s="173"/>
      <c r="E861" s="173"/>
      <c r="F861" s="173"/>
      <c r="G861" s="173"/>
      <c r="H861" s="173"/>
      <c r="I861" s="173"/>
      <c r="J861" s="173"/>
      <c r="K861" s="173"/>
      <c r="L861" s="173"/>
      <c r="AM861" s="173"/>
      <c r="AN861" s="173"/>
      <c r="AZ861" s="337"/>
      <c r="BL861" s="349"/>
      <c r="BM861" s="300"/>
      <c r="BN861" s="300"/>
      <c r="BO861" s="300"/>
      <c r="BP861" s="300"/>
      <c r="BQ861" s="300"/>
      <c r="BR861" s="300"/>
      <c r="BS861" s="300"/>
      <c r="BT861" s="300"/>
      <c r="BU861" s="300"/>
      <c r="BV861" s="300"/>
      <c r="BW861" s="300"/>
      <c r="BX861" s="300"/>
      <c r="BY861" s="300"/>
      <c r="BZ861" s="300"/>
      <c r="CA861" s="300"/>
      <c r="CB861" s="300"/>
    </row>
    <row r="862" spans="1:80" s="27" customFormat="1" x14ac:dyDescent="0.3">
      <c r="A862" s="173"/>
      <c r="D862" s="173"/>
      <c r="E862" s="173"/>
      <c r="F862" s="173"/>
      <c r="G862" s="173"/>
      <c r="H862" s="173"/>
      <c r="I862" s="173"/>
      <c r="J862" s="173"/>
      <c r="K862" s="173"/>
      <c r="L862" s="173"/>
      <c r="AM862" s="173"/>
      <c r="AN862" s="173"/>
      <c r="AZ862" s="337"/>
      <c r="BL862" s="349"/>
      <c r="BM862" s="300"/>
      <c r="BN862" s="300"/>
      <c r="BO862" s="300"/>
      <c r="BP862" s="300"/>
      <c r="BQ862" s="300"/>
      <c r="BR862" s="300"/>
      <c r="BS862" s="300"/>
      <c r="BT862" s="300"/>
      <c r="BU862" s="300"/>
      <c r="BV862" s="300"/>
      <c r="BW862" s="300"/>
      <c r="BX862" s="300"/>
      <c r="BY862" s="300"/>
      <c r="BZ862" s="300"/>
      <c r="CA862" s="300"/>
      <c r="CB862" s="300"/>
    </row>
    <row r="863" spans="1:80" s="27" customFormat="1" x14ac:dyDescent="0.3">
      <c r="A863" s="173"/>
      <c r="D863" s="173"/>
      <c r="E863" s="173"/>
      <c r="F863" s="173"/>
      <c r="G863" s="173"/>
      <c r="H863" s="173"/>
      <c r="I863" s="173"/>
      <c r="J863" s="173"/>
      <c r="K863" s="173"/>
      <c r="L863" s="173"/>
      <c r="AM863" s="173"/>
      <c r="AN863" s="173"/>
      <c r="AZ863" s="337"/>
      <c r="BL863" s="349"/>
      <c r="BM863" s="300"/>
      <c r="BN863" s="300"/>
      <c r="BO863" s="300"/>
      <c r="BP863" s="300"/>
      <c r="BQ863" s="300"/>
      <c r="BR863" s="300"/>
      <c r="BS863" s="300"/>
      <c r="BT863" s="300"/>
      <c r="BU863" s="300"/>
      <c r="BV863" s="300"/>
      <c r="BW863" s="300"/>
      <c r="BX863" s="300"/>
      <c r="BY863" s="300"/>
      <c r="BZ863" s="300"/>
      <c r="CA863" s="300"/>
      <c r="CB863" s="300"/>
    </row>
    <row r="864" spans="1:80" s="27" customFormat="1" x14ac:dyDescent="0.3">
      <c r="A864" s="173"/>
      <c r="D864" s="173"/>
      <c r="E864" s="173"/>
      <c r="F864" s="173"/>
      <c r="G864" s="173"/>
      <c r="H864" s="173"/>
      <c r="I864" s="173"/>
      <c r="J864" s="173"/>
      <c r="K864" s="173"/>
      <c r="L864" s="173"/>
      <c r="AM864" s="173"/>
      <c r="AN864" s="173"/>
      <c r="AZ864" s="337"/>
      <c r="BL864" s="349"/>
      <c r="BM864" s="300"/>
      <c r="BN864" s="300"/>
      <c r="BO864" s="300"/>
      <c r="BP864" s="300"/>
      <c r="BQ864" s="300"/>
      <c r="BR864" s="300"/>
      <c r="BS864" s="300"/>
      <c r="BT864" s="300"/>
      <c r="BU864" s="300"/>
      <c r="BV864" s="300"/>
      <c r="BW864" s="300"/>
      <c r="BX864" s="300"/>
      <c r="BY864" s="300"/>
      <c r="BZ864" s="300"/>
      <c r="CA864" s="300"/>
      <c r="CB864" s="300"/>
    </row>
    <row r="865" spans="1:80" s="27" customFormat="1" x14ac:dyDescent="0.3">
      <c r="A865" s="173"/>
      <c r="D865" s="173"/>
      <c r="E865" s="173"/>
      <c r="F865" s="173"/>
      <c r="G865" s="173"/>
      <c r="H865" s="173"/>
      <c r="I865" s="173"/>
      <c r="J865" s="173"/>
      <c r="K865" s="173"/>
      <c r="L865" s="173"/>
      <c r="AM865" s="173"/>
      <c r="AN865" s="173"/>
      <c r="AZ865" s="337"/>
      <c r="BL865" s="349"/>
      <c r="BM865" s="300"/>
      <c r="BN865" s="300"/>
      <c r="BO865" s="300"/>
      <c r="BP865" s="300"/>
      <c r="BQ865" s="300"/>
      <c r="BR865" s="300"/>
      <c r="BS865" s="300"/>
      <c r="BT865" s="300"/>
      <c r="BU865" s="300"/>
      <c r="BV865" s="300"/>
      <c r="BW865" s="300"/>
      <c r="BX865" s="300"/>
      <c r="BY865" s="300"/>
      <c r="BZ865" s="300"/>
      <c r="CA865" s="300"/>
      <c r="CB865" s="300"/>
    </row>
    <row r="866" spans="1:80" s="27" customFormat="1" x14ac:dyDescent="0.3">
      <c r="A866" s="173"/>
      <c r="D866" s="173"/>
      <c r="E866" s="173"/>
      <c r="F866" s="173"/>
      <c r="G866" s="173"/>
      <c r="H866" s="173"/>
      <c r="I866" s="173"/>
      <c r="J866" s="173"/>
      <c r="K866" s="173"/>
      <c r="L866" s="173"/>
      <c r="AM866" s="173"/>
      <c r="AN866" s="173"/>
      <c r="AZ866" s="337"/>
      <c r="BL866" s="349"/>
      <c r="BM866" s="300"/>
      <c r="BN866" s="300"/>
      <c r="BO866" s="300"/>
      <c r="BP866" s="300"/>
      <c r="BQ866" s="300"/>
      <c r="BR866" s="300"/>
      <c r="BS866" s="300"/>
      <c r="BT866" s="300"/>
      <c r="BU866" s="300"/>
      <c r="BV866" s="300"/>
      <c r="BW866" s="300"/>
      <c r="BX866" s="300"/>
      <c r="BY866" s="300"/>
      <c r="BZ866" s="300"/>
      <c r="CA866" s="300"/>
      <c r="CB866" s="300"/>
    </row>
    <row r="867" spans="1:80" s="27" customFormat="1" x14ac:dyDescent="0.3">
      <c r="A867" s="173"/>
      <c r="D867" s="173"/>
      <c r="E867" s="173"/>
      <c r="F867" s="173"/>
      <c r="G867" s="173"/>
      <c r="H867" s="173"/>
      <c r="I867" s="173"/>
      <c r="J867" s="173"/>
      <c r="K867" s="173"/>
      <c r="L867" s="173"/>
      <c r="AM867" s="173"/>
      <c r="AN867" s="173"/>
      <c r="AZ867" s="337"/>
      <c r="BL867" s="349"/>
      <c r="BM867" s="300"/>
      <c r="BN867" s="300"/>
      <c r="BO867" s="300"/>
      <c r="BP867" s="300"/>
      <c r="BQ867" s="300"/>
      <c r="BR867" s="300"/>
      <c r="BS867" s="300"/>
      <c r="BT867" s="300"/>
      <c r="BU867" s="300"/>
      <c r="BV867" s="300"/>
      <c r="BW867" s="300"/>
      <c r="BX867" s="300"/>
      <c r="BY867" s="300"/>
      <c r="BZ867" s="300"/>
      <c r="CA867" s="300"/>
      <c r="CB867" s="300"/>
    </row>
    <row r="868" spans="1:80" s="27" customFormat="1" x14ac:dyDescent="0.3">
      <c r="A868" s="173"/>
      <c r="D868" s="173"/>
      <c r="E868" s="173"/>
      <c r="F868" s="173"/>
      <c r="G868" s="173"/>
      <c r="H868" s="173"/>
      <c r="I868" s="173"/>
      <c r="J868" s="173"/>
      <c r="K868" s="173"/>
      <c r="L868" s="173"/>
      <c r="AM868" s="173"/>
      <c r="AN868" s="173"/>
      <c r="AZ868" s="337"/>
      <c r="BL868" s="349"/>
      <c r="BM868" s="300"/>
      <c r="BN868" s="300"/>
      <c r="BO868" s="300"/>
      <c r="BP868" s="300"/>
      <c r="BQ868" s="300"/>
      <c r="BR868" s="300"/>
      <c r="BS868" s="300"/>
      <c r="BT868" s="300"/>
      <c r="BU868" s="300"/>
      <c r="BV868" s="300"/>
      <c r="BW868" s="300"/>
      <c r="BX868" s="300"/>
      <c r="BY868" s="300"/>
      <c r="BZ868" s="300"/>
      <c r="CA868" s="300"/>
      <c r="CB868" s="300"/>
    </row>
    <row r="869" spans="1:80" s="27" customFormat="1" x14ac:dyDescent="0.3">
      <c r="A869" s="173"/>
      <c r="D869" s="173"/>
      <c r="E869" s="173"/>
      <c r="F869" s="173"/>
      <c r="G869" s="173"/>
      <c r="H869" s="173"/>
      <c r="I869" s="173"/>
      <c r="J869" s="173"/>
      <c r="K869" s="173"/>
      <c r="L869" s="173"/>
      <c r="AM869" s="173"/>
      <c r="AN869" s="173"/>
      <c r="AZ869" s="337"/>
      <c r="BL869" s="349"/>
      <c r="BM869" s="300"/>
      <c r="BN869" s="300"/>
      <c r="BO869" s="300"/>
      <c r="BP869" s="300"/>
      <c r="BQ869" s="300"/>
      <c r="BR869" s="300"/>
      <c r="BS869" s="300"/>
      <c r="BT869" s="300"/>
      <c r="BU869" s="300"/>
      <c r="BV869" s="300"/>
      <c r="BW869" s="300"/>
      <c r="BX869" s="300"/>
      <c r="BY869" s="300"/>
      <c r="BZ869" s="300"/>
      <c r="CA869" s="300"/>
      <c r="CB869" s="300"/>
    </row>
    <row r="870" spans="1:80" s="27" customFormat="1" x14ac:dyDescent="0.3">
      <c r="A870" s="173"/>
      <c r="D870" s="173"/>
      <c r="E870" s="173"/>
      <c r="F870" s="173"/>
      <c r="G870" s="173"/>
      <c r="H870" s="173"/>
      <c r="I870" s="173"/>
      <c r="J870" s="173"/>
      <c r="K870" s="173"/>
      <c r="L870" s="173"/>
      <c r="AM870" s="173"/>
      <c r="AN870" s="173"/>
      <c r="AZ870" s="337"/>
      <c r="BL870" s="349"/>
      <c r="BM870" s="300"/>
      <c r="BN870" s="300"/>
      <c r="BO870" s="300"/>
      <c r="BP870" s="300"/>
      <c r="BQ870" s="300"/>
      <c r="BR870" s="300"/>
      <c r="BS870" s="300"/>
      <c r="BT870" s="300"/>
      <c r="BU870" s="300"/>
      <c r="BV870" s="300"/>
      <c r="BW870" s="300"/>
      <c r="BX870" s="300"/>
      <c r="BY870" s="300"/>
      <c r="BZ870" s="300"/>
      <c r="CA870" s="300"/>
      <c r="CB870" s="300"/>
    </row>
    <row r="871" spans="1:80" s="27" customFormat="1" x14ac:dyDescent="0.3">
      <c r="A871" s="173"/>
      <c r="D871" s="173"/>
      <c r="E871" s="173"/>
      <c r="F871" s="173"/>
      <c r="G871" s="173"/>
      <c r="H871" s="173"/>
      <c r="I871" s="173"/>
      <c r="J871" s="173"/>
      <c r="K871" s="173"/>
      <c r="L871" s="173"/>
      <c r="AM871" s="173"/>
      <c r="AN871" s="173"/>
      <c r="AZ871" s="337"/>
      <c r="BL871" s="349"/>
      <c r="BM871" s="300"/>
      <c r="BN871" s="300"/>
      <c r="BO871" s="300"/>
      <c r="BP871" s="300"/>
      <c r="BQ871" s="300"/>
      <c r="BR871" s="300"/>
      <c r="BS871" s="300"/>
      <c r="BT871" s="300"/>
      <c r="BU871" s="300"/>
      <c r="BV871" s="300"/>
      <c r="BW871" s="300"/>
      <c r="BX871" s="300"/>
      <c r="BY871" s="300"/>
      <c r="BZ871" s="300"/>
      <c r="CA871" s="300"/>
      <c r="CB871" s="300"/>
    </row>
    <row r="872" spans="1:80" s="27" customFormat="1" x14ac:dyDescent="0.3">
      <c r="A872" s="173"/>
      <c r="D872" s="173"/>
      <c r="E872" s="173"/>
      <c r="F872" s="173"/>
      <c r="G872" s="173"/>
      <c r="H872" s="173"/>
      <c r="I872" s="173"/>
      <c r="J872" s="173"/>
      <c r="K872" s="173"/>
      <c r="L872" s="173"/>
      <c r="AM872" s="173"/>
      <c r="AN872" s="173"/>
      <c r="AZ872" s="337"/>
      <c r="BL872" s="349"/>
      <c r="BM872" s="300"/>
      <c r="BN872" s="300"/>
      <c r="BO872" s="300"/>
      <c r="BP872" s="300"/>
      <c r="BQ872" s="300"/>
      <c r="BR872" s="300"/>
      <c r="BS872" s="300"/>
      <c r="BT872" s="300"/>
      <c r="BU872" s="300"/>
      <c r="BV872" s="300"/>
      <c r="BW872" s="300"/>
      <c r="BX872" s="300"/>
      <c r="BY872" s="300"/>
      <c r="BZ872" s="300"/>
      <c r="CA872" s="300"/>
      <c r="CB872" s="300"/>
    </row>
    <row r="873" spans="1:80" s="27" customFormat="1" x14ac:dyDescent="0.3">
      <c r="A873" s="173"/>
      <c r="D873" s="173"/>
      <c r="E873" s="173"/>
      <c r="F873" s="173"/>
      <c r="G873" s="173"/>
      <c r="H873" s="173"/>
      <c r="I873" s="173"/>
      <c r="J873" s="173"/>
      <c r="K873" s="173"/>
      <c r="L873" s="173"/>
      <c r="AM873" s="173"/>
      <c r="AN873" s="173"/>
      <c r="AZ873" s="337"/>
      <c r="BL873" s="349"/>
      <c r="BM873" s="300"/>
      <c r="BN873" s="300"/>
      <c r="BO873" s="300"/>
      <c r="BP873" s="300"/>
      <c r="BQ873" s="300"/>
      <c r="BR873" s="300"/>
      <c r="BS873" s="300"/>
      <c r="BT873" s="300"/>
      <c r="BU873" s="300"/>
      <c r="BV873" s="300"/>
      <c r="BW873" s="300"/>
      <c r="BX873" s="300"/>
      <c r="BY873" s="300"/>
      <c r="BZ873" s="300"/>
      <c r="CA873" s="300"/>
      <c r="CB873" s="300"/>
    </row>
    <row r="874" spans="1:80" s="27" customFormat="1" x14ac:dyDescent="0.3">
      <c r="A874" s="173"/>
      <c r="D874" s="173"/>
      <c r="E874" s="173"/>
      <c r="F874" s="173"/>
      <c r="G874" s="173"/>
      <c r="H874" s="173"/>
      <c r="I874" s="173"/>
      <c r="J874" s="173"/>
      <c r="K874" s="173"/>
      <c r="L874" s="173"/>
      <c r="AM874" s="173"/>
      <c r="AN874" s="173"/>
      <c r="AZ874" s="337"/>
      <c r="BL874" s="349"/>
      <c r="BM874" s="300"/>
      <c r="BN874" s="300"/>
      <c r="BO874" s="300"/>
      <c r="BP874" s="300"/>
      <c r="BQ874" s="300"/>
      <c r="BR874" s="300"/>
      <c r="BS874" s="300"/>
      <c r="BT874" s="300"/>
      <c r="BU874" s="300"/>
      <c r="BV874" s="300"/>
      <c r="BW874" s="300"/>
      <c r="BX874" s="300"/>
      <c r="BY874" s="300"/>
      <c r="BZ874" s="300"/>
      <c r="CA874" s="300"/>
      <c r="CB874" s="300"/>
    </row>
    <row r="875" spans="1:80" s="27" customFormat="1" x14ac:dyDescent="0.3">
      <c r="A875" s="173"/>
      <c r="D875" s="173"/>
      <c r="E875" s="173"/>
      <c r="F875" s="173"/>
      <c r="G875" s="173"/>
      <c r="H875" s="173"/>
      <c r="I875" s="173"/>
      <c r="J875" s="173"/>
      <c r="K875" s="173"/>
      <c r="L875" s="173"/>
      <c r="AM875" s="173"/>
      <c r="AN875" s="173"/>
      <c r="AZ875" s="337"/>
      <c r="BL875" s="349"/>
      <c r="BM875" s="300"/>
      <c r="BN875" s="300"/>
      <c r="BO875" s="300"/>
      <c r="BP875" s="300"/>
      <c r="BQ875" s="300"/>
      <c r="BR875" s="300"/>
      <c r="BS875" s="300"/>
      <c r="BT875" s="300"/>
      <c r="BU875" s="300"/>
      <c r="BV875" s="300"/>
      <c r="BW875" s="300"/>
      <c r="BX875" s="300"/>
      <c r="BY875" s="300"/>
      <c r="BZ875" s="300"/>
      <c r="CA875" s="300"/>
      <c r="CB875" s="300"/>
    </row>
    <row r="876" spans="1:80" s="27" customFormat="1" x14ac:dyDescent="0.3">
      <c r="A876" s="173"/>
      <c r="D876" s="173"/>
      <c r="E876" s="173"/>
      <c r="F876" s="173"/>
      <c r="G876" s="173"/>
      <c r="H876" s="173"/>
      <c r="I876" s="173"/>
      <c r="J876" s="173"/>
      <c r="K876" s="173"/>
      <c r="L876" s="173"/>
      <c r="AM876" s="173"/>
      <c r="AN876" s="173"/>
      <c r="AZ876" s="337"/>
      <c r="BL876" s="349"/>
      <c r="BM876" s="300"/>
      <c r="BN876" s="300"/>
      <c r="BO876" s="300"/>
      <c r="BP876" s="300"/>
      <c r="BQ876" s="300"/>
      <c r="BR876" s="300"/>
      <c r="BS876" s="300"/>
      <c r="BT876" s="300"/>
      <c r="BU876" s="300"/>
      <c r="BV876" s="300"/>
      <c r="BW876" s="300"/>
      <c r="BX876" s="300"/>
      <c r="BY876" s="300"/>
      <c r="BZ876" s="300"/>
      <c r="CA876" s="300"/>
      <c r="CB876" s="300"/>
    </row>
    <row r="877" spans="1:80" s="27" customFormat="1" x14ac:dyDescent="0.3">
      <c r="A877" s="173"/>
      <c r="D877" s="173"/>
      <c r="E877" s="173"/>
      <c r="F877" s="173"/>
      <c r="G877" s="173"/>
      <c r="H877" s="173"/>
      <c r="I877" s="173"/>
      <c r="J877" s="173"/>
      <c r="K877" s="173"/>
      <c r="L877" s="173"/>
      <c r="AM877" s="173"/>
      <c r="AN877" s="173"/>
      <c r="AZ877" s="337"/>
      <c r="BL877" s="349"/>
      <c r="BM877" s="300"/>
      <c r="BN877" s="300"/>
      <c r="BO877" s="300"/>
      <c r="BP877" s="300"/>
      <c r="BQ877" s="300"/>
      <c r="BR877" s="300"/>
      <c r="BS877" s="300"/>
      <c r="BT877" s="300"/>
      <c r="BU877" s="300"/>
      <c r="BV877" s="300"/>
      <c r="BW877" s="300"/>
      <c r="BX877" s="300"/>
      <c r="BY877" s="300"/>
      <c r="BZ877" s="300"/>
      <c r="CA877" s="300"/>
      <c r="CB877" s="300"/>
    </row>
    <row r="878" spans="1:80" s="27" customFormat="1" x14ac:dyDescent="0.3">
      <c r="A878" s="173"/>
      <c r="D878" s="173"/>
      <c r="E878" s="173"/>
      <c r="F878" s="173"/>
      <c r="G878" s="173"/>
      <c r="H878" s="173"/>
      <c r="I878" s="173"/>
      <c r="J878" s="173"/>
      <c r="K878" s="173"/>
      <c r="L878" s="173"/>
      <c r="AM878" s="173"/>
      <c r="AN878" s="173"/>
      <c r="AZ878" s="337"/>
      <c r="BL878" s="349"/>
      <c r="BM878" s="300"/>
      <c r="BN878" s="300"/>
      <c r="BO878" s="300"/>
      <c r="BP878" s="300"/>
      <c r="BQ878" s="300"/>
      <c r="BR878" s="300"/>
      <c r="BS878" s="300"/>
      <c r="BT878" s="300"/>
      <c r="BU878" s="300"/>
      <c r="BV878" s="300"/>
      <c r="BW878" s="300"/>
      <c r="BX878" s="300"/>
      <c r="BY878" s="300"/>
      <c r="BZ878" s="300"/>
      <c r="CA878" s="300"/>
      <c r="CB878" s="300"/>
    </row>
    <row r="879" spans="1:80" s="27" customFormat="1" x14ac:dyDescent="0.3">
      <c r="A879" s="173"/>
      <c r="D879" s="173"/>
      <c r="E879" s="173"/>
      <c r="F879" s="173"/>
      <c r="G879" s="173"/>
      <c r="H879" s="173"/>
      <c r="I879" s="173"/>
      <c r="J879" s="173"/>
      <c r="K879" s="173"/>
      <c r="L879" s="173"/>
      <c r="AM879" s="173"/>
      <c r="AN879" s="173"/>
      <c r="AZ879" s="337"/>
      <c r="BL879" s="349"/>
      <c r="BM879" s="300"/>
      <c r="BN879" s="300"/>
      <c r="BO879" s="300"/>
      <c r="BP879" s="300"/>
      <c r="BQ879" s="300"/>
      <c r="BR879" s="300"/>
      <c r="BS879" s="300"/>
      <c r="BT879" s="300"/>
      <c r="BU879" s="300"/>
      <c r="BV879" s="300"/>
      <c r="BW879" s="300"/>
      <c r="BX879" s="300"/>
      <c r="BY879" s="300"/>
      <c r="BZ879" s="300"/>
      <c r="CA879" s="300"/>
      <c r="CB879" s="300"/>
    </row>
    <row r="880" spans="1:80" s="27" customFormat="1" x14ac:dyDescent="0.3">
      <c r="A880" s="173"/>
      <c r="D880" s="173"/>
      <c r="E880" s="173"/>
      <c r="F880" s="173"/>
      <c r="G880" s="173"/>
      <c r="H880" s="173"/>
      <c r="I880" s="173"/>
      <c r="J880" s="173"/>
      <c r="K880" s="173"/>
      <c r="L880" s="173"/>
      <c r="AM880" s="173"/>
      <c r="AN880" s="173"/>
      <c r="AZ880" s="337"/>
      <c r="BL880" s="349"/>
      <c r="BM880" s="300"/>
      <c r="BN880" s="300"/>
      <c r="BO880" s="300"/>
      <c r="BP880" s="300"/>
      <c r="BQ880" s="300"/>
      <c r="BR880" s="300"/>
      <c r="BS880" s="300"/>
      <c r="BT880" s="300"/>
      <c r="BU880" s="300"/>
      <c r="BV880" s="300"/>
      <c r="BW880" s="300"/>
      <c r="BX880" s="300"/>
      <c r="BY880" s="300"/>
      <c r="BZ880" s="300"/>
      <c r="CA880" s="300"/>
      <c r="CB880" s="300"/>
    </row>
    <row r="881" spans="1:80" s="27" customFormat="1" x14ac:dyDescent="0.3">
      <c r="A881" s="173"/>
      <c r="D881" s="173"/>
      <c r="E881" s="173"/>
      <c r="F881" s="173"/>
      <c r="G881" s="173"/>
      <c r="H881" s="173"/>
      <c r="I881" s="173"/>
      <c r="J881" s="173"/>
      <c r="K881" s="173"/>
      <c r="L881" s="173"/>
      <c r="AM881" s="173"/>
      <c r="AN881" s="173"/>
      <c r="AZ881" s="337"/>
      <c r="BL881" s="349"/>
      <c r="BM881" s="300"/>
      <c r="BN881" s="300"/>
      <c r="BO881" s="300"/>
      <c r="BP881" s="300"/>
      <c r="BQ881" s="300"/>
      <c r="BR881" s="300"/>
      <c r="BS881" s="300"/>
      <c r="BT881" s="300"/>
      <c r="BU881" s="300"/>
      <c r="BV881" s="300"/>
      <c r="BW881" s="300"/>
      <c r="BX881" s="300"/>
      <c r="BY881" s="300"/>
      <c r="BZ881" s="300"/>
      <c r="CA881" s="300"/>
      <c r="CB881" s="300"/>
    </row>
    <row r="882" spans="1:80" s="27" customFormat="1" x14ac:dyDescent="0.3">
      <c r="A882" s="173"/>
      <c r="D882" s="173"/>
      <c r="E882" s="173"/>
      <c r="F882" s="173"/>
      <c r="G882" s="173"/>
      <c r="H882" s="173"/>
      <c r="I882" s="173"/>
      <c r="J882" s="173"/>
      <c r="K882" s="173"/>
      <c r="L882" s="173"/>
      <c r="AM882" s="173"/>
      <c r="AN882" s="173"/>
      <c r="AZ882" s="337"/>
      <c r="BL882" s="349"/>
      <c r="BM882" s="300"/>
      <c r="BN882" s="300"/>
      <c r="BO882" s="300"/>
      <c r="BP882" s="300"/>
      <c r="BQ882" s="300"/>
      <c r="BR882" s="300"/>
      <c r="BS882" s="300"/>
      <c r="BT882" s="300"/>
      <c r="BU882" s="300"/>
      <c r="BV882" s="300"/>
      <c r="BW882" s="300"/>
      <c r="BX882" s="300"/>
      <c r="BY882" s="300"/>
      <c r="BZ882" s="300"/>
      <c r="CA882" s="300"/>
      <c r="CB882" s="300"/>
    </row>
    <row r="883" spans="1:80" s="27" customFormat="1" x14ac:dyDescent="0.3">
      <c r="A883" s="173"/>
      <c r="D883" s="173"/>
      <c r="E883" s="173"/>
      <c r="F883" s="173"/>
      <c r="G883" s="173"/>
      <c r="H883" s="173"/>
      <c r="I883" s="173"/>
      <c r="J883" s="173"/>
      <c r="K883" s="173"/>
      <c r="L883" s="173"/>
      <c r="AM883" s="173"/>
      <c r="AN883" s="173"/>
      <c r="AZ883" s="337"/>
      <c r="BL883" s="349"/>
      <c r="BM883" s="300"/>
      <c r="BN883" s="300"/>
      <c r="BO883" s="300"/>
      <c r="BP883" s="300"/>
      <c r="BQ883" s="300"/>
      <c r="BR883" s="300"/>
      <c r="BS883" s="300"/>
      <c r="BT883" s="300"/>
      <c r="BU883" s="300"/>
      <c r="BV883" s="300"/>
      <c r="BW883" s="300"/>
      <c r="BX883" s="300"/>
      <c r="BY883" s="300"/>
      <c r="BZ883" s="300"/>
      <c r="CA883" s="300"/>
      <c r="CB883" s="300"/>
    </row>
    <row r="884" spans="1:80" s="27" customFormat="1" x14ac:dyDescent="0.3">
      <c r="A884" s="173"/>
      <c r="D884" s="173"/>
      <c r="E884" s="173"/>
      <c r="F884" s="173"/>
      <c r="G884" s="173"/>
      <c r="H884" s="173"/>
      <c r="I884" s="173"/>
      <c r="J884" s="173"/>
      <c r="K884" s="173"/>
      <c r="L884" s="173"/>
      <c r="AM884" s="173"/>
      <c r="AN884" s="173"/>
      <c r="AZ884" s="337"/>
      <c r="BL884" s="349"/>
      <c r="BM884" s="300"/>
      <c r="BN884" s="300"/>
      <c r="BO884" s="300"/>
      <c r="BP884" s="300"/>
      <c r="BQ884" s="300"/>
      <c r="BR884" s="300"/>
      <c r="BS884" s="300"/>
      <c r="BT884" s="300"/>
      <c r="BU884" s="300"/>
      <c r="BV884" s="300"/>
      <c r="BW884" s="300"/>
      <c r="BX884" s="300"/>
      <c r="BY884" s="300"/>
      <c r="BZ884" s="300"/>
      <c r="CA884" s="300"/>
      <c r="CB884" s="300"/>
    </row>
    <row r="885" spans="1:80" s="27" customFormat="1" x14ac:dyDescent="0.3">
      <c r="A885" s="173"/>
      <c r="D885" s="173"/>
      <c r="E885" s="173"/>
      <c r="F885" s="173"/>
      <c r="G885" s="173"/>
      <c r="H885" s="173"/>
      <c r="I885" s="173"/>
      <c r="J885" s="173"/>
      <c r="K885" s="173"/>
      <c r="L885" s="173"/>
      <c r="AM885" s="173"/>
      <c r="AN885" s="173"/>
      <c r="AZ885" s="337"/>
      <c r="BL885" s="349"/>
      <c r="BM885" s="300"/>
      <c r="BN885" s="300"/>
      <c r="BO885" s="300"/>
      <c r="BP885" s="300"/>
      <c r="BQ885" s="300"/>
      <c r="BR885" s="300"/>
      <c r="BS885" s="300"/>
      <c r="BT885" s="300"/>
      <c r="BU885" s="300"/>
      <c r="BV885" s="300"/>
      <c r="BW885" s="300"/>
      <c r="BX885" s="300"/>
      <c r="BY885" s="300"/>
      <c r="BZ885" s="300"/>
      <c r="CA885" s="300"/>
      <c r="CB885" s="300"/>
    </row>
    <row r="886" spans="1:80" s="27" customFormat="1" x14ac:dyDescent="0.3">
      <c r="A886" s="173"/>
      <c r="D886" s="173"/>
      <c r="E886" s="173"/>
      <c r="F886" s="173"/>
      <c r="G886" s="173"/>
      <c r="H886" s="173"/>
      <c r="I886" s="173"/>
      <c r="J886" s="173"/>
      <c r="K886" s="173"/>
      <c r="L886" s="173"/>
      <c r="AM886" s="173"/>
      <c r="AN886" s="173"/>
      <c r="AZ886" s="337"/>
      <c r="BL886" s="349"/>
      <c r="BM886" s="300"/>
      <c r="BN886" s="300"/>
      <c r="BO886" s="300"/>
      <c r="BP886" s="300"/>
      <c r="BQ886" s="300"/>
      <c r="BR886" s="300"/>
      <c r="BS886" s="300"/>
      <c r="BT886" s="300"/>
      <c r="BU886" s="300"/>
      <c r="BV886" s="300"/>
      <c r="BW886" s="300"/>
      <c r="BX886" s="300"/>
      <c r="BY886" s="300"/>
      <c r="BZ886" s="300"/>
      <c r="CA886" s="300"/>
      <c r="CB886" s="300"/>
    </row>
    <row r="887" spans="1:80" s="27" customFormat="1" x14ac:dyDescent="0.3">
      <c r="A887" s="173"/>
      <c r="D887" s="173"/>
      <c r="E887" s="173"/>
      <c r="F887" s="173"/>
      <c r="G887" s="173"/>
      <c r="H887" s="173"/>
      <c r="I887" s="173"/>
      <c r="J887" s="173"/>
      <c r="K887" s="173"/>
      <c r="L887" s="173"/>
      <c r="AM887" s="173"/>
      <c r="AN887" s="173"/>
      <c r="AZ887" s="337"/>
      <c r="BL887" s="349"/>
      <c r="BM887" s="300"/>
      <c r="BN887" s="300"/>
      <c r="BO887" s="300"/>
      <c r="BP887" s="300"/>
      <c r="BQ887" s="300"/>
      <c r="BR887" s="300"/>
      <c r="BS887" s="300"/>
      <c r="BT887" s="300"/>
      <c r="BU887" s="300"/>
      <c r="BV887" s="300"/>
      <c r="BW887" s="300"/>
      <c r="BX887" s="300"/>
      <c r="BY887" s="300"/>
      <c r="BZ887" s="300"/>
      <c r="CA887" s="300"/>
      <c r="CB887" s="300"/>
    </row>
    <row r="888" spans="1:80" s="27" customFormat="1" x14ac:dyDescent="0.3">
      <c r="A888" s="173"/>
      <c r="D888" s="173"/>
      <c r="E888" s="173"/>
      <c r="F888" s="173"/>
      <c r="G888" s="173"/>
      <c r="H888" s="173"/>
      <c r="I888" s="173"/>
      <c r="J888" s="173"/>
      <c r="K888" s="173"/>
      <c r="L888" s="173"/>
      <c r="AM888" s="173"/>
      <c r="AN888" s="173"/>
      <c r="AZ888" s="337"/>
      <c r="BL888" s="349"/>
      <c r="BM888" s="300"/>
      <c r="BN888" s="300"/>
      <c r="BO888" s="300"/>
      <c r="BP888" s="300"/>
      <c r="BQ888" s="300"/>
      <c r="BR888" s="300"/>
      <c r="BS888" s="300"/>
      <c r="BT888" s="300"/>
      <c r="BU888" s="300"/>
      <c r="BV888" s="300"/>
      <c r="BW888" s="300"/>
      <c r="BX888" s="300"/>
      <c r="BY888" s="300"/>
      <c r="BZ888" s="300"/>
      <c r="CA888" s="300"/>
      <c r="CB888" s="300"/>
    </row>
    <row r="889" spans="1:80" s="27" customFormat="1" x14ac:dyDescent="0.3">
      <c r="A889" s="173"/>
      <c r="D889" s="173"/>
      <c r="E889" s="173"/>
      <c r="F889" s="173"/>
      <c r="G889" s="173"/>
      <c r="H889" s="173"/>
      <c r="I889" s="173"/>
      <c r="J889" s="173"/>
      <c r="K889" s="173"/>
      <c r="L889" s="173"/>
      <c r="AM889" s="173"/>
      <c r="AN889" s="173"/>
      <c r="AZ889" s="337"/>
      <c r="BL889" s="349"/>
      <c r="BM889" s="300"/>
      <c r="BN889" s="300"/>
      <c r="BO889" s="300"/>
      <c r="BP889" s="300"/>
      <c r="BQ889" s="300"/>
      <c r="BR889" s="300"/>
      <c r="BS889" s="300"/>
      <c r="BT889" s="300"/>
      <c r="BU889" s="300"/>
      <c r="BV889" s="300"/>
      <c r="BW889" s="300"/>
      <c r="BX889" s="300"/>
      <c r="BY889" s="300"/>
      <c r="BZ889" s="300"/>
      <c r="CA889" s="300"/>
      <c r="CB889" s="300"/>
    </row>
    <row r="890" spans="1:80" s="27" customFormat="1" x14ac:dyDescent="0.3">
      <c r="A890" s="173"/>
      <c r="D890" s="173"/>
      <c r="E890" s="173"/>
      <c r="F890" s="173"/>
      <c r="G890" s="173"/>
      <c r="H890" s="173"/>
      <c r="I890" s="173"/>
      <c r="J890" s="173"/>
      <c r="K890" s="173"/>
      <c r="L890" s="173"/>
      <c r="AM890" s="173"/>
      <c r="AN890" s="173"/>
      <c r="AZ890" s="337"/>
      <c r="BL890" s="349"/>
      <c r="BM890" s="300"/>
      <c r="BN890" s="300"/>
      <c r="BO890" s="300"/>
      <c r="BP890" s="300"/>
      <c r="BQ890" s="300"/>
      <c r="BR890" s="300"/>
      <c r="BS890" s="300"/>
      <c r="BT890" s="300"/>
      <c r="BU890" s="300"/>
      <c r="BV890" s="300"/>
      <c r="BW890" s="300"/>
      <c r="BX890" s="300"/>
      <c r="BY890" s="300"/>
      <c r="BZ890" s="300"/>
      <c r="CA890" s="300"/>
      <c r="CB890" s="300"/>
    </row>
    <row r="891" spans="1:80" s="27" customFormat="1" x14ac:dyDescent="0.3">
      <c r="A891" s="173"/>
      <c r="D891" s="173"/>
      <c r="E891" s="173"/>
      <c r="F891" s="173"/>
      <c r="G891" s="173"/>
      <c r="H891" s="173"/>
      <c r="I891" s="173"/>
      <c r="J891" s="173"/>
      <c r="K891" s="173"/>
      <c r="L891" s="173"/>
      <c r="AM891" s="173"/>
      <c r="AN891" s="173"/>
      <c r="AZ891" s="337"/>
      <c r="BL891" s="349"/>
      <c r="BM891" s="300"/>
      <c r="BN891" s="300"/>
      <c r="BO891" s="300"/>
      <c r="BP891" s="300"/>
      <c r="BQ891" s="300"/>
      <c r="BR891" s="300"/>
      <c r="BS891" s="300"/>
      <c r="BT891" s="300"/>
      <c r="BU891" s="300"/>
      <c r="BV891" s="300"/>
      <c r="BW891" s="300"/>
      <c r="BX891" s="300"/>
      <c r="BY891" s="300"/>
      <c r="BZ891" s="300"/>
      <c r="CA891" s="300"/>
      <c r="CB891" s="300"/>
    </row>
    <row r="892" spans="1:80" s="27" customFormat="1" x14ac:dyDescent="0.3">
      <c r="A892" s="173"/>
      <c r="D892" s="173"/>
      <c r="E892" s="173"/>
      <c r="F892" s="173"/>
      <c r="G892" s="173"/>
      <c r="H892" s="173"/>
      <c r="I892" s="173"/>
      <c r="J892" s="173"/>
      <c r="K892" s="173"/>
      <c r="L892" s="173"/>
      <c r="AM892" s="173"/>
      <c r="AN892" s="173"/>
      <c r="AZ892" s="337"/>
      <c r="BL892" s="349"/>
      <c r="BM892" s="300"/>
      <c r="BN892" s="300"/>
      <c r="BO892" s="300"/>
      <c r="BP892" s="300"/>
      <c r="BQ892" s="300"/>
      <c r="BR892" s="300"/>
      <c r="BS892" s="300"/>
      <c r="BT892" s="300"/>
      <c r="BU892" s="300"/>
      <c r="BV892" s="300"/>
      <c r="BW892" s="300"/>
      <c r="BX892" s="300"/>
      <c r="BY892" s="300"/>
      <c r="BZ892" s="300"/>
      <c r="CA892" s="300"/>
      <c r="CB892" s="300"/>
    </row>
    <row r="893" spans="1:80" s="27" customFormat="1" x14ac:dyDescent="0.3">
      <c r="A893" s="173"/>
      <c r="D893" s="173"/>
      <c r="E893" s="173"/>
      <c r="F893" s="173"/>
      <c r="G893" s="173"/>
      <c r="H893" s="173"/>
      <c r="I893" s="173"/>
      <c r="J893" s="173"/>
      <c r="K893" s="173"/>
      <c r="L893" s="173"/>
      <c r="AM893" s="173"/>
      <c r="AN893" s="173"/>
      <c r="AZ893" s="337"/>
      <c r="BL893" s="349"/>
      <c r="BM893" s="300"/>
      <c r="BN893" s="300"/>
      <c r="BO893" s="300"/>
      <c r="BP893" s="300"/>
      <c r="BQ893" s="300"/>
      <c r="BR893" s="300"/>
      <c r="BS893" s="300"/>
      <c r="BT893" s="300"/>
      <c r="BU893" s="300"/>
      <c r="BV893" s="300"/>
      <c r="BW893" s="300"/>
      <c r="BX893" s="300"/>
      <c r="BY893" s="300"/>
      <c r="BZ893" s="300"/>
      <c r="CA893" s="300"/>
      <c r="CB893" s="300"/>
    </row>
    <row r="894" spans="1:80" s="27" customFormat="1" x14ac:dyDescent="0.3">
      <c r="A894" s="173"/>
      <c r="D894" s="173"/>
      <c r="E894" s="173"/>
      <c r="F894" s="173"/>
      <c r="G894" s="173"/>
      <c r="H894" s="173"/>
      <c r="I894" s="173"/>
      <c r="J894" s="173"/>
      <c r="K894" s="173"/>
      <c r="L894" s="173"/>
      <c r="AM894" s="173"/>
      <c r="AN894" s="173"/>
      <c r="AZ894" s="337"/>
      <c r="BL894" s="349"/>
      <c r="BM894" s="300"/>
      <c r="BN894" s="300"/>
      <c r="BO894" s="300"/>
      <c r="BP894" s="300"/>
      <c r="BQ894" s="300"/>
      <c r="BR894" s="300"/>
      <c r="BS894" s="300"/>
      <c r="BT894" s="300"/>
      <c r="BU894" s="300"/>
      <c r="BV894" s="300"/>
      <c r="BW894" s="300"/>
      <c r="BX894" s="300"/>
      <c r="BY894" s="300"/>
      <c r="BZ894" s="300"/>
      <c r="CA894" s="300"/>
      <c r="CB894" s="300"/>
    </row>
    <row r="895" spans="1:80" s="27" customFormat="1" x14ac:dyDescent="0.3">
      <c r="A895" s="173"/>
      <c r="D895" s="173"/>
      <c r="E895" s="173"/>
      <c r="F895" s="173"/>
      <c r="G895" s="173"/>
      <c r="H895" s="173"/>
      <c r="I895" s="173"/>
      <c r="J895" s="173"/>
      <c r="K895" s="173"/>
      <c r="L895" s="173"/>
      <c r="AM895" s="173"/>
      <c r="AN895" s="173"/>
      <c r="AZ895" s="337"/>
      <c r="BL895" s="349"/>
      <c r="BM895" s="300"/>
      <c r="BN895" s="300"/>
      <c r="BO895" s="300"/>
      <c r="BP895" s="300"/>
      <c r="BQ895" s="300"/>
      <c r="BR895" s="300"/>
      <c r="BS895" s="300"/>
      <c r="BT895" s="300"/>
      <c r="BU895" s="300"/>
      <c r="BV895" s="300"/>
      <c r="BW895" s="300"/>
      <c r="BX895" s="300"/>
      <c r="BY895" s="300"/>
      <c r="BZ895" s="300"/>
      <c r="CA895" s="300"/>
      <c r="CB895" s="300"/>
    </row>
    <row r="896" spans="1:80" s="27" customFormat="1" x14ac:dyDescent="0.3">
      <c r="A896" s="173"/>
      <c r="D896" s="173"/>
      <c r="E896" s="173"/>
      <c r="F896" s="173"/>
      <c r="G896" s="173"/>
      <c r="H896" s="173"/>
      <c r="I896" s="173"/>
      <c r="J896" s="173"/>
      <c r="K896" s="173"/>
      <c r="L896" s="173"/>
      <c r="AM896" s="173"/>
      <c r="AN896" s="173"/>
      <c r="AZ896" s="337"/>
      <c r="BL896" s="349"/>
      <c r="BM896" s="300"/>
      <c r="BN896" s="300"/>
      <c r="BO896" s="300"/>
      <c r="BP896" s="300"/>
      <c r="BQ896" s="300"/>
      <c r="BR896" s="300"/>
      <c r="BS896" s="300"/>
      <c r="BT896" s="300"/>
      <c r="BU896" s="300"/>
      <c r="BV896" s="300"/>
      <c r="BW896" s="300"/>
      <c r="BX896" s="300"/>
      <c r="BY896" s="300"/>
      <c r="BZ896" s="300"/>
      <c r="CA896" s="300"/>
      <c r="CB896" s="300"/>
    </row>
    <row r="897" spans="1:80" s="27" customFormat="1" x14ac:dyDescent="0.3">
      <c r="A897" s="173"/>
      <c r="D897" s="173"/>
      <c r="E897" s="173"/>
      <c r="F897" s="173"/>
      <c r="G897" s="173"/>
      <c r="H897" s="173"/>
      <c r="I897" s="173"/>
      <c r="J897" s="173"/>
      <c r="K897" s="173"/>
      <c r="L897" s="173"/>
      <c r="AM897" s="173"/>
      <c r="AN897" s="173"/>
      <c r="AZ897" s="337"/>
      <c r="BL897" s="349"/>
      <c r="BM897" s="300"/>
      <c r="BN897" s="300"/>
      <c r="BO897" s="300"/>
      <c r="BP897" s="300"/>
      <c r="BQ897" s="300"/>
      <c r="BR897" s="300"/>
      <c r="BS897" s="300"/>
      <c r="BT897" s="300"/>
      <c r="BU897" s="300"/>
      <c r="BV897" s="300"/>
      <c r="BW897" s="300"/>
      <c r="BX897" s="300"/>
      <c r="BY897" s="300"/>
      <c r="BZ897" s="300"/>
      <c r="CA897" s="300"/>
      <c r="CB897" s="300"/>
    </row>
    <row r="898" spans="1:80" s="27" customFormat="1" x14ac:dyDescent="0.3">
      <c r="A898" s="173"/>
      <c r="D898" s="173"/>
      <c r="E898" s="173"/>
      <c r="F898" s="173"/>
      <c r="G898" s="173"/>
      <c r="H898" s="173"/>
      <c r="I898" s="173"/>
      <c r="J898" s="173"/>
      <c r="K898" s="173"/>
      <c r="L898" s="173"/>
      <c r="AM898" s="173"/>
      <c r="AN898" s="173"/>
      <c r="AZ898" s="337"/>
      <c r="BL898" s="349"/>
      <c r="BM898" s="300"/>
      <c r="BN898" s="300"/>
      <c r="BO898" s="300"/>
      <c r="BP898" s="300"/>
      <c r="BQ898" s="300"/>
      <c r="BR898" s="300"/>
      <c r="BS898" s="300"/>
      <c r="BT898" s="300"/>
      <c r="BU898" s="300"/>
      <c r="BV898" s="300"/>
      <c r="BW898" s="300"/>
      <c r="BX898" s="300"/>
      <c r="BY898" s="300"/>
      <c r="BZ898" s="300"/>
      <c r="CA898" s="300"/>
      <c r="CB898" s="300"/>
    </row>
    <row r="899" spans="1:80" s="27" customFormat="1" x14ac:dyDescent="0.3">
      <c r="A899" s="173"/>
      <c r="D899" s="173"/>
      <c r="E899" s="173"/>
      <c r="F899" s="173"/>
      <c r="G899" s="173"/>
      <c r="H899" s="173"/>
      <c r="I899" s="173"/>
      <c r="J899" s="173"/>
      <c r="K899" s="173"/>
      <c r="L899" s="173"/>
      <c r="AM899" s="173"/>
      <c r="AN899" s="173"/>
      <c r="AZ899" s="337"/>
      <c r="BL899" s="349"/>
      <c r="BM899" s="300"/>
      <c r="BN899" s="300"/>
      <c r="BO899" s="300"/>
      <c r="BP899" s="300"/>
      <c r="BQ899" s="300"/>
      <c r="BR899" s="300"/>
      <c r="BS899" s="300"/>
      <c r="BT899" s="300"/>
      <c r="BU899" s="300"/>
      <c r="BV899" s="300"/>
      <c r="BW899" s="300"/>
      <c r="BX899" s="300"/>
      <c r="BY899" s="300"/>
      <c r="BZ899" s="300"/>
      <c r="CA899" s="300"/>
      <c r="CB899" s="300"/>
    </row>
    <row r="900" spans="1:80" s="27" customFormat="1" x14ac:dyDescent="0.3">
      <c r="A900" s="173"/>
      <c r="D900" s="173"/>
      <c r="E900" s="173"/>
      <c r="F900" s="173"/>
      <c r="G900" s="173"/>
      <c r="H900" s="173"/>
      <c r="I900" s="173"/>
      <c r="J900" s="173"/>
      <c r="K900" s="173"/>
      <c r="L900" s="173"/>
      <c r="AM900" s="173"/>
      <c r="AN900" s="173"/>
      <c r="AZ900" s="337"/>
      <c r="BL900" s="349"/>
      <c r="BM900" s="300"/>
      <c r="BN900" s="300"/>
      <c r="BO900" s="300"/>
      <c r="BP900" s="300"/>
      <c r="BQ900" s="300"/>
      <c r="BR900" s="300"/>
      <c r="BS900" s="300"/>
      <c r="BT900" s="300"/>
      <c r="BU900" s="300"/>
      <c r="BV900" s="300"/>
      <c r="BW900" s="300"/>
      <c r="BX900" s="300"/>
      <c r="BY900" s="300"/>
      <c r="BZ900" s="300"/>
      <c r="CA900" s="300"/>
      <c r="CB900" s="300"/>
    </row>
    <row r="901" spans="1:80" s="27" customFormat="1" x14ac:dyDescent="0.3">
      <c r="A901" s="173"/>
      <c r="D901" s="173"/>
      <c r="E901" s="173"/>
      <c r="F901" s="173"/>
      <c r="G901" s="173"/>
      <c r="H901" s="173"/>
      <c r="I901" s="173"/>
      <c r="J901" s="173"/>
      <c r="K901" s="173"/>
      <c r="L901" s="173"/>
      <c r="AM901" s="173"/>
      <c r="AN901" s="173"/>
      <c r="AZ901" s="337"/>
      <c r="BL901" s="349"/>
      <c r="BM901" s="300"/>
      <c r="BN901" s="300"/>
      <c r="BO901" s="300"/>
      <c r="BP901" s="300"/>
      <c r="BQ901" s="300"/>
      <c r="BR901" s="300"/>
      <c r="BS901" s="300"/>
      <c r="BT901" s="300"/>
      <c r="BU901" s="300"/>
      <c r="BV901" s="300"/>
      <c r="BW901" s="300"/>
      <c r="BX901" s="300"/>
      <c r="BY901" s="300"/>
      <c r="BZ901" s="300"/>
      <c r="CA901" s="300"/>
      <c r="CB901" s="300"/>
    </row>
    <row r="902" spans="1:80" s="27" customFormat="1" x14ac:dyDescent="0.3">
      <c r="A902" s="173"/>
      <c r="D902" s="173"/>
      <c r="E902" s="173"/>
      <c r="F902" s="173"/>
      <c r="G902" s="173"/>
      <c r="H902" s="173"/>
      <c r="I902" s="173"/>
      <c r="J902" s="173"/>
      <c r="K902" s="173"/>
      <c r="L902" s="173"/>
      <c r="AM902" s="173"/>
      <c r="AN902" s="173"/>
      <c r="AZ902" s="337"/>
      <c r="BL902" s="349"/>
      <c r="BM902" s="300"/>
      <c r="BN902" s="300"/>
      <c r="BO902" s="300"/>
      <c r="BP902" s="300"/>
      <c r="BQ902" s="300"/>
      <c r="BR902" s="300"/>
      <c r="BS902" s="300"/>
      <c r="BT902" s="300"/>
      <c r="BU902" s="300"/>
      <c r="BV902" s="300"/>
      <c r="BW902" s="300"/>
      <c r="BX902" s="300"/>
      <c r="BY902" s="300"/>
      <c r="BZ902" s="300"/>
      <c r="CA902" s="300"/>
      <c r="CB902" s="300"/>
    </row>
    <row r="903" spans="1:80" s="27" customFormat="1" x14ac:dyDescent="0.3">
      <c r="A903" s="173"/>
      <c r="D903" s="173"/>
      <c r="E903" s="173"/>
      <c r="F903" s="173"/>
      <c r="G903" s="173"/>
      <c r="H903" s="173"/>
      <c r="I903" s="173"/>
      <c r="J903" s="173"/>
      <c r="K903" s="173"/>
      <c r="L903" s="173"/>
      <c r="AM903" s="173"/>
      <c r="AN903" s="173"/>
      <c r="AZ903" s="337"/>
      <c r="BL903" s="349"/>
      <c r="BM903" s="300"/>
      <c r="BN903" s="300"/>
      <c r="BO903" s="300"/>
      <c r="BP903" s="300"/>
      <c r="BQ903" s="300"/>
      <c r="BR903" s="300"/>
      <c r="BS903" s="300"/>
      <c r="BT903" s="300"/>
      <c r="BU903" s="300"/>
      <c r="BV903" s="300"/>
      <c r="BW903" s="300"/>
      <c r="BX903" s="300"/>
      <c r="BY903" s="300"/>
      <c r="BZ903" s="300"/>
      <c r="CA903" s="300"/>
      <c r="CB903" s="300"/>
    </row>
    <row r="904" spans="1:80" s="27" customFormat="1" x14ac:dyDescent="0.3">
      <c r="A904" s="173"/>
      <c r="D904" s="173"/>
      <c r="E904" s="173"/>
      <c r="F904" s="173"/>
      <c r="G904" s="173"/>
      <c r="H904" s="173"/>
      <c r="I904" s="173"/>
      <c r="J904" s="173"/>
      <c r="K904" s="173"/>
      <c r="L904" s="173"/>
      <c r="AM904" s="173"/>
      <c r="AN904" s="173"/>
      <c r="AZ904" s="337"/>
      <c r="BL904" s="349"/>
      <c r="BM904" s="300"/>
      <c r="BN904" s="300"/>
      <c r="BO904" s="300"/>
      <c r="BP904" s="300"/>
      <c r="BQ904" s="300"/>
      <c r="BR904" s="300"/>
      <c r="BS904" s="300"/>
      <c r="BT904" s="300"/>
      <c r="BU904" s="300"/>
      <c r="BV904" s="300"/>
      <c r="BW904" s="300"/>
      <c r="BX904" s="300"/>
      <c r="BY904" s="300"/>
      <c r="BZ904" s="300"/>
      <c r="CA904" s="300"/>
      <c r="CB904" s="300"/>
    </row>
    <row r="905" spans="1:80" s="27" customFormat="1" x14ac:dyDescent="0.3">
      <c r="A905" s="173"/>
      <c r="D905" s="173"/>
      <c r="E905" s="173"/>
      <c r="F905" s="173"/>
      <c r="G905" s="173"/>
      <c r="H905" s="173"/>
      <c r="I905" s="173"/>
      <c r="J905" s="173"/>
      <c r="K905" s="173"/>
      <c r="L905" s="173"/>
      <c r="AM905" s="173"/>
      <c r="AN905" s="173"/>
      <c r="AZ905" s="337"/>
      <c r="BL905" s="349"/>
      <c r="BM905" s="300"/>
      <c r="BN905" s="300"/>
      <c r="BO905" s="300"/>
      <c r="BP905" s="300"/>
      <c r="BQ905" s="300"/>
      <c r="BR905" s="300"/>
      <c r="BS905" s="300"/>
      <c r="BT905" s="300"/>
      <c r="BU905" s="300"/>
      <c r="BV905" s="300"/>
      <c r="BW905" s="300"/>
      <c r="BX905" s="300"/>
      <c r="BY905" s="300"/>
      <c r="BZ905" s="300"/>
      <c r="CA905" s="300"/>
      <c r="CB905" s="300"/>
    </row>
    <row r="906" spans="1:80" s="27" customFormat="1" x14ac:dyDescent="0.3">
      <c r="A906" s="173"/>
      <c r="D906" s="173"/>
      <c r="E906" s="173"/>
      <c r="F906" s="173"/>
      <c r="G906" s="173"/>
      <c r="H906" s="173"/>
      <c r="I906" s="173"/>
      <c r="J906" s="173"/>
      <c r="K906" s="173"/>
      <c r="L906" s="173"/>
      <c r="AM906" s="173"/>
      <c r="AN906" s="173"/>
      <c r="AZ906" s="337"/>
      <c r="BL906" s="349"/>
      <c r="BM906" s="300"/>
      <c r="BN906" s="300"/>
      <c r="BO906" s="300"/>
      <c r="BP906" s="300"/>
      <c r="BQ906" s="300"/>
      <c r="BR906" s="300"/>
      <c r="BS906" s="300"/>
      <c r="BT906" s="300"/>
      <c r="BU906" s="300"/>
      <c r="BV906" s="300"/>
      <c r="BW906" s="300"/>
      <c r="BX906" s="300"/>
      <c r="BY906" s="300"/>
      <c r="BZ906" s="300"/>
      <c r="CA906" s="300"/>
      <c r="CB906" s="300"/>
    </row>
    <row r="907" spans="1:80" s="27" customFormat="1" x14ac:dyDescent="0.3">
      <c r="A907" s="173"/>
      <c r="D907" s="173"/>
      <c r="E907" s="173"/>
      <c r="F907" s="173"/>
      <c r="G907" s="173"/>
      <c r="H907" s="173"/>
      <c r="I907" s="173"/>
      <c r="J907" s="173"/>
      <c r="K907" s="173"/>
      <c r="L907" s="173"/>
      <c r="AM907" s="173"/>
      <c r="AN907" s="173"/>
      <c r="AZ907" s="337"/>
      <c r="BL907" s="349"/>
      <c r="BM907" s="300"/>
      <c r="BN907" s="300"/>
      <c r="BO907" s="300"/>
      <c r="BP907" s="300"/>
      <c r="BQ907" s="300"/>
      <c r="BR907" s="300"/>
      <c r="BS907" s="300"/>
      <c r="BT907" s="300"/>
      <c r="BU907" s="300"/>
      <c r="BV907" s="300"/>
      <c r="BW907" s="300"/>
      <c r="BX907" s="300"/>
      <c r="BY907" s="300"/>
      <c r="BZ907" s="300"/>
      <c r="CA907" s="300"/>
      <c r="CB907" s="300"/>
    </row>
    <row r="908" spans="1:80" s="27" customFormat="1" x14ac:dyDescent="0.3">
      <c r="A908" s="173"/>
      <c r="D908" s="173"/>
      <c r="E908" s="173"/>
      <c r="F908" s="173"/>
      <c r="G908" s="173"/>
      <c r="H908" s="173"/>
      <c r="I908" s="173"/>
      <c r="J908" s="173"/>
      <c r="K908" s="173"/>
      <c r="L908" s="173"/>
      <c r="AM908" s="173"/>
      <c r="AN908" s="173"/>
      <c r="AZ908" s="337"/>
      <c r="BL908" s="349"/>
      <c r="BM908" s="300"/>
      <c r="BN908" s="300"/>
      <c r="BO908" s="300"/>
      <c r="BP908" s="300"/>
      <c r="BQ908" s="300"/>
      <c r="BR908" s="300"/>
      <c r="BS908" s="300"/>
      <c r="BT908" s="300"/>
      <c r="BU908" s="300"/>
      <c r="BV908" s="300"/>
      <c r="BW908" s="300"/>
      <c r="BX908" s="300"/>
      <c r="BY908" s="300"/>
      <c r="BZ908" s="300"/>
      <c r="CA908" s="300"/>
      <c r="CB908" s="300"/>
    </row>
    <row r="909" spans="1:80" s="27" customFormat="1" x14ac:dyDescent="0.3">
      <c r="A909" s="173"/>
      <c r="D909" s="173"/>
      <c r="E909" s="173"/>
      <c r="F909" s="173"/>
      <c r="G909" s="173"/>
      <c r="H909" s="173"/>
      <c r="I909" s="173"/>
      <c r="J909" s="173"/>
      <c r="K909" s="173"/>
      <c r="L909" s="173"/>
      <c r="AM909" s="173"/>
      <c r="AN909" s="173"/>
      <c r="AZ909" s="337"/>
      <c r="BL909" s="349"/>
      <c r="BM909" s="300"/>
      <c r="BN909" s="300"/>
      <c r="BO909" s="300"/>
      <c r="BP909" s="300"/>
      <c r="BQ909" s="300"/>
      <c r="BR909" s="300"/>
      <c r="BS909" s="300"/>
      <c r="BT909" s="300"/>
      <c r="BU909" s="300"/>
      <c r="BV909" s="300"/>
      <c r="BW909" s="300"/>
      <c r="BX909" s="300"/>
      <c r="BY909" s="300"/>
      <c r="BZ909" s="300"/>
      <c r="CA909" s="300"/>
      <c r="CB909" s="300"/>
    </row>
    <row r="910" spans="1:80" s="27" customFormat="1" x14ac:dyDescent="0.3">
      <c r="A910" s="173"/>
      <c r="D910" s="173"/>
      <c r="E910" s="173"/>
      <c r="F910" s="173"/>
      <c r="G910" s="173"/>
      <c r="H910" s="173"/>
      <c r="I910" s="173"/>
      <c r="J910" s="173"/>
      <c r="K910" s="173"/>
      <c r="L910" s="173"/>
      <c r="AM910" s="173"/>
      <c r="AN910" s="173"/>
      <c r="AZ910" s="337"/>
      <c r="BL910" s="349"/>
      <c r="BM910" s="300"/>
      <c r="BN910" s="300"/>
      <c r="BO910" s="300"/>
      <c r="BP910" s="300"/>
      <c r="BQ910" s="300"/>
      <c r="BR910" s="300"/>
      <c r="BS910" s="300"/>
      <c r="BT910" s="300"/>
      <c r="BU910" s="300"/>
      <c r="BV910" s="300"/>
      <c r="BW910" s="300"/>
      <c r="BX910" s="300"/>
      <c r="BY910" s="300"/>
      <c r="BZ910" s="300"/>
      <c r="CA910" s="300"/>
      <c r="CB910" s="300"/>
    </row>
    <row r="911" spans="1:80" s="27" customFormat="1" x14ac:dyDescent="0.3">
      <c r="A911" s="173"/>
      <c r="D911" s="173"/>
      <c r="E911" s="173"/>
      <c r="F911" s="173"/>
      <c r="G911" s="173"/>
      <c r="H911" s="173"/>
      <c r="I911" s="173"/>
      <c r="J911" s="173"/>
      <c r="K911" s="173"/>
      <c r="L911" s="173"/>
      <c r="AM911" s="173"/>
      <c r="AN911" s="173"/>
      <c r="AZ911" s="337"/>
      <c r="BL911" s="349"/>
      <c r="BM911" s="300"/>
      <c r="BN911" s="300"/>
      <c r="BO911" s="300"/>
      <c r="BP911" s="300"/>
      <c r="BQ911" s="300"/>
      <c r="BR911" s="300"/>
      <c r="BS911" s="300"/>
      <c r="BT911" s="300"/>
      <c r="BU911" s="300"/>
      <c r="BV911" s="300"/>
      <c r="BW911" s="300"/>
      <c r="BX911" s="300"/>
      <c r="BY911" s="300"/>
      <c r="BZ911" s="300"/>
      <c r="CA911" s="300"/>
      <c r="CB911" s="300"/>
    </row>
    <row r="912" spans="1:80" s="27" customFormat="1" x14ac:dyDescent="0.3">
      <c r="A912" s="173"/>
      <c r="D912" s="173"/>
      <c r="E912" s="173"/>
      <c r="F912" s="173"/>
      <c r="G912" s="173"/>
      <c r="H912" s="173"/>
      <c r="I912" s="173"/>
      <c r="J912" s="173"/>
      <c r="K912" s="173"/>
      <c r="L912" s="173"/>
      <c r="AM912" s="173"/>
      <c r="AN912" s="173"/>
      <c r="AZ912" s="337"/>
      <c r="BL912" s="349"/>
      <c r="BM912" s="300"/>
      <c r="BN912" s="300"/>
      <c r="BO912" s="300"/>
      <c r="BP912" s="300"/>
      <c r="BQ912" s="300"/>
      <c r="BR912" s="300"/>
      <c r="BS912" s="300"/>
      <c r="BT912" s="300"/>
      <c r="BU912" s="300"/>
      <c r="BV912" s="300"/>
      <c r="BW912" s="300"/>
      <c r="BX912" s="300"/>
      <c r="BY912" s="300"/>
      <c r="BZ912" s="300"/>
      <c r="CA912" s="300"/>
      <c r="CB912" s="300"/>
    </row>
    <row r="913" spans="1:80" s="27" customFormat="1" x14ac:dyDescent="0.3">
      <c r="A913" s="173"/>
      <c r="D913" s="173"/>
      <c r="E913" s="173"/>
      <c r="F913" s="173"/>
      <c r="G913" s="173"/>
      <c r="H913" s="173"/>
      <c r="I913" s="173"/>
      <c r="J913" s="173"/>
      <c r="K913" s="173"/>
      <c r="L913" s="173"/>
      <c r="AM913" s="173"/>
      <c r="AN913" s="173"/>
      <c r="AZ913" s="337"/>
      <c r="BL913" s="349"/>
      <c r="BM913" s="300"/>
      <c r="BN913" s="300"/>
      <c r="BO913" s="300"/>
      <c r="BP913" s="300"/>
      <c r="BQ913" s="300"/>
      <c r="BR913" s="300"/>
      <c r="BS913" s="300"/>
      <c r="BT913" s="300"/>
      <c r="BU913" s="300"/>
      <c r="BV913" s="300"/>
      <c r="BW913" s="300"/>
      <c r="BX913" s="300"/>
      <c r="BY913" s="300"/>
      <c r="BZ913" s="300"/>
      <c r="CA913" s="300"/>
      <c r="CB913" s="300"/>
    </row>
    <row r="914" spans="1:80" s="27" customFormat="1" x14ac:dyDescent="0.3">
      <c r="A914" s="173"/>
      <c r="D914" s="173"/>
      <c r="E914" s="173"/>
      <c r="F914" s="173"/>
      <c r="G914" s="173"/>
      <c r="H914" s="173"/>
      <c r="I914" s="173"/>
      <c r="J914" s="173"/>
      <c r="K914" s="173"/>
      <c r="L914" s="173"/>
      <c r="AM914" s="173"/>
      <c r="AN914" s="173"/>
      <c r="AZ914" s="337"/>
      <c r="BL914" s="349"/>
      <c r="BM914" s="300"/>
      <c r="BN914" s="300"/>
      <c r="BO914" s="300"/>
      <c r="BP914" s="300"/>
      <c r="BQ914" s="300"/>
      <c r="BR914" s="300"/>
      <c r="BS914" s="300"/>
      <c r="BT914" s="300"/>
      <c r="BU914" s="300"/>
      <c r="BV914" s="300"/>
      <c r="BW914" s="300"/>
      <c r="BX914" s="300"/>
      <c r="BY914" s="300"/>
      <c r="BZ914" s="300"/>
      <c r="CA914" s="300"/>
      <c r="CB914" s="300"/>
    </row>
    <row r="915" spans="1:80" s="27" customFormat="1" x14ac:dyDescent="0.3">
      <c r="A915" s="173"/>
      <c r="D915" s="173"/>
      <c r="E915" s="173"/>
      <c r="F915" s="173"/>
      <c r="G915" s="173"/>
      <c r="H915" s="173"/>
      <c r="I915" s="173"/>
      <c r="J915" s="173"/>
      <c r="K915" s="173"/>
      <c r="L915" s="173"/>
      <c r="AM915" s="173"/>
      <c r="AN915" s="173"/>
      <c r="AZ915" s="337"/>
      <c r="BL915" s="349"/>
      <c r="BM915" s="300"/>
      <c r="BN915" s="300"/>
      <c r="BO915" s="300"/>
      <c r="BP915" s="300"/>
      <c r="BQ915" s="300"/>
      <c r="BR915" s="300"/>
      <c r="BS915" s="300"/>
      <c r="BT915" s="300"/>
      <c r="BU915" s="300"/>
      <c r="BV915" s="300"/>
      <c r="BW915" s="300"/>
      <c r="BX915" s="300"/>
      <c r="BY915" s="300"/>
      <c r="BZ915" s="300"/>
      <c r="CA915" s="300"/>
      <c r="CB915" s="300"/>
    </row>
    <row r="916" spans="1:80" s="27" customFormat="1" x14ac:dyDescent="0.3">
      <c r="A916" s="173"/>
      <c r="D916" s="173"/>
      <c r="E916" s="173"/>
      <c r="F916" s="173"/>
      <c r="G916" s="173"/>
      <c r="H916" s="173"/>
      <c r="I916" s="173"/>
      <c r="J916" s="173"/>
      <c r="K916" s="173"/>
      <c r="L916" s="173"/>
      <c r="AM916" s="173"/>
      <c r="AN916" s="173"/>
      <c r="AZ916" s="337"/>
      <c r="BL916" s="349"/>
      <c r="BM916" s="300"/>
      <c r="BN916" s="300"/>
      <c r="BO916" s="300"/>
      <c r="BP916" s="300"/>
      <c r="BQ916" s="300"/>
      <c r="BR916" s="300"/>
      <c r="BS916" s="300"/>
      <c r="BT916" s="300"/>
      <c r="BU916" s="300"/>
      <c r="BV916" s="300"/>
      <c r="BW916" s="300"/>
      <c r="BX916" s="300"/>
      <c r="BY916" s="300"/>
      <c r="BZ916" s="300"/>
      <c r="CA916" s="300"/>
      <c r="CB916" s="300"/>
    </row>
    <row r="917" spans="1:80" s="27" customFormat="1" x14ac:dyDescent="0.3">
      <c r="A917" s="173"/>
      <c r="D917" s="173"/>
      <c r="E917" s="173"/>
      <c r="F917" s="173"/>
      <c r="G917" s="173"/>
      <c r="H917" s="173"/>
      <c r="I917" s="173"/>
      <c r="J917" s="173"/>
      <c r="K917" s="173"/>
      <c r="L917" s="173"/>
      <c r="AM917" s="173"/>
      <c r="AN917" s="173"/>
      <c r="AZ917" s="337"/>
      <c r="BL917" s="349"/>
      <c r="BM917" s="300"/>
      <c r="BN917" s="300"/>
      <c r="BO917" s="300"/>
      <c r="BP917" s="300"/>
      <c r="BQ917" s="300"/>
      <c r="BR917" s="300"/>
      <c r="BS917" s="300"/>
      <c r="BT917" s="300"/>
      <c r="BU917" s="300"/>
      <c r="BV917" s="300"/>
      <c r="BW917" s="300"/>
      <c r="BX917" s="300"/>
      <c r="BY917" s="300"/>
      <c r="BZ917" s="300"/>
      <c r="CA917" s="300"/>
      <c r="CB917" s="300"/>
    </row>
    <row r="918" spans="1:80" s="27" customFormat="1" x14ac:dyDescent="0.3">
      <c r="A918" s="173"/>
      <c r="D918" s="173"/>
      <c r="E918" s="173"/>
      <c r="F918" s="173"/>
      <c r="G918" s="173"/>
      <c r="H918" s="173"/>
      <c r="I918" s="173"/>
      <c r="J918" s="173"/>
      <c r="K918" s="173"/>
      <c r="L918" s="173"/>
      <c r="AM918" s="173"/>
      <c r="AN918" s="173"/>
      <c r="AZ918" s="337"/>
      <c r="BL918" s="349"/>
      <c r="BM918" s="300"/>
      <c r="BN918" s="300"/>
      <c r="BO918" s="300"/>
      <c r="BP918" s="300"/>
      <c r="BQ918" s="300"/>
      <c r="BR918" s="300"/>
      <c r="BS918" s="300"/>
      <c r="BT918" s="300"/>
      <c r="BU918" s="300"/>
      <c r="BV918" s="300"/>
      <c r="BW918" s="300"/>
      <c r="BX918" s="300"/>
      <c r="BY918" s="300"/>
      <c r="BZ918" s="300"/>
      <c r="CA918" s="300"/>
      <c r="CB918" s="300"/>
    </row>
    <row r="919" spans="1:80" s="27" customFormat="1" x14ac:dyDescent="0.3">
      <c r="A919" s="173"/>
      <c r="D919" s="173"/>
      <c r="E919" s="173"/>
      <c r="F919" s="173"/>
      <c r="G919" s="173"/>
      <c r="H919" s="173"/>
      <c r="I919" s="173"/>
      <c r="J919" s="173"/>
      <c r="K919" s="173"/>
      <c r="L919" s="173"/>
      <c r="AM919" s="173"/>
      <c r="AN919" s="173"/>
      <c r="AZ919" s="337"/>
      <c r="BL919" s="349"/>
      <c r="BM919" s="300"/>
      <c r="BN919" s="300"/>
      <c r="BO919" s="300"/>
      <c r="BP919" s="300"/>
      <c r="BQ919" s="300"/>
      <c r="BR919" s="300"/>
      <c r="BS919" s="300"/>
      <c r="BT919" s="300"/>
      <c r="BU919" s="300"/>
      <c r="BV919" s="300"/>
      <c r="BW919" s="300"/>
      <c r="BX919" s="300"/>
      <c r="BY919" s="300"/>
      <c r="BZ919" s="300"/>
      <c r="CA919" s="300"/>
      <c r="CB919" s="300"/>
    </row>
    <row r="920" spans="1:80" s="27" customFormat="1" x14ac:dyDescent="0.3">
      <c r="A920" s="173"/>
      <c r="D920" s="173"/>
      <c r="E920" s="173"/>
      <c r="F920" s="173"/>
      <c r="G920" s="173"/>
      <c r="H920" s="173"/>
      <c r="I920" s="173"/>
      <c r="J920" s="173"/>
      <c r="K920" s="173"/>
      <c r="L920" s="173"/>
      <c r="AM920" s="173"/>
      <c r="AN920" s="173"/>
      <c r="AZ920" s="337"/>
      <c r="BL920" s="349"/>
      <c r="BM920" s="300"/>
      <c r="BN920" s="300"/>
      <c r="BO920" s="300"/>
      <c r="BP920" s="300"/>
      <c r="BQ920" s="300"/>
      <c r="BR920" s="300"/>
      <c r="BS920" s="300"/>
      <c r="BT920" s="300"/>
      <c r="BU920" s="300"/>
      <c r="BV920" s="300"/>
      <c r="BW920" s="300"/>
      <c r="BX920" s="300"/>
      <c r="BY920" s="300"/>
      <c r="BZ920" s="300"/>
      <c r="CA920" s="300"/>
      <c r="CB920" s="300"/>
    </row>
    <row r="921" spans="1:80" s="27" customFormat="1" x14ac:dyDescent="0.3">
      <c r="A921" s="173"/>
      <c r="D921" s="173"/>
      <c r="E921" s="173"/>
      <c r="F921" s="173"/>
      <c r="G921" s="173"/>
      <c r="H921" s="173"/>
      <c r="I921" s="173"/>
      <c r="J921" s="173"/>
      <c r="K921" s="173"/>
      <c r="L921" s="173"/>
      <c r="AM921" s="173"/>
      <c r="AN921" s="173"/>
      <c r="AZ921" s="337"/>
      <c r="BL921" s="349"/>
      <c r="BM921" s="300"/>
      <c r="BN921" s="300"/>
      <c r="BO921" s="300"/>
      <c r="BP921" s="300"/>
      <c r="BQ921" s="300"/>
      <c r="BR921" s="300"/>
      <c r="BS921" s="300"/>
      <c r="BT921" s="300"/>
      <c r="BU921" s="300"/>
      <c r="BV921" s="300"/>
      <c r="BW921" s="300"/>
      <c r="BX921" s="300"/>
      <c r="BY921" s="300"/>
      <c r="BZ921" s="300"/>
      <c r="CA921" s="300"/>
      <c r="CB921" s="300"/>
    </row>
    <row r="922" spans="1:80" s="27" customFormat="1" x14ac:dyDescent="0.3">
      <c r="A922" s="173"/>
      <c r="D922" s="173"/>
      <c r="E922" s="173"/>
      <c r="F922" s="173"/>
      <c r="G922" s="173"/>
      <c r="H922" s="173"/>
      <c r="I922" s="173"/>
      <c r="J922" s="173"/>
      <c r="K922" s="173"/>
      <c r="L922" s="173"/>
      <c r="AM922" s="173"/>
      <c r="AN922" s="173"/>
      <c r="AZ922" s="337"/>
      <c r="BL922" s="349"/>
      <c r="BM922" s="300"/>
      <c r="BN922" s="300"/>
      <c r="BO922" s="300"/>
      <c r="BP922" s="300"/>
      <c r="BQ922" s="300"/>
      <c r="BR922" s="300"/>
      <c r="BS922" s="300"/>
      <c r="BT922" s="300"/>
      <c r="BU922" s="300"/>
      <c r="BV922" s="300"/>
      <c r="BW922" s="300"/>
      <c r="BX922" s="300"/>
      <c r="BY922" s="300"/>
      <c r="BZ922" s="300"/>
      <c r="CA922" s="300"/>
      <c r="CB922" s="300"/>
    </row>
    <row r="923" spans="1:80" s="27" customFormat="1" x14ac:dyDescent="0.3">
      <c r="A923" s="173"/>
      <c r="D923" s="173"/>
      <c r="E923" s="173"/>
      <c r="F923" s="173"/>
      <c r="G923" s="173"/>
      <c r="H923" s="173"/>
      <c r="I923" s="173"/>
      <c r="J923" s="173"/>
      <c r="K923" s="173"/>
      <c r="L923" s="173"/>
      <c r="AM923" s="173"/>
      <c r="AN923" s="173"/>
      <c r="AZ923" s="337"/>
      <c r="BL923" s="349"/>
      <c r="BM923" s="300"/>
      <c r="BN923" s="300"/>
      <c r="BO923" s="300"/>
      <c r="BP923" s="300"/>
      <c r="BQ923" s="300"/>
      <c r="BR923" s="300"/>
      <c r="BS923" s="300"/>
      <c r="BT923" s="300"/>
      <c r="BU923" s="300"/>
      <c r="BV923" s="300"/>
      <c r="BW923" s="300"/>
      <c r="BX923" s="300"/>
      <c r="BY923" s="300"/>
      <c r="BZ923" s="300"/>
      <c r="CA923" s="300"/>
      <c r="CB923" s="300"/>
    </row>
    <row r="924" spans="1:80" s="27" customFormat="1" x14ac:dyDescent="0.3">
      <c r="A924" s="173"/>
      <c r="D924" s="173"/>
      <c r="E924" s="173"/>
      <c r="F924" s="173"/>
      <c r="G924" s="173"/>
      <c r="H924" s="173"/>
      <c r="I924" s="173"/>
      <c r="J924" s="173"/>
      <c r="K924" s="173"/>
      <c r="L924" s="173"/>
      <c r="AM924" s="173"/>
      <c r="AN924" s="173"/>
      <c r="AZ924" s="337"/>
      <c r="BL924" s="349"/>
      <c r="BM924" s="300"/>
      <c r="BN924" s="300"/>
      <c r="BO924" s="300"/>
      <c r="BP924" s="300"/>
      <c r="BQ924" s="300"/>
      <c r="BR924" s="300"/>
      <c r="BS924" s="300"/>
      <c r="BT924" s="300"/>
      <c r="BU924" s="300"/>
      <c r="BV924" s="300"/>
      <c r="BW924" s="300"/>
      <c r="BX924" s="300"/>
      <c r="BY924" s="300"/>
      <c r="BZ924" s="300"/>
      <c r="CA924" s="300"/>
      <c r="CB924" s="300"/>
    </row>
    <row r="925" spans="1:80" s="27" customFormat="1" x14ac:dyDescent="0.3">
      <c r="A925" s="173"/>
      <c r="D925" s="173"/>
      <c r="E925" s="173"/>
      <c r="F925" s="173"/>
      <c r="G925" s="173"/>
      <c r="H925" s="173"/>
      <c r="I925" s="173"/>
      <c r="J925" s="173"/>
      <c r="K925" s="173"/>
      <c r="L925" s="173"/>
      <c r="AM925" s="173"/>
      <c r="AN925" s="173"/>
      <c r="AZ925" s="337"/>
      <c r="BL925" s="349"/>
      <c r="BM925" s="300"/>
      <c r="BN925" s="300"/>
      <c r="BO925" s="300"/>
      <c r="BP925" s="300"/>
      <c r="BQ925" s="300"/>
      <c r="BR925" s="300"/>
      <c r="BS925" s="300"/>
      <c r="BT925" s="300"/>
      <c r="BU925" s="300"/>
      <c r="BV925" s="300"/>
      <c r="BW925" s="300"/>
      <c r="BX925" s="300"/>
      <c r="BY925" s="300"/>
      <c r="BZ925" s="300"/>
      <c r="CA925" s="300"/>
      <c r="CB925" s="300"/>
    </row>
    <row r="926" spans="1:80" s="27" customFormat="1" x14ac:dyDescent="0.3">
      <c r="A926" s="173"/>
      <c r="D926" s="173"/>
      <c r="E926" s="173"/>
      <c r="F926" s="173"/>
      <c r="G926" s="173"/>
      <c r="H926" s="173"/>
      <c r="I926" s="173"/>
      <c r="J926" s="173"/>
      <c r="K926" s="173"/>
      <c r="L926" s="173"/>
      <c r="AM926" s="173"/>
      <c r="AN926" s="173"/>
      <c r="AZ926" s="337"/>
      <c r="BL926" s="349"/>
      <c r="BM926" s="300"/>
      <c r="BN926" s="300"/>
      <c r="BO926" s="300"/>
      <c r="BP926" s="300"/>
      <c r="BQ926" s="300"/>
      <c r="BR926" s="300"/>
      <c r="BS926" s="300"/>
      <c r="BT926" s="300"/>
      <c r="BU926" s="300"/>
      <c r="BV926" s="300"/>
      <c r="BW926" s="300"/>
      <c r="BX926" s="300"/>
      <c r="BY926" s="300"/>
      <c r="BZ926" s="300"/>
      <c r="CA926" s="300"/>
      <c r="CB926" s="300"/>
    </row>
    <row r="927" spans="1:80" s="27" customFormat="1" x14ac:dyDescent="0.3">
      <c r="A927" s="173"/>
      <c r="D927" s="173"/>
      <c r="E927" s="173"/>
      <c r="F927" s="173"/>
      <c r="G927" s="173"/>
      <c r="H927" s="173"/>
      <c r="I927" s="173"/>
      <c r="J927" s="173"/>
      <c r="K927" s="173"/>
      <c r="L927" s="173"/>
      <c r="AM927" s="173"/>
      <c r="AN927" s="173"/>
      <c r="AZ927" s="337"/>
      <c r="BL927" s="349"/>
      <c r="BM927" s="300"/>
      <c r="BN927" s="300"/>
      <c r="BO927" s="300"/>
      <c r="BP927" s="300"/>
      <c r="BQ927" s="300"/>
      <c r="BR927" s="300"/>
      <c r="BS927" s="300"/>
      <c r="BT927" s="300"/>
      <c r="BU927" s="300"/>
      <c r="BV927" s="300"/>
      <c r="BW927" s="300"/>
      <c r="BX927" s="300"/>
      <c r="BY927" s="300"/>
      <c r="BZ927" s="300"/>
      <c r="CA927" s="300"/>
      <c r="CB927" s="300"/>
    </row>
    <row r="928" spans="1:80" s="27" customFormat="1" x14ac:dyDescent="0.3">
      <c r="A928" s="173"/>
      <c r="D928" s="173"/>
      <c r="E928" s="173"/>
      <c r="F928" s="173"/>
      <c r="G928" s="173"/>
      <c r="H928" s="173"/>
      <c r="I928" s="173"/>
      <c r="J928" s="173"/>
      <c r="K928" s="173"/>
      <c r="L928" s="173"/>
      <c r="AM928" s="173"/>
      <c r="AN928" s="173"/>
      <c r="AZ928" s="337"/>
      <c r="BL928" s="349"/>
      <c r="BM928" s="300"/>
      <c r="BN928" s="300"/>
      <c r="BO928" s="300"/>
      <c r="BP928" s="300"/>
      <c r="BQ928" s="300"/>
      <c r="BR928" s="300"/>
      <c r="BS928" s="300"/>
      <c r="BT928" s="300"/>
      <c r="BU928" s="300"/>
      <c r="BV928" s="300"/>
      <c r="BW928" s="300"/>
      <c r="BX928" s="300"/>
      <c r="BY928" s="300"/>
      <c r="BZ928" s="300"/>
      <c r="CA928" s="300"/>
      <c r="CB928" s="300"/>
    </row>
    <row r="929" spans="1:80" s="27" customFormat="1" x14ac:dyDescent="0.3">
      <c r="A929" s="173"/>
      <c r="D929" s="173"/>
      <c r="E929" s="173"/>
      <c r="F929" s="173"/>
      <c r="G929" s="173"/>
      <c r="H929" s="173"/>
      <c r="I929" s="173"/>
      <c r="J929" s="173"/>
      <c r="K929" s="173"/>
      <c r="L929" s="173"/>
      <c r="AM929" s="173"/>
      <c r="AN929" s="173"/>
      <c r="AZ929" s="337"/>
      <c r="BL929" s="349"/>
      <c r="BM929" s="300"/>
      <c r="BN929" s="300"/>
      <c r="BO929" s="300"/>
      <c r="BP929" s="300"/>
      <c r="BQ929" s="300"/>
      <c r="BR929" s="300"/>
      <c r="BS929" s="300"/>
      <c r="BT929" s="300"/>
      <c r="BU929" s="300"/>
      <c r="BV929" s="300"/>
      <c r="BW929" s="300"/>
      <c r="BX929" s="300"/>
      <c r="BY929" s="300"/>
      <c r="BZ929" s="300"/>
      <c r="CA929" s="300"/>
      <c r="CB929" s="300"/>
    </row>
    <row r="930" spans="1:80" s="27" customFormat="1" x14ac:dyDescent="0.3">
      <c r="A930" s="173"/>
      <c r="D930" s="173"/>
      <c r="E930" s="173"/>
      <c r="F930" s="173"/>
      <c r="G930" s="173"/>
      <c r="H930" s="173"/>
      <c r="I930" s="173"/>
      <c r="J930" s="173"/>
      <c r="K930" s="173"/>
      <c r="L930" s="173"/>
      <c r="AM930" s="173"/>
      <c r="AN930" s="173"/>
      <c r="AZ930" s="337"/>
      <c r="BL930" s="349"/>
      <c r="BM930" s="300"/>
      <c r="BN930" s="300"/>
      <c r="BO930" s="300"/>
      <c r="BP930" s="300"/>
      <c r="BQ930" s="300"/>
      <c r="BR930" s="300"/>
      <c r="BS930" s="300"/>
      <c r="BT930" s="300"/>
      <c r="BU930" s="300"/>
      <c r="BV930" s="300"/>
      <c r="BW930" s="300"/>
      <c r="BX930" s="300"/>
      <c r="BY930" s="300"/>
      <c r="BZ930" s="300"/>
      <c r="CA930" s="300"/>
      <c r="CB930" s="300"/>
    </row>
    <row r="931" spans="1:80" s="27" customFormat="1" x14ac:dyDescent="0.3">
      <c r="A931" s="173"/>
      <c r="D931" s="173"/>
      <c r="E931" s="173"/>
      <c r="F931" s="173"/>
      <c r="G931" s="173"/>
      <c r="H931" s="173"/>
      <c r="I931" s="173"/>
      <c r="J931" s="173"/>
      <c r="K931" s="173"/>
      <c r="L931" s="173"/>
      <c r="AM931" s="173"/>
      <c r="AN931" s="173"/>
      <c r="AZ931" s="337"/>
      <c r="BL931" s="349"/>
      <c r="BM931" s="300"/>
      <c r="BN931" s="300"/>
      <c r="BO931" s="300"/>
      <c r="BP931" s="300"/>
      <c r="BQ931" s="300"/>
      <c r="BR931" s="300"/>
      <c r="BS931" s="300"/>
      <c r="BT931" s="300"/>
      <c r="BU931" s="300"/>
      <c r="BV931" s="300"/>
      <c r="BW931" s="300"/>
      <c r="BX931" s="300"/>
      <c r="BY931" s="300"/>
      <c r="BZ931" s="300"/>
      <c r="CA931" s="300"/>
      <c r="CB931" s="300"/>
    </row>
    <row r="932" spans="1:80" s="27" customFormat="1" x14ac:dyDescent="0.3">
      <c r="A932" s="173"/>
      <c r="D932" s="173"/>
      <c r="E932" s="173"/>
      <c r="F932" s="173"/>
      <c r="G932" s="173"/>
      <c r="H932" s="173"/>
      <c r="I932" s="173"/>
      <c r="J932" s="173"/>
      <c r="K932" s="173"/>
      <c r="L932" s="173"/>
      <c r="AM932" s="173"/>
      <c r="AN932" s="173"/>
      <c r="AZ932" s="337"/>
      <c r="BL932" s="349"/>
      <c r="BM932" s="300"/>
      <c r="BN932" s="300"/>
      <c r="BO932" s="300"/>
      <c r="BP932" s="300"/>
      <c r="BQ932" s="300"/>
      <c r="BR932" s="300"/>
      <c r="BS932" s="300"/>
      <c r="BT932" s="300"/>
      <c r="BU932" s="300"/>
      <c r="BV932" s="300"/>
      <c r="BW932" s="300"/>
      <c r="BX932" s="300"/>
      <c r="BY932" s="300"/>
      <c r="BZ932" s="300"/>
      <c r="CA932" s="300"/>
      <c r="CB932" s="300"/>
    </row>
    <row r="933" spans="1:80" s="27" customFormat="1" x14ac:dyDescent="0.3">
      <c r="A933" s="173"/>
      <c r="D933" s="173"/>
      <c r="E933" s="173"/>
      <c r="F933" s="173"/>
      <c r="G933" s="173"/>
      <c r="H933" s="173"/>
      <c r="I933" s="173"/>
      <c r="J933" s="173"/>
      <c r="K933" s="173"/>
      <c r="L933" s="173"/>
      <c r="AM933" s="173"/>
      <c r="AN933" s="173"/>
      <c r="AZ933" s="337"/>
      <c r="BL933" s="349"/>
      <c r="BM933" s="300"/>
      <c r="BN933" s="300"/>
      <c r="BO933" s="300"/>
      <c r="BP933" s="300"/>
      <c r="BQ933" s="300"/>
      <c r="BR933" s="300"/>
      <c r="BS933" s="300"/>
      <c r="BT933" s="300"/>
      <c r="BU933" s="300"/>
      <c r="BV933" s="300"/>
      <c r="BW933" s="300"/>
      <c r="BX933" s="300"/>
      <c r="BY933" s="300"/>
      <c r="BZ933" s="300"/>
      <c r="CA933" s="300"/>
      <c r="CB933" s="300"/>
    </row>
    <row r="934" spans="1:80" s="27" customFormat="1" x14ac:dyDescent="0.3">
      <c r="A934" s="173"/>
      <c r="D934" s="173"/>
      <c r="E934" s="173"/>
      <c r="F934" s="173"/>
      <c r="G934" s="173"/>
      <c r="H934" s="173"/>
      <c r="I934" s="173"/>
      <c r="J934" s="173"/>
      <c r="K934" s="173"/>
      <c r="L934" s="173"/>
      <c r="AM934" s="173"/>
      <c r="AN934" s="173"/>
      <c r="AZ934" s="337"/>
      <c r="BL934" s="349"/>
      <c r="BM934" s="300"/>
      <c r="BN934" s="300"/>
      <c r="BO934" s="300"/>
      <c r="BP934" s="300"/>
      <c r="BQ934" s="300"/>
      <c r="BR934" s="300"/>
      <c r="BS934" s="300"/>
      <c r="BT934" s="300"/>
      <c r="BU934" s="300"/>
      <c r="BV934" s="300"/>
      <c r="BW934" s="300"/>
      <c r="BX934" s="300"/>
      <c r="BY934" s="300"/>
      <c r="BZ934" s="300"/>
      <c r="CA934" s="300"/>
      <c r="CB934" s="300"/>
    </row>
    <row r="935" spans="1:80" s="27" customFormat="1" x14ac:dyDescent="0.3">
      <c r="A935" s="173"/>
      <c r="D935" s="173"/>
      <c r="E935" s="173"/>
      <c r="F935" s="173"/>
      <c r="G935" s="173"/>
      <c r="H935" s="173"/>
      <c r="I935" s="173"/>
      <c r="J935" s="173"/>
      <c r="K935" s="173"/>
      <c r="L935" s="173"/>
      <c r="AM935" s="173"/>
      <c r="AN935" s="173"/>
      <c r="AZ935" s="337"/>
      <c r="BL935" s="349"/>
      <c r="BM935" s="300"/>
      <c r="BN935" s="300"/>
      <c r="BO935" s="300"/>
      <c r="BP935" s="300"/>
      <c r="BQ935" s="300"/>
      <c r="BR935" s="300"/>
      <c r="BS935" s="300"/>
      <c r="BT935" s="300"/>
      <c r="BU935" s="300"/>
      <c r="BV935" s="300"/>
      <c r="BW935" s="300"/>
      <c r="BX935" s="300"/>
      <c r="BY935" s="300"/>
      <c r="BZ935" s="300"/>
      <c r="CA935" s="300"/>
      <c r="CB935" s="300"/>
    </row>
    <row r="936" spans="1:80" s="27" customFormat="1" x14ac:dyDescent="0.3">
      <c r="A936" s="173"/>
      <c r="D936" s="173"/>
      <c r="E936" s="173"/>
      <c r="F936" s="173"/>
      <c r="G936" s="173"/>
      <c r="H936" s="173"/>
      <c r="I936" s="173"/>
      <c r="J936" s="173"/>
      <c r="K936" s="173"/>
      <c r="L936" s="173"/>
      <c r="AM936" s="173"/>
      <c r="AN936" s="173"/>
      <c r="AZ936" s="337"/>
      <c r="BL936" s="349"/>
      <c r="BM936" s="300"/>
      <c r="BN936" s="300"/>
      <c r="BO936" s="300"/>
      <c r="BP936" s="300"/>
      <c r="BQ936" s="300"/>
      <c r="BR936" s="300"/>
      <c r="BS936" s="300"/>
      <c r="BT936" s="300"/>
      <c r="BU936" s="300"/>
      <c r="BV936" s="300"/>
      <c r="BW936" s="300"/>
      <c r="BX936" s="300"/>
      <c r="BY936" s="300"/>
      <c r="BZ936" s="300"/>
      <c r="CA936" s="300"/>
      <c r="CB936" s="300"/>
    </row>
    <row r="937" spans="1:80" s="27" customFormat="1" x14ac:dyDescent="0.3">
      <c r="A937" s="173"/>
      <c r="D937" s="173"/>
      <c r="E937" s="173"/>
      <c r="F937" s="173"/>
      <c r="G937" s="173"/>
      <c r="H937" s="173"/>
      <c r="I937" s="173"/>
      <c r="J937" s="173"/>
      <c r="K937" s="173"/>
      <c r="L937" s="173"/>
      <c r="AM937" s="173"/>
      <c r="AN937" s="173"/>
      <c r="AZ937" s="337"/>
      <c r="BL937" s="349"/>
      <c r="BM937" s="300"/>
      <c r="BN937" s="300"/>
      <c r="BO937" s="300"/>
      <c r="BP937" s="300"/>
      <c r="BQ937" s="300"/>
      <c r="BR937" s="300"/>
      <c r="BS937" s="300"/>
      <c r="BT937" s="300"/>
      <c r="BU937" s="300"/>
      <c r="BV937" s="300"/>
      <c r="BW937" s="300"/>
      <c r="BX937" s="300"/>
      <c r="BY937" s="300"/>
      <c r="BZ937" s="300"/>
      <c r="CA937" s="300"/>
      <c r="CB937" s="300"/>
    </row>
    <row r="938" spans="1:80" s="27" customFormat="1" x14ac:dyDescent="0.3">
      <c r="A938" s="173"/>
      <c r="D938" s="173"/>
      <c r="E938" s="173"/>
      <c r="F938" s="173"/>
      <c r="G938" s="173"/>
      <c r="H938" s="173"/>
      <c r="I938" s="173"/>
      <c r="J938" s="173"/>
      <c r="K938" s="173"/>
      <c r="L938" s="173"/>
      <c r="AM938" s="173"/>
      <c r="AN938" s="173"/>
      <c r="AZ938" s="337"/>
      <c r="BL938" s="349"/>
      <c r="BM938" s="300"/>
      <c r="BN938" s="300"/>
      <c r="BO938" s="300"/>
      <c r="BP938" s="300"/>
      <c r="BQ938" s="300"/>
      <c r="BR938" s="300"/>
      <c r="BS938" s="300"/>
      <c r="BT938" s="300"/>
      <c r="BU938" s="300"/>
      <c r="BV938" s="300"/>
      <c r="BW938" s="300"/>
      <c r="BX938" s="300"/>
      <c r="BY938" s="300"/>
      <c r="BZ938" s="300"/>
      <c r="CA938" s="300"/>
      <c r="CB938" s="300"/>
    </row>
    <row r="939" spans="1:80" s="27" customFormat="1" x14ac:dyDescent="0.3">
      <c r="A939" s="173"/>
      <c r="D939" s="173"/>
      <c r="E939" s="173"/>
      <c r="F939" s="173"/>
      <c r="G939" s="173"/>
      <c r="H939" s="173"/>
      <c r="I939" s="173"/>
      <c r="J939" s="173"/>
      <c r="K939" s="173"/>
      <c r="L939" s="173"/>
      <c r="AM939" s="173"/>
      <c r="AN939" s="173"/>
      <c r="AZ939" s="337"/>
      <c r="BL939" s="349"/>
      <c r="BM939" s="300"/>
      <c r="BN939" s="300"/>
      <c r="BO939" s="300"/>
      <c r="BP939" s="300"/>
      <c r="BQ939" s="300"/>
      <c r="BR939" s="300"/>
      <c r="BS939" s="300"/>
      <c r="BT939" s="300"/>
      <c r="BU939" s="300"/>
      <c r="BV939" s="300"/>
      <c r="BW939" s="300"/>
      <c r="BX939" s="300"/>
      <c r="BY939" s="300"/>
      <c r="BZ939" s="300"/>
      <c r="CA939" s="300"/>
      <c r="CB939" s="300"/>
    </row>
    <row r="940" spans="1:80" s="27" customFormat="1" x14ac:dyDescent="0.3">
      <c r="A940" s="173"/>
      <c r="D940" s="173"/>
      <c r="E940" s="173"/>
      <c r="F940" s="173"/>
      <c r="G940" s="173"/>
      <c r="H940" s="173"/>
      <c r="I940" s="173"/>
      <c r="J940" s="173"/>
      <c r="K940" s="173"/>
      <c r="L940" s="173"/>
      <c r="AM940" s="173"/>
      <c r="AN940" s="173"/>
      <c r="AZ940" s="337"/>
      <c r="BL940" s="349"/>
      <c r="BM940" s="300"/>
      <c r="BN940" s="300"/>
      <c r="BO940" s="300"/>
      <c r="BP940" s="300"/>
      <c r="BQ940" s="300"/>
      <c r="BR940" s="300"/>
      <c r="BS940" s="300"/>
      <c r="BT940" s="300"/>
      <c r="BU940" s="300"/>
      <c r="BV940" s="300"/>
      <c r="BW940" s="300"/>
      <c r="BX940" s="300"/>
      <c r="BY940" s="300"/>
      <c r="BZ940" s="300"/>
      <c r="CA940" s="300"/>
      <c r="CB940" s="300"/>
    </row>
    <row r="941" spans="1:80" s="27" customFormat="1" x14ac:dyDescent="0.3">
      <c r="A941" s="173"/>
      <c r="D941" s="173"/>
      <c r="E941" s="173"/>
      <c r="F941" s="173"/>
      <c r="G941" s="173"/>
      <c r="H941" s="173"/>
      <c r="I941" s="173"/>
      <c r="J941" s="173"/>
      <c r="K941" s="173"/>
      <c r="L941" s="173"/>
      <c r="AM941" s="173"/>
      <c r="AN941" s="173"/>
      <c r="AZ941" s="337"/>
      <c r="BL941" s="349"/>
      <c r="BM941" s="300"/>
      <c r="BN941" s="300"/>
      <c r="BO941" s="300"/>
      <c r="BP941" s="300"/>
      <c r="BQ941" s="300"/>
      <c r="BR941" s="300"/>
      <c r="BS941" s="300"/>
      <c r="BT941" s="300"/>
      <c r="BU941" s="300"/>
      <c r="BV941" s="300"/>
      <c r="BW941" s="300"/>
      <c r="BX941" s="300"/>
      <c r="BY941" s="300"/>
      <c r="BZ941" s="300"/>
      <c r="CA941" s="300"/>
      <c r="CB941" s="300"/>
    </row>
    <row r="942" spans="1:80" s="27" customFormat="1" x14ac:dyDescent="0.3">
      <c r="A942" s="173"/>
      <c r="D942" s="173"/>
      <c r="E942" s="173"/>
      <c r="F942" s="173"/>
      <c r="G942" s="173"/>
      <c r="H942" s="173"/>
      <c r="I942" s="173"/>
      <c r="J942" s="173"/>
      <c r="K942" s="173"/>
      <c r="L942" s="173"/>
      <c r="AM942" s="173"/>
      <c r="AN942" s="173"/>
      <c r="AZ942" s="337"/>
      <c r="BL942" s="349"/>
      <c r="BM942" s="300"/>
      <c r="BN942" s="300"/>
      <c r="BO942" s="300"/>
      <c r="BP942" s="300"/>
      <c r="BQ942" s="300"/>
      <c r="BR942" s="300"/>
      <c r="BS942" s="300"/>
      <c r="BT942" s="300"/>
      <c r="BU942" s="300"/>
      <c r="BV942" s="300"/>
      <c r="BW942" s="300"/>
      <c r="BX942" s="300"/>
      <c r="BY942" s="300"/>
      <c r="BZ942" s="300"/>
      <c r="CA942" s="300"/>
      <c r="CB942" s="300"/>
    </row>
    <row r="943" spans="1:80" s="27" customFormat="1" x14ac:dyDescent="0.3">
      <c r="A943" s="173"/>
      <c r="D943" s="173"/>
      <c r="E943" s="173"/>
      <c r="F943" s="173"/>
      <c r="G943" s="173"/>
      <c r="H943" s="173"/>
      <c r="I943" s="173"/>
      <c r="J943" s="173"/>
      <c r="K943" s="173"/>
      <c r="L943" s="173"/>
      <c r="AM943" s="173"/>
      <c r="AN943" s="173"/>
      <c r="AZ943" s="337"/>
      <c r="BL943" s="349"/>
      <c r="BM943" s="300"/>
      <c r="BN943" s="300"/>
      <c r="BO943" s="300"/>
      <c r="BP943" s="300"/>
      <c r="BQ943" s="300"/>
      <c r="BR943" s="300"/>
      <c r="BS943" s="300"/>
      <c r="BT943" s="300"/>
      <c r="BU943" s="300"/>
      <c r="BV943" s="300"/>
      <c r="BW943" s="300"/>
      <c r="BX943" s="300"/>
      <c r="BY943" s="300"/>
      <c r="BZ943" s="300"/>
      <c r="CA943" s="300"/>
      <c r="CB943" s="300"/>
    </row>
    <row r="944" spans="1:80" s="27" customFormat="1" x14ac:dyDescent="0.3">
      <c r="A944" s="173"/>
      <c r="D944" s="173"/>
      <c r="E944" s="173"/>
      <c r="F944" s="173"/>
      <c r="G944" s="173"/>
      <c r="H944" s="173"/>
      <c r="I944" s="173"/>
      <c r="J944" s="173"/>
      <c r="K944" s="173"/>
      <c r="L944" s="173"/>
      <c r="AM944" s="173"/>
      <c r="AN944" s="173"/>
      <c r="AZ944" s="337"/>
      <c r="BL944" s="349"/>
      <c r="BM944" s="300"/>
      <c r="BN944" s="300"/>
      <c r="BO944" s="300"/>
      <c r="BP944" s="300"/>
      <c r="BQ944" s="300"/>
      <c r="BR944" s="300"/>
      <c r="BS944" s="300"/>
      <c r="BT944" s="300"/>
      <c r="BU944" s="300"/>
      <c r="BV944" s="300"/>
      <c r="BW944" s="300"/>
      <c r="BX944" s="300"/>
      <c r="BY944" s="300"/>
      <c r="BZ944" s="300"/>
      <c r="CA944" s="300"/>
      <c r="CB944" s="300"/>
    </row>
    <row r="945" spans="1:80" s="27" customFormat="1" x14ac:dyDescent="0.3">
      <c r="A945" s="173"/>
      <c r="D945" s="173"/>
      <c r="E945" s="173"/>
      <c r="F945" s="173"/>
      <c r="G945" s="173"/>
      <c r="H945" s="173"/>
      <c r="I945" s="173"/>
      <c r="J945" s="173"/>
      <c r="K945" s="173"/>
      <c r="L945" s="173"/>
      <c r="AM945" s="173"/>
      <c r="AN945" s="173"/>
      <c r="AZ945" s="337"/>
      <c r="BL945" s="349"/>
      <c r="BM945" s="300"/>
      <c r="BN945" s="300"/>
      <c r="BO945" s="300"/>
      <c r="BP945" s="300"/>
      <c r="BQ945" s="300"/>
      <c r="BR945" s="300"/>
      <c r="BS945" s="300"/>
      <c r="BT945" s="300"/>
      <c r="BU945" s="300"/>
      <c r="BV945" s="300"/>
      <c r="BW945" s="300"/>
      <c r="BX945" s="300"/>
      <c r="BY945" s="300"/>
      <c r="BZ945" s="300"/>
      <c r="CA945" s="300"/>
      <c r="CB945" s="300"/>
    </row>
    <row r="946" spans="1:80" s="27" customFormat="1" x14ac:dyDescent="0.3">
      <c r="A946" s="173"/>
      <c r="D946" s="173"/>
      <c r="E946" s="173"/>
      <c r="F946" s="173"/>
      <c r="G946" s="173"/>
      <c r="H946" s="173"/>
      <c r="I946" s="173"/>
      <c r="J946" s="173"/>
      <c r="K946" s="173"/>
      <c r="L946" s="173"/>
      <c r="AM946" s="173"/>
      <c r="AN946" s="173"/>
      <c r="AZ946" s="337"/>
      <c r="BL946" s="349"/>
      <c r="BM946" s="300"/>
      <c r="BN946" s="300"/>
      <c r="BO946" s="300"/>
      <c r="BP946" s="300"/>
      <c r="BQ946" s="300"/>
      <c r="BR946" s="300"/>
      <c r="BS946" s="300"/>
      <c r="BT946" s="300"/>
      <c r="BU946" s="300"/>
      <c r="BV946" s="300"/>
      <c r="BW946" s="300"/>
      <c r="BX946" s="300"/>
      <c r="BY946" s="300"/>
      <c r="BZ946" s="300"/>
      <c r="CA946" s="300"/>
      <c r="CB946" s="300"/>
    </row>
    <row r="947" spans="1:80" s="27" customFormat="1" x14ac:dyDescent="0.3">
      <c r="A947" s="173"/>
      <c r="D947" s="173"/>
      <c r="E947" s="173"/>
      <c r="F947" s="173"/>
      <c r="G947" s="173"/>
      <c r="H947" s="173"/>
      <c r="I947" s="173"/>
      <c r="J947" s="173"/>
      <c r="K947" s="173"/>
      <c r="L947" s="173"/>
      <c r="AM947" s="173"/>
      <c r="AN947" s="173"/>
      <c r="AZ947" s="337"/>
      <c r="BL947" s="349"/>
      <c r="BM947" s="300"/>
      <c r="BN947" s="300"/>
      <c r="BO947" s="300"/>
      <c r="BP947" s="300"/>
      <c r="BQ947" s="300"/>
      <c r="BR947" s="300"/>
      <c r="BS947" s="300"/>
      <c r="BT947" s="300"/>
      <c r="BU947" s="300"/>
      <c r="BV947" s="300"/>
      <c r="BW947" s="300"/>
      <c r="BX947" s="300"/>
      <c r="BY947" s="300"/>
      <c r="BZ947" s="300"/>
      <c r="CA947" s="300"/>
      <c r="CB947" s="300"/>
    </row>
    <row r="948" spans="1:80" s="27" customFormat="1" x14ac:dyDescent="0.3">
      <c r="A948" s="173"/>
      <c r="D948" s="173"/>
      <c r="E948" s="173"/>
      <c r="F948" s="173"/>
      <c r="G948" s="173"/>
      <c r="H948" s="173"/>
      <c r="I948" s="173"/>
      <c r="J948" s="173"/>
      <c r="K948" s="173"/>
      <c r="L948" s="173"/>
      <c r="AM948" s="173"/>
      <c r="AN948" s="173"/>
      <c r="AZ948" s="337"/>
      <c r="BL948" s="349"/>
      <c r="BM948" s="300"/>
      <c r="BN948" s="300"/>
      <c r="BO948" s="300"/>
      <c r="BP948" s="300"/>
      <c r="BQ948" s="300"/>
      <c r="BR948" s="300"/>
      <c r="BS948" s="300"/>
      <c r="BT948" s="300"/>
      <c r="BU948" s="300"/>
      <c r="BV948" s="300"/>
      <c r="BW948" s="300"/>
      <c r="BX948" s="300"/>
      <c r="BY948" s="300"/>
      <c r="BZ948" s="300"/>
      <c r="CA948" s="300"/>
      <c r="CB948" s="300"/>
    </row>
    <row r="949" spans="1:80" s="27" customFormat="1" x14ac:dyDescent="0.3">
      <c r="A949" s="173"/>
      <c r="D949" s="173"/>
      <c r="E949" s="173"/>
      <c r="F949" s="173"/>
      <c r="G949" s="173"/>
      <c r="H949" s="173"/>
      <c r="I949" s="173"/>
      <c r="J949" s="173"/>
      <c r="K949" s="173"/>
      <c r="L949" s="173"/>
      <c r="AM949" s="173"/>
      <c r="AN949" s="173"/>
      <c r="AZ949" s="337"/>
      <c r="BL949" s="349"/>
      <c r="BM949" s="300"/>
      <c r="BN949" s="300"/>
      <c r="BO949" s="300"/>
      <c r="BP949" s="300"/>
      <c r="BQ949" s="300"/>
      <c r="BR949" s="300"/>
      <c r="BS949" s="300"/>
      <c r="BT949" s="300"/>
      <c r="BU949" s="300"/>
      <c r="BV949" s="300"/>
      <c r="BW949" s="300"/>
      <c r="BX949" s="300"/>
      <c r="BY949" s="300"/>
      <c r="BZ949" s="300"/>
      <c r="CA949" s="300"/>
      <c r="CB949" s="300"/>
    </row>
    <row r="950" spans="1:80" s="27" customFormat="1" x14ac:dyDescent="0.3">
      <c r="A950" s="173"/>
      <c r="D950" s="173"/>
      <c r="E950" s="173"/>
      <c r="F950" s="173"/>
      <c r="G950" s="173"/>
      <c r="H950" s="173"/>
      <c r="I950" s="173"/>
      <c r="J950" s="173"/>
      <c r="K950" s="173"/>
      <c r="L950" s="173"/>
      <c r="AM950" s="173"/>
      <c r="AN950" s="173"/>
      <c r="AZ950" s="337"/>
      <c r="BL950" s="349"/>
      <c r="BM950" s="300"/>
      <c r="BN950" s="300"/>
      <c r="BO950" s="300"/>
      <c r="BP950" s="300"/>
      <c r="BQ950" s="300"/>
      <c r="BR950" s="300"/>
      <c r="BS950" s="300"/>
      <c r="BT950" s="300"/>
      <c r="BU950" s="300"/>
      <c r="BV950" s="300"/>
      <c r="BW950" s="300"/>
      <c r="BX950" s="300"/>
      <c r="BY950" s="300"/>
      <c r="BZ950" s="300"/>
      <c r="CA950" s="300"/>
      <c r="CB950" s="300"/>
    </row>
    <row r="951" spans="1:80" s="27" customFormat="1" x14ac:dyDescent="0.3">
      <c r="A951" s="173"/>
      <c r="D951" s="173"/>
      <c r="E951" s="173"/>
      <c r="F951" s="173"/>
      <c r="G951" s="173"/>
      <c r="H951" s="173"/>
      <c r="I951" s="173"/>
      <c r="J951" s="173"/>
      <c r="K951" s="173"/>
      <c r="L951" s="173"/>
      <c r="AM951" s="173"/>
      <c r="AN951" s="173"/>
      <c r="AZ951" s="337"/>
      <c r="BL951" s="349"/>
      <c r="BM951" s="300"/>
      <c r="BN951" s="300"/>
      <c r="BO951" s="300"/>
      <c r="BP951" s="300"/>
      <c r="BQ951" s="300"/>
      <c r="BR951" s="300"/>
      <c r="BS951" s="300"/>
      <c r="BT951" s="300"/>
      <c r="BU951" s="300"/>
      <c r="BV951" s="300"/>
      <c r="BW951" s="300"/>
      <c r="BX951" s="300"/>
      <c r="BY951" s="300"/>
      <c r="BZ951" s="300"/>
      <c r="CA951" s="300"/>
      <c r="CB951" s="300"/>
    </row>
    <row r="952" spans="1:80" s="27" customFormat="1" x14ac:dyDescent="0.3">
      <c r="A952" s="173"/>
      <c r="D952" s="173"/>
      <c r="E952" s="173"/>
      <c r="F952" s="173"/>
      <c r="G952" s="173"/>
      <c r="H952" s="173"/>
      <c r="I952" s="173"/>
      <c r="J952" s="173"/>
      <c r="K952" s="173"/>
      <c r="L952" s="173"/>
      <c r="AM952" s="173"/>
      <c r="AN952" s="173"/>
      <c r="AZ952" s="337"/>
      <c r="BL952" s="349"/>
      <c r="BM952" s="300"/>
      <c r="BN952" s="300"/>
      <c r="BO952" s="300"/>
      <c r="BP952" s="300"/>
      <c r="BQ952" s="300"/>
      <c r="BR952" s="300"/>
      <c r="BS952" s="300"/>
      <c r="BT952" s="300"/>
      <c r="BU952" s="300"/>
      <c r="BV952" s="300"/>
      <c r="BW952" s="300"/>
      <c r="BX952" s="300"/>
      <c r="BY952" s="300"/>
      <c r="BZ952" s="300"/>
      <c r="CA952" s="300"/>
      <c r="CB952" s="300"/>
    </row>
    <row r="953" spans="1:80" s="27" customFormat="1" x14ac:dyDescent="0.3">
      <c r="A953" s="173"/>
      <c r="D953" s="173"/>
      <c r="E953" s="173"/>
      <c r="F953" s="173"/>
      <c r="G953" s="173"/>
      <c r="H953" s="173"/>
      <c r="I953" s="173"/>
      <c r="J953" s="173"/>
      <c r="K953" s="173"/>
      <c r="L953" s="173"/>
      <c r="AM953" s="173"/>
      <c r="AN953" s="173"/>
      <c r="AZ953" s="337"/>
      <c r="BL953" s="349"/>
      <c r="BM953" s="300"/>
      <c r="BN953" s="300"/>
      <c r="BO953" s="300"/>
      <c r="BP953" s="300"/>
      <c r="BQ953" s="300"/>
      <c r="BR953" s="300"/>
      <c r="BS953" s="300"/>
      <c r="BT953" s="300"/>
      <c r="BU953" s="300"/>
      <c r="BV953" s="300"/>
      <c r="BW953" s="300"/>
      <c r="BX953" s="300"/>
      <c r="BY953" s="300"/>
      <c r="BZ953" s="300"/>
      <c r="CA953" s="300"/>
      <c r="CB953" s="300"/>
    </row>
    <row r="954" spans="1:80" s="27" customFormat="1" x14ac:dyDescent="0.3">
      <c r="A954" s="173"/>
      <c r="D954" s="173"/>
      <c r="E954" s="173"/>
      <c r="F954" s="173"/>
      <c r="G954" s="173"/>
      <c r="H954" s="173"/>
      <c r="I954" s="173"/>
      <c r="J954" s="173"/>
      <c r="K954" s="173"/>
      <c r="L954" s="173"/>
      <c r="AM954" s="173"/>
      <c r="AN954" s="173"/>
      <c r="AZ954" s="337"/>
      <c r="BL954" s="349"/>
      <c r="BM954" s="300"/>
      <c r="BN954" s="300"/>
      <c r="BO954" s="300"/>
      <c r="BP954" s="300"/>
      <c r="BQ954" s="300"/>
      <c r="BR954" s="300"/>
      <c r="BS954" s="300"/>
      <c r="BT954" s="300"/>
      <c r="BU954" s="300"/>
      <c r="BV954" s="300"/>
      <c r="BW954" s="300"/>
      <c r="BX954" s="300"/>
      <c r="BY954" s="300"/>
      <c r="BZ954" s="300"/>
      <c r="CA954" s="300"/>
      <c r="CB954" s="300"/>
    </row>
    <row r="955" spans="1:80" s="27" customFormat="1" x14ac:dyDescent="0.3">
      <c r="A955" s="173"/>
      <c r="D955" s="173"/>
      <c r="E955" s="173"/>
      <c r="F955" s="173"/>
      <c r="G955" s="173"/>
      <c r="H955" s="173"/>
      <c r="I955" s="173"/>
      <c r="J955" s="173"/>
      <c r="K955" s="173"/>
      <c r="L955" s="173"/>
      <c r="AM955" s="173"/>
      <c r="AN955" s="173"/>
      <c r="AZ955" s="337"/>
      <c r="BL955" s="349"/>
      <c r="BM955" s="300"/>
      <c r="BN955" s="300"/>
      <c r="BO955" s="300"/>
      <c r="BP955" s="300"/>
      <c r="BQ955" s="300"/>
      <c r="BR955" s="300"/>
      <c r="BS955" s="300"/>
      <c r="BT955" s="300"/>
      <c r="BU955" s="300"/>
      <c r="BV955" s="300"/>
      <c r="BW955" s="300"/>
      <c r="BX955" s="300"/>
      <c r="BY955" s="300"/>
      <c r="BZ955" s="300"/>
      <c r="CA955" s="300"/>
      <c r="CB955" s="300"/>
    </row>
    <row r="956" spans="1:80" s="27" customFormat="1" x14ac:dyDescent="0.3">
      <c r="A956" s="173"/>
      <c r="D956" s="173"/>
      <c r="E956" s="173"/>
      <c r="F956" s="173"/>
      <c r="G956" s="173"/>
      <c r="H956" s="173"/>
      <c r="I956" s="173"/>
      <c r="J956" s="173"/>
      <c r="K956" s="173"/>
      <c r="L956" s="173"/>
      <c r="AM956" s="173"/>
      <c r="AN956" s="173"/>
      <c r="AZ956" s="337"/>
      <c r="BL956" s="349"/>
      <c r="BM956" s="300"/>
      <c r="BN956" s="300"/>
      <c r="BO956" s="300"/>
      <c r="BP956" s="300"/>
      <c r="BQ956" s="300"/>
      <c r="BR956" s="300"/>
      <c r="BS956" s="300"/>
      <c r="BT956" s="300"/>
      <c r="BU956" s="300"/>
      <c r="BV956" s="300"/>
      <c r="BW956" s="300"/>
      <c r="BX956" s="300"/>
      <c r="BY956" s="300"/>
      <c r="BZ956" s="300"/>
      <c r="CA956" s="300"/>
      <c r="CB956" s="300"/>
    </row>
    <row r="957" spans="1:80" s="27" customFormat="1" x14ac:dyDescent="0.3">
      <c r="A957" s="173"/>
      <c r="D957" s="173"/>
      <c r="E957" s="173"/>
      <c r="F957" s="173"/>
      <c r="G957" s="173"/>
      <c r="H957" s="173"/>
      <c r="I957" s="173"/>
      <c r="J957" s="173"/>
      <c r="K957" s="173"/>
      <c r="L957" s="173"/>
      <c r="AM957" s="173"/>
      <c r="AN957" s="173"/>
      <c r="AZ957" s="337"/>
      <c r="BL957" s="349"/>
      <c r="BM957" s="300"/>
      <c r="BN957" s="300"/>
      <c r="BO957" s="300"/>
      <c r="BP957" s="300"/>
      <c r="BQ957" s="300"/>
      <c r="BR957" s="300"/>
      <c r="BS957" s="300"/>
      <c r="BT957" s="300"/>
      <c r="BU957" s="300"/>
      <c r="BV957" s="300"/>
      <c r="BW957" s="300"/>
      <c r="BX957" s="300"/>
      <c r="BY957" s="300"/>
      <c r="BZ957" s="300"/>
      <c r="CA957" s="300"/>
      <c r="CB957" s="300"/>
    </row>
    <row r="958" spans="1:80" s="27" customFormat="1" x14ac:dyDescent="0.3">
      <c r="A958" s="173"/>
      <c r="D958" s="173"/>
      <c r="E958" s="173"/>
      <c r="F958" s="173"/>
      <c r="G958" s="173"/>
      <c r="H958" s="173"/>
      <c r="I958" s="173"/>
      <c r="J958" s="173"/>
      <c r="K958" s="173"/>
      <c r="L958" s="173"/>
      <c r="AM958" s="173"/>
      <c r="AN958" s="173"/>
      <c r="AZ958" s="337"/>
      <c r="BL958" s="349"/>
      <c r="BM958" s="300"/>
      <c r="BN958" s="300"/>
      <c r="BO958" s="300"/>
      <c r="BP958" s="300"/>
      <c r="BQ958" s="300"/>
      <c r="BR958" s="300"/>
      <c r="BS958" s="300"/>
      <c r="BT958" s="300"/>
      <c r="BU958" s="300"/>
      <c r="BV958" s="300"/>
      <c r="BW958" s="300"/>
      <c r="BX958" s="300"/>
      <c r="BY958" s="300"/>
      <c r="BZ958" s="300"/>
      <c r="CA958" s="300"/>
      <c r="CB958" s="300"/>
    </row>
    <row r="959" spans="1:80" s="27" customFormat="1" x14ac:dyDescent="0.3">
      <c r="A959" s="173"/>
      <c r="D959" s="173"/>
      <c r="E959" s="173"/>
      <c r="F959" s="173"/>
      <c r="G959" s="173"/>
      <c r="H959" s="173"/>
      <c r="I959" s="173"/>
      <c r="J959" s="173"/>
      <c r="K959" s="173"/>
      <c r="L959" s="173"/>
      <c r="AM959" s="173"/>
      <c r="AN959" s="173"/>
      <c r="AZ959" s="337"/>
      <c r="BL959" s="349"/>
      <c r="BM959" s="300"/>
      <c r="BN959" s="300"/>
      <c r="BO959" s="300"/>
      <c r="BP959" s="300"/>
      <c r="BQ959" s="300"/>
      <c r="BR959" s="300"/>
      <c r="BS959" s="300"/>
      <c r="BT959" s="300"/>
      <c r="BU959" s="300"/>
      <c r="BV959" s="300"/>
      <c r="BW959" s="300"/>
      <c r="BX959" s="300"/>
      <c r="BY959" s="300"/>
      <c r="BZ959" s="300"/>
      <c r="CA959" s="300"/>
      <c r="CB959" s="300"/>
    </row>
    <row r="960" spans="1:80" s="27" customFormat="1" x14ac:dyDescent="0.3">
      <c r="A960" s="173"/>
      <c r="D960" s="173"/>
      <c r="E960" s="173"/>
      <c r="F960" s="173"/>
      <c r="G960" s="173"/>
      <c r="H960" s="173"/>
      <c r="I960" s="173"/>
      <c r="J960" s="173"/>
      <c r="K960" s="173"/>
      <c r="L960" s="173"/>
      <c r="AM960" s="173"/>
      <c r="AN960" s="173"/>
      <c r="AZ960" s="337"/>
      <c r="BL960" s="349"/>
      <c r="BM960" s="300"/>
      <c r="BN960" s="300"/>
      <c r="BO960" s="300"/>
      <c r="BP960" s="300"/>
      <c r="BQ960" s="300"/>
      <c r="BR960" s="300"/>
      <c r="BS960" s="300"/>
      <c r="BT960" s="300"/>
      <c r="BU960" s="300"/>
      <c r="BV960" s="300"/>
      <c r="BW960" s="300"/>
      <c r="BX960" s="300"/>
      <c r="BY960" s="300"/>
      <c r="BZ960" s="300"/>
      <c r="CA960" s="300"/>
      <c r="CB960" s="300"/>
    </row>
    <row r="961" spans="1:80" s="27" customFormat="1" x14ac:dyDescent="0.3">
      <c r="A961" s="173"/>
      <c r="D961" s="173"/>
      <c r="E961" s="173"/>
      <c r="F961" s="173"/>
      <c r="G961" s="173"/>
      <c r="H961" s="173"/>
      <c r="I961" s="173"/>
      <c r="J961" s="173"/>
      <c r="K961" s="173"/>
      <c r="L961" s="173"/>
      <c r="AM961" s="173"/>
      <c r="AN961" s="173"/>
      <c r="AZ961" s="337"/>
      <c r="BL961" s="349"/>
      <c r="BM961" s="300"/>
      <c r="BN961" s="300"/>
      <c r="BO961" s="300"/>
      <c r="BP961" s="300"/>
      <c r="BQ961" s="300"/>
      <c r="BR961" s="300"/>
      <c r="BS961" s="300"/>
      <c r="BT961" s="300"/>
      <c r="BU961" s="300"/>
      <c r="BV961" s="300"/>
      <c r="BW961" s="300"/>
      <c r="BX961" s="300"/>
      <c r="BY961" s="300"/>
      <c r="BZ961" s="300"/>
      <c r="CA961" s="300"/>
      <c r="CB961" s="300"/>
    </row>
    <row r="962" spans="1:80" s="27" customFormat="1" x14ac:dyDescent="0.3">
      <c r="A962" s="173"/>
      <c r="D962" s="173"/>
      <c r="E962" s="173"/>
      <c r="F962" s="173"/>
      <c r="G962" s="173"/>
      <c r="H962" s="173"/>
      <c r="I962" s="173"/>
      <c r="J962" s="173"/>
      <c r="K962" s="173"/>
      <c r="L962" s="173"/>
      <c r="AM962" s="173"/>
      <c r="AN962" s="173"/>
      <c r="AZ962" s="337"/>
      <c r="BL962" s="349"/>
      <c r="BM962" s="300"/>
      <c r="BN962" s="300"/>
      <c r="BO962" s="300"/>
      <c r="BP962" s="300"/>
      <c r="BQ962" s="300"/>
      <c r="BR962" s="300"/>
      <c r="BS962" s="300"/>
      <c r="BT962" s="300"/>
      <c r="BU962" s="300"/>
      <c r="BV962" s="300"/>
      <c r="BW962" s="300"/>
      <c r="BX962" s="300"/>
      <c r="BY962" s="300"/>
      <c r="BZ962" s="300"/>
      <c r="CA962" s="300"/>
      <c r="CB962" s="300"/>
    </row>
    <row r="963" spans="1:80" s="27" customFormat="1" x14ac:dyDescent="0.3">
      <c r="A963" s="173"/>
      <c r="D963" s="173"/>
      <c r="E963" s="173"/>
      <c r="F963" s="173"/>
      <c r="G963" s="173"/>
      <c r="H963" s="173"/>
      <c r="I963" s="173"/>
      <c r="J963" s="173"/>
      <c r="K963" s="173"/>
      <c r="L963" s="173"/>
      <c r="AM963" s="173"/>
      <c r="AN963" s="173"/>
      <c r="AZ963" s="337"/>
      <c r="BL963" s="349"/>
      <c r="BM963" s="300"/>
      <c r="BN963" s="300"/>
      <c r="BO963" s="300"/>
      <c r="BP963" s="300"/>
      <c r="BQ963" s="300"/>
      <c r="BR963" s="300"/>
      <c r="BS963" s="300"/>
      <c r="BT963" s="300"/>
      <c r="BU963" s="300"/>
      <c r="BV963" s="300"/>
      <c r="BW963" s="300"/>
      <c r="BX963" s="300"/>
      <c r="BY963" s="300"/>
      <c r="BZ963" s="300"/>
      <c r="CA963" s="300"/>
      <c r="CB963" s="300"/>
    </row>
    <row r="964" spans="1:80" s="27" customFormat="1" x14ac:dyDescent="0.3">
      <c r="A964" s="173"/>
      <c r="D964" s="173"/>
      <c r="E964" s="173"/>
      <c r="F964" s="173"/>
      <c r="G964" s="173"/>
      <c r="H964" s="173"/>
      <c r="I964" s="173"/>
      <c r="J964" s="173"/>
      <c r="K964" s="173"/>
      <c r="L964" s="173"/>
      <c r="AM964" s="173"/>
      <c r="AN964" s="173"/>
      <c r="AZ964" s="337"/>
      <c r="BL964" s="349"/>
      <c r="BM964" s="300"/>
      <c r="BN964" s="300"/>
      <c r="BO964" s="300"/>
      <c r="BP964" s="300"/>
      <c r="BQ964" s="300"/>
      <c r="BR964" s="300"/>
      <c r="BS964" s="300"/>
      <c r="BT964" s="300"/>
      <c r="BU964" s="300"/>
      <c r="BV964" s="300"/>
      <c r="BW964" s="300"/>
      <c r="BX964" s="300"/>
      <c r="BY964" s="300"/>
      <c r="BZ964" s="300"/>
      <c r="CA964" s="300"/>
      <c r="CB964" s="300"/>
    </row>
    <row r="965" spans="1:80" s="27" customFormat="1" x14ac:dyDescent="0.3">
      <c r="A965" s="173"/>
      <c r="D965" s="173"/>
      <c r="E965" s="173"/>
      <c r="F965" s="173"/>
      <c r="G965" s="173"/>
      <c r="H965" s="173"/>
      <c r="I965" s="173"/>
      <c r="J965" s="173"/>
      <c r="K965" s="173"/>
      <c r="L965" s="173"/>
      <c r="AM965" s="173"/>
      <c r="AN965" s="173"/>
      <c r="AZ965" s="337"/>
      <c r="BL965" s="349"/>
      <c r="BM965" s="300"/>
      <c r="BN965" s="300"/>
      <c r="BO965" s="300"/>
      <c r="BP965" s="300"/>
      <c r="BQ965" s="300"/>
      <c r="BR965" s="300"/>
      <c r="BS965" s="300"/>
      <c r="BT965" s="300"/>
      <c r="BU965" s="300"/>
      <c r="BV965" s="300"/>
      <c r="BW965" s="300"/>
      <c r="BX965" s="300"/>
      <c r="BY965" s="300"/>
      <c r="BZ965" s="300"/>
      <c r="CA965" s="300"/>
      <c r="CB965" s="300"/>
    </row>
    <row r="966" spans="1:80" s="27" customFormat="1" x14ac:dyDescent="0.3">
      <c r="A966" s="173"/>
      <c r="D966" s="173"/>
      <c r="E966" s="173"/>
      <c r="F966" s="173"/>
      <c r="G966" s="173"/>
      <c r="H966" s="173"/>
      <c r="I966" s="173"/>
      <c r="J966" s="173"/>
      <c r="K966" s="173"/>
      <c r="L966" s="173"/>
      <c r="AM966" s="173"/>
      <c r="AN966" s="173"/>
      <c r="AZ966" s="337"/>
      <c r="BL966" s="349"/>
      <c r="BM966" s="300"/>
      <c r="BN966" s="300"/>
      <c r="BO966" s="300"/>
      <c r="BP966" s="300"/>
      <c r="BQ966" s="300"/>
      <c r="BR966" s="300"/>
      <c r="BS966" s="300"/>
      <c r="BT966" s="300"/>
      <c r="BU966" s="300"/>
      <c r="BV966" s="300"/>
      <c r="BW966" s="300"/>
      <c r="BX966" s="300"/>
      <c r="BY966" s="300"/>
      <c r="BZ966" s="300"/>
      <c r="CA966" s="300"/>
      <c r="CB966" s="300"/>
    </row>
    <row r="967" spans="1:80" s="27" customFormat="1" x14ac:dyDescent="0.3">
      <c r="A967" s="173"/>
      <c r="D967" s="173"/>
      <c r="E967" s="173"/>
      <c r="F967" s="173"/>
      <c r="G967" s="173"/>
      <c r="H967" s="173"/>
      <c r="I967" s="173"/>
      <c r="J967" s="173"/>
      <c r="K967" s="173"/>
      <c r="L967" s="173"/>
      <c r="AM967" s="173"/>
      <c r="AN967" s="173"/>
      <c r="AZ967" s="337"/>
      <c r="BL967" s="349"/>
      <c r="BM967" s="300"/>
      <c r="BN967" s="300"/>
      <c r="BO967" s="300"/>
      <c r="BP967" s="300"/>
      <c r="BQ967" s="300"/>
      <c r="BR967" s="300"/>
      <c r="BS967" s="300"/>
      <c r="BT967" s="300"/>
      <c r="BU967" s="300"/>
      <c r="BV967" s="300"/>
      <c r="BW967" s="300"/>
      <c r="BX967" s="300"/>
      <c r="BY967" s="300"/>
      <c r="BZ967" s="300"/>
      <c r="CA967" s="300"/>
      <c r="CB967" s="300"/>
    </row>
    <row r="968" spans="1:80" s="27" customFormat="1" x14ac:dyDescent="0.3">
      <c r="A968" s="173"/>
      <c r="D968" s="173"/>
      <c r="E968" s="173"/>
      <c r="F968" s="173"/>
      <c r="G968" s="173"/>
      <c r="H968" s="173"/>
      <c r="I968" s="173"/>
      <c r="J968" s="173"/>
      <c r="K968" s="173"/>
      <c r="L968" s="173"/>
      <c r="AM968" s="173"/>
      <c r="AN968" s="173"/>
      <c r="AZ968" s="337"/>
      <c r="BL968" s="349"/>
      <c r="BM968" s="300"/>
      <c r="BN968" s="300"/>
      <c r="BO968" s="300"/>
      <c r="BP968" s="300"/>
      <c r="BQ968" s="300"/>
      <c r="BR968" s="300"/>
      <c r="BS968" s="300"/>
      <c r="BT968" s="300"/>
      <c r="BU968" s="300"/>
      <c r="BV968" s="300"/>
      <c r="BW968" s="300"/>
      <c r="BX968" s="300"/>
      <c r="BY968" s="300"/>
      <c r="BZ968" s="300"/>
      <c r="CA968" s="300"/>
      <c r="CB968" s="300"/>
    </row>
    <row r="969" spans="1:80" s="27" customFormat="1" x14ac:dyDescent="0.3">
      <c r="A969" s="173"/>
      <c r="D969" s="173"/>
      <c r="E969" s="173"/>
      <c r="F969" s="173"/>
      <c r="G969" s="173"/>
      <c r="H969" s="173"/>
      <c r="I969" s="173"/>
      <c r="J969" s="173"/>
      <c r="K969" s="173"/>
      <c r="L969" s="173"/>
      <c r="AM969" s="173"/>
      <c r="AN969" s="173"/>
      <c r="AZ969" s="337"/>
      <c r="BL969" s="349"/>
      <c r="BM969" s="300"/>
      <c r="BN969" s="300"/>
      <c r="BO969" s="300"/>
      <c r="BP969" s="300"/>
      <c r="BQ969" s="300"/>
      <c r="BR969" s="300"/>
      <c r="BS969" s="300"/>
      <c r="BT969" s="300"/>
      <c r="BU969" s="300"/>
      <c r="BV969" s="300"/>
      <c r="BW969" s="300"/>
      <c r="BX969" s="300"/>
      <c r="BY969" s="300"/>
      <c r="BZ969" s="300"/>
      <c r="CA969" s="300"/>
      <c r="CB969" s="300"/>
    </row>
    <row r="970" spans="1:80" s="27" customFormat="1" x14ac:dyDescent="0.3">
      <c r="A970" s="173"/>
      <c r="D970" s="173"/>
      <c r="E970" s="173"/>
      <c r="F970" s="173"/>
      <c r="G970" s="173"/>
      <c r="H970" s="173"/>
      <c r="I970" s="173"/>
      <c r="J970" s="173"/>
      <c r="K970" s="173"/>
      <c r="L970" s="173"/>
      <c r="AM970" s="173"/>
      <c r="AN970" s="173"/>
      <c r="AZ970" s="337"/>
      <c r="BL970" s="349"/>
      <c r="BM970" s="300"/>
      <c r="BN970" s="300"/>
      <c r="BO970" s="300"/>
      <c r="BP970" s="300"/>
      <c r="BQ970" s="300"/>
      <c r="BR970" s="300"/>
      <c r="BS970" s="300"/>
      <c r="BT970" s="300"/>
      <c r="BU970" s="300"/>
      <c r="BV970" s="300"/>
      <c r="BW970" s="300"/>
      <c r="BX970" s="300"/>
      <c r="BY970" s="300"/>
      <c r="BZ970" s="300"/>
      <c r="CA970" s="300"/>
      <c r="CB970" s="300"/>
    </row>
    <row r="971" spans="1:80" s="27" customFormat="1" x14ac:dyDescent="0.3">
      <c r="A971" s="173"/>
      <c r="D971" s="173"/>
      <c r="E971" s="173"/>
      <c r="F971" s="173"/>
      <c r="G971" s="173"/>
      <c r="H971" s="173"/>
      <c r="I971" s="173"/>
      <c r="J971" s="173"/>
      <c r="K971" s="173"/>
      <c r="L971" s="173"/>
      <c r="AM971" s="173"/>
      <c r="AN971" s="173"/>
      <c r="AZ971" s="337"/>
      <c r="BL971" s="349"/>
      <c r="BM971" s="300"/>
      <c r="BN971" s="300"/>
      <c r="BO971" s="300"/>
      <c r="BP971" s="300"/>
      <c r="BQ971" s="300"/>
      <c r="BR971" s="300"/>
      <c r="BS971" s="300"/>
      <c r="BT971" s="300"/>
      <c r="BU971" s="300"/>
      <c r="BV971" s="300"/>
      <c r="BW971" s="300"/>
      <c r="BX971" s="300"/>
      <c r="BY971" s="300"/>
      <c r="BZ971" s="300"/>
      <c r="CA971" s="300"/>
      <c r="CB971" s="300"/>
    </row>
    <row r="972" spans="1:80" s="27" customFormat="1" x14ac:dyDescent="0.3">
      <c r="A972" s="173"/>
      <c r="D972" s="173"/>
      <c r="E972" s="173"/>
      <c r="F972" s="173"/>
      <c r="G972" s="173"/>
      <c r="H972" s="173"/>
      <c r="I972" s="173"/>
      <c r="J972" s="173"/>
      <c r="K972" s="173"/>
      <c r="L972" s="173"/>
      <c r="AM972" s="173"/>
      <c r="AN972" s="173"/>
      <c r="AZ972" s="337"/>
      <c r="BL972" s="349"/>
      <c r="BM972" s="300"/>
      <c r="BN972" s="300"/>
      <c r="BO972" s="300"/>
      <c r="BP972" s="300"/>
      <c r="BQ972" s="300"/>
      <c r="BR972" s="300"/>
      <c r="BS972" s="300"/>
      <c r="BT972" s="300"/>
      <c r="BU972" s="300"/>
      <c r="BV972" s="300"/>
      <c r="BW972" s="300"/>
      <c r="BX972" s="300"/>
      <c r="BY972" s="300"/>
      <c r="BZ972" s="300"/>
      <c r="CA972" s="300"/>
      <c r="CB972" s="300"/>
    </row>
    <row r="973" spans="1:80" s="27" customFormat="1" x14ac:dyDescent="0.3">
      <c r="A973" s="173"/>
      <c r="D973" s="173"/>
      <c r="E973" s="173"/>
      <c r="F973" s="173"/>
      <c r="G973" s="173"/>
      <c r="H973" s="173"/>
      <c r="I973" s="173"/>
      <c r="J973" s="173"/>
      <c r="K973" s="173"/>
      <c r="L973" s="173"/>
      <c r="AM973" s="173"/>
      <c r="AN973" s="173"/>
      <c r="AZ973" s="337"/>
      <c r="BL973" s="349"/>
      <c r="BM973" s="300"/>
      <c r="BN973" s="300"/>
      <c r="BO973" s="300"/>
      <c r="BP973" s="300"/>
      <c r="BQ973" s="300"/>
      <c r="BR973" s="300"/>
      <c r="BS973" s="300"/>
      <c r="BT973" s="300"/>
      <c r="BU973" s="300"/>
      <c r="BV973" s="300"/>
      <c r="BW973" s="300"/>
      <c r="BX973" s="300"/>
      <c r="BY973" s="300"/>
      <c r="BZ973" s="300"/>
      <c r="CA973" s="300"/>
      <c r="CB973" s="300"/>
    </row>
    <row r="974" spans="1:80" s="27" customFormat="1" x14ac:dyDescent="0.3">
      <c r="A974" s="173"/>
      <c r="D974" s="173"/>
      <c r="E974" s="173"/>
      <c r="F974" s="173"/>
      <c r="G974" s="173"/>
      <c r="H974" s="173"/>
      <c r="I974" s="173"/>
      <c r="J974" s="173"/>
      <c r="K974" s="173"/>
      <c r="L974" s="173"/>
      <c r="AM974" s="173"/>
      <c r="AN974" s="173"/>
      <c r="AZ974" s="337"/>
      <c r="BL974" s="349"/>
      <c r="BM974" s="300"/>
      <c r="BN974" s="300"/>
      <c r="BO974" s="300"/>
      <c r="BP974" s="300"/>
      <c r="BQ974" s="300"/>
      <c r="BR974" s="300"/>
      <c r="BS974" s="300"/>
      <c r="BT974" s="300"/>
      <c r="BU974" s="300"/>
      <c r="BV974" s="300"/>
      <c r="BW974" s="300"/>
      <c r="BX974" s="300"/>
      <c r="BY974" s="300"/>
      <c r="BZ974" s="300"/>
      <c r="CA974" s="300"/>
      <c r="CB974" s="300"/>
    </row>
    <row r="975" spans="1:80" s="27" customFormat="1" x14ac:dyDescent="0.3">
      <c r="A975" s="173"/>
      <c r="D975" s="173"/>
      <c r="E975" s="173"/>
      <c r="F975" s="173"/>
      <c r="G975" s="173"/>
      <c r="H975" s="173"/>
      <c r="I975" s="173"/>
      <c r="J975" s="173"/>
      <c r="K975" s="173"/>
      <c r="L975" s="173"/>
      <c r="AM975" s="173"/>
      <c r="AN975" s="173"/>
      <c r="AZ975" s="337"/>
      <c r="BL975" s="349"/>
      <c r="BM975" s="300"/>
      <c r="BN975" s="300"/>
      <c r="BO975" s="300"/>
      <c r="BP975" s="300"/>
      <c r="BQ975" s="300"/>
      <c r="BR975" s="300"/>
      <c r="BS975" s="300"/>
      <c r="BT975" s="300"/>
      <c r="BU975" s="300"/>
      <c r="BV975" s="300"/>
      <c r="BW975" s="300"/>
      <c r="BX975" s="300"/>
      <c r="BY975" s="300"/>
      <c r="BZ975" s="300"/>
      <c r="CA975" s="300"/>
      <c r="CB975" s="300"/>
    </row>
    <row r="976" spans="1:80" s="27" customFormat="1" x14ac:dyDescent="0.3">
      <c r="A976" s="173"/>
      <c r="D976" s="173"/>
      <c r="E976" s="173"/>
      <c r="F976" s="173"/>
      <c r="G976" s="173"/>
      <c r="H976" s="173"/>
      <c r="I976" s="173"/>
      <c r="J976" s="173"/>
      <c r="K976" s="173"/>
      <c r="L976" s="173"/>
      <c r="AM976" s="173"/>
      <c r="AN976" s="173"/>
      <c r="AZ976" s="337"/>
      <c r="BL976" s="349"/>
      <c r="BM976" s="300"/>
      <c r="BN976" s="300"/>
      <c r="BO976" s="300"/>
      <c r="BP976" s="300"/>
      <c r="BQ976" s="300"/>
      <c r="BR976" s="300"/>
      <c r="BS976" s="300"/>
      <c r="BT976" s="300"/>
      <c r="BU976" s="300"/>
      <c r="BV976" s="300"/>
      <c r="BW976" s="300"/>
      <c r="BX976" s="300"/>
      <c r="BY976" s="300"/>
      <c r="BZ976" s="300"/>
      <c r="CA976" s="300"/>
      <c r="CB976" s="300"/>
    </row>
    <row r="977" spans="1:80" s="27" customFormat="1" x14ac:dyDescent="0.3">
      <c r="A977" s="173"/>
      <c r="D977" s="173"/>
      <c r="E977" s="173"/>
      <c r="F977" s="173"/>
      <c r="G977" s="173"/>
      <c r="H977" s="173"/>
      <c r="I977" s="173"/>
      <c r="J977" s="173"/>
      <c r="K977" s="173"/>
      <c r="L977" s="173"/>
      <c r="AM977" s="173"/>
      <c r="AN977" s="173"/>
      <c r="AZ977" s="337"/>
      <c r="BL977" s="349"/>
      <c r="BM977" s="300"/>
      <c r="BN977" s="300"/>
      <c r="BO977" s="300"/>
      <c r="BP977" s="300"/>
      <c r="BQ977" s="300"/>
      <c r="BR977" s="300"/>
      <c r="BS977" s="300"/>
      <c r="BT977" s="300"/>
      <c r="BU977" s="300"/>
      <c r="BV977" s="300"/>
      <c r="BW977" s="300"/>
      <c r="BX977" s="300"/>
      <c r="BY977" s="300"/>
      <c r="BZ977" s="300"/>
      <c r="CA977" s="300"/>
      <c r="CB977" s="300"/>
    </row>
    <row r="978" spans="1:80" s="27" customFormat="1" x14ac:dyDescent="0.3">
      <c r="A978" s="173"/>
      <c r="D978" s="173"/>
      <c r="E978" s="173"/>
      <c r="F978" s="173"/>
      <c r="G978" s="173"/>
      <c r="H978" s="173"/>
      <c r="I978" s="173"/>
      <c r="J978" s="173"/>
      <c r="K978" s="173"/>
      <c r="L978" s="173"/>
      <c r="AM978" s="173"/>
      <c r="AN978" s="173"/>
      <c r="AZ978" s="337"/>
      <c r="BL978" s="349"/>
      <c r="BM978" s="300"/>
      <c r="BN978" s="300"/>
      <c r="BO978" s="300"/>
      <c r="BP978" s="300"/>
      <c r="BQ978" s="300"/>
      <c r="BR978" s="300"/>
      <c r="BS978" s="300"/>
      <c r="BT978" s="300"/>
      <c r="BU978" s="300"/>
      <c r="BV978" s="300"/>
      <c r="BW978" s="300"/>
      <c r="BX978" s="300"/>
      <c r="BY978" s="300"/>
      <c r="BZ978" s="300"/>
      <c r="CA978" s="300"/>
      <c r="CB978" s="300"/>
    </row>
    <row r="979" spans="1:80" s="27" customFormat="1" x14ac:dyDescent="0.3">
      <c r="A979" s="173"/>
      <c r="D979" s="173"/>
      <c r="E979" s="173"/>
      <c r="F979" s="173"/>
      <c r="G979" s="173"/>
      <c r="H979" s="173"/>
      <c r="I979" s="173"/>
      <c r="J979" s="173"/>
      <c r="K979" s="173"/>
      <c r="L979" s="173"/>
      <c r="AM979" s="173"/>
      <c r="AN979" s="173"/>
      <c r="AZ979" s="337"/>
      <c r="BL979" s="349"/>
      <c r="BM979" s="300"/>
      <c r="BN979" s="300"/>
      <c r="BO979" s="300"/>
      <c r="BP979" s="300"/>
      <c r="BQ979" s="300"/>
      <c r="BR979" s="300"/>
      <c r="BS979" s="300"/>
      <c r="BT979" s="300"/>
      <c r="BU979" s="300"/>
      <c r="BV979" s="300"/>
      <c r="BW979" s="300"/>
      <c r="BX979" s="300"/>
      <c r="BY979" s="300"/>
      <c r="BZ979" s="300"/>
      <c r="CA979" s="300"/>
      <c r="CB979" s="300"/>
    </row>
    <row r="980" spans="1:80" s="27" customFormat="1" x14ac:dyDescent="0.3">
      <c r="A980" s="173"/>
      <c r="D980" s="173"/>
      <c r="E980" s="173"/>
      <c r="F980" s="173"/>
      <c r="G980" s="173"/>
      <c r="H980" s="173"/>
      <c r="I980" s="173"/>
      <c r="J980" s="173"/>
      <c r="K980" s="173"/>
      <c r="L980" s="173"/>
      <c r="AM980" s="173"/>
      <c r="AN980" s="173"/>
      <c r="AZ980" s="337"/>
      <c r="BL980" s="349"/>
      <c r="BM980" s="300"/>
      <c r="BN980" s="300"/>
      <c r="BO980" s="300"/>
      <c r="BP980" s="300"/>
      <c r="BQ980" s="300"/>
      <c r="BR980" s="300"/>
      <c r="BS980" s="300"/>
      <c r="BT980" s="300"/>
      <c r="BU980" s="300"/>
      <c r="BV980" s="300"/>
      <c r="BW980" s="300"/>
      <c r="BX980" s="300"/>
      <c r="BY980" s="300"/>
      <c r="BZ980" s="300"/>
      <c r="CA980" s="300"/>
      <c r="CB980" s="300"/>
    </row>
    <row r="981" spans="1:80" s="27" customFormat="1" x14ac:dyDescent="0.3">
      <c r="A981" s="173"/>
      <c r="D981" s="173"/>
      <c r="E981" s="173"/>
      <c r="F981" s="173"/>
      <c r="G981" s="173"/>
      <c r="H981" s="173"/>
      <c r="I981" s="173"/>
      <c r="J981" s="173"/>
      <c r="K981" s="173"/>
      <c r="L981" s="173"/>
      <c r="AM981" s="173"/>
      <c r="AN981" s="173"/>
      <c r="AZ981" s="337"/>
      <c r="BL981" s="349"/>
      <c r="BM981" s="300"/>
      <c r="BN981" s="300"/>
      <c r="BO981" s="300"/>
      <c r="BP981" s="300"/>
      <c r="BQ981" s="300"/>
      <c r="BR981" s="300"/>
      <c r="BS981" s="300"/>
      <c r="BT981" s="300"/>
      <c r="BU981" s="300"/>
      <c r="BV981" s="300"/>
      <c r="BW981" s="300"/>
      <c r="BX981" s="300"/>
      <c r="BY981" s="300"/>
      <c r="BZ981" s="300"/>
      <c r="CA981" s="300"/>
      <c r="CB981" s="300"/>
    </row>
    <row r="982" spans="1:80" s="27" customFormat="1" x14ac:dyDescent="0.3">
      <c r="A982" s="173"/>
      <c r="D982" s="173"/>
      <c r="E982" s="173"/>
      <c r="F982" s="173"/>
      <c r="G982" s="173"/>
      <c r="H982" s="173"/>
      <c r="I982" s="173"/>
      <c r="J982" s="173"/>
      <c r="K982" s="173"/>
      <c r="L982" s="173"/>
      <c r="AM982" s="173"/>
      <c r="AN982" s="173"/>
      <c r="AZ982" s="337"/>
      <c r="BL982" s="349"/>
      <c r="BM982" s="300"/>
      <c r="BN982" s="300"/>
      <c r="BO982" s="300"/>
      <c r="BP982" s="300"/>
      <c r="BQ982" s="300"/>
      <c r="BR982" s="300"/>
      <c r="BS982" s="300"/>
      <c r="BT982" s="300"/>
      <c r="BU982" s="300"/>
      <c r="BV982" s="300"/>
      <c r="BW982" s="300"/>
      <c r="BX982" s="300"/>
      <c r="BY982" s="300"/>
      <c r="BZ982" s="300"/>
      <c r="CA982" s="300"/>
      <c r="CB982" s="300"/>
    </row>
    <row r="983" spans="1:80" s="27" customFormat="1" x14ac:dyDescent="0.3">
      <c r="A983" s="173"/>
      <c r="D983" s="173"/>
      <c r="E983" s="173"/>
      <c r="F983" s="173"/>
      <c r="G983" s="173"/>
      <c r="H983" s="173"/>
      <c r="I983" s="173"/>
      <c r="J983" s="173"/>
      <c r="K983" s="173"/>
      <c r="L983" s="173"/>
      <c r="AM983" s="173"/>
      <c r="AN983" s="173"/>
      <c r="AZ983" s="337"/>
      <c r="BL983" s="349"/>
      <c r="BM983" s="300"/>
      <c r="BN983" s="300"/>
      <c r="BO983" s="300"/>
      <c r="BP983" s="300"/>
      <c r="BQ983" s="300"/>
      <c r="BR983" s="300"/>
      <c r="BS983" s="300"/>
      <c r="BT983" s="300"/>
      <c r="BU983" s="300"/>
      <c r="BV983" s="300"/>
      <c r="BW983" s="300"/>
      <c r="BX983" s="300"/>
      <c r="BY983" s="300"/>
      <c r="BZ983" s="300"/>
      <c r="CA983" s="300"/>
      <c r="CB983" s="300"/>
    </row>
    <row r="984" spans="1:80" s="27" customFormat="1" x14ac:dyDescent="0.3">
      <c r="A984" s="173"/>
      <c r="D984" s="173"/>
      <c r="E984" s="173"/>
      <c r="F984" s="173"/>
      <c r="G984" s="173"/>
      <c r="H984" s="173"/>
      <c r="I984" s="173"/>
      <c r="J984" s="173"/>
      <c r="K984" s="173"/>
      <c r="L984" s="173"/>
      <c r="AM984" s="173"/>
      <c r="AN984" s="173"/>
      <c r="AZ984" s="337"/>
      <c r="BL984" s="349"/>
      <c r="BM984" s="300"/>
      <c r="BN984" s="300"/>
      <c r="BO984" s="300"/>
      <c r="BP984" s="300"/>
      <c r="BQ984" s="300"/>
      <c r="BR984" s="300"/>
      <c r="BS984" s="300"/>
      <c r="BT984" s="300"/>
      <c r="BU984" s="300"/>
      <c r="BV984" s="300"/>
      <c r="BW984" s="300"/>
      <c r="BX984" s="300"/>
      <c r="BY984" s="300"/>
      <c r="BZ984" s="300"/>
      <c r="CA984" s="300"/>
      <c r="CB984" s="300"/>
    </row>
    <row r="985" spans="1:80" s="27" customFormat="1" x14ac:dyDescent="0.3">
      <c r="A985" s="173"/>
      <c r="D985" s="173"/>
      <c r="E985" s="173"/>
      <c r="F985" s="173"/>
      <c r="G985" s="173"/>
      <c r="H985" s="173"/>
      <c r="I985" s="173"/>
      <c r="J985" s="173"/>
      <c r="K985" s="173"/>
      <c r="L985" s="173"/>
      <c r="AM985" s="173"/>
      <c r="AN985" s="173"/>
      <c r="AZ985" s="337"/>
      <c r="BL985" s="349"/>
      <c r="BM985" s="300"/>
      <c r="BN985" s="300"/>
      <c r="BO985" s="300"/>
      <c r="BP985" s="300"/>
      <c r="BQ985" s="300"/>
      <c r="BR985" s="300"/>
      <c r="BS985" s="300"/>
      <c r="BT985" s="300"/>
      <c r="BU985" s="300"/>
      <c r="BV985" s="300"/>
      <c r="BW985" s="300"/>
      <c r="BX985" s="300"/>
      <c r="BY985" s="300"/>
      <c r="BZ985" s="300"/>
      <c r="CA985" s="300"/>
      <c r="CB985" s="300"/>
    </row>
    <row r="986" spans="1:80" s="27" customFormat="1" x14ac:dyDescent="0.3">
      <c r="A986" s="173"/>
      <c r="D986" s="173"/>
      <c r="E986" s="173"/>
      <c r="F986" s="173"/>
      <c r="G986" s="173"/>
      <c r="H986" s="173"/>
      <c r="I986" s="173"/>
      <c r="J986" s="173"/>
      <c r="K986" s="173"/>
      <c r="L986" s="173"/>
      <c r="AM986" s="173"/>
      <c r="AN986" s="173"/>
      <c r="AZ986" s="337"/>
      <c r="BL986" s="349"/>
      <c r="BM986" s="300"/>
      <c r="BN986" s="300"/>
      <c r="BO986" s="300"/>
      <c r="BP986" s="300"/>
      <c r="BQ986" s="300"/>
      <c r="BR986" s="300"/>
      <c r="BS986" s="300"/>
      <c r="BT986" s="300"/>
      <c r="BU986" s="300"/>
      <c r="BV986" s="300"/>
      <c r="BW986" s="300"/>
      <c r="BX986" s="300"/>
      <c r="BY986" s="300"/>
      <c r="BZ986" s="300"/>
      <c r="CA986" s="300"/>
      <c r="CB986" s="300"/>
    </row>
    <row r="987" spans="1:80" s="27" customFormat="1" x14ac:dyDescent="0.3">
      <c r="A987" s="173"/>
      <c r="D987" s="173"/>
      <c r="E987" s="173"/>
      <c r="F987" s="173"/>
      <c r="G987" s="173"/>
      <c r="H987" s="173"/>
      <c r="I987" s="173"/>
      <c r="J987" s="173"/>
      <c r="K987" s="173"/>
      <c r="L987" s="173"/>
      <c r="AM987" s="173"/>
      <c r="AN987" s="173"/>
      <c r="AZ987" s="337"/>
      <c r="BL987" s="349"/>
      <c r="BM987" s="300"/>
      <c r="BN987" s="300"/>
      <c r="BO987" s="300"/>
      <c r="BP987" s="300"/>
      <c r="BQ987" s="300"/>
      <c r="BR987" s="300"/>
      <c r="BS987" s="300"/>
      <c r="BT987" s="300"/>
      <c r="BU987" s="300"/>
      <c r="BV987" s="300"/>
      <c r="BW987" s="300"/>
      <c r="BX987" s="300"/>
      <c r="BY987" s="300"/>
      <c r="BZ987" s="300"/>
      <c r="CA987" s="300"/>
      <c r="CB987" s="300"/>
    </row>
    <row r="988" spans="1:80" s="27" customFormat="1" x14ac:dyDescent="0.3">
      <c r="A988" s="173"/>
      <c r="D988" s="173"/>
      <c r="E988" s="173"/>
      <c r="F988" s="173"/>
      <c r="G988" s="173"/>
      <c r="H988" s="173"/>
      <c r="I988" s="173"/>
      <c r="J988" s="173"/>
      <c r="K988" s="173"/>
      <c r="L988" s="173"/>
      <c r="AM988" s="173"/>
      <c r="AN988" s="173"/>
      <c r="AZ988" s="337"/>
      <c r="BL988" s="349"/>
      <c r="BM988" s="300"/>
      <c r="BN988" s="300"/>
      <c r="BO988" s="300"/>
      <c r="BP988" s="300"/>
      <c r="BQ988" s="300"/>
      <c r="BR988" s="300"/>
      <c r="BS988" s="300"/>
      <c r="BT988" s="300"/>
      <c r="BU988" s="300"/>
      <c r="BV988" s="300"/>
      <c r="BW988" s="300"/>
      <c r="BX988" s="300"/>
      <c r="BY988" s="300"/>
      <c r="BZ988" s="300"/>
      <c r="CA988" s="300"/>
      <c r="CB988" s="300"/>
    </row>
    <row r="989" spans="1:80" s="27" customFormat="1" x14ac:dyDescent="0.3">
      <c r="A989" s="173"/>
      <c r="D989" s="173"/>
      <c r="E989" s="173"/>
      <c r="F989" s="173"/>
      <c r="G989" s="173"/>
      <c r="H989" s="173"/>
      <c r="I989" s="173"/>
      <c r="J989" s="173"/>
      <c r="K989" s="173"/>
      <c r="L989" s="173"/>
      <c r="AM989" s="173"/>
      <c r="AN989" s="173"/>
      <c r="AZ989" s="337"/>
      <c r="BL989" s="349"/>
      <c r="BM989" s="300"/>
      <c r="BN989" s="300"/>
      <c r="BO989" s="300"/>
      <c r="BP989" s="300"/>
      <c r="BQ989" s="300"/>
      <c r="BR989" s="300"/>
      <c r="BS989" s="300"/>
      <c r="BT989" s="300"/>
      <c r="BU989" s="300"/>
      <c r="BV989" s="300"/>
      <c r="BW989" s="300"/>
      <c r="BX989" s="300"/>
      <c r="BY989" s="300"/>
      <c r="BZ989" s="300"/>
      <c r="CA989" s="300"/>
      <c r="CB989" s="300"/>
    </row>
    <row r="990" spans="1:80" s="27" customFormat="1" x14ac:dyDescent="0.3">
      <c r="A990" s="173"/>
      <c r="D990" s="173"/>
      <c r="E990" s="173"/>
      <c r="F990" s="173"/>
      <c r="G990" s="173"/>
      <c r="H990" s="173"/>
      <c r="I990" s="173"/>
      <c r="J990" s="173"/>
      <c r="K990" s="173"/>
      <c r="L990" s="173"/>
      <c r="AM990" s="173"/>
      <c r="AN990" s="173"/>
      <c r="AZ990" s="337"/>
      <c r="BL990" s="349"/>
      <c r="BM990" s="300"/>
      <c r="BN990" s="300"/>
      <c r="BO990" s="300"/>
      <c r="BP990" s="300"/>
      <c r="BQ990" s="300"/>
      <c r="BR990" s="300"/>
      <c r="BS990" s="300"/>
      <c r="BT990" s="300"/>
      <c r="BU990" s="300"/>
      <c r="BV990" s="300"/>
      <c r="BW990" s="300"/>
      <c r="BX990" s="300"/>
      <c r="BY990" s="300"/>
      <c r="BZ990" s="300"/>
      <c r="CA990" s="300"/>
      <c r="CB990" s="300"/>
    </row>
    <row r="991" spans="1:80" s="27" customFormat="1" x14ac:dyDescent="0.3">
      <c r="A991" s="173"/>
      <c r="D991" s="173"/>
      <c r="E991" s="173"/>
      <c r="F991" s="173"/>
      <c r="G991" s="173"/>
      <c r="H991" s="173"/>
      <c r="I991" s="173"/>
      <c r="J991" s="173"/>
      <c r="K991" s="173"/>
      <c r="L991" s="173"/>
      <c r="AM991" s="173"/>
      <c r="AN991" s="173"/>
      <c r="AZ991" s="337"/>
      <c r="BL991" s="349"/>
      <c r="BM991" s="300"/>
      <c r="BN991" s="300"/>
      <c r="BO991" s="300"/>
      <c r="BP991" s="300"/>
      <c r="BQ991" s="300"/>
      <c r="BR991" s="300"/>
      <c r="BS991" s="300"/>
      <c r="BT991" s="300"/>
      <c r="BU991" s="300"/>
      <c r="BV991" s="300"/>
      <c r="BW991" s="300"/>
      <c r="BX991" s="300"/>
      <c r="BY991" s="300"/>
      <c r="BZ991" s="300"/>
      <c r="CA991" s="300"/>
      <c r="CB991" s="300"/>
    </row>
    <row r="992" spans="1:80" s="27" customFormat="1" x14ac:dyDescent="0.3">
      <c r="A992" s="173"/>
      <c r="D992" s="173"/>
      <c r="E992" s="173"/>
      <c r="F992" s="173"/>
      <c r="G992" s="173"/>
      <c r="H992" s="173"/>
      <c r="I992" s="173"/>
      <c r="J992" s="173"/>
      <c r="K992" s="173"/>
      <c r="L992" s="173"/>
      <c r="AM992" s="173"/>
      <c r="AN992" s="173"/>
      <c r="AZ992" s="337"/>
      <c r="BL992" s="349"/>
      <c r="BM992" s="300"/>
      <c r="BN992" s="300"/>
      <c r="BO992" s="300"/>
      <c r="BP992" s="300"/>
      <c r="BQ992" s="300"/>
      <c r="BR992" s="300"/>
      <c r="BS992" s="300"/>
      <c r="BT992" s="300"/>
      <c r="BU992" s="300"/>
      <c r="BV992" s="300"/>
      <c r="BW992" s="300"/>
      <c r="BX992" s="300"/>
      <c r="BY992" s="300"/>
      <c r="BZ992" s="300"/>
      <c r="CA992" s="300"/>
      <c r="CB992" s="300"/>
    </row>
    <row r="993" spans="1:80" s="27" customFormat="1" x14ac:dyDescent="0.3">
      <c r="A993" s="173"/>
      <c r="D993" s="173"/>
      <c r="E993" s="173"/>
      <c r="F993" s="173"/>
      <c r="G993" s="173"/>
      <c r="H993" s="173"/>
      <c r="I993" s="173"/>
      <c r="J993" s="173"/>
      <c r="K993" s="173"/>
      <c r="L993" s="173"/>
      <c r="AM993" s="173"/>
      <c r="AN993" s="173"/>
      <c r="AZ993" s="337"/>
      <c r="BL993" s="349"/>
      <c r="BM993" s="300"/>
      <c r="BN993" s="300"/>
      <c r="BO993" s="300"/>
      <c r="BP993" s="300"/>
      <c r="BQ993" s="300"/>
      <c r="BR993" s="300"/>
      <c r="BS993" s="300"/>
      <c r="BT993" s="300"/>
      <c r="BU993" s="300"/>
      <c r="BV993" s="300"/>
      <c r="BW993" s="300"/>
      <c r="BX993" s="300"/>
      <c r="BY993" s="300"/>
      <c r="BZ993" s="300"/>
      <c r="CA993" s="300"/>
      <c r="CB993" s="300"/>
    </row>
    <row r="994" spans="1:80" s="27" customFormat="1" x14ac:dyDescent="0.3">
      <c r="A994" s="173"/>
      <c r="D994" s="173"/>
      <c r="E994" s="173"/>
      <c r="F994" s="173"/>
      <c r="G994" s="173"/>
      <c r="H994" s="173"/>
      <c r="I994" s="173"/>
      <c r="J994" s="173"/>
      <c r="K994" s="173"/>
      <c r="L994" s="173"/>
      <c r="AM994" s="173"/>
      <c r="AN994" s="173"/>
      <c r="AZ994" s="337"/>
      <c r="BL994" s="349"/>
      <c r="BM994" s="300"/>
      <c r="BN994" s="300"/>
      <c r="BO994" s="300"/>
      <c r="BP994" s="300"/>
      <c r="BQ994" s="300"/>
      <c r="BR994" s="300"/>
      <c r="BS994" s="300"/>
      <c r="BT994" s="300"/>
      <c r="BU994" s="300"/>
      <c r="BV994" s="300"/>
      <c r="BW994" s="300"/>
      <c r="BX994" s="300"/>
      <c r="BY994" s="300"/>
      <c r="BZ994" s="300"/>
      <c r="CA994" s="300"/>
      <c r="CB994" s="300"/>
    </row>
    <row r="995" spans="1:80" s="27" customFormat="1" x14ac:dyDescent="0.3">
      <c r="A995" s="173"/>
      <c r="D995" s="173"/>
      <c r="E995" s="173"/>
      <c r="F995" s="173"/>
      <c r="G995" s="173"/>
      <c r="H995" s="173"/>
      <c r="I995" s="173"/>
      <c r="J995" s="173"/>
      <c r="K995" s="173"/>
      <c r="L995" s="173"/>
      <c r="AM995" s="173"/>
      <c r="AN995" s="173"/>
      <c r="AZ995" s="337"/>
      <c r="BL995" s="349"/>
      <c r="BM995" s="300"/>
      <c r="BN995" s="300"/>
      <c r="BO995" s="300"/>
      <c r="BP995" s="300"/>
      <c r="BQ995" s="300"/>
      <c r="BR995" s="300"/>
      <c r="BS995" s="300"/>
      <c r="BT995" s="300"/>
      <c r="BU995" s="300"/>
      <c r="BV995" s="300"/>
      <c r="BW995" s="300"/>
      <c r="BX995" s="300"/>
      <c r="BY995" s="300"/>
      <c r="BZ995" s="300"/>
      <c r="CA995" s="300"/>
      <c r="CB995" s="300"/>
    </row>
    <row r="996" spans="1:80" s="27" customFormat="1" x14ac:dyDescent="0.3">
      <c r="A996" s="173"/>
      <c r="D996" s="173"/>
      <c r="E996" s="173"/>
      <c r="F996" s="173"/>
      <c r="G996" s="173"/>
      <c r="H996" s="173"/>
      <c r="I996" s="173"/>
      <c r="J996" s="173"/>
      <c r="K996" s="173"/>
      <c r="L996" s="173"/>
      <c r="AM996" s="173"/>
      <c r="AN996" s="173"/>
      <c r="AZ996" s="337"/>
      <c r="BL996" s="349"/>
      <c r="BM996" s="300"/>
      <c r="BN996" s="300"/>
      <c r="BO996" s="300"/>
      <c r="BP996" s="300"/>
      <c r="BQ996" s="300"/>
      <c r="BR996" s="300"/>
      <c r="BS996" s="300"/>
      <c r="BT996" s="300"/>
      <c r="BU996" s="300"/>
      <c r="BV996" s="300"/>
      <c r="BW996" s="300"/>
      <c r="BX996" s="300"/>
      <c r="BY996" s="300"/>
      <c r="BZ996" s="300"/>
      <c r="CA996" s="300"/>
      <c r="CB996" s="300"/>
    </row>
    <row r="997" spans="1:80" s="27" customFormat="1" x14ac:dyDescent="0.3">
      <c r="A997" s="173"/>
      <c r="D997" s="173"/>
      <c r="E997" s="173"/>
      <c r="F997" s="173"/>
      <c r="G997" s="173"/>
      <c r="H997" s="173"/>
      <c r="I997" s="173"/>
      <c r="J997" s="173"/>
      <c r="K997" s="173"/>
      <c r="L997" s="173"/>
      <c r="AM997" s="173"/>
      <c r="AN997" s="173"/>
      <c r="AZ997" s="337"/>
      <c r="BL997" s="349"/>
      <c r="BM997" s="300"/>
      <c r="BN997" s="300"/>
      <c r="BO997" s="300"/>
      <c r="BP997" s="300"/>
      <c r="BQ997" s="300"/>
      <c r="BR997" s="300"/>
      <c r="BS997" s="300"/>
      <c r="BT997" s="300"/>
      <c r="BU997" s="300"/>
      <c r="BV997" s="300"/>
      <c r="BW997" s="300"/>
      <c r="BX997" s="300"/>
      <c r="BY997" s="300"/>
      <c r="BZ997" s="300"/>
      <c r="CA997" s="300"/>
      <c r="CB997" s="300"/>
    </row>
    <row r="998" spans="1:80" s="27" customFormat="1" x14ac:dyDescent="0.3">
      <c r="A998" s="173"/>
      <c r="D998" s="173"/>
      <c r="E998" s="173"/>
      <c r="F998" s="173"/>
      <c r="G998" s="173"/>
      <c r="H998" s="173"/>
      <c r="I998" s="173"/>
      <c r="J998" s="173"/>
      <c r="K998" s="173"/>
      <c r="L998" s="173"/>
      <c r="AM998" s="173"/>
      <c r="AN998" s="173"/>
      <c r="AZ998" s="337"/>
      <c r="BL998" s="349"/>
      <c r="BM998" s="300"/>
      <c r="BN998" s="300"/>
      <c r="BO998" s="300"/>
      <c r="BP998" s="300"/>
      <c r="BQ998" s="300"/>
      <c r="BR998" s="300"/>
      <c r="BS998" s="300"/>
      <c r="BT998" s="300"/>
      <c r="BU998" s="300"/>
      <c r="BV998" s="300"/>
      <c r="BW998" s="300"/>
      <c r="BX998" s="300"/>
      <c r="BY998" s="300"/>
      <c r="BZ998" s="300"/>
      <c r="CA998" s="300"/>
      <c r="CB998" s="300"/>
    </row>
    <row r="999" spans="1:80" s="27" customFormat="1" x14ac:dyDescent="0.3">
      <c r="A999" s="173"/>
      <c r="D999" s="173"/>
      <c r="E999" s="173"/>
      <c r="F999" s="173"/>
      <c r="G999" s="173"/>
      <c r="H999" s="173"/>
      <c r="I999" s="173"/>
      <c r="J999" s="173"/>
      <c r="K999" s="173"/>
      <c r="L999" s="173"/>
      <c r="AM999" s="173"/>
      <c r="AN999" s="173"/>
      <c r="AZ999" s="337"/>
      <c r="BL999" s="349"/>
      <c r="BM999" s="300"/>
      <c r="BN999" s="300"/>
      <c r="BO999" s="300"/>
      <c r="BP999" s="300"/>
      <c r="BQ999" s="300"/>
      <c r="BR999" s="300"/>
      <c r="BS999" s="300"/>
      <c r="BT999" s="300"/>
      <c r="BU999" s="300"/>
      <c r="BV999" s="300"/>
      <c r="BW999" s="300"/>
      <c r="BX999" s="300"/>
      <c r="BY999" s="300"/>
      <c r="BZ999" s="300"/>
      <c r="CA999" s="300"/>
      <c r="CB999" s="300"/>
    </row>
    <row r="1000" spans="1:80" s="27" customFormat="1" x14ac:dyDescent="0.3">
      <c r="A1000" s="173"/>
      <c r="D1000" s="173"/>
      <c r="E1000" s="173"/>
      <c r="F1000" s="173"/>
      <c r="G1000" s="173"/>
      <c r="H1000" s="173"/>
      <c r="I1000" s="173"/>
      <c r="J1000" s="173"/>
      <c r="K1000" s="173"/>
      <c r="L1000" s="173"/>
      <c r="AM1000" s="173"/>
      <c r="AN1000" s="173"/>
      <c r="AZ1000" s="337"/>
      <c r="BL1000" s="349"/>
      <c r="BM1000" s="300"/>
      <c r="BN1000" s="300"/>
      <c r="BO1000" s="300"/>
      <c r="BP1000" s="300"/>
      <c r="BQ1000" s="300"/>
      <c r="BR1000" s="300"/>
      <c r="BS1000" s="300"/>
      <c r="BT1000" s="300"/>
      <c r="BU1000" s="300"/>
      <c r="BV1000" s="300"/>
      <c r="BW1000" s="300"/>
      <c r="BX1000" s="300"/>
      <c r="BY1000" s="300"/>
      <c r="BZ1000" s="300"/>
      <c r="CA1000" s="300"/>
      <c r="CB1000" s="300"/>
    </row>
    <row r="1001" spans="1:80" s="27" customFormat="1" x14ac:dyDescent="0.3">
      <c r="A1001" s="173"/>
      <c r="D1001" s="173"/>
      <c r="E1001" s="173"/>
      <c r="F1001" s="173"/>
      <c r="G1001" s="173"/>
      <c r="H1001" s="173"/>
      <c r="I1001" s="173"/>
      <c r="J1001" s="173"/>
      <c r="K1001" s="173"/>
      <c r="L1001" s="173"/>
      <c r="AM1001" s="173"/>
      <c r="AN1001" s="173"/>
      <c r="AZ1001" s="337"/>
      <c r="BL1001" s="349"/>
      <c r="BM1001" s="300"/>
      <c r="BN1001" s="300"/>
      <c r="BO1001" s="300"/>
      <c r="BP1001" s="300"/>
      <c r="BQ1001" s="300"/>
      <c r="BR1001" s="300"/>
      <c r="BS1001" s="300"/>
      <c r="BT1001" s="300"/>
      <c r="BU1001" s="300"/>
      <c r="BV1001" s="300"/>
      <c r="BW1001" s="300"/>
      <c r="BX1001" s="300"/>
      <c r="BY1001" s="300"/>
      <c r="BZ1001" s="300"/>
      <c r="CA1001" s="300"/>
      <c r="CB1001" s="300"/>
    </row>
    <row r="1002" spans="1:80" s="27" customFormat="1" x14ac:dyDescent="0.3">
      <c r="A1002" s="173"/>
      <c r="D1002" s="173"/>
      <c r="E1002" s="173"/>
      <c r="F1002" s="173"/>
      <c r="G1002" s="173"/>
      <c r="H1002" s="173"/>
      <c r="I1002" s="173"/>
      <c r="J1002" s="173"/>
      <c r="K1002" s="173"/>
      <c r="L1002" s="173"/>
      <c r="AM1002" s="173"/>
      <c r="AN1002" s="173"/>
      <c r="AZ1002" s="337"/>
      <c r="BL1002" s="349"/>
      <c r="BM1002" s="300"/>
      <c r="BN1002" s="300"/>
      <c r="BO1002" s="300"/>
      <c r="BP1002" s="300"/>
      <c r="BQ1002" s="300"/>
      <c r="BR1002" s="300"/>
      <c r="BS1002" s="300"/>
      <c r="BT1002" s="300"/>
      <c r="BU1002" s="300"/>
      <c r="BV1002" s="300"/>
      <c r="BW1002" s="300"/>
      <c r="BX1002" s="300"/>
      <c r="BY1002" s="300"/>
      <c r="BZ1002" s="300"/>
      <c r="CA1002" s="300"/>
      <c r="CB1002" s="300"/>
    </row>
    <row r="1003" spans="1:80" s="27" customFormat="1" x14ac:dyDescent="0.3">
      <c r="A1003" s="173"/>
      <c r="D1003" s="173"/>
      <c r="E1003" s="173"/>
      <c r="F1003" s="173"/>
      <c r="G1003" s="173"/>
      <c r="H1003" s="173"/>
      <c r="I1003" s="173"/>
      <c r="J1003" s="173"/>
      <c r="K1003" s="173"/>
      <c r="L1003" s="173"/>
      <c r="AM1003" s="173"/>
      <c r="AN1003" s="173"/>
      <c r="AZ1003" s="337"/>
      <c r="BL1003" s="349"/>
      <c r="BM1003" s="300"/>
      <c r="BN1003" s="300"/>
      <c r="BO1003" s="300"/>
      <c r="BP1003" s="300"/>
      <c r="BQ1003" s="300"/>
      <c r="BR1003" s="300"/>
      <c r="BS1003" s="300"/>
      <c r="BT1003" s="300"/>
      <c r="BU1003" s="300"/>
      <c r="BV1003" s="300"/>
      <c r="BW1003" s="300"/>
      <c r="BX1003" s="300"/>
      <c r="BY1003" s="300"/>
      <c r="BZ1003" s="300"/>
      <c r="CA1003" s="300"/>
      <c r="CB1003" s="300"/>
    </row>
    <row r="1004" spans="1:80" s="27" customFormat="1" x14ac:dyDescent="0.3">
      <c r="A1004" s="173"/>
      <c r="D1004" s="173"/>
      <c r="E1004" s="173"/>
      <c r="F1004" s="173"/>
      <c r="G1004" s="173"/>
      <c r="H1004" s="173"/>
      <c r="I1004" s="173"/>
      <c r="J1004" s="173"/>
      <c r="K1004" s="173"/>
      <c r="L1004" s="173"/>
      <c r="AM1004" s="173"/>
      <c r="AN1004" s="173"/>
      <c r="AZ1004" s="337"/>
      <c r="BL1004" s="349"/>
      <c r="BM1004" s="300"/>
      <c r="BN1004" s="300"/>
      <c r="BO1004" s="300"/>
      <c r="BP1004" s="300"/>
      <c r="BQ1004" s="300"/>
      <c r="BR1004" s="300"/>
      <c r="BS1004" s="300"/>
      <c r="BT1004" s="300"/>
      <c r="BU1004" s="300"/>
      <c r="BV1004" s="300"/>
      <c r="BW1004" s="300"/>
      <c r="BX1004" s="300"/>
      <c r="BY1004" s="300"/>
      <c r="BZ1004" s="300"/>
      <c r="CA1004" s="300"/>
      <c r="CB1004" s="300"/>
    </row>
    <row r="1005" spans="1:80" s="27" customFormat="1" x14ac:dyDescent="0.3">
      <c r="A1005" s="173"/>
      <c r="D1005" s="173"/>
      <c r="E1005" s="173"/>
      <c r="F1005" s="173"/>
      <c r="G1005" s="173"/>
      <c r="H1005" s="173"/>
      <c r="I1005" s="173"/>
      <c r="J1005" s="173"/>
      <c r="K1005" s="173"/>
      <c r="L1005" s="173"/>
      <c r="AM1005" s="173"/>
      <c r="AN1005" s="173"/>
      <c r="AZ1005" s="337"/>
      <c r="BL1005" s="349"/>
      <c r="BM1005" s="300"/>
      <c r="BN1005" s="300"/>
      <c r="BO1005" s="300"/>
      <c r="BP1005" s="300"/>
      <c r="BQ1005" s="300"/>
      <c r="BR1005" s="300"/>
      <c r="BS1005" s="300"/>
      <c r="BT1005" s="300"/>
      <c r="BU1005" s="300"/>
      <c r="BV1005" s="300"/>
      <c r="BW1005" s="300"/>
      <c r="BX1005" s="300"/>
      <c r="BY1005" s="300"/>
      <c r="BZ1005" s="300"/>
      <c r="CA1005" s="300"/>
      <c r="CB1005" s="300"/>
    </row>
    <row r="1006" spans="1:80" s="27" customFormat="1" x14ac:dyDescent="0.3">
      <c r="A1006" s="173"/>
      <c r="D1006" s="173"/>
      <c r="E1006" s="173"/>
      <c r="F1006" s="173"/>
      <c r="G1006" s="173"/>
      <c r="H1006" s="173"/>
      <c r="I1006" s="173"/>
      <c r="J1006" s="173"/>
      <c r="K1006" s="173"/>
      <c r="L1006" s="173"/>
      <c r="AM1006" s="173"/>
      <c r="AN1006" s="173"/>
      <c r="AZ1006" s="337"/>
      <c r="BL1006" s="349"/>
      <c r="BM1006" s="300"/>
      <c r="BN1006" s="300"/>
      <c r="BO1006" s="300"/>
      <c r="BP1006" s="300"/>
      <c r="BQ1006" s="300"/>
      <c r="BR1006" s="300"/>
      <c r="BS1006" s="300"/>
      <c r="BT1006" s="300"/>
      <c r="BU1006" s="300"/>
      <c r="BV1006" s="300"/>
      <c r="BW1006" s="300"/>
      <c r="BX1006" s="300"/>
      <c r="BY1006" s="300"/>
      <c r="BZ1006" s="300"/>
      <c r="CA1006" s="300"/>
      <c r="CB1006" s="300"/>
    </row>
    <row r="1007" spans="1:80" s="27" customFormat="1" x14ac:dyDescent="0.3">
      <c r="A1007" s="173"/>
      <c r="D1007" s="173"/>
      <c r="E1007" s="173"/>
      <c r="F1007" s="173"/>
      <c r="G1007" s="173"/>
      <c r="H1007" s="173"/>
      <c r="I1007" s="173"/>
      <c r="J1007" s="173"/>
      <c r="K1007" s="173"/>
      <c r="L1007" s="173"/>
      <c r="AM1007" s="173"/>
      <c r="AN1007" s="173"/>
      <c r="AZ1007" s="337"/>
      <c r="BL1007" s="349"/>
      <c r="BM1007" s="300"/>
      <c r="BN1007" s="300"/>
      <c r="BO1007" s="300"/>
      <c r="BP1007" s="300"/>
      <c r="BQ1007" s="300"/>
      <c r="BR1007" s="300"/>
      <c r="BS1007" s="300"/>
      <c r="BT1007" s="300"/>
      <c r="BU1007" s="300"/>
      <c r="BV1007" s="300"/>
      <c r="BW1007" s="300"/>
      <c r="BX1007" s="300"/>
      <c r="BY1007" s="300"/>
      <c r="BZ1007" s="300"/>
      <c r="CA1007" s="300"/>
      <c r="CB1007" s="300"/>
    </row>
    <row r="1008" spans="1:80" s="27" customFormat="1" x14ac:dyDescent="0.3">
      <c r="A1008" s="173"/>
      <c r="D1008" s="173"/>
      <c r="E1008" s="173"/>
      <c r="F1008" s="173"/>
      <c r="G1008" s="173"/>
      <c r="H1008" s="173"/>
      <c r="I1008" s="173"/>
      <c r="J1008" s="173"/>
      <c r="K1008" s="173"/>
      <c r="L1008" s="173"/>
      <c r="AM1008" s="173"/>
      <c r="AN1008" s="173"/>
      <c r="AZ1008" s="337"/>
      <c r="BL1008" s="349"/>
      <c r="BM1008" s="300"/>
      <c r="BN1008" s="300"/>
      <c r="BO1008" s="300"/>
      <c r="BP1008" s="300"/>
      <c r="BQ1008" s="300"/>
      <c r="BR1008" s="300"/>
      <c r="BS1008" s="300"/>
      <c r="BT1008" s="300"/>
      <c r="BU1008" s="300"/>
      <c r="BV1008" s="300"/>
      <c r="BW1008" s="300"/>
      <c r="BX1008" s="300"/>
      <c r="BY1008" s="300"/>
      <c r="BZ1008" s="300"/>
      <c r="CA1008" s="300"/>
      <c r="CB1008" s="300"/>
    </row>
    <row r="1009" spans="1:80" s="27" customFormat="1" x14ac:dyDescent="0.3">
      <c r="A1009" s="173"/>
      <c r="D1009" s="173"/>
      <c r="E1009" s="173"/>
      <c r="F1009" s="173"/>
      <c r="G1009" s="173"/>
      <c r="H1009" s="173"/>
      <c r="I1009" s="173"/>
      <c r="J1009" s="173"/>
      <c r="K1009" s="173"/>
      <c r="L1009" s="173"/>
      <c r="AM1009" s="173"/>
      <c r="AN1009" s="173"/>
      <c r="AZ1009" s="337"/>
      <c r="BL1009" s="349"/>
      <c r="BM1009" s="300"/>
      <c r="BN1009" s="300"/>
      <c r="BO1009" s="300"/>
      <c r="BP1009" s="300"/>
      <c r="BQ1009" s="300"/>
      <c r="BR1009" s="300"/>
      <c r="BS1009" s="300"/>
      <c r="BT1009" s="300"/>
      <c r="BU1009" s="300"/>
      <c r="BV1009" s="300"/>
      <c r="BW1009" s="300"/>
      <c r="BX1009" s="300"/>
      <c r="BY1009" s="300"/>
      <c r="BZ1009" s="300"/>
      <c r="CA1009" s="300"/>
      <c r="CB1009" s="300"/>
    </row>
    <row r="1010" spans="1:80" s="27" customFormat="1" x14ac:dyDescent="0.3">
      <c r="A1010" s="173"/>
      <c r="D1010" s="173"/>
      <c r="E1010" s="173"/>
      <c r="F1010" s="173"/>
      <c r="G1010" s="173"/>
      <c r="H1010" s="173"/>
      <c r="I1010" s="173"/>
      <c r="J1010" s="173"/>
      <c r="K1010" s="173"/>
      <c r="L1010" s="173"/>
      <c r="AM1010" s="173"/>
      <c r="AN1010" s="173"/>
      <c r="AZ1010" s="337"/>
      <c r="BL1010" s="349"/>
      <c r="BM1010" s="300"/>
      <c r="BN1010" s="300"/>
      <c r="BO1010" s="300"/>
      <c r="BP1010" s="300"/>
      <c r="BQ1010" s="300"/>
      <c r="BR1010" s="300"/>
      <c r="BS1010" s="300"/>
      <c r="BT1010" s="300"/>
      <c r="BU1010" s="300"/>
      <c r="BV1010" s="300"/>
      <c r="BW1010" s="300"/>
      <c r="BX1010" s="300"/>
      <c r="BY1010" s="300"/>
      <c r="BZ1010" s="300"/>
      <c r="CA1010" s="300"/>
      <c r="CB1010" s="300"/>
    </row>
    <row r="1011" spans="1:80" s="27" customFormat="1" x14ac:dyDescent="0.3">
      <c r="A1011" s="173"/>
      <c r="D1011" s="173"/>
      <c r="E1011" s="173"/>
      <c r="F1011" s="173"/>
      <c r="G1011" s="173"/>
      <c r="H1011" s="173"/>
      <c r="I1011" s="173"/>
      <c r="J1011" s="173"/>
      <c r="K1011" s="173"/>
      <c r="L1011" s="173"/>
      <c r="AM1011" s="173"/>
      <c r="AN1011" s="173"/>
      <c r="AZ1011" s="337"/>
      <c r="BL1011" s="349"/>
      <c r="BM1011" s="300"/>
      <c r="BN1011" s="300"/>
      <c r="BO1011" s="300"/>
      <c r="BP1011" s="300"/>
      <c r="BQ1011" s="300"/>
      <c r="BR1011" s="300"/>
      <c r="BS1011" s="300"/>
      <c r="BT1011" s="300"/>
      <c r="BU1011" s="300"/>
      <c r="BV1011" s="300"/>
      <c r="BW1011" s="300"/>
      <c r="BX1011" s="300"/>
      <c r="BY1011" s="300"/>
      <c r="BZ1011" s="300"/>
      <c r="CA1011" s="300"/>
      <c r="CB1011" s="300"/>
    </row>
    <row r="1012" spans="1:80" s="27" customFormat="1" x14ac:dyDescent="0.3">
      <c r="A1012" s="173"/>
      <c r="D1012" s="173"/>
      <c r="E1012" s="173"/>
      <c r="F1012" s="173"/>
      <c r="G1012" s="173"/>
      <c r="H1012" s="173"/>
      <c r="I1012" s="173"/>
      <c r="J1012" s="173"/>
      <c r="K1012" s="173"/>
      <c r="L1012" s="173"/>
      <c r="AM1012" s="173"/>
      <c r="AN1012" s="173"/>
      <c r="AZ1012" s="337"/>
      <c r="BL1012" s="349"/>
      <c r="BM1012" s="300"/>
      <c r="BN1012" s="300"/>
      <c r="BO1012" s="300"/>
      <c r="BP1012" s="300"/>
      <c r="BQ1012" s="300"/>
      <c r="BR1012" s="300"/>
      <c r="BS1012" s="300"/>
      <c r="BT1012" s="300"/>
      <c r="BU1012" s="300"/>
      <c r="BV1012" s="300"/>
      <c r="BW1012" s="300"/>
      <c r="BX1012" s="300"/>
      <c r="BY1012" s="300"/>
      <c r="BZ1012" s="300"/>
      <c r="CA1012" s="300"/>
      <c r="CB1012" s="300"/>
    </row>
    <row r="1013" spans="1:80" s="27" customFormat="1" x14ac:dyDescent="0.3">
      <c r="A1013" s="173"/>
      <c r="D1013" s="173"/>
      <c r="E1013" s="173"/>
      <c r="F1013" s="173"/>
      <c r="G1013" s="173"/>
      <c r="H1013" s="173"/>
      <c r="I1013" s="173"/>
      <c r="J1013" s="173"/>
      <c r="K1013" s="173"/>
      <c r="L1013" s="173"/>
      <c r="AM1013" s="173"/>
      <c r="AN1013" s="173"/>
      <c r="AZ1013" s="337"/>
      <c r="BL1013" s="349"/>
      <c r="BM1013" s="300"/>
      <c r="BN1013" s="300"/>
      <c r="BO1013" s="300"/>
      <c r="BP1013" s="300"/>
      <c r="BQ1013" s="300"/>
      <c r="BR1013" s="300"/>
      <c r="BS1013" s="300"/>
      <c r="BT1013" s="300"/>
      <c r="BU1013" s="300"/>
      <c r="BV1013" s="300"/>
      <c r="BW1013" s="300"/>
      <c r="BX1013" s="300"/>
      <c r="BY1013" s="300"/>
      <c r="BZ1013" s="300"/>
      <c r="CA1013" s="300"/>
      <c r="CB1013" s="300"/>
    </row>
    <row r="1014" spans="1:80" s="27" customFormat="1" x14ac:dyDescent="0.3">
      <c r="A1014" s="173"/>
      <c r="D1014" s="173"/>
      <c r="E1014" s="173"/>
      <c r="F1014" s="173"/>
      <c r="G1014" s="173"/>
      <c r="H1014" s="173"/>
      <c r="I1014" s="173"/>
      <c r="J1014" s="173"/>
      <c r="K1014" s="173"/>
      <c r="L1014" s="173"/>
      <c r="AM1014" s="173"/>
      <c r="AN1014" s="173"/>
      <c r="AZ1014" s="337"/>
      <c r="BL1014" s="349"/>
      <c r="BM1014" s="300"/>
      <c r="BN1014" s="300"/>
      <c r="BO1014" s="300"/>
      <c r="BP1014" s="300"/>
      <c r="BQ1014" s="300"/>
      <c r="BR1014" s="300"/>
      <c r="BS1014" s="300"/>
      <c r="BT1014" s="300"/>
      <c r="BU1014" s="300"/>
      <c r="BV1014" s="300"/>
      <c r="BW1014" s="300"/>
      <c r="BX1014" s="300"/>
      <c r="BY1014" s="300"/>
      <c r="BZ1014" s="300"/>
      <c r="CA1014" s="300"/>
      <c r="CB1014" s="300"/>
    </row>
    <row r="1015" spans="1:80" s="27" customFormat="1" x14ac:dyDescent="0.3">
      <c r="A1015" s="173"/>
      <c r="D1015" s="173"/>
      <c r="E1015" s="173"/>
      <c r="F1015" s="173"/>
      <c r="G1015" s="173"/>
      <c r="H1015" s="173"/>
      <c r="I1015" s="173"/>
      <c r="J1015" s="173"/>
      <c r="K1015" s="173"/>
      <c r="L1015" s="173"/>
      <c r="AM1015" s="173"/>
      <c r="AN1015" s="173"/>
      <c r="AZ1015" s="337"/>
      <c r="BL1015" s="349"/>
      <c r="BM1015" s="300"/>
      <c r="BN1015" s="300"/>
      <c r="BO1015" s="300"/>
      <c r="BP1015" s="300"/>
      <c r="BQ1015" s="300"/>
      <c r="BR1015" s="300"/>
      <c r="BS1015" s="300"/>
      <c r="BT1015" s="300"/>
      <c r="BU1015" s="300"/>
      <c r="BV1015" s="300"/>
      <c r="BW1015" s="300"/>
      <c r="BX1015" s="300"/>
      <c r="BY1015" s="300"/>
      <c r="BZ1015" s="300"/>
      <c r="CA1015" s="300"/>
      <c r="CB1015" s="300"/>
    </row>
    <row r="1016" spans="1:80" s="27" customFormat="1" x14ac:dyDescent="0.3">
      <c r="A1016" s="173"/>
      <c r="D1016" s="173"/>
      <c r="E1016" s="173"/>
      <c r="F1016" s="173"/>
      <c r="G1016" s="173"/>
      <c r="H1016" s="173"/>
      <c r="I1016" s="173"/>
      <c r="J1016" s="173"/>
      <c r="K1016" s="173"/>
      <c r="L1016" s="173"/>
      <c r="AM1016" s="173"/>
      <c r="AN1016" s="173"/>
      <c r="AZ1016" s="337"/>
      <c r="BL1016" s="349"/>
      <c r="BM1016" s="300"/>
      <c r="BN1016" s="300"/>
      <c r="BO1016" s="300"/>
      <c r="BP1016" s="300"/>
      <c r="BQ1016" s="300"/>
      <c r="BR1016" s="300"/>
      <c r="BS1016" s="300"/>
      <c r="BT1016" s="300"/>
      <c r="BU1016" s="300"/>
      <c r="BV1016" s="300"/>
      <c r="BW1016" s="300"/>
      <c r="BX1016" s="300"/>
      <c r="BY1016" s="300"/>
      <c r="BZ1016" s="300"/>
      <c r="CA1016" s="300"/>
      <c r="CB1016" s="300"/>
    </row>
    <row r="1017" spans="1:80" s="27" customFormat="1" x14ac:dyDescent="0.3">
      <c r="A1017" s="173"/>
      <c r="D1017" s="173"/>
      <c r="E1017" s="173"/>
      <c r="F1017" s="173"/>
      <c r="G1017" s="173"/>
      <c r="H1017" s="173"/>
      <c r="I1017" s="173"/>
      <c r="J1017" s="173"/>
      <c r="K1017" s="173"/>
      <c r="L1017" s="173"/>
      <c r="AM1017" s="173"/>
      <c r="AN1017" s="173"/>
      <c r="AZ1017" s="337"/>
      <c r="BL1017" s="349"/>
      <c r="BM1017" s="300"/>
      <c r="BN1017" s="300"/>
      <c r="BO1017" s="300"/>
      <c r="BP1017" s="300"/>
      <c r="BQ1017" s="300"/>
      <c r="BR1017" s="300"/>
      <c r="BS1017" s="300"/>
      <c r="BT1017" s="300"/>
      <c r="BU1017" s="300"/>
      <c r="BV1017" s="300"/>
      <c r="BW1017" s="300"/>
      <c r="BX1017" s="300"/>
      <c r="BY1017" s="300"/>
      <c r="BZ1017" s="300"/>
      <c r="CA1017" s="300"/>
      <c r="CB1017" s="300"/>
    </row>
    <row r="1018" spans="1:80" s="27" customFormat="1" x14ac:dyDescent="0.3">
      <c r="A1018" s="173"/>
      <c r="D1018" s="173"/>
      <c r="E1018" s="173"/>
      <c r="F1018" s="173"/>
      <c r="G1018" s="173"/>
      <c r="H1018" s="173"/>
      <c r="I1018" s="173"/>
      <c r="J1018" s="173"/>
      <c r="K1018" s="173"/>
      <c r="L1018" s="173"/>
      <c r="AM1018" s="173"/>
      <c r="AN1018" s="173"/>
      <c r="AZ1018" s="337"/>
      <c r="BL1018" s="349"/>
      <c r="BM1018" s="300"/>
      <c r="BN1018" s="300"/>
      <c r="BO1018" s="300"/>
      <c r="BP1018" s="300"/>
      <c r="BQ1018" s="300"/>
      <c r="BR1018" s="300"/>
      <c r="BS1018" s="300"/>
      <c r="BT1018" s="300"/>
      <c r="BU1018" s="300"/>
      <c r="BV1018" s="300"/>
      <c r="BW1018" s="300"/>
      <c r="BX1018" s="300"/>
      <c r="BY1018" s="300"/>
      <c r="BZ1018" s="300"/>
      <c r="CA1018" s="300"/>
      <c r="CB1018" s="300"/>
    </row>
    <row r="1019" spans="1:80" s="27" customFormat="1" x14ac:dyDescent="0.3">
      <c r="A1019" s="173"/>
      <c r="D1019" s="173"/>
      <c r="E1019" s="173"/>
      <c r="F1019" s="173"/>
      <c r="G1019" s="173"/>
      <c r="H1019" s="173"/>
      <c r="I1019" s="173"/>
      <c r="J1019" s="173"/>
      <c r="K1019" s="173"/>
      <c r="L1019" s="173"/>
      <c r="AM1019" s="173"/>
      <c r="AN1019" s="173"/>
      <c r="AZ1019" s="337"/>
      <c r="BL1019" s="349"/>
      <c r="BM1019" s="300"/>
      <c r="BN1019" s="300"/>
      <c r="BO1019" s="300"/>
      <c r="BP1019" s="300"/>
      <c r="BQ1019" s="300"/>
      <c r="BR1019" s="300"/>
      <c r="BS1019" s="300"/>
      <c r="BT1019" s="300"/>
      <c r="BU1019" s="300"/>
      <c r="BV1019" s="300"/>
      <c r="BW1019" s="300"/>
      <c r="BX1019" s="300"/>
      <c r="BY1019" s="300"/>
      <c r="BZ1019" s="300"/>
      <c r="CA1019" s="300"/>
      <c r="CB1019" s="300"/>
    </row>
    <row r="1020" spans="1:80" s="27" customFormat="1" x14ac:dyDescent="0.3">
      <c r="A1020" s="173"/>
      <c r="D1020" s="173"/>
      <c r="E1020" s="173"/>
      <c r="F1020" s="173"/>
      <c r="G1020" s="173"/>
      <c r="H1020" s="173"/>
      <c r="I1020" s="173"/>
      <c r="J1020" s="173"/>
      <c r="K1020" s="173"/>
      <c r="L1020" s="173"/>
      <c r="AM1020" s="173"/>
      <c r="AN1020" s="173"/>
      <c r="AZ1020" s="337"/>
      <c r="BL1020" s="349"/>
      <c r="BM1020" s="300"/>
      <c r="BN1020" s="300"/>
      <c r="BO1020" s="300"/>
      <c r="BP1020" s="300"/>
      <c r="BQ1020" s="300"/>
      <c r="BR1020" s="300"/>
      <c r="BS1020" s="300"/>
      <c r="BT1020" s="300"/>
      <c r="BU1020" s="300"/>
      <c r="BV1020" s="300"/>
      <c r="BW1020" s="300"/>
      <c r="BX1020" s="300"/>
      <c r="BY1020" s="300"/>
      <c r="BZ1020" s="300"/>
      <c r="CA1020" s="300"/>
      <c r="CB1020" s="300"/>
    </row>
    <row r="1021" spans="1:80" s="27" customFormat="1" x14ac:dyDescent="0.3">
      <c r="A1021" s="173"/>
      <c r="D1021" s="173"/>
      <c r="E1021" s="173"/>
      <c r="F1021" s="173"/>
      <c r="G1021" s="173"/>
      <c r="H1021" s="173"/>
      <c r="I1021" s="173"/>
      <c r="J1021" s="173"/>
      <c r="K1021" s="173"/>
      <c r="L1021" s="173"/>
      <c r="AM1021" s="173"/>
      <c r="AN1021" s="173"/>
      <c r="AZ1021" s="337"/>
      <c r="BL1021" s="349"/>
      <c r="BM1021" s="300"/>
      <c r="BN1021" s="300"/>
      <c r="BO1021" s="300"/>
      <c r="BP1021" s="300"/>
      <c r="BQ1021" s="300"/>
      <c r="BR1021" s="300"/>
      <c r="BS1021" s="300"/>
      <c r="BT1021" s="300"/>
      <c r="BU1021" s="300"/>
      <c r="BV1021" s="300"/>
      <c r="BW1021" s="300"/>
      <c r="BX1021" s="300"/>
      <c r="BY1021" s="300"/>
      <c r="BZ1021" s="300"/>
      <c r="CA1021" s="300"/>
      <c r="CB1021" s="300"/>
    </row>
    <row r="1022" spans="1:80" s="27" customFormat="1" x14ac:dyDescent="0.3">
      <c r="A1022" s="173"/>
      <c r="D1022" s="173"/>
      <c r="E1022" s="173"/>
      <c r="F1022" s="173"/>
      <c r="G1022" s="173"/>
      <c r="H1022" s="173"/>
      <c r="I1022" s="173"/>
      <c r="J1022" s="173"/>
      <c r="K1022" s="173"/>
      <c r="L1022" s="173"/>
      <c r="AM1022" s="173"/>
      <c r="AN1022" s="173"/>
      <c r="AZ1022" s="337"/>
      <c r="BL1022" s="349"/>
      <c r="BM1022" s="300"/>
      <c r="BN1022" s="300"/>
      <c r="BO1022" s="300"/>
      <c r="BP1022" s="300"/>
      <c r="BQ1022" s="300"/>
      <c r="BR1022" s="300"/>
      <c r="BS1022" s="300"/>
      <c r="BT1022" s="300"/>
      <c r="BU1022" s="300"/>
      <c r="BV1022" s="300"/>
      <c r="BW1022" s="300"/>
      <c r="BX1022" s="300"/>
      <c r="BY1022" s="300"/>
      <c r="BZ1022" s="300"/>
      <c r="CA1022" s="300"/>
      <c r="CB1022" s="300"/>
    </row>
    <row r="1023" spans="1:80" s="27" customFormat="1" x14ac:dyDescent="0.3">
      <c r="A1023" s="173"/>
      <c r="D1023" s="173"/>
      <c r="E1023" s="173"/>
      <c r="F1023" s="173"/>
      <c r="G1023" s="173"/>
      <c r="H1023" s="173"/>
      <c r="I1023" s="173"/>
      <c r="J1023" s="173"/>
      <c r="K1023" s="173"/>
      <c r="L1023" s="173"/>
      <c r="AM1023" s="173"/>
      <c r="AN1023" s="173"/>
      <c r="AZ1023" s="337"/>
      <c r="BL1023" s="349"/>
      <c r="BM1023" s="300"/>
      <c r="BN1023" s="300"/>
      <c r="BO1023" s="300"/>
      <c r="BP1023" s="300"/>
      <c r="BQ1023" s="300"/>
      <c r="BR1023" s="300"/>
      <c r="BS1023" s="300"/>
      <c r="BT1023" s="300"/>
      <c r="BU1023" s="300"/>
      <c r="BV1023" s="300"/>
      <c r="BW1023" s="300"/>
      <c r="BX1023" s="300"/>
      <c r="BY1023" s="300"/>
      <c r="BZ1023" s="300"/>
      <c r="CA1023" s="300"/>
      <c r="CB1023" s="300"/>
    </row>
    <row r="1024" spans="1:80" s="27" customFormat="1" x14ac:dyDescent="0.3">
      <c r="A1024" s="173"/>
      <c r="D1024" s="173"/>
      <c r="E1024" s="173"/>
      <c r="F1024" s="173"/>
      <c r="G1024" s="173"/>
      <c r="H1024" s="173"/>
      <c r="I1024" s="173"/>
      <c r="J1024" s="173"/>
      <c r="K1024" s="173"/>
      <c r="L1024" s="173"/>
      <c r="AM1024" s="173"/>
      <c r="AN1024" s="173"/>
      <c r="AZ1024" s="337"/>
      <c r="BL1024" s="349"/>
      <c r="BM1024" s="300"/>
      <c r="BN1024" s="300"/>
      <c r="BO1024" s="300"/>
      <c r="BP1024" s="300"/>
      <c r="BQ1024" s="300"/>
      <c r="BR1024" s="300"/>
      <c r="BS1024" s="300"/>
      <c r="BT1024" s="300"/>
      <c r="BU1024" s="300"/>
      <c r="BV1024" s="300"/>
      <c r="BW1024" s="300"/>
      <c r="BX1024" s="300"/>
      <c r="BY1024" s="300"/>
      <c r="BZ1024" s="300"/>
      <c r="CA1024" s="300"/>
      <c r="CB1024" s="300"/>
    </row>
    <row r="1025" spans="1:80" s="27" customFormat="1" x14ac:dyDescent="0.3">
      <c r="A1025" s="173"/>
      <c r="D1025" s="173"/>
      <c r="E1025" s="173"/>
      <c r="F1025" s="173"/>
      <c r="G1025" s="173"/>
      <c r="H1025" s="173"/>
      <c r="I1025" s="173"/>
      <c r="J1025" s="173"/>
      <c r="K1025" s="173"/>
      <c r="L1025" s="173"/>
      <c r="AM1025" s="173"/>
      <c r="AN1025" s="173"/>
      <c r="AZ1025" s="337"/>
      <c r="BL1025" s="349"/>
      <c r="BM1025" s="300"/>
      <c r="BN1025" s="300"/>
      <c r="BO1025" s="300"/>
      <c r="BP1025" s="300"/>
      <c r="BQ1025" s="300"/>
      <c r="BR1025" s="300"/>
      <c r="BS1025" s="300"/>
      <c r="BT1025" s="300"/>
      <c r="BU1025" s="300"/>
      <c r="BV1025" s="300"/>
      <c r="BW1025" s="300"/>
      <c r="BX1025" s="300"/>
      <c r="BY1025" s="300"/>
      <c r="BZ1025" s="300"/>
      <c r="CA1025" s="300"/>
      <c r="CB1025" s="300"/>
    </row>
    <row r="1026" spans="1:80" s="27" customFormat="1" x14ac:dyDescent="0.3">
      <c r="A1026" s="173"/>
      <c r="D1026" s="173"/>
      <c r="E1026" s="173"/>
      <c r="F1026" s="173"/>
      <c r="G1026" s="173"/>
      <c r="H1026" s="173"/>
      <c r="I1026" s="173"/>
      <c r="J1026" s="173"/>
      <c r="K1026" s="173"/>
      <c r="L1026" s="173"/>
      <c r="AM1026" s="173"/>
      <c r="AN1026" s="173"/>
      <c r="AZ1026" s="337"/>
      <c r="BL1026" s="349"/>
      <c r="BM1026" s="300"/>
      <c r="BN1026" s="300"/>
      <c r="BO1026" s="300"/>
      <c r="BP1026" s="300"/>
      <c r="BQ1026" s="300"/>
      <c r="BR1026" s="300"/>
      <c r="BS1026" s="300"/>
      <c r="BT1026" s="300"/>
      <c r="BU1026" s="300"/>
      <c r="BV1026" s="300"/>
      <c r="BW1026" s="300"/>
      <c r="BX1026" s="300"/>
      <c r="BY1026" s="300"/>
      <c r="BZ1026" s="300"/>
      <c r="CA1026" s="300"/>
      <c r="CB1026" s="300"/>
    </row>
    <row r="1027" spans="1:80" s="27" customFormat="1" x14ac:dyDescent="0.3">
      <c r="A1027" s="173"/>
      <c r="D1027" s="173"/>
      <c r="E1027" s="173"/>
      <c r="F1027" s="173"/>
      <c r="G1027" s="173"/>
      <c r="H1027" s="173"/>
      <c r="I1027" s="173"/>
      <c r="J1027" s="173"/>
      <c r="K1027" s="173"/>
      <c r="L1027" s="173"/>
      <c r="AM1027" s="173"/>
      <c r="AN1027" s="173"/>
      <c r="AZ1027" s="337"/>
      <c r="BL1027" s="349"/>
      <c r="BM1027" s="300"/>
      <c r="BN1027" s="300"/>
      <c r="BO1027" s="300"/>
      <c r="BP1027" s="300"/>
      <c r="BQ1027" s="300"/>
      <c r="BR1027" s="300"/>
      <c r="BS1027" s="300"/>
      <c r="BT1027" s="300"/>
      <c r="BU1027" s="300"/>
      <c r="BV1027" s="300"/>
      <c r="BW1027" s="300"/>
      <c r="BX1027" s="300"/>
      <c r="BY1027" s="300"/>
      <c r="BZ1027" s="300"/>
      <c r="CA1027" s="300"/>
      <c r="CB1027" s="300"/>
    </row>
    <row r="1028" spans="1:80" s="27" customFormat="1" x14ac:dyDescent="0.3">
      <c r="A1028" s="173"/>
      <c r="D1028" s="173"/>
      <c r="E1028" s="173"/>
      <c r="F1028" s="173"/>
      <c r="G1028" s="173"/>
      <c r="H1028" s="173"/>
      <c r="I1028" s="173"/>
      <c r="J1028" s="173"/>
      <c r="K1028" s="173"/>
      <c r="L1028" s="173"/>
      <c r="AM1028" s="173"/>
      <c r="AN1028" s="173"/>
      <c r="AZ1028" s="337"/>
      <c r="BL1028" s="349"/>
      <c r="BM1028" s="300"/>
      <c r="BN1028" s="300"/>
      <c r="BO1028" s="300"/>
      <c r="BP1028" s="300"/>
      <c r="BQ1028" s="300"/>
      <c r="BR1028" s="300"/>
      <c r="BS1028" s="300"/>
      <c r="BT1028" s="300"/>
      <c r="BU1028" s="300"/>
      <c r="BV1028" s="300"/>
      <c r="BW1028" s="300"/>
      <c r="BX1028" s="300"/>
      <c r="BY1028" s="300"/>
      <c r="BZ1028" s="300"/>
      <c r="CA1028" s="300"/>
      <c r="CB1028" s="300"/>
    </row>
    <row r="1029" spans="1:80" s="27" customFormat="1" x14ac:dyDescent="0.3">
      <c r="A1029" s="173"/>
      <c r="D1029" s="173"/>
      <c r="E1029" s="173"/>
      <c r="F1029" s="173"/>
      <c r="G1029" s="173"/>
      <c r="H1029" s="173"/>
      <c r="I1029" s="173"/>
      <c r="J1029" s="173"/>
      <c r="K1029" s="173"/>
      <c r="L1029" s="173"/>
      <c r="AM1029" s="173"/>
      <c r="AN1029" s="173"/>
      <c r="AZ1029" s="337"/>
      <c r="BL1029" s="349"/>
      <c r="BM1029" s="300"/>
      <c r="BN1029" s="300"/>
      <c r="BO1029" s="300"/>
      <c r="BP1029" s="300"/>
      <c r="BQ1029" s="300"/>
      <c r="BR1029" s="300"/>
      <c r="BS1029" s="300"/>
      <c r="BT1029" s="300"/>
      <c r="BU1029" s="300"/>
      <c r="BV1029" s="300"/>
      <c r="BW1029" s="300"/>
      <c r="BX1029" s="300"/>
      <c r="BY1029" s="300"/>
      <c r="BZ1029" s="300"/>
      <c r="CA1029" s="300"/>
      <c r="CB1029" s="300"/>
    </row>
    <row r="1030" spans="1:80" s="27" customFormat="1" x14ac:dyDescent="0.3">
      <c r="A1030" s="173"/>
      <c r="D1030" s="173"/>
      <c r="E1030" s="173"/>
      <c r="F1030" s="173"/>
      <c r="G1030" s="173"/>
      <c r="H1030" s="173"/>
      <c r="I1030" s="173"/>
      <c r="J1030" s="173"/>
      <c r="K1030" s="173"/>
      <c r="L1030" s="173"/>
      <c r="AM1030" s="173"/>
      <c r="AN1030" s="173"/>
      <c r="AZ1030" s="337"/>
      <c r="BL1030" s="349"/>
      <c r="BM1030" s="300"/>
      <c r="BN1030" s="300"/>
      <c r="BO1030" s="300"/>
      <c r="BP1030" s="300"/>
      <c r="BQ1030" s="300"/>
      <c r="BR1030" s="300"/>
      <c r="BS1030" s="300"/>
      <c r="BT1030" s="300"/>
      <c r="BU1030" s="300"/>
      <c r="BV1030" s="300"/>
      <c r="BW1030" s="300"/>
      <c r="BX1030" s="300"/>
      <c r="BY1030" s="300"/>
      <c r="BZ1030" s="300"/>
      <c r="CA1030" s="300"/>
      <c r="CB1030" s="300"/>
    </row>
    <row r="1031" spans="1:80" s="27" customFormat="1" x14ac:dyDescent="0.3">
      <c r="A1031" s="173"/>
      <c r="D1031" s="173"/>
      <c r="E1031" s="173"/>
      <c r="F1031" s="173"/>
      <c r="G1031" s="173"/>
      <c r="H1031" s="173"/>
      <c r="I1031" s="173"/>
      <c r="J1031" s="173"/>
      <c r="K1031" s="173"/>
      <c r="L1031" s="173"/>
      <c r="AM1031" s="173"/>
      <c r="AN1031" s="173"/>
      <c r="AZ1031" s="337"/>
      <c r="BL1031" s="349"/>
      <c r="BM1031" s="300"/>
      <c r="BN1031" s="300"/>
      <c r="BO1031" s="300"/>
      <c r="BP1031" s="300"/>
      <c r="BQ1031" s="300"/>
      <c r="BR1031" s="300"/>
      <c r="BS1031" s="300"/>
      <c r="BT1031" s="300"/>
      <c r="BU1031" s="300"/>
      <c r="BV1031" s="300"/>
      <c r="BW1031" s="300"/>
      <c r="BX1031" s="300"/>
      <c r="BY1031" s="300"/>
      <c r="BZ1031" s="300"/>
      <c r="CA1031" s="300"/>
      <c r="CB1031" s="300"/>
    </row>
    <row r="1032" spans="1:80" s="27" customFormat="1" x14ac:dyDescent="0.3">
      <c r="A1032" s="173"/>
      <c r="D1032" s="173"/>
      <c r="E1032" s="173"/>
      <c r="F1032" s="173"/>
      <c r="G1032" s="173"/>
      <c r="H1032" s="173"/>
      <c r="I1032" s="173"/>
      <c r="J1032" s="173"/>
      <c r="K1032" s="173"/>
      <c r="L1032" s="173"/>
      <c r="AM1032" s="173"/>
      <c r="AN1032" s="173"/>
      <c r="AZ1032" s="337"/>
      <c r="BL1032" s="349"/>
      <c r="BM1032" s="300"/>
      <c r="BN1032" s="300"/>
      <c r="BO1032" s="300"/>
      <c r="BP1032" s="300"/>
      <c r="BQ1032" s="300"/>
      <c r="BR1032" s="300"/>
      <c r="BS1032" s="300"/>
      <c r="BT1032" s="300"/>
      <c r="BU1032" s="300"/>
      <c r="BV1032" s="300"/>
      <c r="BW1032" s="300"/>
      <c r="BX1032" s="300"/>
      <c r="BY1032" s="300"/>
      <c r="BZ1032" s="300"/>
      <c r="CA1032" s="300"/>
      <c r="CB1032" s="300"/>
    </row>
    <row r="1033" spans="1:80" s="27" customFormat="1" x14ac:dyDescent="0.3">
      <c r="A1033" s="173"/>
      <c r="D1033" s="173"/>
      <c r="E1033" s="173"/>
      <c r="F1033" s="173"/>
      <c r="G1033" s="173"/>
      <c r="H1033" s="173"/>
      <c r="I1033" s="173"/>
      <c r="J1033" s="173"/>
      <c r="K1033" s="173"/>
      <c r="L1033" s="173"/>
      <c r="AM1033" s="173"/>
      <c r="AN1033" s="173"/>
      <c r="AZ1033" s="337"/>
      <c r="BL1033" s="349"/>
      <c r="BM1033" s="300"/>
      <c r="BN1033" s="300"/>
      <c r="BO1033" s="300"/>
      <c r="BP1033" s="300"/>
      <c r="BQ1033" s="300"/>
      <c r="BR1033" s="300"/>
      <c r="BS1033" s="300"/>
      <c r="BT1033" s="300"/>
      <c r="BU1033" s="300"/>
      <c r="BV1033" s="300"/>
      <c r="BW1033" s="300"/>
      <c r="BX1033" s="300"/>
      <c r="BY1033" s="300"/>
      <c r="BZ1033" s="300"/>
      <c r="CA1033" s="300"/>
      <c r="CB1033" s="300"/>
    </row>
    <row r="1034" spans="1:80" s="27" customFormat="1" x14ac:dyDescent="0.3">
      <c r="A1034" s="173"/>
      <c r="D1034" s="173"/>
      <c r="E1034" s="173"/>
      <c r="F1034" s="173"/>
      <c r="G1034" s="173"/>
      <c r="H1034" s="173"/>
      <c r="I1034" s="173"/>
      <c r="J1034" s="173"/>
      <c r="K1034" s="173"/>
      <c r="L1034" s="173"/>
      <c r="AM1034" s="173"/>
      <c r="AN1034" s="173"/>
      <c r="AZ1034" s="337"/>
      <c r="BL1034" s="349"/>
      <c r="BM1034" s="300"/>
      <c r="BN1034" s="300"/>
      <c r="BO1034" s="300"/>
      <c r="BP1034" s="300"/>
      <c r="BQ1034" s="300"/>
      <c r="BR1034" s="300"/>
      <c r="BS1034" s="300"/>
      <c r="BT1034" s="300"/>
      <c r="BU1034" s="300"/>
      <c r="BV1034" s="300"/>
      <c r="BW1034" s="300"/>
      <c r="BX1034" s="300"/>
      <c r="BY1034" s="300"/>
      <c r="BZ1034" s="300"/>
      <c r="CA1034" s="300"/>
      <c r="CB1034" s="300"/>
    </row>
    <row r="1035" spans="1:80" s="27" customFormat="1" x14ac:dyDescent="0.3">
      <c r="A1035" s="173"/>
      <c r="D1035" s="173"/>
      <c r="E1035" s="173"/>
      <c r="F1035" s="173"/>
      <c r="G1035" s="173"/>
      <c r="H1035" s="173"/>
      <c r="I1035" s="173"/>
      <c r="J1035" s="173"/>
      <c r="K1035" s="173"/>
      <c r="L1035" s="173"/>
      <c r="AM1035" s="173"/>
      <c r="AN1035" s="173"/>
      <c r="AZ1035" s="337"/>
      <c r="BL1035" s="349"/>
      <c r="BM1035" s="300"/>
      <c r="BN1035" s="300"/>
      <c r="BO1035" s="300"/>
      <c r="BP1035" s="300"/>
      <c r="BQ1035" s="300"/>
      <c r="BR1035" s="300"/>
      <c r="BS1035" s="300"/>
      <c r="BT1035" s="300"/>
      <c r="BU1035" s="300"/>
      <c r="BV1035" s="300"/>
      <c r="BW1035" s="300"/>
      <c r="BX1035" s="300"/>
      <c r="BY1035" s="300"/>
      <c r="BZ1035" s="300"/>
      <c r="CA1035" s="300"/>
      <c r="CB1035" s="300"/>
    </row>
    <row r="1036" spans="1:80" s="27" customFormat="1" x14ac:dyDescent="0.3">
      <c r="A1036" s="173"/>
      <c r="D1036" s="173"/>
      <c r="E1036" s="173"/>
      <c r="F1036" s="173"/>
      <c r="G1036" s="173"/>
      <c r="H1036" s="173"/>
      <c r="I1036" s="173"/>
      <c r="J1036" s="173"/>
      <c r="K1036" s="173"/>
      <c r="L1036" s="173"/>
      <c r="AM1036" s="173"/>
      <c r="AN1036" s="173"/>
      <c r="AZ1036" s="337"/>
      <c r="BL1036" s="349"/>
      <c r="BM1036" s="300"/>
      <c r="BN1036" s="300"/>
      <c r="BO1036" s="300"/>
      <c r="BP1036" s="300"/>
      <c r="BQ1036" s="300"/>
      <c r="BR1036" s="300"/>
      <c r="BS1036" s="300"/>
      <c r="BT1036" s="300"/>
      <c r="BU1036" s="300"/>
      <c r="BV1036" s="300"/>
      <c r="BW1036" s="300"/>
      <c r="BX1036" s="300"/>
      <c r="BY1036" s="300"/>
      <c r="BZ1036" s="300"/>
      <c r="CA1036" s="300"/>
      <c r="CB1036" s="300"/>
    </row>
    <row r="1037" spans="1:80" s="27" customFormat="1" x14ac:dyDescent="0.3">
      <c r="A1037" s="173"/>
      <c r="D1037" s="173"/>
      <c r="E1037" s="173"/>
      <c r="F1037" s="173"/>
      <c r="G1037" s="173"/>
      <c r="H1037" s="173"/>
      <c r="I1037" s="173"/>
      <c r="J1037" s="173"/>
      <c r="K1037" s="173"/>
      <c r="L1037" s="173"/>
      <c r="AM1037" s="173"/>
      <c r="AN1037" s="173"/>
      <c r="AZ1037" s="337"/>
      <c r="BL1037" s="349"/>
      <c r="BM1037" s="300"/>
      <c r="BN1037" s="300"/>
      <c r="BO1037" s="300"/>
      <c r="BP1037" s="300"/>
      <c r="BQ1037" s="300"/>
      <c r="BR1037" s="300"/>
      <c r="BS1037" s="300"/>
      <c r="BT1037" s="300"/>
      <c r="BU1037" s="300"/>
      <c r="BV1037" s="300"/>
      <c r="BW1037" s="300"/>
      <c r="BX1037" s="300"/>
      <c r="BY1037" s="300"/>
      <c r="BZ1037" s="300"/>
      <c r="CA1037" s="300"/>
      <c r="CB1037" s="300"/>
    </row>
    <row r="1038" spans="1:80" s="27" customFormat="1" x14ac:dyDescent="0.3">
      <c r="A1038" s="173"/>
      <c r="D1038" s="173"/>
      <c r="E1038" s="173"/>
      <c r="F1038" s="173"/>
      <c r="G1038" s="173"/>
      <c r="H1038" s="173"/>
      <c r="I1038" s="173"/>
      <c r="J1038" s="173"/>
      <c r="K1038" s="173"/>
      <c r="L1038" s="173"/>
      <c r="AM1038" s="173"/>
      <c r="AN1038" s="173"/>
      <c r="AZ1038" s="337"/>
      <c r="BL1038" s="349"/>
      <c r="BM1038" s="300"/>
      <c r="BN1038" s="300"/>
      <c r="BO1038" s="300"/>
      <c r="BP1038" s="300"/>
      <c r="BQ1038" s="300"/>
      <c r="BR1038" s="300"/>
      <c r="BS1038" s="300"/>
      <c r="BT1038" s="300"/>
      <c r="BU1038" s="300"/>
      <c r="BV1038" s="300"/>
      <c r="BW1038" s="300"/>
      <c r="BX1038" s="300"/>
      <c r="BY1038" s="300"/>
      <c r="BZ1038" s="300"/>
      <c r="CA1038" s="300"/>
      <c r="CB1038" s="300"/>
    </row>
    <row r="1039" spans="1:80" s="27" customFormat="1" x14ac:dyDescent="0.3">
      <c r="A1039" s="173"/>
      <c r="D1039" s="173"/>
      <c r="E1039" s="173"/>
      <c r="F1039" s="173"/>
      <c r="G1039" s="173"/>
      <c r="H1039" s="173"/>
      <c r="I1039" s="173"/>
      <c r="J1039" s="173"/>
      <c r="K1039" s="173"/>
      <c r="L1039" s="173"/>
      <c r="AM1039" s="173"/>
      <c r="AN1039" s="173"/>
      <c r="AZ1039" s="337"/>
      <c r="BL1039" s="349"/>
      <c r="BM1039" s="300"/>
      <c r="BN1039" s="300"/>
      <c r="BO1039" s="300"/>
      <c r="BP1039" s="300"/>
      <c r="BQ1039" s="300"/>
      <c r="BR1039" s="300"/>
      <c r="BS1039" s="300"/>
      <c r="BT1039" s="300"/>
      <c r="BU1039" s="300"/>
      <c r="BV1039" s="300"/>
      <c r="BW1039" s="300"/>
      <c r="BX1039" s="300"/>
      <c r="BY1039" s="300"/>
      <c r="BZ1039" s="300"/>
      <c r="CA1039" s="300"/>
      <c r="CB1039" s="300"/>
    </row>
    <row r="1040" spans="1:80" s="27" customFormat="1" x14ac:dyDescent="0.3">
      <c r="A1040" s="173"/>
      <c r="D1040" s="173"/>
      <c r="E1040" s="173"/>
      <c r="F1040" s="173"/>
      <c r="G1040" s="173"/>
      <c r="H1040" s="173"/>
      <c r="I1040" s="173"/>
      <c r="J1040" s="173"/>
      <c r="K1040" s="173"/>
      <c r="L1040" s="173"/>
      <c r="AM1040" s="173"/>
      <c r="AN1040" s="173"/>
      <c r="AZ1040" s="337"/>
      <c r="BL1040" s="349"/>
      <c r="BM1040" s="300"/>
      <c r="BN1040" s="300"/>
      <c r="BO1040" s="300"/>
      <c r="BP1040" s="300"/>
      <c r="BQ1040" s="300"/>
      <c r="BR1040" s="300"/>
      <c r="BS1040" s="300"/>
      <c r="BT1040" s="300"/>
      <c r="BU1040" s="300"/>
      <c r="BV1040" s="300"/>
      <c r="BW1040" s="300"/>
      <c r="BX1040" s="300"/>
      <c r="BY1040" s="300"/>
      <c r="BZ1040" s="300"/>
      <c r="CA1040" s="300"/>
      <c r="CB1040" s="300"/>
    </row>
    <row r="1041" spans="1:80" s="27" customFormat="1" x14ac:dyDescent="0.3">
      <c r="A1041" s="173"/>
      <c r="D1041" s="173"/>
      <c r="E1041" s="173"/>
      <c r="F1041" s="173"/>
      <c r="G1041" s="173"/>
      <c r="H1041" s="173"/>
      <c r="I1041" s="173"/>
      <c r="J1041" s="173"/>
      <c r="K1041" s="173"/>
      <c r="L1041" s="173"/>
      <c r="AM1041" s="173"/>
      <c r="AN1041" s="173"/>
      <c r="AZ1041" s="337"/>
      <c r="BL1041" s="349"/>
      <c r="BM1041" s="300"/>
      <c r="BN1041" s="300"/>
      <c r="BO1041" s="300"/>
      <c r="BP1041" s="300"/>
      <c r="BQ1041" s="300"/>
      <c r="BR1041" s="300"/>
      <c r="BS1041" s="300"/>
      <c r="BT1041" s="300"/>
      <c r="BU1041" s="300"/>
      <c r="BV1041" s="300"/>
      <c r="BW1041" s="300"/>
      <c r="BX1041" s="300"/>
      <c r="BY1041" s="300"/>
      <c r="BZ1041" s="300"/>
      <c r="CA1041" s="300"/>
      <c r="CB1041" s="300"/>
    </row>
    <row r="1042" spans="1:80" s="27" customFormat="1" x14ac:dyDescent="0.3">
      <c r="A1042" s="173"/>
      <c r="D1042" s="173"/>
      <c r="E1042" s="173"/>
      <c r="F1042" s="173"/>
      <c r="G1042" s="173"/>
      <c r="H1042" s="173"/>
      <c r="I1042" s="173"/>
      <c r="J1042" s="173"/>
      <c r="K1042" s="173"/>
      <c r="L1042" s="173"/>
      <c r="AM1042" s="173"/>
      <c r="AN1042" s="173"/>
      <c r="AZ1042" s="337"/>
      <c r="BL1042" s="349"/>
      <c r="BM1042" s="300"/>
      <c r="BN1042" s="300"/>
      <c r="BO1042" s="300"/>
      <c r="BP1042" s="300"/>
      <c r="BQ1042" s="300"/>
      <c r="BR1042" s="300"/>
      <c r="BS1042" s="300"/>
      <c r="BT1042" s="300"/>
      <c r="BU1042" s="300"/>
      <c r="BV1042" s="300"/>
      <c r="BW1042" s="300"/>
      <c r="BX1042" s="300"/>
      <c r="BY1042" s="300"/>
      <c r="BZ1042" s="300"/>
      <c r="CA1042" s="300"/>
      <c r="CB1042" s="300"/>
    </row>
    <row r="1043" spans="1:80" s="27" customFormat="1" x14ac:dyDescent="0.3">
      <c r="A1043" s="173"/>
      <c r="D1043" s="173"/>
      <c r="E1043" s="173"/>
      <c r="F1043" s="173"/>
      <c r="G1043" s="173"/>
      <c r="H1043" s="173"/>
      <c r="I1043" s="173"/>
      <c r="J1043" s="173"/>
      <c r="K1043" s="173"/>
      <c r="L1043" s="173"/>
      <c r="AM1043" s="173"/>
      <c r="AN1043" s="173"/>
      <c r="AZ1043" s="337"/>
      <c r="BL1043" s="349"/>
      <c r="BM1043" s="300"/>
      <c r="BN1043" s="300"/>
      <c r="BO1043" s="300"/>
      <c r="BP1043" s="300"/>
      <c r="BQ1043" s="300"/>
      <c r="BR1043" s="300"/>
      <c r="BS1043" s="300"/>
      <c r="BT1043" s="300"/>
      <c r="BU1043" s="300"/>
      <c r="BV1043" s="300"/>
      <c r="BW1043" s="300"/>
      <c r="BX1043" s="300"/>
      <c r="BY1043" s="300"/>
      <c r="BZ1043" s="300"/>
      <c r="CA1043" s="300"/>
      <c r="CB1043" s="300"/>
    </row>
    <row r="1044" spans="1:80" s="27" customFormat="1" x14ac:dyDescent="0.3">
      <c r="A1044" s="173"/>
      <c r="D1044" s="173"/>
      <c r="E1044" s="173"/>
      <c r="F1044" s="173"/>
      <c r="G1044" s="173"/>
      <c r="H1044" s="173"/>
      <c r="I1044" s="173"/>
      <c r="J1044" s="173"/>
      <c r="K1044" s="173"/>
      <c r="L1044" s="173"/>
      <c r="AM1044" s="173"/>
      <c r="AN1044" s="173"/>
      <c r="AZ1044" s="337"/>
      <c r="BL1044" s="349"/>
      <c r="BM1044" s="300"/>
      <c r="BN1044" s="300"/>
      <c r="BO1044" s="300"/>
      <c r="BP1044" s="300"/>
      <c r="BQ1044" s="300"/>
      <c r="BR1044" s="300"/>
      <c r="BS1044" s="300"/>
      <c r="BT1044" s="300"/>
      <c r="BU1044" s="300"/>
      <c r="BV1044" s="300"/>
      <c r="BW1044" s="300"/>
      <c r="BX1044" s="300"/>
      <c r="BY1044" s="300"/>
      <c r="BZ1044" s="300"/>
      <c r="CA1044" s="300"/>
      <c r="CB1044" s="300"/>
    </row>
    <row r="1045" spans="1:80" s="27" customFormat="1" x14ac:dyDescent="0.3">
      <c r="A1045" s="173"/>
      <c r="D1045" s="173"/>
      <c r="E1045" s="173"/>
      <c r="F1045" s="173"/>
      <c r="G1045" s="173"/>
      <c r="H1045" s="173"/>
      <c r="I1045" s="173"/>
      <c r="J1045" s="173"/>
      <c r="K1045" s="173"/>
      <c r="L1045" s="173"/>
      <c r="AM1045" s="173"/>
      <c r="AN1045" s="173"/>
      <c r="AZ1045" s="337"/>
      <c r="BL1045" s="349"/>
      <c r="BM1045" s="300"/>
      <c r="BN1045" s="300"/>
      <c r="BO1045" s="300"/>
      <c r="BP1045" s="300"/>
      <c r="BQ1045" s="300"/>
      <c r="BR1045" s="300"/>
      <c r="BS1045" s="300"/>
      <c r="BT1045" s="300"/>
      <c r="BU1045" s="300"/>
      <c r="BV1045" s="300"/>
      <c r="BW1045" s="300"/>
      <c r="BX1045" s="300"/>
      <c r="BY1045" s="300"/>
      <c r="BZ1045" s="300"/>
      <c r="CA1045" s="300"/>
      <c r="CB1045" s="300"/>
    </row>
    <row r="1046" spans="1:80" s="27" customFormat="1" x14ac:dyDescent="0.3">
      <c r="A1046" s="173"/>
      <c r="D1046" s="173"/>
      <c r="E1046" s="173"/>
      <c r="F1046" s="173"/>
      <c r="G1046" s="173"/>
      <c r="H1046" s="173"/>
      <c r="I1046" s="173"/>
      <c r="J1046" s="173"/>
      <c r="K1046" s="173"/>
      <c r="L1046" s="173"/>
      <c r="AM1046" s="173"/>
      <c r="AN1046" s="173"/>
      <c r="AZ1046" s="337"/>
      <c r="BL1046" s="349"/>
      <c r="BM1046" s="300"/>
      <c r="BN1046" s="300"/>
      <c r="BO1046" s="300"/>
      <c r="BP1046" s="300"/>
      <c r="BQ1046" s="300"/>
      <c r="BR1046" s="300"/>
      <c r="BS1046" s="300"/>
      <c r="BT1046" s="300"/>
      <c r="BU1046" s="300"/>
      <c r="BV1046" s="300"/>
      <c r="BW1046" s="300"/>
      <c r="BX1046" s="300"/>
      <c r="BY1046" s="300"/>
      <c r="BZ1046" s="300"/>
      <c r="CA1046" s="300"/>
      <c r="CB1046" s="300"/>
    </row>
    <row r="1047" spans="1:80" s="27" customFormat="1" x14ac:dyDescent="0.3">
      <c r="A1047" s="173"/>
      <c r="D1047" s="173"/>
      <c r="E1047" s="173"/>
      <c r="F1047" s="173"/>
      <c r="G1047" s="173"/>
      <c r="H1047" s="173"/>
      <c r="I1047" s="173"/>
      <c r="J1047" s="173"/>
      <c r="K1047" s="173"/>
      <c r="L1047" s="173"/>
      <c r="AM1047" s="173"/>
      <c r="AN1047" s="173"/>
      <c r="AZ1047" s="337"/>
      <c r="BL1047" s="349"/>
      <c r="BM1047" s="300"/>
      <c r="BN1047" s="300"/>
      <c r="BO1047" s="300"/>
      <c r="BP1047" s="300"/>
      <c r="BQ1047" s="300"/>
      <c r="BR1047" s="300"/>
      <c r="BS1047" s="300"/>
      <c r="BT1047" s="300"/>
      <c r="BU1047" s="300"/>
      <c r="BV1047" s="300"/>
      <c r="BW1047" s="300"/>
      <c r="BX1047" s="300"/>
      <c r="BY1047" s="300"/>
      <c r="BZ1047" s="300"/>
      <c r="CA1047" s="300"/>
      <c r="CB1047" s="300"/>
    </row>
    <row r="1048" spans="1:80" s="27" customFormat="1" x14ac:dyDescent="0.3">
      <c r="A1048" s="173"/>
      <c r="D1048" s="173"/>
      <c r="E1048" s="173"/>
      <c r="F1048" s="173"/>
      <c r="G1048" s="173"/>
      <c r="H1048" s="173"/>
      <c r="I1048" s="173"/>
      <c r="J1048" s="173"/>
      <c r="K1048" s="173"/>
      <c r="L1048" s="173"/>
      <c r="AM1048" s="173"/>
      <c r="AN1048" s="173"/>
      <c r="AZ1048" s="337"/>
      <c r="BL1048" s="349"/>
      <c r="BM1048" s="300"/>
      <c r="BN1048" s="300"/>
      <c r="BO1048" s="300"/>
      <c r="BP1048" s="300"/>
      <c r="BQ1048" s="300"/>
      <c r="BR1048" s="300"/>
      <c r="BS1048" s="300"/>
      <c r="BT1048" s="300"/>
      <c r="BU1048" s="300"/>
      <c r="BV1048" s="300"/>
      <c r="BW1048" s="300"/>
      <c r="BX1048" s="300"/>
      <c r="BY1048" s="300"/>
      <c r="BZ1048" s="300"/>
      <c r="CA1048" s="300"/>
      <c r="CB1048" s="300"/>
    </row>
    <row r="1049" spans="1:80" s="27" customFormat="1" x14ac:dyDescent="0.3">
      <c r="A1049" s="173"/>
      <c r="D1049" s="173"/>
      <c r="E1049" s="173"/>
      <c r="F1049" s="173"/>
      <c r="G1049" s="173"/>
      <c r="H1049" s="173"/>
      <c r="I1049" s="173"/>
      <c r="J1049" s="173"/>
      <c r="K1049" s="173"/>
      <c r="L1049" s="173"/>
      <c r="AM1049" s="173"/>
      <c r="AN1049" s="173"/>
      <c r="AZ1049" s="337"/>
      <c r="BL1049" s="349"/>
      <c r="BM1049" s="300"/>
      <c r="BN1049" s="300"/>
      <c r="BO1049" s="300"/>
      <c r="BP1049" s="300"/>
      <c r="BQ1049" s="300"/>
      <c r="BR1049" s="300"/>
      <c r="BS1049" s="300"/>
      <c r="BT1049" s="300"/>
      <c r="BU1049" s="300"/>
      <c r="BV1049" s="300"/>
      <c r="BW1049" s="300"/>
      <c r="BX1049" s="300"/>
      <c r="BY1049" s="300"/>
      <c r="BZ1049" s="300"/>
      <c r="CA1049" s="300"/>
      <c r="CB1049" s="300"/>
    </row>
    <row r="1050" spans="1:80" s="27" customFormat="1" x14ac:dyDescent="0.3">
      <c r="A1050" s="173"/>
      <c r="D1050" s="173"/>
      <c r="E1050" s="173"/>
      <c r="F1050" s="173"/>
      <c r="G1050" s="173"/>
      <c r="H1050" s="173"/>
      <c r="I1050" s="173"/>
      <c r="J1050" s="173"/>
      <c r="K1050" s="173"/>
      <c r="L1050" s="173"/>
      <c r="AM1050" s="173"/>
      <c r="AN1050" s="173"/>
      <c r="AZ1050" s="337"/>
      <c r="BL1050" s="349"/>
      <c r="BM1050" s="300"/>
      <c r="BN1050" s="300"/>
      <c r="BO1050" s="300"/>
      <c r="BP1050" s="300"/>
      <c r="BQ1050" s="300"/>
      <c r="BR1050" s="300"/>
      <c r="BS1050" s="300"/>
      <c r="BT1050" s="300"/>
      <c r="BU1050" s="300"/>
      <c r="BV1050" s="300"/>
      <c r="BW1050" s="300"/>
      <c r="BX1050" s="300"/>
      <c r="BY1050" s="300"/>
      <c r="BZ1050" s="300"/>
      <c r="CA1050" s="300"/>
      <c r="CB1050" s="300"/>
    </row>
    <row r="1051" spans="1:80" s="27" customFormat="1" x14ac:dyDescent="0.3">
      <c r="A1051" s="173"/>
      <c r="D1051" s="173"/>
      <c r="E1051" s="173"/>
      <c r="F1051" s="173"/>
      <c r="G1051" s="173"/>
      <c r="H1051" s="173"/>
      <c r="I1051" s="173"/>
      <c r="J1051" s="173"/>
      <c r="K1051" s="173"/>
      <c r="L1051" s="173"/>
      <c r="AM1051" s="173"/>
      <c r="AN1051" s="173"/>
      <c r="AZ1051" s="337"/>
      <c r="BL1051" s="349"/>
      <c r="BM1051" s="300"/>
      <c r="BN1051" s="300"/>
      <c r="BO1051" s="300"/>
      <c r="BP1051" s="300"/>
      <c r="BQ1051" s="300"/>
      <c r="BR1051" s="300"/>
      <c r="BS1051" s="300"/>
      <c r="BT1051" s="300"/>
      <c r="BU1051" s="300"/>
      <c r="BV1051" s="300"/>
      <c r="BW1051" s="300"/>
      <c r="BX1051" s="300"/>
      <c r="BY1051" s="300"/>
      <c r="BZ1051" s="300"/>
      <c r="CA1051" s="300"/>
      <c r="CB1051" s="300"/>
    </row>
    <row r="1052" spans="1:80" s="27" customFormat="1" x14ac:dyDescent="0.3">
      <c r="A1052" s="173"/>
      <c r="D1052" s="173"/>
      <c r="E1052" s="173"/>
      <c r="F1052" s="173"/>
      <c r="G1052" s="173"/>
      <c r="H1052" s="173"/>
      <c r="I1052" s="173"/>
      <c r="J1052" s="173"/>
      <c r="K1052" s="173"/>
      <c r="L1052" s="173"/>
      <c r="AM1052" s="173"/>
      <c r="AN1052" s="173"/>
      <c r="AZ1052" s="337"/>
      <c r="BL1052" s="349"/>
      <c r="BM1052" s="300"/>
      <c r="BN1052" s="300"/>
      <c r="BO1052" s="300"/>
      <c r="BP1052" s="300"/>
      <c r="BQ1052" s="300"/>
      <c r="BR1052" s="300"/>
      <c r="BS1052" s="300"/>
      <c r="BT1052" s="300"/>
      <c r="BU1052" s="300"/>
      <c r="BV1052" s="300"/>
      <c r="BW1052" s="300"/>
      <c r="BX1052" s="300"/>
      <c r="BY1052" s="300"/>
      <c r="BZ1052" s="300"/>
      <c r="CA1052" s="300"/>
      <c r="CB1052" s="300"/>
    </row>
    <row r="1053" spans="1:80" s="27" customFormat="1" x14ac:dyDescent="0.3">
      <c r="A1053" s="173"/>
      <c r="D1053" s="173"/>
      <c r="E1053" s="173"/>
      <c r="F1053" s="173"/>
      <c r="G1053" s="173"/>
      <c r="H1053" s="173"/>
      <c r="I1053" s="173"/>
      <c r="J1053" s="173"/>
      <c r="K1053" s="173"/>
      <c r="L1053" s="173"/>
      <c r="AM1053" s="173"/>
      <c r="AN1053" s="173"/>
      <c r="AZ1053" s="337"/>
      <c r="BL1053" s="349"/>
      <c r="BM1053" s="300"/>
      <c r="BN1053" s="300"/>
      <c r="BO1053" s="300"/>
      <c r="BP1053" s="300"/>
      <c r="BQ1053" s="300"/>
      <c r="BR1053" s="300"/>
      <c r="BS1053" s="300"/>
      <c r="BT1053" s="300"/>
      <c r="BU1053" s="300"/>
      <c r="BV1053" s="300"/>
      <c r="BW1053" s="300"/>
      <c r="BX1053" s="300"/>
      <c r="BY1053" s="300"/>
      <c r="BZ1053" s="300"/>
      <c r="CA1053" s="300"/>
      <c r="CB1053" s="300"/>
    </row>
    <row r="1054" spans="1:80" s="27" customFormat="1" x14ac:dyDescent="0.3">
      <c r="A1054" s="173"/>
      <c r="D1054" s="173"/>
      <c r="E1054" s="173"/>
      <c r="F1054" s="173"/>
      <c r="G1054" s="173"/>
      <c r="H1054" s="173"/>
      <c r="I1054" s="173"/>
      <c r="J1054" s="173"/>
      <c r="K1054" s="173"/>
      <c r="L1054" s="173"/>
      <c r="AM1054" s="173"/>
      <c r="AN1054" s="173"/>
      <c r="AZ1054" s="337"/>
      <c r="BL1054" s="349"/>
      <c r="BM1054" s="300"/>
      <c r="BN1054" s="300"/>
      <c r="BO1054" s="300"/>
      <c r="BP1054" s="300"/>
      <c r="BQ1054" s="300"/>
      <c r="BR1054" s="300"/>
      <c r="BS1054" s="300"/>
      <c r="BT1054" s="300"/>
      <c r="BU1054" s="300"/>
      <c r="BV1054" s="300"/>
      <c r="BW1054" s="300"/>
      <c r="BX1054" s="300"/>
      <c r="BY1054" s="300"/>
      <c r="BZ1054" s="300"/>
      <c r="CA1054" s="300"/>
      <c r="CB1054" s="300"/>
    </row>
    <row r="1055" spans="1:80" s="27" customFormat="1" x14ac:dyDescent="0.3">
      <c r="A1055" s="173"/>
      <c r="D1055" s="173"/>
      <c r="E1055" s="173"/>
      <c r="F1055" s="173"/>
      <c r="G1055" s="173"/>
      <c r="H1055" s="173"/>
      <c r="I1055" s="173"/>
      <c r="J1055" s="173"/>
      <c r="K1055" s="173"/>
      <c r="L1055" s="173"/>
      <c r="AM1055" s="173"/>
      <c r="AN1055" s="173"/>
      <c r="AZ1055" s="337"/>
      <c r="BL1055" s="349"/>
      <c r="BM1055" s="300"/>
      <c r="BN1055" s="300"/>
      <c r="BO1055" s="300"/>
      <c r="BP1055" s="300"/>
      <c r="BQ1055" s="300"/>
      <c r="BR1055" s="300"/>
      <c r="BS1055" s="300"/>
      <c r="BT1055" s="300"/>
      <c r="BU1055" s="300"/>
      <c r="BV1055" s="300"/>
      <c r="BW1055" s="300"/>
      <c r="BX1055" s="300"/>
      <c r="BY1055" s="300"/>
      <c r="BZ1055" s="300"/>
      <c r="CA1055" s="300"/>
      <c r="CB1055" s="300"/>
    </row>
    <row r="1056" spans="1:80" s="27" customFormat="1" x14ac:dyDescent="0.3">
      <c r="A1056" s="173"/>
      <c r="D1056" s="173"/>
      <c r="E1056" s="173"/>
      <c r="F1056" s="173"/>
      <c r="G1056" s="173"/>
      <c r="H1056" s="173"/>
      <c r="I1056" s="173"/>
      <c r="J1056" s="173"/>
      <c r="K1056" s="173"/>
      <c r="L1056" s="173"/>
      <c r="AM1056" s="173"/>
      <c r="AN1056" s="173"/>
      <c r="AZ1056" s="337"/>
      <c r="BL1056" s="349"/>
      <c r="BM1056" s="300"/>
      <c r="BN1056" s="300"/>
      <c r="BO1056" s="300"/>
      <c r="BP1056" s="300"/>
      <c r="BQ1056" s="300"/>
      <c r="BR1056" s="300"/>
      <c r="BS1056" s="300"/>
      <c r="BT1056" s="300"/>
      <c r="BU1056" s="300"/>
      <c r="BV1056" s="300"/>
      <c r="BW1056" s="300"/>
      <c r="BX1056" s="300"/>
      <c r="BY1056" s="300"/>
      <c r="BZ1056" s="300"/>
      <c r="CA1056" s="300"/>
      <c r="CB1056" s="300"/>
    </row>
    <row r="1057" spans="1:80" s="27" customFormat="1" x14ac:dyDescent="0.3">
      <c r="A1057" s="173"/>
      <c r="D1057" s="173"/>
      <c r="E1057" s="173"/>
      <c r="F1057" s="173"/>
      <c r="G1057" s="173"/>
      <c r="H1057" s="173"/>
      <c r="I1057" s="173"/>
      <c r="J1057" s="173"/>
      <c r="K1057" s="173"/>
      <c r="L1057" s="173"/>
      <c r="AM1057" s="173"/>
      <c r="AN1057" s="173"/>
      <c r="AZ1057" s="337"/>
      <c r="BL1057" s="349"/>
      <c r="BM1057" s="300"/>
      <c r="BN1057" s="300"/>
      <c r="BO1057" s="300"/>
      <c r="BP1057" s="300"/>
      <c r="BQ1057" s="300"/>
      <c r="BR1057" s="300"/>
      <c r="BS1057" s="300"/>
      <c r="BT1057" s="300"/>
      <c r="BU1057" s="300"/>
      <c r="BV1057" s="300"/>
      <c r="BW1057" s="300"/>
      <c r="BX1057" s="300"/>
      <c r="BY1057" s="300"/>
      <c r="BZ1057" s="300"/>
      <c r="CA1057" s="300"/>
      <c r="CB1057" s="300"/>
    </row>
    <row r="1058" spans="1:80" s="27" customFormat="1" x14ac:dyDescent="0.3">
      <c r="A1058" s="173"/>
      <c r="D1058" s="173"/>
      <c r="E1058" s="173"/>
      <c r="F1058" s="173"/>
      <c r="G1058" s="173"/>
      <c r="H1058" s="173"/>
      <c r="I1058" s="173"/>
      <c r="J1058" s="173"/>
      <c r="K1058" s="173"/>
      <c r="L1058" s="173"/>
      <c r="AM1058" s="173"/>
      <c r="AN1058" s="173"/>
      <c r="AZ1058" s="337"/>
      <c r="BL1058" s="349"/>
      <c r="BM1058" s="300"/>
      <c r="BN1058" s="300"/>
      <c r="BO1058" s="300"/>
      <c r="BP1058" s="300"/>
      <c r="BQ1058" s="300"/>
      <c r="BR1058" s="300"/>
      <c r="BS1058" s="300"/>
      <c r="BT1058" s="300"/>
      <c r="BU1058" s="300"/>
      <c r="BV1058" s="300"/>
      <c r="BW1058" s="300"/>
      <c r="BX1058" s="300"/>
      <c r="BY1058" s="300"/>
      <c r="BZ1058" s="300"/>
      <c r="CA1058" s="300"/>
      <c r="CB1058" s="300"/>
    </row>
    <row r="1059" spans="1:80" s="27" customFormat="1" x14ac:dyDescent="0.3">
      <c r="A1059" s="173"/>
      <c r="D1059" s="173"/>
      <c r="E1059" s="173"/>
      <c r="F1059" s="173"/>
      <c r="G1059" s="173"/>
      <c r="H1059" s="173"/>
      <c r="I1059" s="173"/>
      <c r="J1059" s="173"/>
      <c r="K1059" s="173"/>
      <c r="L1059" s="173"/>
      <c r="AM1059" s="173"/>
      <c r="AN1059" s="173"/>
      <c r="AZ1059" s="337"/>
      <c r="BL1059" s="349"/>
      <c r="BM1059" s="300"/>
      <c r="BN1059" s="300"/>
      <c r="BO1059" s="300"/>
      <c r="BP1059" s="300"/>
      <c r="BQ1059" s="300"/>
      <c r="BR1059" s="300"/>
      <c r="BS1059" s="300"/>
      <c r="BT1059" s="300"/>
      <c r="BU1059" s="300"/>
      <c r="BV1059" s="300"/>
      <c r="BW1059" s="300"/>
      <c r="BX1059" s="300"/>
      <c r="BY1059" s="300"/>
      <c r="BZ1059" s="300"/>
      <c r="CA1059" s="300"/>
      <c r="CB1059" s="300"/>
    </row>
    <row r="1060" spans="1:80" s="27" customFormat="1" x14ac:dyDescent="0.3">
      <c r="A1060" s="173"/>
      <c r="D1060" s="173"/>
      <c r="E1060" s="173"/>
      <c r="F1060" s="173"/>
      <c r="G1060" s="173"/>
      <c r="H1060" s="173"/>
      <c r="I1060" s="173"/>
      <c r="J1060" s="173"/>
      <c r="K1060" s="173"/>
      <c r="L1060" s="173"/>
      <c r="AM1060" s="173"/>
      <c r="AN1060" s="173"/>
      <c r="AZ1060" s="337"/>
      <c r="BL1060" s="349"/>
      <c r="BM1060" s="300"/>
      <c r="BN1060" s="300"/>
      <c r="BO1060" s="300"/>
      <c r="BP1060" s="300"/>
      <c r="BQ1060" s="300"/>
      <c r="BR1060" s="300"/>
      <c r="BS1060" s="300"/>
      <c r="BT1060" s="300"/>
      <c r="BU1060" s="300"/>
      <c r="BV1060" s="300"/>
      <c r="BW1060" s="300"/>
      <c r="BX1060" s="300"/>
      <c r="BY1060" s="300"/>
      <c r="BZ1060" s="300"/>
      <c r="CA1060" s="300"/>
      <c r="CB1060" s="300"/>
    </row>
    <row r="1061" spans="1:80" s="27" customFormat="1" x14ac:dyDescent="0.3">
      <c r="A1061" s="173"/>
      <c r="D1061" s="173"/>
      <c r="E1061" s="173"/>
      <c r="F1061" s="173"/>
      <c r="G1061" s="173"/>
      <c r="H1061" s="173"/>
      <c r="I1061" s="173"/>
      <c r="J1061" s="173"/>
      <c r="K1061" s="173"/>
      <c r="L1061" s="173"/>
      <c r="AM1061" s="173"/>
      <c r="AN1061" s="173"/>
      <c r="AZ1061" s="337"/>
      <c r="BL1061" s="349"/>
      <c r="BM1061" s="300"/>
      <c r="BN1061" s="300"/>
      <c r="BO1061" s="300"/>
      <c r="BP1061" s="300"/>
      <c r="BQ1061" s="300"/>
      <c r="BR1061" s="300"/>
      <c r="BS1061" s="300"/>
      <c r="BT1061" s="300"/>
      <c r="BU1061" s="300"/>
      <c r="BV1061" s="300"/>
      <c r="BW1061" s="300"/>
      <c r="BX1061" s="300"/>
      <c r="BY1061" s="300"/>
      <c r="BZ1061" s="300"/>
      <c r="CA1061" s="300"/>
      <c r="CB1061" s="300"/>
    </row>
    <row r="1062" spans="1:80" s="27" customFormat="1" x14ac:dyDescent="0.3">
      <c r="A1062" s="173"/>
      <c r="D1062" s="173"/>
      <c r="E1062" s="173"/>
      <c r="F1062" s="173"/>
      <c r="G1062" s="173"/>
      <c r="H1062" s="173"/>
      <c r="I1062" s="173"/>
      <c r="J1062" s="173"/>
      <c r="K1062" s="173"/>
      <c r="L1062" s="173"/>
      <c r="AM1062" s="173"/>
      <c r="AN1062" s="173"/>
      <c r="AZ1062" s="337"/>
      <c r="BL1062" s="349"/>
      <c r="BM1062" s="300"/>
      <c r="BN1062" s="300"/>
      <c r="BO1062" s="300"/>
      <c r="BP1062" s="300"/>
      <c r="BQ1062" s="300"/>
      <c r="BR1062" s="300"/>
      <c r="BS1062" s="300"/>
      <c r="BT1062" s="300"/>
      <c r="BU1062" s="300"/>
      <c r="BV1062" s="300"/>
      <c r="BW1062" s="300"/>
      <c r="BX1062" s="300"/>
      <c r="BY1062" s="300"/>
      <c r="BZ1062" s="300"/>
      <c r="CA1062" s="300"/>
      <c r="CB1062" s="300"/>
    </row>
    <row r="1063" spans="1:80" s="27" customFormat="1" x14ac:dyDescent="0.3">
      <c r="A1063" s="173"/>
      <c r="D1063" s="173"/>
      <c r="E1063" s="173"/>
      <c r="F1063" s="173"/>
      <c r="G1063" s="173"/>
      <c r="H1063" s="173"/>
      <c r="I1063" s="173"/>
      <c r="J1063" s="173"/>
      <c r="K1063" s="173"/>
      <c r="L1063" s="173"/>
      <c r="AM1063" s="173"/>
      <c r="AN1063" s="173"/>
      <c r="AZ1063" s="337"/>
      <c r="BL1063" s="349"/>
      <c r="BM1063" s="300"/>
      <c r="BN1063" s="300"/>
      <c r="BO1063" s="300"/>
      <c r="BP1063" s="300"/>
      <c r="BQ1063" s="300"/>
      <c r="BR1063" s="300"/>
      <c r="BS1063" s="300"/>
      <c r="BT1063" s="300"/>
      <c r="BU1063" s="300"/>
      <c r="BV1063" s="300"/>
      <c r="BW1063" s="300"/>
      <c r="BX1063" s="300"/>
      <c r="BY1063" s="300"/>
      <c r="BZ1063" s="300"/>
      <c r="CA1063" s="300"/>
      <c r="CB1063" s="300"/>
    </row>
    <row r="1064" spans="1:80" s="27" customFormat="1" x14ac:dyDescent="0.3">
      <c r="A1064" s="173"/>
      <c r="D1064" s="173"/>
      <c r="E1064" s="173"/>
      <c r="F1064" s="173"/>
      <c r="G1064" s="173"/>
      <c r="H1064" s="173"/>
      <c r="I1064" s="173"/>
      <c r="J1064" s="173"/>
      <c r="K1064" s="173"/>
      <c r="L1064" s="173"/>
      <c r="AM1064" s="173"/>
      <c r="AN1064" s="173"/>
      <c r="AZ1064" s="337"/>
      <c r="BL1064" s="349"/>
      <c r="BM1064" s="300"/>
      <c r="BN1064" s="300"/>
      <c r="BO1064" s="300"/>
      <c r="BP1064" s="300"/>
      <c r="BQ1064" s="300"/>
      <c r="BR1064" s="300"/>
      <c r="BS1064" s="300"/>
      <c r="BT1064" s="300"/>
      <c r="BU1064" s="300"/>
      <c r="BV1064" s="300"/>
      <c r="BW1064" s="300"/>
      <c r="BX1064" s="300"/>
      <c r="BY1064" s="300"/>
      <c r="BZ1064" s="300"/>
      <c r="CA1064" s="300"/>
      <c r="CB1064" s="300"/>
    </row>
    <row r="1065" spans="1:80" s="27" customFormat="1" x14ac:dyDescent="0.3">
      <c r="A1065" s="173"/>
      <c r="D1065" s="173"/>
      <c r="E1065" s="173"/>
      <c r="F1065" s="173"/>
      <c r="G1065" s="173"/>
      <c r="H1065" s="173"/>
      <c r="I1065" s="173"/>
      <c r="J1065" s="173"/>
      <c r="K1065" s="173"/>
      <c r="L1065" s="173"/>
      <c r="AM1065" s="173"/>
      <c r="AN1065" s="173"/>
      <c r="AZ1065" s="337"/>
      <c r="BL1065" s="349"/>
      <c r="BM1065" s="300"/>
      <c r="BN1065" s="300"/>
      <c r="BO1065" s="300"/>
      <c r="BP1065" s="300"/>
      <c r="BQ1065" s="300"/>
      <c r="BR1065" s="300"/>
      <c r="BS1065" s="300"/>
      <c r="BT1065" s="300"/>
      <c r="BU1065" s="300"/>
      <c r="BV1065" s="300"/>
      <c r="BW1065" s="300"/>
      <c r="BX1065" s="300"/>
      <c r="BY1065" s="300"/>
      <c r="BZ1065" s="300"/>
      <c r="CA1065" s="300"/>
      <c r="CB1065" s="300"/>
    </row>
    <row r="1066" spans="1:80" s="27" customFormat="1" x14ac:dyDescent="0.3">
      <c r="A1066" s="173"/>
      <c r="D1066" s="173"/>
      <c r="E1066" s="173"/>
      <c r="F1066" s="173"/>
      <c r="G1066" s="173"/>
      <c r="H1066" s="173"/>
      <c r="I1066" s="173"/>
      <c r="J1066" s="173"/>
      <c r="K1066" s="173"/>
      <c r="L1066" s="173"/>
      <c r="AM1066" s="173"/>
      <c r="AN1066" s="173"/>
      <c r="AZ1066" s="337"/>
      <c r="BL1066" s="349"/>
      <c r="BM1066" s="300"/>
      <c r="BN1066" s="300"/>
      <c r="BO1066" s="300"/>
      <c r="BP1066" s="300"/>
      <c r="BQ1066" s="300"/>
      <c r="BR1066" s="300"/>
      <c r="BS1066" s="300"/>
      <c r="BT1066" s="300"/>
      <c r="BU1066" s="300"/>
      <c r="BV1066" s="300"/>
      <c r="BW1066" s="300"/>
      <c r="BX1066" s="300"/>
      <c r="BY1066" s="300"/>
      <c r="BZ1066" s="300"/>
      <c r="CA1066" s="300"/>
      <c r="CB1066" s="300"/>
    </row>
    <row r="1067" spans="1:80" s="27" customFormat="1" x14ac:dyDescent="0.3">
      <c r="A1067" s="173"/>
      <c r="D1067" s="173"/>
      <c r="E1067" s="173"/>
      <c r="F1067" s="173"/>
      <c r="G1067" s="173"/>
      <c r="H1067" s="173"/>
      <c r="I1067" s="173"/>
      <c r="J1067" s="173"/>
      <c r="K1067" s="173"/>
      <c r="L1067" s="173"/>
      <c r="AM1067" s="173"/>
      <c r="AN1067" s="173"/>
      <c r="AZ1067" s="337"/>
      <c r="BL1067" s="349"/>
      <c r="BM1067" s="300"/>
      <c r="BN1067" s="300"/>
      <c r="BO1067" s="300"/>
      <c r="BP1067" s="300"/>
      <c r="BQ1067" s="300"/>
      <c r="BR1067" s="300"/>
      <c r="BS1067" s="300"/>
      <c r="BT1067" s="300"/>
      <c r="BU1067" s="300"/>
      <c r="BV1067" s="300"/>
      <c r="BW1067" s="300"/>
      <c r="BX1067" s="300"/>
      <c r="BY1067" s="300"/>
      <c r="BZ1067" s="300"/>
      <c r="CA1067" s="300"/>
      <c r="CB1067" s="300"/>
    </row>
    <row r="1068" spans="1:80" s="27" customFormat="1" x14ac:dyDescent="0.3">
      <c r="A1068" s="173"/>
      <c r="D1068" s="173"/>
      <c r="E1068" s="173"/>
      <c r="F1068" s="173"/>
      <c r="G1068" s="173"/>
      <c r="H1068" s="173"/>
      <c r="I1068" s="173"/>
      <c r="J1068" s="173"/>
      <c r="K1068" s="173"/>
      <c r="L1068" s="173"/>
      <c r="AM1068" s="173"/>
      <c r="AN1068" s="173"/>
      <c r="AZ1068" s="337"/>
      <c r="BL1068" s="349"/>
      <c r="BM1068" s="300"/>
      <c r="BN1068" s="300"/>
      <c r="BO1068" s="300"/>
      <c r="BP1068" s="300"/>
      <c r="BQ1068" s="300"/>
      <c r="BR1068" s="300"/>
      <c r="BS1068" s="300"/>
      <c r="BT1068" s="300"/>
      <c r="BU1068" s="300"/>
      <c r="BV1068" s="300"/>
      <c r="BW1068" s="300"/>
      <c r="BX1068" s="300"/>
      <c r="BY1068" s="300"/>
      <c r="BZ1068" s="300"/>
      <c r="CA1068" s="300"/>
      <c r="CB1068" s="300"/>
    </row>
    <row r="1069" spans="1:80" s="27" customFormat="1" x14ac:dyDescent="0.3">
      <c r="A1069" s="173"/>
      <c r="D1069" s="173"/>
      <c r="E1069" s="173"/>
      <c r="F1069" s="173"/>
      <c r="G1069" s="173"/>
      <c r="H1069" s="173"/>
      <c r="I1069" s="173"/>
      <c r="J1069" s="173"/>
      <c r="K1069" s="173"/>
      <c r="L1069" s="173"/>
      <c r="AM1069" s="173"/>
      <c r="AN1069" s="173"/>
      <c r="AZ1069" s="337"/>
      <c r="BL1069" s="349"/>
      <c r="BM1069" s="300"/>
      <c r="BN1069" s="300"/>
      <c r="BO1069" s="300"/>
      <c r="BP1069" s="300"/>
      <c r="BQ1069" s="300"/>
      <c r="BR1069" s="300"/>
      <c r="BS1069" s="300"/>
      <c r="BT1069" s="300"/>
      <c r="BU1069" s="300"/>
      <c r="BV1069" s="300"/>
      <c r="BW1069" s="300"/>
      <c r="BX1069" s="300"/>
      <c r="BY1069" s="300"/>
      <c r="BZ1069" s="300"/>
      <c r="CA1069" s="300"/>
      <c r="CB1069" s="300"/>
    </row>
    <row r="1070" spans="1:80" s="27" customFormat="1" x14ac:dyDescent="0.3">
      <c r="A1070" s="173"/>
      <c r="D1070" s="173"/>
      <c r="E1070" s="173"/>
      <c r="F1070" s="173"/>
      <c r="G1070" s="173"/>
      <c r="H1070" s="173"/>
      <c r="I1070" s="173"/>
      <c r="J1070" s="173"/>
      <c r="K1070" s="173"/>
      <c r="L1070" s="173"/>
      <c r="AM1070" s="173"/>
      <c r="AN1070" s="173"/>
      <c r="AZ1070" s="337"/>
      <c r="BL1070" s="349"/>
      <c r="BM1070" s="300"/>
      <c r="BN1070" s="300"/>
      <c r="BO1070" s="300"/>
      <c r="BP1070" s="300"/>
      <c r="BQ1070" s="300"/>
      <c r="BR1070" s="300"/>
      <c r="BS1070" s="300"/>
      <c r="BT1070" s="300"/>
      <c r="BU1070" s="300"/>
      <c r="BV1070" s="300"/>
      <c r="BW1070" s="300"/>
      <c r="BX1070" s="300"/>
      <c r="BY1070" s="300"/>
      <c r="BZ1070" s="300"/>
      <c r="CA1070" s="300"/>
      <c r="CB1070" s="300"/>
    </row>
    <row r="1071" spans="1:80" s="27" customFormat="1" x14ac:dyDescent="0.3">
      <c r="A1071" s="173"/>
      <c r="D1071" s="173"/>
      <c r="E1071" s="173"/>
      <c r="F1071" s="173"/>
      <c r="G1071" s="173"/>
      <c r="H1071" s="173"/>
      <c r="I1071" s="173"/>
      <c r="J1071" s="173"/>
      <c r="K1071" s="173"/>
      <c r="L1071" s="173"/>
      <c r="AM1071" s="173"/>
      <c r="AN1071" s="173"/>
      <c r="AZ1071" s="337"/>
      <c r="BL1071" s="349"/>
      <c r="BM1071" s="300"/>
      <c r="BN1071" s="300"/>
      <c r="BO1071" s="300"/>
      <c r="BP1071" s="300"/>
      <c r="BQ1071" s="300"/>
      <c r="BR1071" s="300"/>
      <c r="BS1071" s="300"/>
      <c r="BT1071" s="300"/>
      <c r="BU1071" s="300"/>
      <c r="BV1071" s="300"/>
      <c r="BW1071" s="300"/>
      <c r="BX1071" s="300"/>
      <c r="BY1071" s="300"/>
      <c r="BZ1071" s="300"/>
      <c r="CA1071" s="300"/>
      <c r="CB1071" s="300"/>
    </row>
    <row r="1072" spans="1:80" s="27" customFormat="1" x14ac:dyDescent="0.3">
      <c r="A1072" s="173"/>
      <c r="D1072" s="173"/>
      <c r="E1072" s="173"/>
      <c r="F1072" s="173"/>
      <c r="G1072" s="173"/>
      <c r="H1072" s="173"/>
      <c r="I1072" s="173"/>
      <c r="J1072" s="173"/>
      <c r="K1072" s="173"/>
      <c r="L1072" s="173"/>
      <c r="AM1072" s="173"/>
      <c r="AN1072" s="173"/>
      <c r="AZ1072" s="337"/>
      <c r="BL1072" s="349"/>
      <c r="BM1072" s="300"/>
      <c r="BN1072" s="300"/>
      <c r="BO1072" s="300"/>
      <c r="BP1072" s="300"/>
      <c r="BQ1072" s="300"/>
      <c r="BR1072" s="300"/>
      <c r="BS1072" s="300"/>
      <c r="BT1072" s="300"/>
      <c r="BU1072" s="300"/>
      <c r="BV1072" s="300"/>
      <c r="BW1072" s="300"/>
      <c r="BX1072" s="300"/>
      <c r="BY1072" s="300"/>
      <c r="BZ1072" s="300"/>
      <c r="CA1072" s="300"/>
      <c r="CB1072" s="300"/>
    </row>
    <row r="1073" spans="1:80" s="27" customFormat="1" x14ac:dyDescent="0.3">
      <c r="A1073" s="173"/>
      <c r="D1073" s="173"/>
      <c r="E1073" s="173"/>
      <c r="F1073" s="173"/>
      <c r="G1073" s="173"/>
      <c r="H1073" s="173"/>
      <c r="I1073" s="173"/>
      <c r="J1073" s="173"/>
      <c r="K1073" s="173"/>
      <c r="L1073" s="173"/>
      <c r="AM1073" s="173"/>
      <c r="AN1073" s="173"/>
      <c r="AZ1073" s="337"/>
      <c r="BL1073" s="349"/>
      <c r="BM1073" s="300"/>
      <c r="BN1073" s="300"/>
      <c r="BO1073" s="300"/>
      <c r="BP1073" s="300"/>
      <c r="BQ1073" s="300"/>
      <c r="BR1073" s="300"/>
      <c r="BS1073" s="300"/>
      <c r="BT1073" s="300"/>
      <c r="BU1073" s="300"/>
      <c r="BV1073" s="300"/>
      <c r="BW1073" s="300"/>
      <c r="BX1073" s="300"/>
      <c r="BY1073" s="300"/>
      <c r="BZ1073" s="300"/>
      <c r="CA1073" s="300"/>
      <c r="CB1073" s="300"/>
    </row>
    <row r="1074" spans="1:80" s="27" customFormat="1" x14ac:dyDescent="0.3">
      <c r="A1074" s="173"/>
      <c r="D1074" s="173"/>
      <c r="E1074" s="173"/>
      <c r="F1074" s="173"/>
      <c r="G1074" s="173"/>
      <c r="H1074" s="173"/>
      <c r="I1074" s="173"/>
      <c r="J1074" s="173"/>
      <c r="K1074" s="173"/>
      <c r="L1074" s="173"/>
      <c r="AM1074" s="173"/>
      <c r="AN1074" s="173"/>
      <c r="AZ1074" s="337"/>
      <c r="BL1074" s="349"/>
      <c r="BM1074" s="300"/>
      <c r="BN1074" s="300"/>
      <c r="BO1074" s="300"/>
      <c r="BP1074" s="300"/>
      <c r="BQ1074" s="300"/>
      <c r="BR1074" s="300"/>
      <c r="BS1074" s="300"/>
      <c r="BT1074" s="300"/>
      <c r="BU1074" s="300"/>
      <c r="BV1074" s="300"/>
      <c r="BW1074" s="300"/>
      <c r="BX1074" s="300"/>
      <c r="BY1074" s="300"/>
      <c r="BZ1074" s="300"/>
      <c r="CA1074" s="300"/>
      <c r="CB1074" s="300"/>
    </row>
    <row r="1075" spans="1:80" s="27" customFormat="1" x14ac:dyDescent="0.3">
      <c r="A1075" s="173"/>
      <c r="D1075" s="173"/>
      <c r="E1075" s="173"/>
      <c r="F1075" s="173"/>
      <c r="G1075" s="173"/>
      <c r="H1075" s="173"/>
      <c r="I1075" s="173"/>
      <c r="J1075" s="173"/>
      <c r="K1075" s="173"/>
      <c r="L1075" s="173"/>
      <c r="AM1075" s="173"/>
      <c r="AN1075" s="173"/>
      <c r="AZ1075" s="337"/>
      <c r="BL1075" s="349"/>
      <c r="BM1075" s="300"/>
      <c r="BN1075" s="300"/>
      <c r="BO1075" s="300"/>
      <c r="BP1075" s="300"/>
      <c r="BQ1075" s="300"/>
      <c r="BR1075" s="300"/>
      <c r="BS1075" s="300"/>
      <c r="BT1075" s="300"/>
      <c r="BU1075" s="300"/>
      <c r="BV1075" s="300"/>
      <c r="BW1075" s="300"/>
      <c r="BX1075" s="300"/>
      <c r="BY1075" s="300"/>
      <c r="BZ1075" s="300"/>
      <c r="CA1075" s="300"/>
      <c r="CB1075" s="300"/>
    </row>
    <row r="1076" spans="1:80" s="27" customFormat="1" x14ac:dyDescent="0.3">
      <c r="A1076" s="173"/>
      <c r="D1076" s="173"/>
      <c r="E1076" s="173"/>
      <c r="F1076" s="173"/>
      <c r="G1076" s="173"/>
      <c r="H1076" s="173"/>
      <c r="I1076" s="173"/>
      <c r="J1076" s="173"/>
      <c r="K1076" s="173"/>
      <c r="L1076" s="173"/>
      <c r="AM1076" s="173"/>
      <c r="AN1076" s="173"/>
      <c r="AZ1076" s="337"/>
      <c r="BL1076" s="349"/>
      <c r="BM1076" s="300"/>
      <c r="BN1076" s="300"/>
      <c r="BO1076" s="300"/>
      <c r="BP1076" s="300"/>
      <c r="BQ1076" s="300"/>
      <c r="BR1076" s="300"/>
      <c r="BS1076" s="300"/>
      <c r="BT1076" s="300"/>
      <c r="BU1076" s="300"/>
      <c r="BV1076" s="300"/>
      <c r="BW1076" s="300"/>
      <c r="BX1076" s="300"/>
      <c r="BY1076" s="300"/>
      <c r="BZ1076" s="300"/>
      <c r="CA1076" s="300"/>
      <c r="CB1076" s="300"/>
    </row>
    <row r="1077" spans="1:80" s="27" customFormat="1" x14ac:dyDescent="0.3">
      <c r="A1077" s="173"/>
      <c r="D1077" s="173"/>
      <c r="E1077" s="173"/>
      <c r="F1077" s="173"/>
      <c r="G1077" s="173"/>
      <c r="H1077" s="173"/>
      <c r="I1077" s="173"/>
      <c r="J1077" s="173"/>
      <c r="K1077" s="173"/>
      <c r="L1077" s="173"/>
      <c r="AM1077" s="173"/>
      <c r="AN1077" s="173"/>
      <c r="AZ1077" s="337"/>
      <c r="BL1077" s="349"/>
      <c r="BM1077" s="300"/>
      <c r="BN1077" s="300"/>
      <c r="BO1077" s="300"/>
      <c r="BP1077" s="300"/>
      <c r="BQ1077" s="300"/>
      <c r="BR1077" s="300"/>
      <c r="BS1077" s="300"/>
      <c r="BT1077" s="300"/>
      <c r="BU1077" s="300"/>
      <c r="BV1077" s="300"/>
      <c r="BW1077" s="300"/>
      <c r="BX1077" s="300"/>
      <c r="BY1077" s="300"/>
      <c r="BZ1077" s="300"/>
      <c r="CA1077" s="300"/>
      <c r="CB1077" s="300"/>
    </row>
    <row r="1078" spans="1:80" s="27" customFormat="1" x14ac:dyDescent="0.3">
      <c r="A1078" s="173"/>
      <c r="D1078" s="173"/>
      <c r="E1078" s="173"/>
      <c r="F1078" s="173"/>
      <c r="G1078" s="173"/>
      <c r="H1078" s="173"/>
      <c r="I1078" s="173"/>
      <c r="J1078" s="173"/>
      <c r="K1078" s="173"/>
      <c r="L1078" s="173"/>
      <c r="AM1078" s="173"/>
      <c r="AN1078" s="173"/>
      <c r="AZ1078" s="337"/>
      <c r="BL1078" s="349"/>
      <c r="BM1078" s="300"/>
      <c r="BN1078" s="300"/>
      <c r="BO1078" s="300"/>
      <c r="BP1078" s="300"/>
      <c r="BQ1078" s="300"/>
      <c r="BR1078" s="300"/>
      <c r="BS1078" s="300"/>
      <c r="BT1078" s="300"/>
      <c r="BU1078" s="300"/>
      <c r="BV1078" s="300"/>
      <c r="BW1078" s="300"/>
      <c r="BX1078" s="300"/>
      <c r="BY1078" s="300"/>
      <c r="BZ1078" s="300"/>
      <c r="CA1078" s="300"/>
      <c r="CB1078" s="300"/>
    </row>
    <row r="1079" spans="1:80" s="27" customFormat="1" x14ac:dyDescent="0.3">
      <c r="A1079" s="173"/>
      <c r="D1079" s="173"/>
      <c r="E1079" s="173"/>
      <c r="F1079" s="173"/>
      <c r="G1079" s="173"/>
      <c r="H1079" s="173"/>
      <c r="I1079" s="173"/>
      <c r="J1079" s="173"/>
      <c r="K1079" s="173"/>
      <c r="L1079" s="173"/>
      <c r="AM1079" s="173"/>
      <c r="AN1079" s="173"/>
      <c r="AZ1079" s="337"/>
      <c r="BL1079" s="349"/>
      <c r="BM1079" s="300"/>
      <c r="BN1079" s="300"/>
      <c r="BO1079" s="300"/>
      <c r="BP1079" s="300"/>
      <c r="BQ1079" s="300"/>
      <c r="BR1079" s="300"/>
      <c r="BS1079" s="300"/>
      <c r="BT1079" s="300"/>
      <c r="BU1079" s="300"/>
      <c r="BV1079" s="300"/>
      <c r="BW1079" s="300"/>
      <c r="BX1079" s="300"/>
      <c r="BY1079" s="300"/>
      <c r="BZ1079" s="300"/>
      <c r="CA1079" s="300"/>
      <c r="CB1079" s="300"/>
    </row>
    <row r="1080" spans="1:80" s="27" customFormat="1" x14ac:dyDescent="0.3">
      <c r="A1080" s="173"/>
      <c r="D1080" s="173"/>
      <c r="E1080" s="173"/>
      <c r="F1080" s="173"/>
      <c r="G1080" s="173"/>
      <c r="H1080" s="173"/>
      <c r="I1080" s="173"/>
      <c r="J1080" s="173"/>
      <c r="K1080" s="173"/>
      <c r="L1080" s="173"/>
      <c r="AM1080" s="173"/>
      <c r="AN1080" s="173"/>
      <c r="AZ1080" s="337"/>
      <c r="BL1080" s="349"/>
      <c r="BM1080" s="300"/>
      <c r="BN1080" s="300"/>
      <c r="BO1080" s="300"/>
      <c r="BP1080" s="300"/>
      <c r="BQ1080" s="300"/>
      <c r="BR1080" s="300"/>
      <c r="BS1080" s="300"/>
      <c r="BT1080" s="300"/>
      <c r="BU1080" s="300"/>
      <c r="BV1080" s="300"/>
      <c r="BW1080" s="300"/>
      <c r="BX1080" s="300"/>
      <c r="BY1080" s="300"/>
      <c r="BZ1080" s="300"/>
      <c r="CA1080" s="300"/>
      <c r="CB1080" s="300"/>
    </row>
    <row r="1081" spans="1:80" s="27" customFormat="1" x14ac:dyDescent="0.3">
      <c r="A1081" s="173"/>
      <c r="D1081" s="173"/>
      <c r="E1081" s="173"/>
      <c r="F1081" s="173"/>
      <c r="G1081" s="173"/>
      <c r="H1081" s="173"/>
      <c r="I1081" s="173"/>
      <c r="J1081" s="173"/>
      <c r="K1081" s="173"/>
      <c r="L1081" s="173"/>
      <c r="AM1081" s="173"/>
      <c r="AN1081" s="173"/>
      <c r="AZ1081" s="337"/>
      <c r="BL1081" s="349"/>
      <c r="BM1081" s="300"/>
      <c r="BN1081" s="300"/>
      <c r="BO1081" s="300"/>
      <c r="BP1081" s="300"/>
      <c r="BQ1081" s="300"/>
      <c r="BR1081" s="300"/>
      <c r="BS1081" s="300"/>
      <c r="BT1081" s="300"/>
      <c r="BU1081" s="300"/>
      <c r="BV1081" s="300"/>
      <c r="BW1081" s="300"/>
      <c r="BX1081" s="300"/>
      <c r="BY1081" s="300"/>
      <c r="BZ1081" s="300"/>
      <c r="CA1081" s="300"/>
      <c r="CB1081" s="300"/>
    </row>
    <row r="1082" spans="1:80" s="27" customFormat="1" x14ac:dyDescent="0.3">
      <c r="A1082" s="173"/>
      <c r="D1082" s="173"/>
      <c r="E1082" s="173"/>
      <c r="F1082" s="173"/>
      <c r="G1082" s="173"/>
      <c r="H1082" s="173"/>
      <c r="I1082" s="173"/>
      <c r="J1082" s="173"/>
      <c r="K1082" s="173"/>
      <c r="L1082" s="173"/>
      <c r="AM1082" s="173"/>
      <c r="AN1082" s="173"/>
      <c r="AZ1082" s="337"/>
      <c r="BL1082" s="349"/>
      <c r="BM1082" s="300"/>
      <c r="BN1082" s="300"/>
      <c r="BO1082" s="300"/>
      <c r="BP1082" s="300"/>
      <c r="BQ1082" s="300"/>
      <c r="BR1082" s="300"/>
      <c r="BS1082" s="300"/>
      <c r="BT1082" s="300"/>
      <c r="BU1082" s="300"/>
      <c r="BV1082" s="300"/>
      <c r="BW1082" s="300"/>
      <c r="BX1082" s="300"/>
      <c r="BY1082" s="300"/>
      <c r="BZ1082" s="300"/>
      <c r="CA1082" s="300"/>
      <c r="CB1082" s="300"/>
    </row>
    <row r="1083" spans="1:80" s="27" customFormat="1" x14ac:dyDescent="0.3">
      <c r="A1083" s="173"/>
      <c r="D1083" s="173"/>
      <c r="E1083" s="173"/>
      <c r="F1083" s="173"/>
      <c r="G1083" s="173"/>
      <c r="H1083" s="173"/>
      <c r="I1083" s="173"/>
      <c r="J1083" s="173"/>
      <c r="K1083" s="173"/>
      <c r="L1083" s="173"/>
      <c r="AM1083" s="173"/>
      <c r="AN1083" s="173"/>
      <c r="AZ1083" s="337"/>
      <c r="BL1083" s="349"/>
      <c r="BM1083" s="300"/>
      <c r="BN1083" s="300"/>
      <c r="BO1083" s="300"/>
      <c r="BP1083" s="300"/>
      <c r="BQ1083" s="300"/>
      <c r="BR1083" s="300"/>
      <c r="BS1083" s="300"/>
      <c r="BT1083" s="300"/>
      <c r="BU1083" s="300"/>
      <c r="BV1083" s="300"/>
      <c r="BW1083" s="300"/>
      <c r="BX1083" s="300"/>
      <c r="BY1083" s="300"/>
      <c r="BZ1083" s="300"/>
      <c r="CA1083" s="300"/>
      <c r="CB1083" s="300"/>
    </row>
    <row r="1084" spans="1:80" s="27" customFormat="1" x14ac:dyDescent="0.3">
      <c r="A1084" s="173"/>
      <c r="D1084" s="173"/>
      <c r="E1084" s="173"/>
      <c r="F1084" s="173"/>
      <c r="G1084" s="173"/>
      <c r="H1084" s="173"/>
      <c r="I1084" s="173"/>
      <c r="J1084" s="173"/>
      <c r="K1084" s="173"/>
      <c r="L1084" s="173"/>
      <c r="AM1084" s="173"/>
      <c r="AN1084" s="173"/>
      <c r="AZ1084" s="337"/>
      <c r="BL1084" s="349"/>
      <c r="BM1084" s="300"/>
      <c r="BN1084" s="300"/>
      <c r="BO1084" s="300"/>
      <c r="BP1084" s="300"/>
      <c r="BQ1084" s="300"/>
      <c r="BR1084" s="300"/>
      <c r="BS1084" s="300"/>
      <c r="BT1084" s="300"/>
      <c r="BU1084" s="300"/>
      <c r="BV1084" s="300"/>
      <c r="BW1084" s="300"/>
      <c r="BX1084" s="300"/>
      <c r="BY1084" s="300"/>
      <c r="BZ1084" s="300"/>
      <c r="CA1084" s="300"/>
      <c r="CB1084" s="300"/>
    </row>
    <row r="1085" spans="1:80" s="27" customFormat="1" x14ac:dyDescent="0.3">
      <c r="A1085" s="173"/>
      <c r="D1085" s="173"/>
      <c r="E1085" s="173"/>
      <c r="F1085" s="173"/>
      <c r="G1085" s="173"/>
      <c r="H1085" s="173"/>
      <c r="I1085" s="173"/>
      <c r="J1085" s="173"/>
      <c r="K1085" s="173"/>
      <c r="L1085" s="173"/>
      <c r="AM1085" s="173"/>
      <c r="AN1085" s="173"/>
      <c r="AZ1085" s="337"/>
      <c r="BL1085" s="349"/>
      <c r="BM1085" s="300"/>
      <c r="BN1085" s="300"/>
      <c r="BO1085" s="300"/>
      <c r="BP1085" s="300"/>
      <c r="BQ1085" s="300"/>
      <c r="BR1085" s="300"/>
      <c r="BS1085" s="300"/>
      <c r="BT1085" s="300"/>
      <c r="BU1085" s="300"/>
      <c r="BV1085" s="300"/>
      <c r="BW1085" s="300"/>
      <c r="BX1085" s="300"/>
      <c r="BY1085" s="300"/>
      <c r="BZ1085" s="300"/>
      <c r="CA1085" s="300"/>
      <c r="CB1085" s="300"/>
    </row>
    <row r="1086" spans="1:80" s="27" customFormat="1" x14ac:dyDescent="0.3">
      <c r="A1086" s="173"/>
      <c r="D1086" s="173"/>
      <c r="E1086" s="173"/>
      <c r="F1086" s="173"/>
      <c r="G1086" s="173"/>
      <c r="H1086" s="173"/>
      <c r="I1086" s="173"/>
      <c r="J1086" s="173"/>
      <c r="K1086" s="173"/>
      <c r="L1086" s="173"/>
      <c r="AM1086" s="173"/>
      <c r="AN1086" s="173"/>
      <c r="AZ1086" s="337"/>
      <c r="BL1086" s="349"/>
      <c r="BM1086" s="300"/>
      <c r="BN1086" s="300"/>
      <c r="BO1086" s="300"/>
      <c r="BP1086" s="300"/>
      <c r="BQ1086" s="300"/>
      <c r="BR1086" s="300"/>
      <c r="BS1086" s="300"/>
      <c r="BT1086" s="300"/>
      <c r="BU1086" s="300"/>
      <c r="BV1086" s="300"/>
      <c r="BW1086" s="300"/>
      <c r="BX1086" s="300"/>
      <c r="BY1086" s="300"/>
      <c r="BZ1086" s="300"/>
      <c r="CA1086" s="300"/>
      <c r="CB1086" s="300"/>
    </row>
    <row r="1087" spans="1:80" s="27" customFormat="1" x14ac:dyDescent="0.3">
      <c r="A1087" s="173"/>
      <c r="D1087" s="173"/>
      <c r="E1087" s="173"/>
      <c r="F1087" s="173"/>
      <c r="G1087" s="173"/>
      <c r="H1087" s="173"/>
      <c r="I1087" s="173"/>
      <c r="J1087" s="173"/>
      <c r="K1087" s="173"/>
      <c r="L1087" s="173"/>
      <c r="AM1087" s="173"/>
      <c r="AN1087" s="173"/>
      <c r="AZ1087" s="337"/>
      <c r="BL1087" s="349"/>
      <c r="BM1087" s="300"/>
      <c r="BN1087" s="300"/>
      <c r="BO1087" s="300"/>
      <c r="BP1087" s="300"/>
      <c r="BQ1087" s="300"/>
      <c r="BR1087" s="300"/>
      <c r="BS1087" s="300"/>
      <c r="BT1087" s="300"/>
      <c r="BU1087" s="300"/>
      <c r="BV1087" s="300"/>
      <c r="BW1087" s="300"/>
      <c r="BX1087" s="300"/>
      <c r="BY1087" s="300"/>
      <c r="BZ1087" s="300"/>
      <c r="CA1087" s="300"/>
      <c r="CB1087" s="300"/>
    </row>
    <row r="1088" spans="1:80" s="27" customFormat="1" x14ac:dyDescent="0.3">
      <c r="A1088" s="173"/>
      <c r="D1088" s="173"/>
      <c r="E1088" s="173"/>
      <c r="F1088" s="173"/>
      <c r="G1088" s="173"/>
      <c r="H1088" s="173"/>
      <c r="I1088" s="173"/>
      <c r="J1088" s="173"/>
      <c r="K1088" s="173"/>
      <c r="L1088" s="173"/>
      <c r="AM1088" s="173"/>
      <c r="AN1088" s="173"/>
      <c r="AZ1088" s="337"/>
      <c r="BL1088" s="349"/>
      <c r="BM1088" s="300"/>
      <c r="BN1088" s="300"/>
      <c r="BO1088" s="300"/>
      <c r="BP1088" s="300"/>
      <c r="BQ1088" s="300"/>
      <c r="BR1088" s="300"/>
      <c r="BS1088" s="300"/>
      <c r="BT1088" s="300"/>
      <c r="BU1088" s="300"/>
      <c r="BV1088" s="300"/>
      <c r="BW1088" s="300"/>
      <c r="BX1088" s="300"/>
      <c r="BY1088" s="300"/>
      <c r="BZ1088" s="300"/>
      <c r="CA1088" s="300"/>
      <c r="CB1088" s="300"/>
    </row>
    <row r="1089" spans="1:80" s="27" customFormat="1" x14ac:dyDescent="0.3">
      <c r="A1089" s="173"/>
      <c r="D1089" s="173"/>
      <c r="E1089" s="173"/>
      <c r="F1089" s="173"/>
      <c r="G1089" s="173"/>
      <c r="H1089" s="173"/>
      <c r="I1089" s="173"/>
      <c r="J1089" s="173"/>
      <c r="K1089" s="173"/>
      <c r="L1089" s="173"/>
      <c r="AM1089" s="173"/>
      <c r="AN1089" s="173"/>
      <c r="AZ1089" s="337"/>
      <c r="BL1089" s="349"/>
      <c r="BM1089" s="300"/>
      <c r="BN1089" s="300"/>
      <c r="BO1089" s="300"/>
      <c r="BP1089" s="300"/>
      <c r="BQ1089" s="300"/>
      <c r="BR1089" s="300"/>
      <c r="BS1089" s="300"/>
      <c r="BT1089" s="300"/>
      <c r="BU1089" s="300"/>
      <c r="BV1089" s="300"/>
      <c r="BW1089" s="300"/>
      <c r="BX1089" s="300"/>
      <c r="BY1089" s="300"/>
      <c r="BZ1089" s="300"/>
      <c r="CA1089" s="300"/>
      <c r="CB1089" s="300"/>
    </row>
    <row r="1090" spans="1:80" s="27" customFormat="1" x14ac:dyDescent="0.3">
      <c r="A1090" s="173"/>
      <c r="D1090" s="173"/>
      <c r="E1090" s="173"/>
      <c r="F1090" s="173"/>
      <c r="G1090" s="173"/>
      <c r="H1090" s="173"/>
      <c r="I1090" s="173"/>
      <c r="J1090" s="173"/>
      <c r="K1090" s="173"/>
      <c r="L1090" s="173"/>
      <c r="AM1090" s="173"/>
      <c r="AN1090" s="173"/>
      <c r="AZ1090" s="337"/>
      <c r="BL1090" s="349"/>
      <c r="BM1090" s="300"/>
      <c r="BN1090" s="300"/>
      <c r="BO1090" s="300"/>
      <c r="BP1090" s="300"/>
      <c r="BQ1090" s="300"/>
      <c r="BR1090" s="300"/>
      <c r="BS1090" s="300"/>
      <c r="BT1090" s="300"/>
      <c r="BU1090" s="300"/>
      <c r="BV1090" s="300"/>
      <c r="BW1090" s="300"/>
      <c r="BX1090" s="300"/>
      <c r="BY1090" s="300"/>
      <c r="BZ1090" s="300"/>
      <c r="CA1090" s="300"/>
      <c r="CB1090" s="300"/>
    </row>
    <row r="1091" spans="1:80" s="27" customFormat="1" x14ac:dyDescent="0.3">
      <c r="A1091" s="173"/>
      <c r="D1091" s="173"/>
      <c r="E1091" s="173"/>
      <c r="F1091" s="173"/>
      <c r="G1091" s="173"/>
      <c r="H1091" s="173"/>
      <c r="I1091" s="173"/>
      <c r="J1091" s="173"/>
      <c r="K1091" s="173"/>
      <c r="L1091" s="173"/>
      <c r="AM1091" s="173"/>
      <c r="AN1091" s="173"/>
      <c r="AZ1091" s="337"/>
      <c r="BL1091" s="349"/>
      <c r="BM1091" s="300"/>
      <c r="BN1091" s="300"/>
      <c r="BO1091" s="300"/>
      <c r="BP1091" s="300"/>
      <c r="BQ1091" s="300"/>
      <c r="BR1091" s="300"/>
      <c r="BS1091" s="300"/>
      <c r="BT1091" s="300"/>
      <c r="BU1091" s="300"/>
      <c r="BV1091" s="300"/>
      <c r="BW1091" s="300"/>
      <c r="BX1091" s="300"/>
      <c r="BY1091" s="300"/>
      <c r="BZ1091" s="300"/>
      <c r="CA1091" s="300"/>
      <c r="CB1091" s="300"/>
    </row>
    <row r="1092" spans="1:80" s="27" customFormat="1" x14ac:dyDescent="0.3">
      <c r="A1092" s="173"/>
      <c r="D1092" s="173"/>
      <c r="E1092" s="173"/>
      <c r="F1092" s="173"/>
      <c r="G1092" s="173"/>
      <c r="H1092" s="173"/>
      <c r="I1092" s="173"/>
      <c r="J1092" s="173"/>
      <c r="K1092" s="173"/>
      <c r="L1092" s="173"/>
      <c r="AM1092" s="173"/>
      <c r="AN1092" s="173"/>
      <c r="AZ1092" s="337"/>
      <c r="BL1092" s="349"/>
      <c r="BM1092" s="300"/>
      <c r="BN1092" s="300"/>
      <c r="BO1092" s="300"/>
      <c r="BP1092" s="300"/>
      <c r="BQ1092" s="300"/>
      <c r="BR1092" s="300"/>
      <c r="BS1092" s="300"/>
      <c r="BT1092" s="300"/>
      <c r="BU1092" s="300"/>
      <c r="BV1092" s="300"/>
      <c r="BW1092" s="300"/>
      <c r="BX1092" s="300"/>
      <c r="BY1092" s="300"/>
      <c r="BZ1092" s="300"/>
      <c r="CA1092" s="300"/>
      <c r="CB1092" s="300"/>
    </row>
    <row r="1093" spans="1:80" s="27" customFormat="1" x14ac:dyDescent="0.3">
      <c r="A1093" s="173"/>
      <c r="D1093" s="173"/>
      <c r="E1093" s="173"/>
      <c r="F1093" s="173"/>
      <c r="G1093" s="173"/>
      <c r="H1093" s="173"/>
      <c r="I1093" s="173"/>
      <c r="J1093" s="173"/>
      <c r="K1093" s="173"/>
      <c r="L1093" s="173"/>
      <c r="AM1093" s="173"/>
      <c r="AN1093" s="173"/>
      <c r="AZ1093" s="337"/>
      <c r="BL1093" s="349"/>
      <c r="BM1093" s="300"/>
      <c r="BN1093" s="300"/>
      <c r="BO1093" s="300"/>
      <c r="BP1093" s="300"/>
      <c r="BQ1093" s="300"/>
      <c r="BR1093" s="300"/>
      <c r="BS1093" s="300"/>
      <c r="BT1093" s="300"/>
      <c r="BU1093" s="300"/>
      <c r="BV1093" s="300"/>
      <c r="BW1093" s="300"/>
      <c r="BX1093" s="300"/>
      <c r="BY1093" s="300"/>
      <c r="BZ1093" s="300"/>
      <c r="CA1093" s="300"/>
      <c r="CB1093" s="300"/>
    </row>
    <row r="1094" spans="1:80" s="27" customFormat="1" x14ac:dyDescent="0.3">
      <c r="A1094" s="173"/>
      <c r="D1094" s="173"/>
      <c r="E1094" s="173"/>
      <c r="F1094" s="173"/>
      <c r="G1094" s="173"/>
      <c r="H1094" s="173"/>
      <c r="I1094" s="173"/>
      <c r="J1094" s="173"/>
      <c r="K1094" s="173"/>
      <c r="L1094" s="173"/>
      <c r="AM1094" s="173"/>
      <c r="AN1094" s="173"/>
      <c r="AZ1094" s="337"/>
      <c r="BL1094" s="349"/>
      <c r="BM1094" s="300"/>
      <c r="BN1094" s="300"/>
      <c r="BO1094" s="300"/>
      <c r="BP1094" s="300"/>
      <c r="BQ1094" s="300"/>
      <c r="BR1094" s="300"/>
      <c r="BS1094" s="300"/>
      <c r="BT1094" s="300"/>
      <c r="BU1094" s="300"/>
      <c r="BV1094" s="300"/>
      <c r="BW1094" s="300"/>
      <c r="BX1094" s="300"/>
      <c r="BY1094" s="300"/>
      <c r="BZ1094" s="300"/>
      <c r="CA1094" s="300"/>
      <c r="CB1094" s="300"/>
    </row>
    <row r="1095" spans="1:80" s="27" customFormat="1" x14ac:dyDescent="0.3">
      <c r="A1095" s="173"/>
      <c r="D1095" s="173"/>
      <c r="E1095" s="173"/>
      <c r="F1095" s="173"/>
      <c r="G1095" s="173"/>
      <c r="H1095" s="173"/>
      <c r="I1095" s="173"/>
      <c r="J1095" s="173"/>
      <c r="K1095" s="173"/>
      <c r="L1095" s="173"/>
      <c r="AM1095" s="173"/>
      <c r="AN1095" s="173"/>
      <c r="AZ1095" s="337"/>
      <c r="BL1095" s="349"/>
      <c r="BM1095" s="300"/>
      <c r="BN1095" s="300"/>
      <c r="BO1095" s="300"/>
      <c r="BP1095" s="300"/>
      <c r="BQ1095" s="300"/>
      <c r="BR1095" s="300"/>
      <c r="BS1095" s="300"/>
      <c r="BT1095" s="300"/>
      <c r="BU1095" s="300"/>
      <c r="BV1095" s="300"/>
      <c r="BW1095" s="300"/>
      <c r="BX1095" s="300"/>
      <c r="BY1095" s="300"/>
      <c r="BZ1095" s="300"/>
      <c r="CA1095" s="300"/>
      <c r="CB1095" s="300"/>
    </row>
    <row r="1096" spans="1:80" s="27" customFormat="1" x14ac:dyDescent="0.3">
      <c r="A1096" s="173"/>
      <c r="D1096" s="173"/>
      <c r="E1096" s="173"/>
      <c r="F1096" s="173"/>
      <c r="G1096" s="173"/>
      <c r="H1096" s="173"/>
      <c r="I1096" s="173"/>
      <c r="J1096" s="173"/>
      <c r="K1096" s="173"/>
      <c r="L1096" s="173"/>
      <c r="AM1096" s="173"/>
      <c r="AN1096" s="173"/>
      <c r="AZ1096" s="337"/>
      <c r="BL1096" s="349"/>
      <c r="BM1096" s="300"/>
      <c r="BN1096" s="300"/>
      <c r="BO1096" s="300"/>
      <c r="BP1096" s="300"/>
      <c r="BQ1096" s="300"/>
      <c r="BR1096" s="300"/>
      <c r="BS1096" s="300"/>
      <c r="BT1096" s="300"/>
      <c r="BU1096" s="300"/>
      <c r="BV1096" s="300"/>
      <c r="BW1096" s="300"/>
      <c r="BX1096" s="300"/>
      <c r="BY1096" s="300"/>
      <c r="BZ1096" s="300"/>
      <c r="CA1096" s="300"/>
      <c r="CB1096" s="300"/>
    </row>
    <row r="1097" spans="1:80" s="27" customFormat="1" x14ac:dyDescent="0.3">
      <c r="A1097" s="173"/>
      <c r="D1097" s="173"/>
      <c r="E1097" s="173"/>
      <c r="F1097" s="173"/>
      <c r="G1097" s="173"/>
      <c r="H1097" s="173"/>
      <c r="I1097" s="173"/>
      <c r="J1097" s="173"/>
      <c r="K1097" s="173"/>
      <c r="L1097" s="173"/>
      <c r="AM1097" s="173"/>
      <c r="AN1097" s="173"/>
      <c r="AZ1097" s="337"/>
      <c r="BL1097" s="349"/>
      <c r="BM1097" s="300"/>
      <c r="BN1097" s="300"/>
      <c r="BO1097" s="300"/>
      <c r="BP1097" s="300"/>
      <c r="BQ1097" s="300"/>
      <c r="BR1097" s="300"/>
      <c r="BS1097" s="300"/>
      <c r="BT1097" s="300"/>
      <c r="BU1097" s="300"/>
      <c r="BV1097" s="300"/>
      <c r="BW1097" s="300"/>
      <c r="BX1097" s="300"/>
      <c r="BY1097" s="300"/>
      <c r="BZ1097" s="300"/>
      <c r="CA1097" s="300"/>
      <c r="CB1097" s="300"/>
    </row>
    <row r="1098" spans="1:80" s="27" customFormat="1" x14ac:dyDescent="0.3">
      <c r="A1098" s="173"/>
      <c r="D1098" s="173"/>
      <c r="E1098" s="173"/>
      <c r="F1098" s="173"/>
      <c r="G1098" s="173"/>
      <c r="H1098" s="173"/>
      <c r="I1098" s="173"/>
      <c r="J1098" s="173"/>
      <c r="K1098" s="173"/>
      <c r="L1098" s="173"/>
      <c r="AM1098" s="173"/>
      <c r="AN1098" s="173"/>
      <c r="AZ1098" s="337"/>
      <c r="BL1098" s="349"/>
      <c r="BM1098" s="300"/>
      <c r="BN1098" s="300"/>
      <c r="BO1098" s="300"/>
      <c r="BP1098" s="300"/>
      <c r="BQ1098" s="300"/>
      <c r="BR1098" s="300"/>
      <c r="BS1098" s="300"/>
      <c r="BT1098" s="300"/>
      <c r="BU1098" s="300"/>
      <c r="BV1098" s="300"/>
      <c r="BW1098" s="300"/>
      <c r="BX1098" s="300"/>
      <c r="BY1098" s="300"/>
      <c r="BZ1098" s="300"/>
      <c r="CA1098" s="300"/>
      <c r="CB1098" s="300"/>
    </row>
    <row r="1099" spans="1:80" s="27" customFormat="1" x14ac:dyDescent="0.3">
      <c r="A1099" s="173"/>
      <c r="D1099" s="173"/>
      <c r="E1099" s="173"/>
      <c r="F1099" s="173"/>
      <c r="G1099" s="173"/>
      <c r="H1099" s="173"/>
      <c r="I1099" s="173"/>
      <c r="J1099" s="173"/>
      <c r="K1099" s="173"/>
      <c r="L1099" s="173"/>
      <c r="AM1099" s="173"/>
      <c r="AN1099" s="173"/>
      <c r="AZ1099" s="337"/>
      <c r="BL1099" s="349"/>
      <c r="BM1099" s="300"/>
      <c r="BN1099" s="300"/>
      <c r="BO1099" s="300"/>
      <c r="BP1099" s="300"/>
      <c r="BQ1099" s="300"/>
      <c r="BR1099" s="300"/>
      <c r="BS1099" s="300"/>
      <c r="BT1099" s="300"/>
      <c r="BU1099" s="300"/>
      <c r="BV1099" s="300"/>
      <c r="BW1099" s="300"/>
      <c r="BX1099" s="300"/>
      <c r="BY1099" s="300"/>
      <c r="BZ1099" s="300"/>
      <c r="CA1099" s="300"/>
      <c r="CB1099" s="300"/>
    </row>
    <row r="1100" spans="1:80" s="27" customFormat="1" x14ac:dyDescent="0.3">
      <c r="A1100" s="173"/>
      <c r="D1100" s="173"/>
      <c r="E1100" s="173"/>
      <c r="F1100" s="173"/>
      <c r="G1100" s="173"/>
      <c r="H1100" s="173"/>
      <c r="I1100" s="173"/>
      <c r="J1100" s="173"/>
      <c r="K1100" s="173"/>
      <c r="L1100" s="173"/>
      <c r="AM1100" s="173"/>
      <c r="AN1100" s="173"/>
      <c r="AZ1100" s="337"/>
      <c r="BL1100" s="349"/>
      <c r="BM1100" s="300"/>
      <c r="BN1100" s="300"/>
      <c r="BO1100" s="300"/>
      <c r="BP1100" s="300"/>
      <c r="BQ1100" s="300"/>
      <c r="BR1100" s="300"/>
      <c r="BS1100" s="300"/>
      <c r="BT1100" s="300"/>
      <c r="BU1100" s="300"/>
      <c r="BV1100" s="300"/>
      <c r="BW1100" s="300"/>
      <c r="BX1100" s="300"/>
      <c r="BY1100" s="300"/>
      <c r="BZ1100" s="300"/>
      <c r="CA1100" s="300"/>
      <c r="CB1100" s="300"/>
    </row>
    <row r="1101" spans="1:80" s="27" customFormat="1" x14ac:dyDescent="0.3">
      <c r="A1101" s="173"/>
      <c r="D1101" s="173"/>
      <c r="E1101" s="173"/>
      <c r="F1101" s="173"/>
      <c r="G1101" s="173"/>
      <c r="H1101" s="173"/>
      <c r="I1101" s="173"/>
      <c r="J1101" s="173"/>
      <c r="K1101" s="173"/>
      <c r="L1101" s="173"/>
      <c r="AM1101" s="173"/>
      <c r="AN1101" s="173"/>
      <c r="AZ1101" s="337"/>
      <c r="BL1101" s="349"/>
      <c r="BM1101" s="300"/>
      <c r="BN1101" s="300"/>
      <c r="BO1101" s="300"/>
      <c r="BP1101" s="300"/>
      <c r="BQ1101" s="300"/>
      <c r="BR1101" s="300"/>
      <c r="BS1101" s="300"/>
      <c r="BT1101" s="300"/>
      <c r="BU1101" s="300"/>
      <c r="BV1101" s="300"/>
      <c r="BW1101" s="300"/>
      <c r="BX1101" s="300"/>
      <c r="BY1101" s="300"/>
      <c r="BZ1101" s="300"/>
      <c r="CA1101" s="300"/>
      <c r="CB1101" s="300"/>
    </row>
    <row r="1102" spans="1:80" s="27" customFormat="1" x14ac:dyDescent="0.3">
      <c r="A1102" s="173"/>
      <c r="D1102" s="173"/>
      <c r="E1102" s="173"/>
      <c r="F1102" s="173"/>
      <c r="G1102" s="173"/>
      <c r="H1102" s="173"/>
      <c r="I1102" s="173"/>
      <c r="J1102" s="173"/>
      <c r="K1102" s="173"/>
      <c r="L1102" s="173"/>
      <c r="AM1102" s="173"/>
      <c r="AN1102" s="173"/>
      <c r="AZ1102" s="337"/>
      <c r="BL1102" s="349"/>
      <c r="BM1102" s="300"/>
      <c r="BN1102" s="300"/>
      <c r="BO1102" s="300"/>
      <c r="BP1102" s="300"/>
      <c r="BQ1102" s="300"/>
      <c r="BR1102" s="300"/>
      <c r="BS1102" s="300"/>
      <c r="BT1102" s="300"/>
      <c r="BU1102" s="300"/>
      <c r="BV1102" s="300"/>
      <c r="BW1102" s="300"/>
      <c r="BX1102" s="300"/>
      <c r="BY1102" s="300"/>
      <c r="BZ1102" s="300"/>
      <c r="CA1102" s="300"/>
      <c r="CB1102" s="300"/>
    </row>
    <row r="1103" spans="1:80" s="27" customFormat="1" x14ac:dyDescent="0.3">
      <c r="A1103" s="173"/>
      <c r="D1103" s="173"/>
      <c r="E1103" s="173"/>
      <c r="F1103" s="173"/>
      <c r="G1103" s="173"/>
      <c r="H1103" s="173"/>
      <c r="I1103" s="173"/>
      <c r="J1103" s="173"/>
      <c r="K1103" s="173"/>
      <c r="L1103" s="173"/>
      <c r="AM1103" s="173"/>
      <c r="AN1103" s="173"/>
      <c r="AZ1103" s="337"/>
      <c r="BL1103" s="349"/>
      <c r="BM1103" s="300"/>
      <c r="BN1103" s="300"/>
      <c r="BO1103" s="300"/>
      <c r="BP1103" s="300"/>
      <c r="BQ1103" s="300"/>
      <c r="BR1103" s="300"/>
      <c r="BS1103" s="300"/>
      <c r="BT1103" s="300"/>
      <c r="BU1103" s="300"/>
      <c r="BV1103" s="300"/>
      <c r="BW1103" s="300"/>
      <c r="BX1103" s="300"/>
      <c r="BY1103" s="300"/>
      <c r="BZ1103" s="300"/>
      <c r="CA1103" s="300"/>
      <c r="CB1103" s="300"/>
    </row>
    <row r="1104" spans="1:80" s="27" customFormat="1" x14ac:dyDescent="0.3">
      <c r="A1104" s="173"/>
      <c r="D1104" s="173"/>
      <c r="E1104" s="173"/>
      <c r="F1104" s="173"/>
      <c r="G1104" s="173"/>
      <c r="H1104" s="173"/>
      <c r="I1104" s="173"/>
      <c r="J1104" s="173"/>
      <c r="K1104" s="173"/>
      <c r="L1104" s="173"/>
      <c r="AM1104" s="173"/>
      <c r="AN1104" s="173"/>
      <c r="AZ1104" s="337"/>
      <c r="BL1104" s="349"/>
      <c r="BM1104" s="300"/>
      <c r="BN1104" s="300"/>
      <c r="BO1104" s="300"/>
      <c r="BP1104" s="300"/>
      <c r="BQ1104" s="300"/>
      <c r="BR1104" s="300"/>
      <c r="BS1104" s="300"/>
      <c r="BT1104" s="300"/>
      <c r="BU1104" s="300"/>
      <c r="BV1104" s="300"/>
      <c r="BW1104" s="300"/>
      <c r="BX1104" s="300"/>
      <c r="BY1104" s="300"/>
      <c r="BZ1104" s="300"/>
      <c r="CA1104" s="300"/>
      <c r="CB1104" s="300"/>
    </row>
    <row r="1105" spans="1:80" s="27" customFormat="1" x14ac:dyDescent="0.3">
      <c r="A1105" s="173"/>
      <c r="D1105" s="173"/>
      <c r="E1105" s="173"/>
      <c r="F1105" s="173"/>
      <c r="G1105" s="173"/>
      <c r="H1105" s="173"/>
      <c r="I1105" s="173"/>
      <c r="J1105" s="173"/>
      <c r="K1105" s="173"/>
      <c r="L1105" s="173"/>
      <c r="AM1105" s="173"/>
      <c r="AN1105" s="173"/>
      <c r="AZ1105" s="337"/>
      <c r="BL1105" s="349"/>
      <c r="BM1105" s="300"/>
      <c r="BN1105" s="300"/>
      <c r="BO1105" s="300"/>
      <c r="BP1105" s="300"/>
      <c r="BQ1105" s="300"/>
      <c r="BR1105" s="300"/>
      <c r="BS1105" s="300"/>
      <c r="BT1105" s="300"/>
      <c r="BU1105" s="300"/>
      <c r="BV1105" s="300"/>
      <c r="BW1105" s="300"/>
      <c r="BX1105" s="300"/>
      <c r="BY1105" s="300"/>
      <c r="BZ1105" s="300"/>
      <c r="CA1105" s="300"/>
      <c r="CB1105" s="300"/>
    </row>
    <row r="1106" spans="1:80" s="27" customFormat="1" x14ac:dyDescent="0.3">
      <c r="A1106" s="173"/>
      <c r="D1106" s="173"/>
      <c r="E1106" s="173"/>
      <c r="F1106" s="173"/>
      <c r="G1106" s="173"/>
      <c r="H1106" s="173"/>
      <c r="I1106" s="173"/>
      <c r="J1106" s="173"/>
      <c r="K1106" s="173"/>
      <c r="L1106" s="173"/>
      <c r="AM1106" s="173"/>
      <c r="AN1106" s="173"/>
      <c r="AZ1106" s="337"/>
      <c r="BL1106" s="349"/>
      <c r="BM1106" s="300"/>
      <c r="BN1106" s="300"/>
      <c r="BO1106" s="300"/>
      <c r="BP1106" s="300"/>
      <c r="BQ1106" s="300"/>
      <c r="BR1106" s="300"/>
      <c r="BS1106" s="300"/>
      <c r="BT1106" s="300"/>
      <c r="BU1106" s="300"/>
      <c r="BV1106" s="300"/>
      <c r="BW1106" s="300"/>
      <c r="BX1106" s="300"/>
      <c r="BY1106" s="300"/>
      <c r="BZ1106" s="300"/>
      <c r="CA1106" s="300"/>
      <c r="CB1106" s="300"/>
    </row>
    <row r="1107" spans="1:80" s="27" customFormat="1" x14ac:dyDescent="0.3">
      <c r="A1107" s="173"/>
      <c r="D1107" s="173"/>
      <c r="E1107" s="173"/>
      <c r="F1107" s="173"/>
      <c r="G1107" s="173"/>
      <c r="H1107" s="173"/>
      <c r="I1107" s="173"/>
      <c r="J1107" s="173"/>
      <c r="K1107" s="173"/>
      <c r="L1107" s="173"/>
      <c r="AM1107" s="173"/>
      <c r="AN1107" s="173"/>
      <c r="AZ1107" s="337"/>
      <c r="BL1107" s="349"/>
      <c r="BM1107" s="300"/>
      <c r="BN1107" s="300"/>
      <c r="BO1107" s="300"/>
      <c r="BP1107" s="300"/>
      <c r="BQ1107" s="300"/>
      <c r="BR1107" s="300"/>
      <c r="BS1107" s="300"/>
      <c r="BT1107" s="300"/>
      <c r="BU1107" s="300"/>
      <c r="BV1107" s="300"/>
      <c r="BW1107" s="300"/>
      <c r="BX1107" s="300"/>
      <c r="BY1107" s="300"/>
      <c r="BZ1107" s="300"/>
      <c r="CA1107" s="300"/>
      <c r="CB1107" s="300"/>
    </row>
    <row r="1108" spans="1:80" s="27" customFormat="1" x14ac:dyDescent="0.3">
      <c r="A1108" s="173"/>
      <c r="D1108" s="173"/>
      <c r="E1108" s="173"/>
      <c r="F1108" s="173"/>
      <c r="G1108" s="173"/>
      <c r="H1108" s="173"/>
      <c r="I1108" s="173"/>
      <c r="J1108" s="173"/>
      <c r="K1108" s="173"/>
      <c r="L1108" s="173"/>
      <c r="AM1108" s="173"/>
      <c r="AN1108" s="173"/>
      <c r="AZ1108" s="337"/>
      <c r="BL1108" s="349"/>
      <c r="BM1108" s="300"/>
      <c r="BN1108" s="300"/>
      <c r="BO1108" s="300"/>
      <c r="BP1108" s="300"/>
      <c r="BQ1108" s="300"/>
      <c r="BR1108" s="300"/>
      <c r="BS1108" s="300"/>
      <c r="BT1108" s="300"/>
      <c r="BU1108" s="300"/>
      <c r="BV1108" s="300"/>
      <c r="BW1108" s="300"/>
      <c r="BX1108" s="300"/>
      <c r="BY1108" s="300"/>
      <c r="BZ1108" s="300"/>
      <c r="CA1108" s="300"/>
      <c r="CB1108" s="300"/>
    </row>
    <row r="1109" spans="1:80" s="27" customFormat="1" x14ac:dyDescent="0.3">
      <c r="A1109" s="173"/>
      <c r="D1109" s="173"/>
      <c r="E1109" s="173"/>
      <c r="F1109" s="173"/>
      <c r="G1109" s="173"/>
      <c r="H1109" s="173"/>
      <c r="I1109" s="173"/>
      <c r="J1109" s="173"/>
      <c r="K1109" s="173"/>
      <c r="L1109" s="173"/>
      <c r="AM1109" s="173"/>
      <c r="AN1109" s="173"/>
      <c r="AZ1109" s="337"/>
      <c r="BL1109" s="349"/>
      <c r="BM1109" s="300"/>
      <c r="BN1109" s="300"/>
      <c r="BO1109" s="300"/>
      <c r="BP1109" s="300"/>
      <c r="BQ1109" s="300"/>
      <c r="BR1109" s="300"/>
      <c r="BS1109" s="300"/>
      <c r="BT1109" s="300"/>
      <c r="BU1109" s="300"/>
      <c r="BV1109" s="300"/>
      <c r="BW1109" s="300"/>
      <c r="BX1109" s="300"/>
      <c r="BY1109" s="300"/>
      <c r="BZ1109" s="300"/>
      <c r="CA1109" s="300"/>
      <c r="CB1109" s="300"/>
    </row>
    <row r="1110" spans="1:80" s="27" customFormat="1" x14ac:dyDescent="0.3">
      <c r="A1110" s="173"/>
      <c r="D1110" s="173"/>
      <c r="E1110" s="173"/>
      <c r="F1110" s="173"/>
      <c r="G1110" s="173"/>
      <c r="H1110" s="173"/>
      <c r="I1110" s="173"/>
      <c r="J1110" s="173"/>
      <c r="K1110" s="173"/>
      <c r="L1110" s="173"/>
      <c r="AM1110" s="173"/>
      <c r="AN1110" s="173"/>
      <c r="AZ1110" s="337"/>
      <c r="BL1110" s="349"/>
      <c r="BM1110" s="300"/>
      <c r="BN1110" s="300"/>
      <c r="BO1110" s="300"/>
      <c r="BP1110" s="300"/>
      <c r="BQ1110" s="300"/>
      <c r="BR1110" s="300"/>
      <c r="BS1110" s="300"/>
      <c r="BT1110" s="300"/>
      <c r="BU1110" s="300"/>
      <c r="BV1110" s="300"/>
      <c r="BW1110" s="300"/>
      <c r="BX1110" s="300"/>
      <c r="BY1110" s="300"/>
      <c r="BZ1110" s="300"/>
      <c r="CA1110" s="300"/>
      <c r="CB1110" s="300"/>
    </row>
    <row r="1111" spans="1:80" s="27" customFormat="1" x14ac:dyDescent="0.3">
      <c r="A1111" s="173"/>
      <c r="D1111" s="173"/>
      <c r="E1111" s="173"/>
      <c r="F1111" s="173"/>
      <c r="G1111" s="173"/>
      <c r="H1111" s="173"/>
      <c r="I1111" s="173"/>
      <c r="J1111" s="173"/>
      <c r="K1111" s="173"/>
      <c r="L1111" s="173"/>
      <c r="AM1111" s="173"/>
      <c r="AN1111" s="173"/>
      <c r="AZ1111" s="337"/>
      <c r="BL1111" s="349"/>
      <c r="BM1111" s="300"/>
      <c r="BN1111" s="300"/>
      <c r="BO1111" s="300"/>
      <c r="BP1111" s="300"/>
      <c r="BQ1111" s="300"/>
      <c r="BR1111" s="300"/>
      <c r="BS1111" s="300"/>
      <c r="BT1111" s="300"/>
      <c r="BU1111" s="300"/>
      <c r="BV1111" s="300"/>
      <c r="BW1111" s="300"/>
      <c r="BX1111" s="300"/>
      <c r="BY1111" s="300"/>
      <c r="BZ1111" s="300"/>
      <c r="CA1111" s="300"/>
      <c r="CB1111" s="300"/>
    </row>
    <row r="1112" spans="1:80" s="27" customFormat="1" x14ac:dyDescent="0.3">
      <c r="A1112" s="173"/>
      <c r="D1112" s="173"/>
      <c r="E1112" s="173"/>
      <c r="F1112" s="173"/>
      <c r="G1112" s="173"/>
      <c r="H1112" s="173"/>
      <c r="I1112" s="173"/>
      <c r="J1112" s="173"/>
      <c r="K1112" s="173"/>
      <c r="L1112" s="173"/>
      <c r="AM1112" s="173"/>
      <c r="AN1112" s="173"/>
      <c r="AZ1112" s="337"/>
      <c r="BL1112" s="349"/>
      <c r="BM1112" s="300"/>
      <c r="BN1112" s="300"/>
      <c r="BO1112" s="300"/>
      <c r="BP1112" s="300"/>
      <c r="BQ1112" s="300"/>
      <c r="BR1112" s="300"/>
      <c r="BS1112" s="300"/>
      <c r="BT1112" s="300"/>
      <c r="BU1112" s="300"/>
      <c r="BV1112" s="300"/>
      <c r="BW1112" s="300"/>
      <c r="BX1112" s="300"/>
      <c r="BY1112" s="300"/>
      <c r="BZ1112" s="300"/>
      <c r="CA1112" s="300"/>
      <c r="CB1112" s="300"/>
    </row>
    <row r="1113" spans="1:80" s="27" customFormat="1" x14ac:dyDescent="0.3">
      <c r="A1113" s="173"/>
      <c r="D1113" s="173"/>
      <c r="E1113" s="173"/>
      <c r="F1113" s="173"/>
      <c r="G1113" s="173"/>
      <c r="H1113" s="173"/>
      <c r="I1113" s="173"/>
      <c r="J1113" s="173"/>
      <c r="K1113" s="173"/>
      <c r="L1113" s="173"/>
      <c r="AM1113" s="173"/>
      <c r="AN1113" s="173"/>
      <c r="AZ1113" s="337"/>
      <c r="BL1113" s="349"/>
      <c r="BM1113" s="300"/>
      <c r="BN1113" s="300"/>
      <c r="BO1113" s="300"/>
      <c r="BP1113" s="300"/>
      <c r="BQ1113" s="300"/>
      <c r="BR1113" s="300"/>
      <c r="BS1113" s="300"/>
      <c r="BT1113" s="300"/>
      <c r="BU1113" s="300"/>
      <c r="BV1113" s="300"/>
      <c r="BW1113" s="300"/>
      <c r="BX1113" s="300"/>
      <c r="BY1113" s="300"/>
      <c r="BZ1113" s="300"/>
      <c r="CA1113" s="300"/>
      <c r="CB1113" s="300"/>
    </row>
    <row r="1114" spans="1:80" s="27" customFormat="1" x14ac:dyDescent="0.3">
      <c r="A1114" s="173"/>
      <c r="D1114" s="173"/>
      <c r="E1114" s="173"/>
      <c r="F1114" s="173"/>
      <c r="G1114" s="173"/>
      <c r="H1114" s="173"/>
      <c r="I1114" s="173"/>
      <c r="J1114" s="173"/>
      <c r="K1114" s="173"/>
      <c r="L1114" s="173"/>
      <c r="AM1114" s="173"/>
      <c r="AN1114" s="173"/>
      <c r="AZ1114" s="337"/>
      <c r="BL1114" s="349"/>
      <c r="BM1114" s="300"/>
      <c r="BN1114" s="300"/>
      <c r="BO1114" s="300"/>
      <c r="BP1114" s="300"/>
      <c r="BQ1114" s="300"/>
      <c r="BR1114" s="300"/>
      <c r="BS1114" s="300"/>
      <c r="BT1114" s="300"/>
      <c r="BU1114" s="300"/>
      <c r="BV1114" s="300"/>
      <c r="BW1114" s="300"/>
      <c r="BX1114" s="300"/>
      <c r="BY1114" s="300"/>
      <c r="BZ1114" s="300"/>
      <c r="CA1114" s="300"/>
      <c r="CB1114" s="300"/>
    </row>
    <row r="1115" spans="1:80" s="27" customFormat="1" x14ac:dyDescent="0.3">
      <c r="A1115" s="173"/>
      <c r="D1115" s="173"/>
      <c r="E1115" s="173"/>
      <c r="F1115" s="173"/>
      <c r="G1115" s="173"/>
      <c r="H1115" s="173"/>
      <c r="I1115" s="173"/>
      <c r="J1115" s="173"/>
      <c r="K1115" s="173"/>
      <c r="L1115" s="173"/>
      <c r="AM1115" s="173"/>
      <c r="AN1115" s="173"/>
      <c r="AZ1115" s="337"/>
      <c r="BL1115" s="349"/>
      <c r="BM1115" s="300"/>
      <c r="BN1115" s="300"/>
      <c r="BO1115" s="300"/>
      <c r="BP1115" s="300"/>
      <c r="BQ1115" s="300"/>
      <c r="BR1115" s="300"/>
      <c r="BS1115" s="300"/>
      <c r="BT1115" s="300"/>
      <c r="BU1115" s="300"/>
      <c r="BV1115" s="300"/>
      <c r="BW1115" s="300"/>
      <c r="BX1115" s="300"/>
      <c r="BY1115" s="300"/>
      <c r="BZ1115" s="300"/>
      <c r="CA1115" s="300"/>
      <c r="CB1115" s="300"/>
    </row>
    <row r="1116" spans="1:80" s="27" customFormat="1" x14ac:dyDescent="0.3">
      <c r="A1116" s="173"/>
      <c r="D1116" s="173"/>
      <c r="E1116" s="173"/>
      <c r="F1116" s="173"/>
      <c r="G1116" s="173"/>
      <c r="H1116" s="173"/>
      <c r="I1116" s="173"/>
      <c r="J1116" s="173"/>
      <c r="K1116" s="173"/>
      <c r="L1116" s="173"/>
      <c r="AM1116" s="173"/>
      <c r="AN1116" s="173"/>
      <c r="AZ1116" s="337"/>
      <c r="BL1116" s="349"/>
      <c r="BM1116" s="300"/>
      <c r="BN1116" s="300"/>
      <c r="BO1116" s="300"/>
      <c r="BP1116" s="300"/>
      <c r="BQ1116" s="300"/>
      <c r="BR1116" s="300"/>
      <c r="BS1116" s="300"/>
      <c r="BT1116" s="300"/>
      <c r="BU1116" s="300"/>
      <c r="BV1116" s="300"/>
      <c r="BW1116" s="300"/>
      <c r="BX1116" s="300"/>
      <c r="BY1116" s="300"/>
      <c r="BZ1116" s="300"/>
      <c r="CA1116" s="300"/>
      <c r="CB1116" s="300"/>
    </row>
    <row r="1117" spans="1:80" s="27" customFormat="1" x14ac:dyDescent="0.3">
      <c r="A1117" s="173"/>
      <c r="D1117" s="173"/>
      <c r="E1117" s="173"/>
      <c r="F1117" s="173"/>
      <c r="G1117" s="173"/>
      <c r="H1117" s="173"/>
      <c r="I1117" s="173"/>
      <c r="J1117" s="173"/>
      <c r="K1117" s="173"/>
      <c r="L1117" s="173"/>
      <c r="AM1117" s="173"/>
      <c r="AN1117" s="173"/>
      <c r="AZ1117" s="337"/>
      <c r="BL1117" s="349"/>
      <c r="BM1117" s="300"/>
      <c r="BN1117" s="300"/>
      <c r="BO1117" s="300"/>
      <c r="BP1117" s="300"/>
      <c r="BQ1117" s="300"/>
      <c r="BR1117" s="300"/>
      <c r="BS1117" s="300"/>
      <c r="BT1117" s="300"/>
      <c r="BU1117" s="300"/>
      <c r="BV1117" s="300"/>
      <c r="BW1117" s="300"/>
      <c r="BX1117" s="300"/>
      <c r="BY1117" s="300"/>
      <c r="BZ1117" s="300"/>
      <c r="CA1117" s="300"/>
      <c r="CB1117" s="300"/>
    </row>
    <row r="1118" spans="1:80" s="27" customFormat="1" x14ac:dyDescent="0.3">
      <c r="A1118" s="173"/>
      <c r="D1118" s="173"/>
      <c r="E1118" s="173"/>
      <c r="F1118" s="173"/>
      <c r="G1118" s="173"/>
      <c r="H1118" s="173"/>
      <c r="I1118" s="173"/>
      <c r="J1118" s="173"/>
      <c r="K1118" s="173"/>
      <c r="L1118" s="173"/>
      <c r="AM1118" s="173"/>
      <c r="AN1118" s="173"/>
      <c r="AZ1118" s="337"/>
      <c r="BL1118" s="349"/>
      <c r="BM1118" s="300"/>
      <c r="BN1118" s="300"/>
      <c r="BO1118" s="300"/>
      <c r="BP1118" s="300"/>
      <c r="BQ1118" s="300"/>
      <c r="BR1118" s="300"/>
      <c r="BS1118" s="300"/>
      <c r="BT1118" s="300"/>
      <c r="BU1118" s="300"/>
      <c r="BV1118" s="300"/>
      <c r="BW1118" s="300"/>
      <c r="BX1118" s="300"/>
      <c r="BY1118" s="300"/>
      <c r="BZ1118" s="300"/>
      <c r="CA1118" s="300"/>
      <c r="CB1118" s="300"/>
    </row>
    <row r="1119" spans="1:80" s="27" customFormat="1" x14ac:dyDescent="0.3">
      <c r="A1119" s="173"/>
      <c r="D1119" s="173"/>
      <c r="E1119" s="173"/>
      <c r="F1119" s="173"/>
      <c r="G1119" s="173"/>
      <c r="H1119" s="173"/>
      <c r="I1119" s="173"/>
      <c r="J1119" s="173"/>
      <c r="K1119" s="173"/>
      <c r="L1119" s="173"/>
      <c r="AM1119" s="173"/>
      <c r="AN1119" s="173"/>
      <c r="AZ1119" s="337"/>
      <c r="BL1119" s="349"/>
      <c r="BM1119" s="300"/>
      <c r="BN1119" s="300"/>
      <c r="BO1119" s="300"/>
      <c r="BP1119" s="300"/>
      <c r="BQ1119" s="300"/>
      <c r="BR1119" s="300"/>
      <c r="BS1119" s="300"/>
      <c r="BT1119" s="300"/>
      <c r="BU1119" s="300"/>
      <c r="BV1119" s="300"/>
      <c r="BW1119" s="300"/>
      <c r="BX1119" s="300"/>
      <c r="BY1119" s="300"/>
      <c r="BZ1119" s="300"/>
      <c r="CA1119" s="300"/>
      <c r="CB1119" s="300"/>
    </row>
    <row r="1120" spans="1:80" s="27" customFormat="1" x14ac:dyDescent="0.3">
      <c r="A1120" s="173"/>
      <c r="D1120" s="173"/>
      <c r="E1120" s="173"/>
      <c r="F1120" s="173"/>
      <c r="G1120" s="173"/>
      <c r="H1120" s="173"/>
      <c r="I1120" s="173"/>
      <c r="J1120" s="173"/>
      <c r="K1120" s="173"/>
      <c r="L1120" s="173"/>
      <c r="AM1120" s="173"/>
      <c r="AN1120" s="173"/>
      <c r="AZ1120" s="337"/>
      <c r="BL1120" s="349"/>
      <c r="BM1120" s="300"/>
      <c r="BN1120" s="300"/>
      <c r="BO1120" s="300"/>
      <c r="BP1120" s="300"/>
      <c r="BQ1120" s="300"/>
      <c r="BR1120" s="300"/>
      <c r="BS1120" s="300"/>
      <c r="BT1120" s="300"/>
      <c r="BU1120" s="300"/>
      <c r="BV1120" s="300"/>
      <c r="BW1120" s="300"/>
      <c r="BX1120" s="300"/>
      <c r="BY1120" s="300"/>
      <c r="BZ1120" s="300"/>
      <c r="CA1120" s="300"/>
      <c r="CB1120" s="300"/>
    </row>
    <row r="1121" spans="1:80" s="27" customFormat="1" x14ac:dyDescent="0.3">
      <c r="A1121" s="173"/>
      <c r="D1121" s="173"/>
      <c r="E1121" s="173"/>
      <c r="F1121" s="173"/>
      <c r="G1121" s="173"/>
      <c r="H1121" s="173"/>
      <c r="I1121" s="173"/>
      <c r="J1121" s="173"/>
      <c r="K1121" s="173"/>
      <c r="L1121" s="173"/>
      <c r="AM1121" s="173"/>
      <c r="AN1121" s="173"/>
      <c r="AZ1121" s="337"/>
      <c r="BL1121" s="349"/>
      <c r="BM1121" s="300"/>
      <c r="BN1121" s="300"/>
      <c r="BO1121" s="300"/>
      <c r="BP1121" s="300"/>
      <c r="BQ1121" s="300"/>
      <c r="BR1121" s="300"/>
      <c r="BS1121" s="300"/>
      <c r="BT1121" s="300"/>
      <c r="BU1121" s="300"/>
      <c r="BV1121" s="300"/>
      <c r="BW1121" s="300"/>
      <c r="BX1121" s="300"/>
      <c r="BY1121" s="300"/>
      <c r="BZ1121" s="300"/>
      <c r="CA1121" s="300"/>
      <c r="CB1121" s="300"/>
    </row>
    <row r="1122" spans="1:80" s="27" customFormat="1" x14ac:dyDescent="0.3">
      <c r="A1122" s="173"/>
      <c r="D1122" s="173"/>
      <c r="E1122" s="173"/>
      <c r="F1122" s="173"/>
      <c r="G1122" s="173"/>
      <c r="H1122" s="173"/>
      <c r="I1122" s="173"/>
      <c r="J1122" s="173"/>
      <c r="K1122" s="173"/>
      <c r="L1122" s="173"/>
      <c r="AM1122" s="173"/>
      <c r="AN1122" s="173"/>
      <c r="AZ1122" s="337"/>
      <c r="BL1122" s="349"/>
      <c r="BM1122" s="300"/>
      <c r="BN1122" s="300"/>
      <c r="BO1122" s="300"/>
      <c r="BP1122" s="300"/>
      <c r="BQ1122" s="300"/>
      <c r="BR1122" s="300"/>
      <c r="BS1122" s="300"/>
      <c r="BT1122" s="300"/>
      <c r="BU1122" s="300"/>
      <c r="BV1122" s="300"/>
      <c r="BW1122" s="300"/>
      <c r="BX1122" s="300"/>
      <c r="BY1122" s="300"/>
      <c r="BZ1122" s="300"/>
      <c r="CA1122" s="300"/>
      <c r="CB1122" s="300"/>
    </row>
    <row r="1123" spans="1:80" s="27" customFormat="1" x14ac:dyDescent="0.3">
      <c r="A1123" s="173"/>
      <c r="D1123" s="173"/>
      <c r="E1123" s="173"/>
      <c r="F1123" s="173"/>
      <c r="G1123" s="173"/>
      <c r="H1123" s="173"/>
      <c r="I1123" s="173"/>
      <c r="J1123" s="173"/>
      <c r="K1123" s="173"/>
      <c r="L1123" s="173"/>
      <c r="AM1123" s="173"/>
      <c r="AN1123" s="173"/>
      <c r="AZ1123" s="337"/>
      <c r="BL1123" s="349"/>
      <c r="BM1123" s="300"/>
      <c r="BN1123" s="300"/>
      <c r="BO1123" s="300"/>
      <c r="BP1123" s="300"/>
      <c r="BQ1123" s="300"/>
      <c r="BR1123" s="300"/>
      <c r="BS1123" s="300"/>
      <c r="BT1123" s="300"/>
      <c r="BU1123" s="300"/>
      <c r="BV1123" s="300"/>
      <c r="BW1123" s="300"/>
      <c r="BX1123" s="300"/>
      <c r="BY1123" s="300"/>
      <c r="BZ1123" s="300"/>
      <c r="CA1123" s="300"/>
      <c r="CB1123" s="300"/>
    </row>
    <row r="1124" spans="1:80" s="27" customFormat="1" x14ac:dyDescent="0.3">
      <c r="A1124" s="173"/>
      <c r="D1124" s="173"/>
      <c r="E1124" s="173"/>
      <c r="F1124" s="173"/>
      <c r="G1124" s="173"/>
      <c r="H1124" s="173"/>
      <c r="I1124" s="173"/>
      <c r="J1124" s="173"/>
      <c r="K1124" s="173"/>
      <c r="L1124" s="173"/>
      <c r="AM1124" s="173"/>
      <c r="AN1124" s="173"/>
      <c r="AZ1124" s="337"/>
      <c r="BL1124" s="349"/>
      <c r="BM1124" s="300"/>
      <c r="BN1124" s="300"/>
      <c r="BO1124" s="300"/>
      <c r="BP1124" s="300"/>
      <c r="BQ1124" s="300"/>
      <c r="BR1124" s="300"/>
      <c r="BS1124" s="300"/>
      <c r="BT1124" s="300"/>
      <c r="BU1124" s="300"/>
      <c r="BV1124" s="300"/>
      <c r="BW1124" s="300"/>
      <c r="BX1124" s="300"/>
      <c r="BY1124" s="300"/>
      <c r="BZ1124" s="300"/>
      <c r="CA1124" s="300"/>
      <c r="CB1124" s="300"/>
    </row>
    <row r="1125" spans="1:80" s="27" customFormat="1" x14ac:dyDescent="0.3">
      <c r="A1125" s="173"/>
      <c r="D1125" s="173"/>
      <c r="E1125" s="173"/>
      <c r="F1125" s="173"/>
      <c r="G1125" s="173"/>
      <c r="H1125" s="173"/>
      <c r="I1125" s="173"/>
      <c r="J1125" s="173"/>
      <c r="K1125" s="173"/>
      <c r="L1125" s="173"/>
      <c r="AM1125" s="173"/>
      <c r="AN1125" s="173"/>
      <c r="AZ1125" s="337"/>
      <c r="BL1125" s="349"/>
      <c r="BM1125" s="300"/>
      <c r="BN1125" s="300"/>
      <c r="BO1125" s="300"/>
      <c r="BP1125" s="300"/>
      <c r="BQ1125" s="300"/>
      <c r="BR1125" s="300"/>
      <c r="BS1125" s="300"/>
      <c r="BT1125" s="300"/>
      <c r="BU1125" s="300"/>
      <c r="BV1125" s="300"/>
      <c r="BW1125" s="300"/>
      <c r="BX1125" s="300"/>
      <c r="BY1125" s="300"/>
      <c r="BZ1125" s="300"/>
      <c r="CA1125" s="300"/>
      <c r="CB1125" s="300"/>
    </row>
    <row r="1126" spans="1:80" s="27" customFormat="1" x14ac:dyDescent="0.3">
      <c r="A1126" s="173"/>
      <c r="D1126" s="173"/>
      <c r="E1126" s="173"/>
      <c r="F1126" s="173"/>
      <c r="G1126" s="173"/>
      <c r="H1126" s="173"/>
      <c r="I1126" s="173"/>
      <c r="J1126" s="173"/>
      <c r="K1126" s="173"/>
      <c r="L1126" s="173"/>
      <c r="AM1126" s="173"/>
      <c r="AN1126" s="173"/>
      <c r="AZ1126" s="337"/>
      <c r="BL1126" s="349"/>
      <c r="BM1126" s="300"/>
      <c r="BN1126" s="300"/>
      <c r="BO1126" s="300"/>
      <c r="BP1126" s="300"/>
      <c r="BQ1126" s="300"/>
      <c r="BR1126" s="300"/>
      <c r="BS1126" s="300"/>
      <c r="BT1126" s="300"/>
      <c r="BU1126" s="300"/>
      <c r="BV1126" s="300"/>
      <c r="BW1126" s="300"/>
      <c r="BX1126" s="300"/>
      <c r="BY1126" s="300"/>
      <c r="BZ1126" s="300"/>
      <c r="CA1126" s="300"/>
      <c r="CB1126" s="300"/>
    </row>
    <row r="1127" spans="1:80" s="27" customFormat="1" x14ac:dyDescent="0.3">
      <c r="A1127" s="173"/>
      <c r="D1127" s="173"/>
      <c r="E1127" s="173"/>
      <c r="F1127" s="173"/>
      <c r="G1127" s="173"/>
      <c r="H1127" s="173"/>
      <c r="I1127" s="173"/>
      <c r="J1127" s="173"/>
      <c r="K1127" s="173"/>
      <c r="L1127" s="173"/>
      <c r="AM1127" s="173"/>
      <c r="AN1127" s="173"/>
      <c r="AZ1127" s="337"/>
      <c r="BL1127" s="349"/>
      <c r="BM1127" s="300"/>
      <c r="BN1127" s="300"/>
      <c r="BO1127" s="300"/>
      <c r="BP1127" s="300"/>
      <c r="BQ1127" s="300"/>
      <c r="BR1127" s="300"/>
      <c r="BS1127" s="300"/>
      <c r="BT1127" s="300"/>
      <c r="BU1127" s="300"/>
      <c r="BV1127" s="300"/>
      <c r="BW1127" s="300"/>
      <c r="BX1127" s="300"/>
      <c r="BY1127" s="300"/>
      <c r="BZ1127" s="300"/>
      <c r="CA1127" s="300"/>
      <c r="CB1127" s="300"/>
    </row>
    <row r="1128" spans="1:80" s="27" customFormat="1" x14ac:dyDescent="0.3">
      <c r="A1128" s="173"/>
      <c r="D1128" s="173"/>
      <c r="E1128" s="173"/>
      <c r="F1128" s="173"/>
      <c r="G1128" s="173"/>
      <c r="H1128" s="173"/>
      <c r="I1128" s="173"/>
      <c r="J1128" s="173"/>
      <c r="K1128" s="173"/>
      <c r="L1128" s="173"/>
      <c r="AM1128" s="173"/>
      <c r="AN1128" s="173"/>
      <c r="AZ1128" s="337"/>
      <c r="BL1128" s="349"/>
      <c r="BM1128" s="300"/>
      <c r="BN1128" s="300"/>
      <c r="BO1128" s="300"/>
      <c r="BP1128" s="300"/>
      <c r="BQ1128" s="300"/>
      <c r="BR1128" s="300"/>
      <c r="BS1128" s="300"/>
      <c r="BT1128" s="300"/>
      <c r="BU1128" s="300"/>
      <c r="BV1128" s="300"/>
      <c r="BW1128" s="300"/>
      <c r="BX1128" s="300"/>
      <c r="BY1128" s="300"/>
      <c r="BZ1128" s="300"/>
      <c r="CA1128" s="300"/>
      <c r="CB1128" s="300"/>
    </row>
    <row r="1129" spans="1:80" s="27" customFormat="1" x14ac:dyDescent="0.3">
      <c r="A1129" s="173"/>
      <c r="D1129" s="173"/>
      <c r="E1129" s="173"/>
      <c r="F1129" s="173"/>
      <c r="G1129" s="173"/>
      <c r="H1129" s="173"/>
      <c r="I1129" s="173"/>
      <c r="J1129" s="173"/>
      <c r="K1129" s="173"/>
      <c r="L1129" s="173"/>
      <c r="AM1129" s="173"/>
      <c r="AN1129" s="173"/>
      <c r="AZ1129" s="337"/>
      <c r="BL1129" s="349"/>
      <c r="BM1129" s="300"/>
      <c r="BN1129" s="300"/>
      <c r="BO1129" s="300"/>
      <c r="BP1129" s="300"/>
      <c r="BQ1129" s="300"/>
      <c r="BR1129" s="300"/>
      <c r="BS1129" s="300"/>
      <c r="BT1129" s="300"/>
      <c r="BU1129" s="300"/>
      <c r="BV1129" s="300"/>
      <c r="BW1129" s="300"/>
      <c r="BX1129" s="300"/>
      <c r="BY1129" s="300"/>
      <c r="BZ1129" s="300"/>
      <c r="CA1129" s="300"/>
      <c r="CB1129" s="300"/>
    </row>
    <row r="1130" spans="1:80" s="27" customFormat="1" x14ac:dyDescent="0.3">
      <c r="A1130" s="173"/>
      <c r="D1130" s="173"/>
      <c r="E1130" s="173"/>
      <c r="F1130" s="173"/>
      <c r="G1130" s="173"/>
      <c r="H1130" s="173"/>
      <c r="I1130" s="173"/>
      <c r="J1130" s="173"/>
      <c r="K1130" s="173"/>
      <c r="L1130" s="173"/>
      <c r="AM1130" s="173"/>
      <c r="AN1130" s="173"/>
      <c r="AZ1130" s="337"/>
      <c r="BL1130" s="349"/>
      <c r="BM1130" s="300"/>
      <c r="BN1130" s="300"/>
      <c r="BO1130" s="300"/>
      <c r="BP1130" s="300"/>
      <c r="BQ1130" s="300"/>
      <c r="BR1130" s="300"/>
      <c r="BS1130" s="300"/>
      <c r="BT1130" s="300"/>
      <c r="BU1130" s="300"/>
      <c r="BV1130" s="300"/>
      <c r="BW1130" s="300"/>
      <c r="BX1130" s="300"/>
      <c r="BY1130" s="300"/>
      <c r="BZ1130" s="300"/>
      <c r="CA1130" s="300"/>
      <c r="CB1130" s="300"/>
    </row>
    <row r="1131" spans="1:80" s="27" customFormat="1" x14ac:dyDescent="0.3">
      <c r="A1131" s="173"/>
      <c r="D1131" s="173"/>
      <c r="E1131" s="173"/>
      <c r="F1131" s="173"/>
      <c r="G1131" s="173"/>
      <c r="H1131" s="173"/>
      <c r="I1131" s="173"/>
      <c r="J1131" s="173"/>
      <c r="K1131" s="173"/>
      <c r="L1131" s="173"/>
      <c r="AM1131" s="173"/>
      <c r="AN1131" s="173"/>
      <c r="AZ1131" s="337"/>
      <c r="BL1131" s="349"/>
      <c r="BM1131" s="300"/>
      <c r="BN1131" s="300"/>
      <c r="BO1131" s="300"/>
      <c r="BP1131" s="300"/>
      <c r="BQ1131" s="300"/>
      <c r="BR1131" s="300"/>
      <c r="BS1131" s="300"/>
      <c r="BT1131" s="300"/>
      <c r="BU1131" s="300"/>
      <c r="BV1131" s="300"/>
      <c r="BW1131" s="300"/>
      <c r="BX1131" s="300"/>
      <c r="BY1131" s="300"/>
      <c r="BZ1131" s="300"/>
      <c r="CA1131" s="300"/>
      <c r="CB1131" s="300"/>
    </row>
    <row r="1132" spans="1:80" s="27" customFormat="1" x14ac:dyDescent="0.3">
      <c r="A1132" s="173"/>
      <c r="D1132" s="173"/>
      <c r="E1132" s="173"/>
      <c r="F1132" s="173"/>
      <c r="G1132" s="173"/>
      <c r="H1132" s="173"/>
      <c r="I1132" s="173"/>
      <c r="J1132" s="173"/>
      <c r="K1132" s="173"/>
      <c r="L1132" s="173"/>
      <c r="AM1132" s="173"/>
      <c r="AN1132" s="173"/>
      <c r="AZ1132" s="337"/>
      <c r="BL1132" s="349"/>
      <c r="BM1132" s="300"/>
      <c r="BN1132" s="300"/>
      <c r="BO1132" s="300"/>
      <c r="BP1132" s="300"/>
      <c r="BQ1132" s="300"/>
      <c r="BR1132" s="300"/>
      <c r="BS1132" s="300"/>
      <c r="BT1132" s="300"/>
      <c r="BU1132" s="300"/>
      <c r="BV1132" s="300"/>
      <c r="BW1132" s="300"/>
      <c r="BX1132" s="300"/>
      <c r="BY1132" s="300"/>
      <c r="BZ1132" s="300"/>
      <c r="CA1132" s="300"/>
      <c r="CB1132" s="300"/>
    </row>
    <row r="1133" spans="1:80" s="27" customFormat="1" x14ac:dyDescent="0.3">
      <c r="A1133" s="173"/>
      <c r="D1133" s="173"/>
      <c r="E1133" s="173"/>
      <c r="F1133" s="173"/>
      <c r="G1133" s="173"/>
      <c r="H1133" s="173"/>
      <c r="I1133" s="173"/>
      <c r="J1133" s="173"/>
      <c r="K1133" s="173"/>
      <c r="L1133" s="173"/>
      <c r="AM1133" s="173"/>
      <c r="AN1133" s="173"/>
      <c r="AZ1133" s="337"/>
      <c r="BL1133" s="349"/>
      <c r="BM1133" s="300"/>
      <c r="BN1133" s="300"/>
      <c r="BO1133" s="300"/>
      <c r="BP1133" s="300"/>
      <c r="BQ1133" s="300"/>
      <c r="BR1133" s="300"/>
      <c r="BS1133" s="300"/>
      <c r="BT1133" s="300"/>
      <c r="BU1133" s="300"/>
      <c r="BV1133" s="300"/>
      <c r="BW1133" s="300"/>
      <c r="BX1133" s="300"/>
      <c r="BY1133" s="300"/>
      <c r="BZ1133" s="300"/>
      <c r="CA1133" s="300"/>
      <c r="CB1133" s="300"/>
    </row>
    <row r="1134" spans="1:80" s="27" customFormat="1" x14ac:dyDescent="0.3">
      <c r="A1134" s="173"/>
      <c r="D1134" s="173"/>
      <c r="E1134" s="173"/>
      <c r="F1134" s="173"/>
      <c r="G1134" s="173"/>
      <c r="H1134" s="173"/>
      <c r="I1134" s="173"/>
      <c r="J1134" s="173"/>
      <c r="K1134" s="173"/>
      <c r="L1134" s="173"/>
      <c r="AM1134" s="173"/>
      <c r="AN1134" s="173"/>
      <c r="AZ1134" s="337"/>
      <c r="BL1134" s="349"/>
      <c r="BM1134" s="300"/>
      <c r="BN1134" s="300"/>
      <c r="BO1134" s="300"/>
      <c r="BP1134" s="300"/>
      <c r="BQ1134" s="300"/>
      <c r="BR1134" s="300"/>
      <c r="BS1134" s="300"/>
      <c r="BT1134" s="300"/>
      <c r="BU1134" s="300"/>
      <c r="BV1134" s="300"/>
      <c r="BW1134" s="300"/>
      <c r="BX1134" s="300"/>
      <c r="BY1134" s="300"/>
      <c r="BZ1134" s="300"/>
      <c r="CA1134" s="300"/>
      <c r="CB1134" s="300"/>
    </row>
    <row r="1135" spans="1:80" s="27" customFormat="1" x14ac:dyDescent="0.3">
      <c r="A1135" s="173"/>
      <c r="D1135" s="173"/>
      <c r="E1135" s="173"/>
      <c r="F1135" s="173"/>
      <c r="G1135" s="173"/>
      <c r="H1135" s="173"/>
      <c r="I1135" s="173"/>
      <c r="J1135" s="173"/>
      <c r="K1135" s="173"/>
      <c r="L1135" s="173"/>
      <c r="AM1135" s="173"/>
      <c r="AN1135" s="173"/>
      <c r="AZ1135" s="337"/>
      <c r="BL1135" s="349"/>
      <c r="BM1135" s="300"/>
      <c r="BN1135" s="300"/>
      <c r="BO1135" s="300"/>
      <c r="BP1135" s="300"/>
      <c r="BQ1135" s="300"/>
      <c r="BR1135" s="300"/>
      <c r="BS1135" s="300"/>
      <c r="BT1135" s="300"/>
      <c r="BU1135" s="300"/>
      <c r="BV1135" s="300"/>
      <c r="BW1135" s="300"/>
      <c r="BX1135" s="300"/>
      <c r="BY1135" s="300"/>
      <c r="BZ1135" s="300"/>
      <c r="CA1135" s="300"/>
      <c r="CB1135" s="300"/>
    </row>
    <row r="1136" spans="1:80" s="27" customFormat="1" x14ac:dyDescent="0.3">
      <c r="A1136" s="173"/>
      <c r="D1136" s="173"/>
      <c r="E1136" s="173"/>
      <c r="F1136" s="173"/>
      <c r="G1136" s="173"/>
      <c r="H1136" s="173"/>
      <c r="I1136" s="173"/>
      <c r="J1136" s="173"/>
      <c r="K1136" s="173"/>
      <c r="L1136" s="173"/>
      <c r="AM1136" s="173"/>
      <c r="AN1136" s="173"/>
      <c r="AZ1136" s="337"/>
      <c r="BL1136" s="349"/>
      <c r="BM1136" s="300"/>
      <c r="BN1136" s="300"/>
      <c r="BO1136" s="300"/>
      <c r="BP1136" s="300"/>
      <c r="BQ1136" s="300"/>
      <c r="BR1136" s="300"/>
      <c r="BS1136" s="300"/>
      <c r="BT1136" s="300"/>
      <c r="BU1136" s="300"/>
      <c r="BV1136" s="300"/>
      <c r="BW1136" s="300"/>
      <c r="BX1136" s="300"/>
      <c r="BY1136" s="300"/>
      <c r="BZ1136" s="300"/>
      <c r="CA1136" s="300"/>
      <c r="CB1136" s="300"/>
    </row>
    <row r="1137" spans="1:80" s="27" customFormat="1" x14ac:dyDescent="0.3">
      <c r="A1137" s="173"/>
      <c r="D1137" s="173"/>
      <c r="E1137" s="173"/>
      <c r="F1137" s="173"/>
      <c r="G1137" s="173"/>
      <c r="H1137" s="173"/>
      <c r="I1137" s="173"/>
      <c r="J1137" s="173"/>
      <c r="K1137" s="173"/>
      <c r="L1137" s="173"/>
      <c r="AM1137" s="173"/>
      <c r="AN1137" s="173"/>
      <c r="AZ1137" s="337"/>
      <c r="BL1137" s="349"/>
      <c r="BM1137" s="300"/>
      <c r="BN1137" s="300"/>
      <c r="BO1137" s="300"/>
      <c r="BP1137" s="300"/>
      <c r="BQ1137" s="300"/>
      <c r="BR1137" s="300"/>
      <c r="BS1137" s="300"/>
      <c r="BT1137" s="300"/>
      <c r="BU1137" s="300"/>
      <c r="BV1137" s="300"/>
      <c r="BW1137" s="300"/>
      <c r="BX1137" s="300"/>
      <c r="BY1137" s="300"/>
      <c r="BZ1137" s="300"/>
      <c r="CA1137" s="300"/>
      <c r="CB1137" s="300"/>
    </row>
    <row r="1138" spans="1:80" s="27" customFormat="1" x14ac:dyDescent="0.3">
      <c r="A1138" s="173"/>
      <c r="D1138" s="173"/>
      <c r="E1138" s="173"/>
      <c r="F1138" s="173"/>
      <c r="G1138" s="173"/>
      <c r="H1138" s="173"/>
      <c r="I1138" s="173"/>
      <c r="J1138" s="173"/>
      <c r="K1138" s="173"/>
      <c r="L1138" s="173"/>
      <c r="AM1138" s="173"/>
      <c r="AN1138" s="173"/>
      <c r="AZ1138" s="337"/>
      <c r="BL1138" s="349"/>
      <c r="BM1138" s="300"/>
      <c r="BN1138" s="300"/>
      <c r="BO1138" s="300"/>
      <c r="BP1138" s="300"/>
      <c r="BQ1138" s="300"/>
      <c r="BR1138" s="300"/>
      <c r="BS1138" s="300"/>
      <c r="BT1138" s="300"/>
      <c r="BU1138" s="300"/>
      <c r="BV1138" s="300"/>
      <c r="BW1138" s="300"/>
      <c r="BX1138" s="300"/>
      <c r="BY1138" s="300"/>
      <c r="BZ1138" s="300"/>
      <c r="CA1138" s="300"/>
      <c r="CB1138" s="300"/>
    </row>
    <row r="1139" spans="1:80" s="27" customFormat="1" x14ac:dyDescent="0.3">
      <c r="A1139" s="173"/>
      <c r="D1139" s="173"/>
      <c r="E1139" s="173"/>
      <c r="F1139" s="173"/>
      <c r="G1139" s="173"/>
      <c r="H1139" s="173"/>
      <c r="I1139" s="173"/>
      <c r="J1139" s="173"/>
      <c r="K1139" s="173"/>
      <c r="L1139" s="173"/>
      <c r="AM1139" s="173"/>
      <c r="AN1139" s="173"/>
      <c r="AZ1139" s="337"/>
      <c r="BL1139" s="349"/>
      <c r="BM1139" s="300"/>
      <c r="BN1139" s="300"/>
      <c r="BO1139" s="300"/>
      <c r="BP1139" s="300"/>
      <c r="BQ1139" s="300"/>
      <c r="BR1139" s="300"/>
      <c r="BS1139" s="300"/>
      <c r="BT1139" s="300"/>
      <c r="BU1139" s="300"/>
      <c r="BV1139" s="300"/>
      <c r="BW1139" s="300"/>
      <c r="BX1139" s="300"/>
      <c r="BY1139" s="300"/>
      <c r="BZ1139" s="300"/>
      <c r="CA1139" s="300"/>
      <c r="CB1139" s="300"/>
    </row>
    <row r="1140" spans="1:80" s="27" customFormat="1" x14ac:dyDescent="0.3">
      <c r="A1140" s="173"/>
      <c r="D1140" s="173"/>
      <c r="E1140" s="173"/>
      <c r="F1140" s="173"/>
      <c r="G1140" s="173"/>
      <c r="H1140" s="173"/>
      <c r="I1140" s="173"/>
      <c r="J1140" s="173"/>
      <c r="K1140" s="173"/>
      <c r="L1140" s="173"/>
      <c r="AM1140" s="173"/>
      <c r="AN1140" s="173"/>
      <c r="AZ1140" s="337"/>
      <c r="BL1140" s="349"/>
      <c r="BM1140" s="300"/>
      <c r="BN1140" s="300"/>
      <c r="BO1140" s="300"/>
      <c r="BP1140" s="300"/>
      <c r="BQ1140" s="300"/>
      <c r="BR1140" s="300"/>
      <c r="BS1140" s="300"/>
      <c r="BT1140" s="300"/>
      <c r="BU1140" s="300"/>
      <c r="BV1140" s="300"/>
      <c r="BW1140" s="300"/>
      <c r="BX1140" s="300"/>
      <c r="BY1140" s="300"/>
      <c r="BZ1140" s="300"/>
      <c r="CA1140" s="300"/>
      <c r="CB1140" s="300"/>
    </row>
    <row r="1141" spans="1:80" s="27" customFormat="1" x14ac:dyDescent="0.3">
      <c r="A1141" s="173"/>
      <c r="D1141" s="173"/>
      <c r="E1141" s="173"/>
      <c r="F1141" s="173"/>
      <c r="G1141" s="173"/>
      <c r="H1141" s="173"/>
      <c r="I1141" s="173"/>
      <c r="J1141" s="173"/>
      <c r="K1141" s="173"/>
      <c r="L1141" s="173"/>
      <c r="AM1141" s="173"/>
      <c r="AN1141" s="173"/>
      <c r="AZ1141" s="337"/>
      <c r="BL1141" s="349"/>
      <c r="BM1141" s="300"/>
      <c r="BN1141" s="300"/>
      <c r="BO1141" s="300"/>
      <c r="BP1141" s="300"/>
      <c r="BQ1141" s="300"/>
      <c r="BR1141" s="300"/>
      <c r="BS1141" s="300"/>
      <c r="BT1141" s="300"/>
      <c r="BU1141" s="300"/>
      <c r="BV1141" s="300"/>
      <c r="BW1141" s="300"/>
      <c r="BX1141" s="300"/>
      <c r="BY1141" s="300"/>
      <c r="BZ1141" s="300"/>
      <c r="CA1141" s="300"/>
      <c r="CB1141" s="300"/>
    </row>
    <row r="1142" spans="1:80" s="27" customFormat="1" x14ac:dyDescent="0.3">
      <c r="A1142" s="173"/>
      <c r="D1142" s="173"/>
      <c r="E1142" s="173"/>
      <c r="F1142" s="173"/>
      <c r="G1142" s="173"/>
      <c r="H1142" s="173"/>
      <c r="I1142" s="173"/>
      <c r="J1142" s="173"/>
      <c r="K1142" s="173"/>
      <c r="L1142" s="173"/>
      <c r="AM1142" s="173"/>
      <c r="AN1142" s="173"/>
      <c r="AZ1142" s="337"/>
      <c r="BL1142" s="349"/>
      <c r="BM1142" s="300"/>
      <c r="BN1142" s="300"/>
      <c r="BO1142" s="300"/>
      <c r="BP1142" s="300"/>
      <c r="BQ1142" s="300"/>
      <c r="BR1142" s="300"/>
      <c r="BS1142" s="300"/>
      <c r="BT1142" s="300"/>
      <c r="BU1142" s="300"/>
      <c r="BV1142" s="300"/>
      <c r="BW1142" s="300"/>
      <c r="BX1142" s="300"/>
      <c r="BY1142" s="300"/>
      <c r="BZ1142" s="300"/>
      <c r="CA1142" s="300"/>
      <c r="CB1142" s="300"/>
    </row>
    <row r="1143" spans="1:80" s="27" customFormat="1" x14ac:dyDescent="0.3">
      <c r="A1143" s="173"/>
      <c r="D1143" s="173"/>
      <c r="E1143" s="173"/>
      <c r="F1143" s="173"/>
      <c r="G1143" s="173"/>
      <c r="H1143" s="173"/>
      <c r="I1143" s="173"/>
      <c r="J1143" s="173"/>
      <c r="K1143" s="173"/>
      <c r="L1143" s="173"/>
      <c r="AM1143" s="173"/>
      <c r="AN1143" s="173"/>
      <c r="AZ1143" s="337"/>
      <c r="BL1143" s="349"/>
      <c r="BM1143" s="300"/>
      <c r="BN1143" s="300"/>
      <c r="BO1143" s="300"/>
      <c r="BP1143" s="300"/>
      <c r="BQ1143" s="300"/>
      <c r="BR1143" s="300"/>
      <c r="BS1143" s="300"/>
      <c r="BT1143" s="300"/>
      <c r="BU1143" s="300"/>
      <c r="BV1143" s="300"/>
      <c r="BW1143" s="300"/>
      <c r="BX1143" s="300"/>
      <c r="BY1143" s="300"/>
      <c r="BZ1143" s="300"/>
      <c r="CA1143" s="300"/>
      <c r="CB1143" s="300"/>
    </row>
    <row r="1144" spans="1:80" s="27" customFormat="1" x14ac:dyDescent="0.3">
      <c r="A1144" s="173"/>
      <c r="D1144" s="173"/>
      <c r="E1144" s="173"/>
      <c r="F1144" s="173"/>
      <c r="G1144" s="173"/>
      <c r="H1144" s="173"/>
      <c r="I1144" s="173"/>
      <c r="J1144" s="173"/>
      <c r="K1144" s="173"/>
      <c r="L1144" s="173"/>
      <c r="AM1144" s="173"/>
      <c r="AN1144" s="173"/>
      <c r="AZ1144" s="337"/>
      <c r="BL1144" s="349"/>
      <c r="BM1144" s="300"/>
      <c r="BN1144" s="300"/>
      <c r="BO1144" s="300"/>
      <c r="BP1144" s="300"/>
      <c r="BQ1144" s="300"/>
      <c r="BR1144" s="300"/>
      <c r="BS1144" s="300"/>
      <c r="BT1144" s="300"/>
      <c r="BU1144" s="300"/>
      <c r="BV1144" s="300"/>
      <c r="BW1144" s="300"/>
      <c r="BX1144" s="300"/>
      <c r="BY1144" s="300"/>
      <c r="BZ1144" s="300"/>
      <c r="CA1144" s="300"/>
      <c r="CB1144" s="300"/>
    </row>
    <row r="1145" spans="1:80" s="27" customFormat="1" x14ac:dyDescent="0.3">
      <c r="A1145" s="173"/>
      <c r="D1145" s="173"/>
      <c r="E1145" s="173"/>
      <c r="F1145" s="173"/>
      <c r="G1145" s="173"/>
      <c r="H1145" s="173"/>
      <c r="I1145" s="173"/>
      <c r="J1145" s="173"/>
      <c r="K1145" s="173"/>
      <c r="L1145" s="173"/>
      <c r="AM1145" s="173"/>
      <c r="AN1145" s="173"/>
      <c r="AZ1145" s="337"/>
      <c r="BL1145" s="349"/>
      <c r="BM1145" s="300"/>
      <c r="BN1145" s="300"/>
      <c r="BO1145" s="300"/>
      <c r="BP1145" s="300"/>
      <c r="BQ1145" s="300"/>
      <c r="BR1145" s="300"/>
      <c r="BS1145" s="300"/>
      <c r="BT1145" s="300"/>
      <c r="BU1145" s="300"/>
      <c r="BV1145" s="300"/>
      <c r="BW1145" s="300"/>
      <c r="BX1145" s="300"/>
      <c r="BY1145" s="300"/>
      <c r="BZ1145" s="300"/>
      <c r="CA1145" s="300"/>
      <c r="CB1145" s="300"/>
    </row>
    <row r="1146" spans="1:80" s="27" customFormat="1" x14ac:dyDescent="0.3">
      <c r="A1146" s="173"/>
      <c r="D1146" s="173"/>
      <c r="E1146" s="173"/>
      <c r="F1146" s="173"/>
      <c r="G1146" s="173"/>
      <c r="H1146" s="173"/>
      <c r="I1146" s="173"/>
      <c r="J1146" s="173"/>
      <c r="K1146" s="173"/>
      <c r="L1146" s="173"/>
      <c r="AM1146" s="173"/>
      <c r="AN1146" s="173"/>
      <c r="AZ1146" s="337"/>
      <c r="BL1146" s="349"/>
      <c r="BM1146" s="300"/>
      <c r="BN1146" s="300"/>
      <c r="BO1146" s="300"/>
      <c r="BP1146" s="300"/>
      <c r="BQ1146" s="300"/>
      <c r="BR1146" s="300"/>
      <c r="BS1146" s="300"/>
      <c r="BT1146" s="300"/>
      <c r="BU1146" s="300"/>
      <c r="BV1146" s="300"/>
      <c r="BW1146" s="300"/>
      <c r="BX1146" s="300"/>
      <c r="BY1146" s="300"/>
      <c r="BZ1146" s="300"/>
      <c r="CA1146" s="300"/>
      <c r="CB1146" s="300"/>
    </row>
    <row r="1147" spans="1:80" s="27" customFormat="1" x14ac:dyDescent="0.3">
      <c r="A1147" s="173"/>
      <c r="D1147" s="173"/>
      <c r="E1147" s="173"/>
      <c r="F1147" s="173"/>
      <c r="G1147" s="173"/>
      <c r="H1147" s="173"/>
      <c r="I1147" s="173"/>
      <c r="J1147" s="173"/>
      <c r="K1147" s="173"/>
      <c r="L1147" s="173"/>
      <c r="AM1147" s="173"/>
      <c r="AN1147" s="173"/>
      <c r="AZ1147" s="337"/>
      <c r="BL1147" s="349"/>
      <c r="BM1147" s="300"/>
      <c r="BN1147" s="300"/>
      <c r="BO1147" s="300"/>
      <c r="BP1147" s="300"/>
      <c r="BQ1147" s="300"/>
      <c r="BR1147" s="300"/>
      <c r="BS1147" s="300"/>
      <c r="BT1147" s="300"/>
      <c r="BU1147" s="300"/>
      <c r="BV1147" s="300"/>
      <c r="BW1147" s="300"/>
      <c r="BX1147" s="300"/>
      <c r="BY1147" s="300"/>
      <c r="BZ1147" s="300"/>
      <c r="CA1147" s="300"/>
      <c r="CB1147" s="300"/>
    </row>
    <row r="1148" spans="1:80" s="27" customFormat="1" x14ac:dyDescent="0.3">
      <c r="A1148" s="173"/>
      <c r="D1148" s="173"/>
      <c r="E1148" s="173"/>
      <c r="F1148" s="173"/>
      <c r="G1148" s="173"/>
      <c r="H1148" s="173"/>
      <c r="I1148" s="173"/>
      <c r="J1148" s="173"/>
      <c r="K1148" s="173"/>
      <c r="L1148" s="173"/>
      <c r="AM1148" s="173"/>
      <c r="AN1148" s="173"/>
      <c r="AZ1148" s="337"/>
      <c r="BL1148" s="349"/>
      <c r="BM1148" s="300"/>
      <c r="BN1148" s="300"/>
      <c r="BO1148" s="300"/>
      <c r="BP1148" s="300"/>
      <c r="BQ1148" s="300"/>
      <c r="BR1148" s="300"/>
      <c r="BS1148" s="300"/>
      <c r="BT1148" s="300"/>
      <c r="BU1148" s="300"/>
      <c r="BV1148" s="300"/>
      <c r="BW1148" s="300"/>
      <c r="BX1148" s="300"/>
      <c r="BY1148" s="300"/>
      <c r="BZ1148" s="300"/>
      <c r="CA1148" s="300"/>
      <c r="CB1148" s="300"/>
    </row>
    <row r="1149" spans="1:80" s="27" customFormat="1" x14ac:dyDescent="0.3">
      <c r="A1149" s="173"/>
      <c r="D1149" s="173"/>
      <c r="E1149" s="173"/>
      <c r="F1149" s="173"/>
      <c r="G1149" s="173"/>
      <c r="H1149" s="173"/>
      <c r="I1149" s="173"/>
      <c r="J1149" s="173"/>
      <c r="K1149" s="173"/>
      <c r="L1149" s="173"/>
      <c r="AM1149" s="173"/>
      <c r="AN1149" s="173"/>
      <c r="AZ1149" s="337"/>
      <c r="BL1149" s="349"/>
      <c r="BM1149" s="300"/>
      <c r="BN1149" s="300"/>
      <c r="BO1149" s="300"/>
      <c r="BP1149" s="300"/>
      <c r="BQ1149" s="300"/>
      <c r="BR1149" s="300"/>
      <c r="BS1149" s="300"/>
      <c r="BT1149" s="300"/>
      <c r="BU1149" s="300"/>
      <c r="BV1149" s="300"/>
      <c r="BW1149" s="300"/>
      <c r="BX1149" s="300"/>
      <c r="BY1149" s="300"/>
      <c r="BZ1149" s="300"/>
      <c r="CA1149" s="300"/>
      <c r="CB1149" s="300"/>
    </row>
    <row r="1150" spans="1:80" s="27" customFormat="1" x14ac:dyDescent="0.3">
      <c r="A1150" s="173"/>
      <c r="D1150" s="173"/>
      <c r="E1150" s="173"/>
      <c r="F1150" s="173"/>
      <c r="G1150" s="173"/>
      <c r="H1150" s="173"/>
      <c r="I1150" s="173"/>
      <c r="J1150" s="173"/>
      <c r="K1150" s="173"/>
      <c r="L1150" s="173"/>
      <c r="AM1150" s="173"/>
      <c r="AN1150" s="173"/>
      <c r="AZ1150" s="337"/>
      <c r="BL1150" s="349"/>
      <c r="BM1150" s="300"/>
      <c r="BN1150" s="300"/>
      <c r="BO1150" s="300"/>
      <c r="BP1150" s="300"/>
      <c r="BQ1150" s="300"/>
      <c r="BR1150" s="300"/>
      <c r="BS1150" s="300"/>
      <c r="BT1150" s="300"/>
      <c r="BU1150" s="300"/>
      <c r="BV1150" s="300"/>
      <c r="BW1150" s="300"/>
      <c r="BX1150" s="300"/>
      <c r="BY1150" s="300"/>
      <c r="BZ1150" s="300"/>
      <c r="CA1150" s="300"/>
      <c r="CB1150" s="300"/>
    </row>
    <row r="1151" spans="1:80" s="27" customFormat="1" x14ac:dyDescent="0.3">
      <c r="A1151" s="173"/>
      <c r="D1151" s="173"/>
      <c r="E1151" s="173"/>
      <c r="F1151" s="173"/>
      <c r="G1151" s="173"/>
      <c r="H1151" s="173"/>
      <c r="I1151" s="173"/>
      <c r="J1151" s="173"/>
      <c r="K1151" s="173"/>
      <c r="L1151" s="173"/>
      <c r="AM1151" s="173"/>
      <c r="AN1151" s="173"/>
      <c r="AZ1151" s="337"/>
      <c r="BL1151" s="349"/>
      <c r="BM1151" s="300"/>
      <c r="BN1151" s="300"/>
      <c r="BO1151" s="300"/>
      <c r="BP1151" s="300"/>
      <c r="BQ1151" s="300"/>
      <c r="BR1151" s="300"/>
      <c r="BS1151" s="300"/>
      <c r="BT1151" s="300"/>
      <c r="BU1151" s="300"/>
      <c r="BV1151" s="300"/>
      <c r="BW1151" s="300"/>
      <c r="BX1151" s="300"/>
      <c r="BY1151" s="300"/>
      <c r="BZ1151" s="300"/>
      <c r="CA1151" s="300"/>
      <c r="CB1151" s="300"/>
    </row>
    <row r="1152" spans="1:80" s="27" customFormat="1" x14ac:dyDescent="0.3">
      <c r="A1152" s="173"/>
      <c r="D1152" s="173"/>
      <c r="E1152" s="173"/>
      <c r="F1152" s="173"/>
      <c r="G1152" s="173"/>
      <c r="H1152" s="173"/>
      <c r="I1152" s="173"/>
      <c r="J1152" s="173"/>
      <c r="K1152" s="173"/>
      <c r="L1152" s="173"/>
      <c r="AM1152" s="173"/>
      <c r="AN1152" s="173"/>
      <c r="AZ1152" s="337"/>
      <c r="BL1152" s="349"/>
      <c r="BM1152" s="300"/>
      <c r="BN1152" s="300"/>
      <c r="BO1152" s="300"/>
      <c r="BP1152" s="300"/>
      <c r="BQ1152" s="300"/>
      <c r="BR1152" s="300"/>
      <c r="BS1152" s="300"/>
      <c r="BT1152" s="300"/>
      <c r="BU1152" s="300"/>
      <c r="BV1152" s="300"/>
      <c r="BW1152" s="300"/>
      <c r="BX1152" s="300"/>
      <c r="BY1152" s="300"/>
      <c r="BZ1152" s="300"/>
      <c r="CA1152" s="300"/>
      <c r="CB1152" s="300"/>
    </row>
    <row r="1153" spans="1:80" s="27" customFormat="1" x14ac:dyDescent="0.3">
      <c r="A1153" s="173"/>
      <c r="D1153" s="173"/>
      <c r="E1153" s="173"/>
      <c r="F1153" s="173"/>
      <c r="G1153" s="173"/>
      <c r="H1153" s="173"/>
      <c r="I1153" s="173"/>
      <c r="J1153" s="173"/>
      <c r="K1153" s="173"/>
      <c r="L1153" s="173"/>
      <c r="AM1153" s="173"/>
      <c r="AN1153" s="173"/>
      <c r="AZ1153" s="337"/>
      <c r="BL1153" s="349"/>
      <c r="BM1153" s="300"/>
      <c r="BN1153" s="300"/>
      <c r="BO1153" s="300"/>
      <c r="BP1153" s="300"/>
      <c r="BQ1153" s="300"/>
      <c r="BR1153" s="300"/>
      <c r="BS1153" s="300"/>
      <c r="BT1153" s="300"/>
      <c r="BU1153" s="300"/>
      <c r="BV1153" s="300"/>
      <c r="BW1153" s="300"/>
      <c r="BX1153" s="300"/>
      <c r="BY1153" s="300"/>
      <c r="BZ1153" s="300"/>
      <c r="CA1153" s="300"/>
      <c r="CB1153" s="300"/>
    </row>
    <row r="1154" spans="1:80" s="27" customFormat="1" x14ac:dyDescent="0.3">
      <c r="A1154" s="173"/>
      <c r="D1154" s="173"/>
      <c r="E1154" s="173"/>
      <c r="F1154" s="173"/>
      <c r="G1154" s="173"/>
      <c r="H1154" s="173"/>
      <c r="I1154" s="173"/>
      <c r="J1154" s="173"/>
      <c r="K1154" s="173"/>
      <c r="L1154" s="173"/>
      <c r="AM1154" s="173"/>
      <c r="AN1154" s="173"/>
      <c r="AZ1154" s="337"/>
      <c r="BL1154" s="349"/>
      <c r="BM1154" s="300"/>
      <c r="BN1154" s="300"/>
      <c r="BO1154" s="300"/>
      <c r="BP1154" s="300"/>
      <c r="BQ1154" s="300"/>
      <c r="BR1154" s="300"/>
      <c r="BS1154" s="300"/>
      <c r="BT1154" s="300"/>
      <c r="BU1154" s="300"/>
      <c r="BV1154" s="300"/>
      <c r="BW1154" s="300"/>
      <c r="BX1154" s="300"/>
      <c r="BY1154" s="300"/>
      <c r="BZ1154" s="300"/>
      <c r="CA1154" s="300"/>
      <c r="CB1154" s="300"/>
    </row>
    <row r="1155" spans="1:80" s="27" customFormat="1" x14ac:dyDescent="0.3">
      <c r="A1155" s="173"/>
      <c r="D1155" s="173"/>
      <c r="E1155" s="173"/>
      <c r="F1155" s="173"/>
      <c r="G1155" s="173"/>
      <c r="H1155" s="173"/>
      <c r="I1155" s="173"/>
      <c r="J1155" s="173"/>
      <c r="K1155" s="173"/>
      <c r="L1155" s="173"/>
      <c r="AM1155" s="173"/>
      <c r="AN1155" s="173"/>
      <c r="AZ1155" s="337"/>
      <c r="BL1155" s="349"/>
      <c r="BM1155" s="300"/>
      <c r="BN1155" s="300"/>
      <c r="BO1155" s="300"/>
      <c r="BP1155" s="300"/>
      <c r="BQ1155" s="300"/>
      <c r="BR1155" s="300"/>
      <c r="BS1155" s="300"/>
      <c r="BT1155" s="300"/>
      <c r="BU1155" s="300"/>
      <c r="BV1155" s="300"/>
      <c r="BW1155" s="300"/>
      <c r="BX1155" s="300"/>
      <c r="BY1155" s="300"/>
      <c r="BZ1155" s="300"/>
      <c r="CA1155" s="300"/>
      <c r="CB1155" s="300"/>
    </row>
    <row r="1156" spans="1:80" s="27" customFormat="1" x14ac:dyDescent="0.3">
      <c r="A1156" s="173"/>
      <c r="D1156" s="173"/>
      <c r="E1156" s="173"/>
      <c r="F1156" s="173"/>
      <c r="G1156" s="173"/>
      <c r="H1156" s="173"/>
      <c r="I1156" s="173"/>
      <c r="J1156" s="173"/>
      <c r="K1156" s="173"/>
      <c r="L1156" s="173"/>
      <c r="AM1156" s="173"/>
      <c r="AN1156" s="173"/>
      <c r="AZ1156" s="337"/>
      <c r="BL1156" s="349"/>
      <c r="BM1156" s="300"/>
      <c r="BN1156" s="300"/>
      <c r="BO1156" s="300"/>
      <c r="BP1156" s="300"/>
      <c r="BQ1156" s="300"/>
      <c r="BR1156" s="300"/>
      <c r="BS1156" s="300"/>
      <c r="BT1156" s="300"/>
      <c r="BU1156" s="300"/>
      <c r="BV1156" s="300"/>
      <c r="BW1156" s="300"/>
      <c r="BX1156" s="300"/>
      <c r="BY1156" s="300"/>
      <c r="BZ1156" s="300"/>
      <c r="CA1156" s="300"/>
      <c r="CB1156" s="300"/>
    </row>
    <row r="1157" spans="1:80" s="27" customFormat="1" x14ac:dyDescent="0.3">
      <c r="A1157" s="173"/>
      <c r="D1157" s="173"/>
      <c r="E1157" s="173"/>
      <c r="F1157" s="173"/>
      <c r="G1157" s="173"/>
      <c r="H1157" s="173"/>
      <c r="I1157" s="173"/>
      <c r="J1157" s="173"/>
      <c r="K1157" s="173"/>
      <c r="L1157" s="173"/>
      <c r="AM1157" s="173"/>
      <c r="AN1157" s="173"/>
      <c r="AZ1157" s="337"/>
      <c r="BL1157" s="349"/>
      <c r="BM1157" s="300"/>
      <c r="BN1157" s="300"/>
      <c r="BO1157" s="300"/>
      <c r="BP1157" s="300"/>
      <c r="BQ1157" s="300"/>
      <c r="BR1157" s="300"/>
      <c r="BS1157" s="300"/>
      <c r="BT1157" s="300"/>
      <c r="BU1157" s="300"/>
      <c r="BV1157" s="300"/>
      <c r="BW1157" s="300"/>
      <c r="BX1157" s="300"/>
      <c r="BY1157" s="300"/>
      <c r="BZ1157" s="300"/>
      <c r="CA1157" s="300"/>
      <c r="CB1157" s="300"/>
    </row>
    <row r="1158" spans="1:80" s="27" customFormat="1" x14ac:dyDescent="0.3">
      <c r="A1158" s="173"/>
      <c r="D1158" s="173"/>
      <c r="E1158" s="173"/>
      <c r="F1158" s="173"/>
      <c r="G1158" s="173"/>
      <c r="H1158" s="173"/>
      <c r="I1158" s="173"/>
      <c r="J1158" s="173"/>
      <c r="K1158" s="173"/>
      <c r="L1158" s="173"/>
      <c r="AM1158" s="173"/>
      <c r="AN1158" s="173"/>
      <c r="AZ1158" s="337"/>
      <c r="BL1158" s="349"/>
      <c r="BM1158" s="300"/>
      <c r="BN1158" s="300"/>
      <c r="BO1158" s="300"/>
      <c r="BP1158" s="300"/>
      <c r="BQ1158" s="300"/>
      <c r="BR1158" s="300"/>
      <c r="BS1158" s="300"/>
      <c r="BT1158" s="300"/>
      <c r="BU1158" s="300"/>
      <c r="BV1158" s="300"/>
      <c r="BW1158" s="300"/>
      <c r="BX1158" s="300"/>
      <c r="BY1158" s="300"/>
      <c r="BZ1158" s="300"/>
      <c r="CA1158" s="300"/>
      <c r="CB1158" s="300"/>
    </row>
    <row r="1159" spans="1:80" s="27" customFormat="1" x14ac:dyDescent="0.3">
      <c r="A1159" s="173"/>
      <c r="D1159" s="173"/>
      <c r="E1159" s="173"/>
      <c r="F1159" s="173"/>
      <c r="G1159" s="173"/>
      <c r="H1159" s="173"/>
      <c r="I1159" s="173"/>
      <c r="J1159" s="173"/>
      <c r="K1159" s="173"/>
      <c r="L1159" s="173"/>
      <c r="AM1159" s="173"/>
      <c r="AN1159" s="173"/>
      <c r="AZ1159" s="337"/>
      <c r="BL1159" s="349"/>
      <c r="BM1159" s="300"/>
      <c r="BN1159" s="300"/>
      <c r="BO1159" s="300"/>
      <c r="BP1159" s="300"/>
      <c r="BQ1159" s="300"/>
      <c r="BR1159" s="300"/>
      <c r="BS1159" s="300"/>
      <c r="BT1159" s="300"/>
      <c r="BU1159" s="300"/>
      <c r="BV1159" s="300"/>
      <c r="BW1159" s="300"/>
      <c r="BX1159" s="300"/>
      <c r="BY1159" s="300"/>
      <c r="BZ1159" s="300"/>
      <c r="CA1159" s="300"/>
      <c r="CB1159" s="300"/>
    </row>
    <row r="1160" spans="1:80" s="27" customFormat="1" x14ac:dyDescent="0.3">
      <c r="A1160" s="173"/>
      <c r="D1160" s="173"/>
      <c r="E1160" s="173"/>
      <c r="F1160" s="173"/>
      <c r="G1160" s="173"/>
      <c r="H1160" s="173"/>
      <c r="I1160" s="173"/>
      <c r="J1160" s="173"/>
      <c r="K1160" s="173"/>
      <c r="L1160" s="173"/>
      <c r="AM1160" s="173"/>
      <c r="AN1160" s="173"/>
      <c r="AZ1160" s="337"/>
      <c r="BL1160" s="349"/>
      <c r="BM1160" s="300"/>
      <c r="BN1160" s="300"/>
      <c r="BO1160" s="300"/>
      <c r="BP1160" s="300"/>
      <c r="BQ1160" s="300"/>
      <c r="BR1160" s="300"/>
      <c r="BS1160" s="300"/>
      <c r="BT1160" s="300"/>
      <c r="BU1160" s="300"/>
      <c r="BV1160" s="300"/>
      <c r="BW1160" s="300"/>
      <c r="BX1160" s="300"/>
      <c r="BY1160" s="300"/>
      <c r="BZ1160" s="300"/>
      <c r="CA1160" s="300"/>
      <c r="CB1160" s="300"/>
    </row>
    <row r="1161" spans="1:80" s="27" customFormat="1" x14ac:dyDescent="0.3">
      <c r="A1161" s="173"/>
      <c r="D1161" s="173"/>
      <c r="E1161" s="173"/>
      <c r="F1161" s="173"/>
      <c r="G1161" s="173"/>
      <c r="H1161" s="173"/>
      <c r="I1161" s="173"/>
      <c r="J1161" s="173"/>
      <c r="K1161" s="173"/>
      <c r="L1161" s="173"/>
      <c r="AM1161" s="173"/>
      <c r="AN1161" s="173"/>
      <c r="AZ1161" s="337"/>
      <c r="BL1161" s="349"/>
      <c r="BM1161" s="300"/>
      <c r="BN1161" s="300"/>
      <c r="BO1161" s="300"/>
      <c r="BP1161" s="300"/>
      <c r="BQ1161" s="300"/>
      <c r="BR1161" s="300"/>
      <c r="BS1161" s="300"/>
      <c r="BT1161" s="300"/>
      <c r="BU1161" s="300"/>
      <c r="BV1161" s="300"/>
      <c r="BW1161" s="300"/>
      <c r="BX1161" s="300"/>
      <c r="BY1161" s="300"/>
      <c r="BZ1161" s="300"/>
      <c r="CA1161" s="300"/>
      <c r="CB1161" s="300"/>
    </row>
    <row r="1162" spans="1:80" s="27" customFormat="1" x14ac:dyDescent="0.3">
      <c r="A1162" s="173"/>
      <c r="D1162" s="173"/>
      <c r="E1162" s="173"/>
      <c r="F1162" s="173"/>
      <c r="G1162" s="173"/>
      <c r="H1162" s="173"/>
      <c r="I1162" s="173"/>
      <c r="J1162" s="173"/>
      <c r="K1162" s="173"/>
      <c r="L1162" s="173"/>
      <c r="AM1162" s="173"/>
      <c r="AN1162" s="173"/>
      <c r="AZ1162" s="337"/>
      <c r="BL1162" s="349"/>
      <c r="BM1162" s="300"/>
      <c r="BN1162" s="300"/>
      <c r="BO1162" s="300"/>
      <c r="BP1162" s="300"/>
      <c r="BQ1162" s="300"/>
      <c r="BR1162" s="300"/>
      <c r="BS1162" s="300"/>
      <c r="BT1162" s="300"/>
      <c r="BU1162" s="300"/>
      <c r="BV1162" s="300"/>
      <c r="BW1162" s="300"/>
      <c r="BX1162" s="300"/>
      <c r="BY1162" s="300"/>
      <c r="BZ1162" s="300"/>
      <c r="CA1162" s="300"/>
      <c r="CB1162" s="300"/>
    </row>
    <row r="1163" spans="1:80" s="27" customFormat="1" x14ac:dyDescent="0.3">
      <c r="A1163" s="173"/>
      <c r="D1163" s="173"/>
      <c r="E1163" s="173"/>
      <c r="F1163" s="173"/>
      <c r="G1163" s="173"/>
      <c r="H1163" s="173"/>
      <c r="I1163" s="173"/>
      <c r="J1163" s="173"/>
      <c r="K1163" s="173"/>
      <c r="L1163" s="173"/>
      <c r="AM1163" s="173"/>
      <c r="AN1163" s="173"/>
      <c r="AZ1163" s="337"/>
      <c r="BL1163" s="349"/>
      <c r="BM1163" s="300"/>
      <c r="BN1163" s="300"/>
      <c r="BO1163" s="300"/>
      <c r="BP1163" s="300"/>
      <c r="BQ1163" s="300"/>
      <c r="BR1163" s="300"/>
      <c r="BS1163" s="300"/>
      <c r="BT1163" s="300"/>
      <c r="BU1163" s="300"/>
      <c r="BV1163" s="300"/>
      <c r="BW1163" s="300"/>
      <c r="BX1163" s="300"/>
      <c r="BY1163" s="300"/>
      <c r="BZ1163" s="300"/>
      <c r="CA1163" s="300"/>
      <c r="CB1163" s="300"/>
    </row>
    <row r="1164" spans="1:80" s="27" customFormat="1" x14ac:dyDescent="0.3">
      <c r="A1164" s="173"/>
      <c r="D1164" s="173"/>
      <c r="E1164" s="173"/>
      <c r="F1164" s="173"/>
      <c r="G1164" s="173"/>
      <c r="H1164" s="173"/>
      <c r="I1164" s="173"/>
      <c r="J1164" s="173"/>
      <c r="K1164" s="173"/>
      <c r="L1164" s="173"/>
      <c r="AM1164" s="173"/>
      <c r="AN1164" s="173"/>
      <c r="AZ1164" s="337"/>
      <c r="BL1164" s="349"/>
      <c r="BM1164" s="300"/>
      <c r="BN1164" s="300"/>
      <c r="BO1164" s="300"/>
      <c r="BP1164" s="300"/>
      <c r="BQ1164" s="300"/>
      <c r="BR1164" s="300"/>
      <c r="BS1164" s="300"/>
      <c r="BT1164" s="300"/>
      <c r="BU1164" s="300"/>
      <c r="BV1164" s="300"/>
      <c r="BW1164" s="300"/>
      <c r="BX1164" s="300"/>
      <c r="BY1164" s="300"/>
      <c r="BZ1164" s="300"/>
      <c r="CA1164" s="300"/>
      <c r="CB1164" s="300"/>
    </row>
    <row r="1165" spans="1:80" s="27" customFormat="1" x14ac:dyDescent="0.3">
      <c r="A1165" s="173"/>
      <c r="D1165" s="173"/>
      <c r="E1165" s="173"/>
      <c r="F1165" s="173"/>
      <c r="G1165" s="173"/>
      <c r="H1165" s="173"/>
      <c r="I1165" s="173"/>
      <c r="J1165" s="173"/>
      <c r="K1165" s="173"/>
      <c r="L1165" s="173"/>
      <c r="AM1165" s="173"/>
      <c r="AN1165" s="173"/>
      <c r="AZ1165" s="337"/>
      <c r="BL1165" s="349"/>
      <c r="BM1165" s="300"/>
      <c r="BN1165" s="300"/>
      <c r="BO1165" s="300"/>
      <c r="BP1165" s="300"/>
      <c r="BQ1165" s="300"/>
      <c r="BR1165" s="300"/>
      <c r="BS1165" s="300"/>
      <c r="BT1165" s="300"/>
      <c r="BU1165" s="300"/>
      <c r="BV1165" s="300"/>
      <c r="BW1165" s="300"/>
      <c r="BX1165" s="300"/>
      <c r="BY1165" s="300"/>
      <c r="BZ1165" s="300"/>
      <c r="CA1165" s="300"/>
      <c r="CB1165" s="300"/>
    </row>
    <row r="1166" spans="1:80" s="27" customFormat="1" x14ac:dyDescent="0.3">
      <c r="A1166" s="173"/>
      <c r="D1166" s="173"/>
      <c r="E1166" s="173"/>
      <c r="F1166" s="173"/>
      <c r="G1166" s="173"/>
      <c r="H1166" s="173"/>
      <c r="I1166" s="173"/>
      <c r="J1166" s="173"/>
      <c r="K1166" s="173"/>
      <c r="L1166" s="173"/>
      <c r="AM1166" s="173"/>
      <c r="AN1166" s="173"/>
      <c r="AZ1166" s="337"/>
      <c r="BL1166" s="349"/>
      <c r="BM1166" s="300"/>
      <c r="BN1166" s="300"/>
      <c r="BO1166" s="300"/>
      <c r="BP1166" s="300"/>
      <c r="BQ1166" s="300"/>
      <c r="BR1166" s="300"/>
      <c r="BS1166" s="300"/>
      <c r="BT1166" s="300"/>
      <c r="BU1166" s="300"/>
      <c r="BV1166" s="300"/>
      <c r="BW1166" s="300"/>
      <c r="BX1166" s="300"/>
      <c r="BY1166" s="300"/>
      <c r="BZ1166" s="300"/>
      <c r="CA1166" s="300"/>
      <c r="CB1166" s="300"/>
    </row>
    <row r="1167" spans="1:80" s="27" customFormat="1" x14ac:dyDescent="0.3">
      <c r="A1167" s="173"/>
      <c r="D1167" s="173"/>
      <c r="E1167" s="173"/>
      <c r="F1167" s="173"/>
      <c r="G1167" s="173"/>
      <c r="H1167" s="173"/>
      <c r="I1167" s="173"/>
      <c r="J1167" s="173"/>
      <c r="K1167" s="173"/>
      <c r="L1167" s="173"/>
      <c r="AM1167" s="173"/>
      <c r="AN1167" s="173"/>
      <c r="AZ1167" s="337"/>
      <c r="BL1167" s="349"/>
      <c r="BM1167" s="300"/>
      <c r="BN1167" s="300"/>
      <c r="BO1167" s="300"/>
      <c r="BP1167" s="300"/>
      <c r="BQ1167" s="300"/>
      <c r="BR1167" s="300"/>
      <c r="BS1167" s="300"/>
      <c r="BT1167" s="300"/>
      <c r="BU1167" s="300"/>
      <c r="BV1167" s="300"/>
      <c r="BW1167" s="300"/>
      <c r="BX1167" s="300"/>
      <c r="BY1167" s="300"/>
      <c r="BZ1167" s="300"/>
      <c r="CA1167" s="300"/>
      <c r="CB1167" s="300"/>
    </row>
    <row r="1168" spans="1:80" s="27" customFormat="1" x14ac:dyDescent="0.3">
      <c r="A1168" s="173"/>
      <c r="D1168" s="173"/>
      <c r="E1168" s="173"/>
      <c r="F1168" s="173"/>
      <c r="G1168" s="173"/>
      <c r="H1168" s="173"/>
      <c r="I1168" s="173"/>
      <c r="J1168" s="173"/>
      <c r="K1168" s="173"/>
      <c r="L1168" s="173"/>
      <c r="AM1168" s="173"/>
      <c r="AN1168" s="173"/>
      <c r="AZ1168" s="337"/>
      <c r="BL1168" s="349"/>
      <c r="BM1168" s="300"/>
      <c r="BN1168" s="300"/>
      <c r="BO1168" s="300"/>
      <c r="BP1168" s="300"/>
      <c r="BQ1168" s="300"/>
      <c r="BR1168" s="300"/>
      <c r="BS1168" s="300"/>
      <c r="BT1168" s="300"/>
      <c r="BU1168" s="300"/>
      <c r="BV1168" s="300"/>
      <c r="BW1168" s="300"/>
      <c r="BX1168" s="300"/>
      <c r="BY1168" s="300"/>
      <c r="BZ1168" s="300"/>
      <c r="CA1168" s="300"/>
      <c r="CB1168" s="300"/>
    </row>
    <row r="1169" spans="1:80" s="27" customFormat="1" x14ac:dyDescent="0.3">
      <c r="A1169" s="173"/>
      <c r="D1169" s="173"/>
      <c r="E1169" s="173"/>
      <c r="F1169" s="173"/>
      <c r="G1169" s="173"/>
      <c r="H1169" s="173"/>
      <c r="I1169" s="173"/>
      <c r="J1169" s="173"/>
      <c r="K1169" s="173"/>
      <c r="L1169" s="173"/>
      <c r="AM1169" s="173"/>
      <c r="AN1169" s="173"/>
      <c r="AZ1169" s="337"/>
      <c r="BL1169" s="349"/>
      <c r="BM1169" s="300"/>
      <c r="BN1169" s="300"/>
      <c r="BO1169" s="300"/>
      <c r="BP1169" s="300"/>
      <c r="BQ1169" s="300"/>
      <c r="BR1169" s="300"/>
      <c r="BS1169" s="300"/>
      <c r="BT1169" s="300"/>
      <c r="BU1169" s="300"/>
      <c r="BV1169" s="300"/>
      <c r="BW1169" s="300"/>
      <c r="BX1169" s="300"/>
      <c r="BY1169" s="300"/>
      <c r="BZ1169" s="300"/>
      <c r="CA1169" s="300"/>
      <c r="CB1169" s="300"/>
    </row>
    <row r="1170" spans="1:80" s="27" customFormat="1" x14ac:dyDescent="0.3">
      <c r="A1170" s="173"/>
      <c r="D1170" s="173"/>
      <c r="E1170" s="173"/>
      <c r="F1170" s="173"/>
      <c r="G1170" s="173"/>
      <c r="H1170" s="173"/>
      <c r="I1170" s="173"/>
      <c r="J1170" s="173"/>
      <c r="K1170" s="173"/>
      <c r="L1170" s="173"/>
      <c r="AM1170" s="173"/>
      <c r="AN1170" s="173"/>
      <c r="AZ1170" s="337"/>
      <c r="BL1170" s="349"/>
      <c r="BM1170" s="300"/>
      <c r="BN1170" s="300"/>
      <c r="BO1170" s="300"/>
      <c r="BP1170" s="300"/>
      <c r="BQ1170" s="300"/>
      <c r="BR1170" s="300"/>
      <c r="BS1170" s="300"/>
      <c r="BT1170" s="300"/>
      <c r="BU1170" s="300"/>
      <c r="BV1170" s="300"/>
      <c r="BW1170" s="300"/>
      <c r="BX1170" s="300"/>
      <c r="BY1170" s="300"/>
      <c r="BZ1170" s="300"/>
      <c r="CA1170" s="300"/>
      <c r="CB1170" s="300"/>
    </row>
    <row r="1171" spans="1:80" s="27" customFormat="1" x14ac:dyDescent="0.3">
      <c r="A1171" s="173"/>
      <c r="D1171" s="173"/>
      <c r="E1171" s="173"/>
      <c r="F1171" s="173"/>
      <c r="G1171" s="173"/>
      <c r="H1171" s="173"/>
      <c r="I1171" s="173"/>
      <c r="J1171" s="173"/>
      <c r="K1171" s="173"/>
      <c r="L1171" s="173"/>
      <c r="AM1171" s="173"/>
      <c r="AN1171" s="173"/>
      <c r="AZ1171" s="337"/>
      <c r="BL1171" s="349"/>
      <c r="BM1171" s="300"/>
      <c r="BN1171" s="300"/>
      <c r="BO1171" s="300"/>
      <c r="BP1171" s="300"/>
      <c r="BQ1171" s="300"/>
      <c r="BR1171" s="300"/>
      <c r="BS1171" s="300"/>
      <c r="BT1171" s="300"/>
      <c r="BU1171" s="300"/>
      <c r="BV1171" s="300"/>
      <c r="BW1171" s="300"/>
      <c r="BX1171" s="300"/>
      <c r="BY1171" s="300"/>
      <c r="BZ1171" s="300"/>
      <c r="CA1171" s="300"/>
      <c r="CB1171" s="300"/>
    </row>
    <row r="1172" spans="1:80" s="27" customFormat="1" x14ac:dyDescent="0.3">
      <c r="A1172" s="173"/>
      <c r="D1172" s="173"/>
      <c r="E1172" s="173"/>
      <c r="F1172" s="173"/>
      <c r="G1172" s="173"/>
      <c r="H1172" s="173"/>
      <c r="I1172" s="173"/>
      <c r="J1172" s="173"/>
      <c r="K1172" s="173"/>
      <c r="L1172" s="173"/>
      <c r="AM1172" s="173"/>
      <c r="AN1172" s="173"/>
      <c r="AZ1172" s="337"/>
      <c r="BL1172" s="349"/>
      <c r="BM1172" s="300"/>
      <c r="BN1172" s="300"/>
      <c r="BO1172" s="300"/>
      <c r="BP1172" s="300"/>
      <c r="BQ1172" s="300"/>
      <c r="BR1172" s="300"/>
      <c r="BS1172" s="300"/>
      <c r="BT1172" s="300"/>
      <c r="BU1172" s="300"/>
      <c r="BV1172" s="300"/>
      <c r="BW1172" s="300"/>
      <c r="BX1172" s="300"/>
      <c r="BY1172" s="300"/>
      <c r="BZ1172" s="300"/>
      <c r="CA1172" s="300"/>
      <c r="CB1172" s="300"/>
    </row>
    <row r="1173" spans="1:80" s="27" customFormat="1" x14ac:dyDescent="0.3">
      <c r="A1173" s="173"/>
      <c r="D1173" s="173"/>
      <c r="E1173" s="173"/>
      <c r="F1173" s="173"/>
      <c r="G1173" s="173"/>
      <c r="H1173" s="173"/>
      <c r="I1173" s="173"/>
      <c r="J1173" s="173"/>
      <c r="K1173" s="173"/>
      <c r="L1173" s="173"/>
      <c r="AM1173" s="173"/>
      <c r="AN1173" s="173"/>
      <c r="AZ1173" s="337"/>
      <c r="BL1173" s="349"/>
      <c r="BM1173" s="300"/>
      <c r="BN1173" s="300"/>
      <c r="BO1173" s="300"/>
      <c r="BP1173" s="300"/>
      <c r="BQ1173" s="300"/>
      <c r="BR1173" s="300"/>
      <c r="BS1173" s="300"/>
      <c r="BT1173" s="300"/>
      <c r="BU1173" s="300"/>
      <c r="BV1173" s="300"/>
      <c r="BW1173" s="300"/>
      <c r="BX1173" s="300"/>
      <c r="BY1173" s="300"/>
      <c r="BZ1173" s="300"/>
      <c r="CA1173" s="300"/>
      <c r="CB1173" s="300"/>
    </row>
    <row r="1174" spans="1:80" s="27" customFormat="1" x14ac:dyDescent="0.3">
      <c r="A1174" s="173"/>
      <c r="D1174" s="173"/>
      <c r="E1174" s="173"/>
      <c r="F1174" s="173"/>
      <c r="G1174" s="173"/>
      <c r="H1174" s="173"/>
      <c r="I1174" s="173"/>
      <c r="J1174" s="173"/>
      <c r="K1174" s="173"/>
      <c r="L1174" s="173"/>
      <c r="AM1174" s="173"/>
      <c r="AN1174" s="173"/>
      <c r="AZ1174" s="337"/>
      <c r="BL1174" s="349"/>
      <c r="BM1174" s="300"/>
      <c r="BN1174" s="300"/>
      <c r="BO1174" s="300"/>
      <c r="BP1174" s="300"/>
      <c r="BQ1174" s="300"/>
      <c r="BR1174" s="300"/>
      <c r="BS1174" s="300"/>
      <c r="BT1174" s="300"/>
      <c r="BU1174" s="300"/>
      <c r="BV1174" s="300"/>
      <c r="BW1174" s="300"/>
      <c r="BX1174" s="300"/>
      <c r="BY1174" s="300"/>
      <c r="BZ1174" s="300"/>
      <c r="CA1174" s="300"/>
      <c r="CB1174" s="300"/>
    </row>
    <row r="1175" spans="1:80" s="27" customFormat="1" x14ac:dyDescent="0.3">
      <c r="A1175" s="173"/>
      <c r="D1175" s="173"/>
      <c r="E1175" s="173"/>
      <c r="F1175" s="173"/>
      <c r="G1175" s="173"/>
      <c r="H1175" s="173"/>
      <c r="I1175" s="173"/>
      <c r="J1175" s="173"/>
      <c r="K1175" s="173"/>
      <c r="L1175" s="173"/>
      <c r="AM1175" s="173"/>
      <c r="AN1175" s="173"/>
      <c r="AZ1175" s="337"/>
      <c r="BL1175" s="349"/>
      <c r="BM1175" s="300"/>
      <c r="BN1175" s="300"/>
      <c r="BO1175" s="300"/>
      <c r="BP1175" s="300"/>
      <c r="BQ1175" s="300"/>
      <c r="BR1175" s="300"/>
      <c r="BS1175" s="300"/>
      <c r="BT1175" s="300"/>
      <c r="BU1175" s="300"/>
      <c r="BV1175" s="300"/>
      <c r="BW1175" s="300"/>
      <c r="BX1175" s="300"/>
      <c r="BY1175" s="300"/>
      <c r="BZ1175" s="300"/>
      <c r="CA1175" s="300"/>
      <c r="CB1175" s="300"/>
    </row>
    <row r="1176" spans="1:80" s="27" customFormat="1" x14ac:dyDescent="0.3">
      <c r="A1176" s="173"/>
      <c r="D1176" s="173"/>
      <c r="E1176" s="173"/>
      <c r="F1176" s="173"/>
      <c r="G1176" s="173"/>
      <c r="H1176" s="173"/>
      <c r="I1176" s="173"/>
      <c r="J1176" s="173"/>
      <c r="K1176" s="173"/>
      <c r="L1176" s="173"/>
      <c r="AM1176" s="173"/>
      <c r="AN1176" s="173"/>
      <c r="AZ1176" s="337"/>
      <c r="BL1176" s="349"/>
      <c r="BM1176" s="300"/>
      <c r="BN1176" s="300"/>
      <c r="BO1176" s="300"/>
      <c r="BP1176" s="300"/>
      <c r="BQ1176" s="300"/>
      <c r="BR1176" s="300"/>
      <c r="BS1176" s="300"/>
      <c r="BT1176" s="300"/>
      <c r="BU1176" s="300"/>
      <c r="BV1176" s="300"/>
      <c r="BW1176" s="300"/>
      <c r="BX1176" s="300"/>
      <c r="BY1176" s="300"/>
      <c r="BZ1176" s="300"/>
      <c r="CA1176" s="300"/>
      <c r="CB1176" s="300"/>
    </row>
    <row r="1177" spans="1:80" s="27" customFormat="1" x14ac:dyDescent="0.3">
      <c r="A1177" s="173"/>
      <c r="D1177" s="173"/>
      <c r="E1177" s="173"/>
      <c r="F1177" s="173"/>
      <c r="G1177" s="173"/>
      <c r="H1177" s="173"/>
      <c r="I1177" s="173"/>
      <c r="J1177" s="173"/>
      <c r="K1177" s="173"/>
      <c r="L1177" s="173"/>
      <c r="AM1177" s="173"/>
      <c r="AN1177" s="173"/>
      <c r="AZ1177" s="337"/>
      <c r="BL1177" s="349"/>
      <c r="BM1177" s="300"/>
      <c r="BN1177" s="300"/>
      <c r="BO1177" s="300"/>
      <c r="BP1177" s="300"/>
      <c r="BQ1177" s="300"/>
      <c r="BR1177" s="300"/>
      <c r="BS1177" s="300"/>
      <c r="BT1177" s="300"/>
      <c r="BU1177" s="300"/>
      <c r="BV1177" s="300"/>
      <c r="BW1177" s="300"/>
      <c r="BX1177" s="300"/>
      <c r="BY1177" s="300"/>
      <c r="BZ1177" s="300"/>
      <c r="CA1177" s="300"/>
      <c r="CB1177" s="300"/>
    </row>
    <row r="1178" spans="1:80" s="27" customFormat="1" x14ac:dyDescent="0.3">
      <c r="A1178" s="173"/>
      <c r="D1178" s="173"/>
      <c r="E1178" s="173"/>
      <c r="F1178" s="173"/>
      <c r="G1178" s="173"/>
      <c r="H1178" s="173"/>
      <c r="I1178" s="173"/>
      <c r="J1178" s="173"/>
      <c r="K1178" s="173"/>
      <c r="L1178" s="173"/>
      <c r="AM1178" s="173"/>
      <c r="AN1178" s="173"/>
      <c r="AZ1178" s="337"/>
      <c r="BL1178" s="349"/>
      <c r="BM1178" s="300"/>
      <c r="BN1178" s="300"/>
      <c r="BO1178" s="300"/>
      <c r="BP1178" s="300"/>
      <c r="BQ1178" s="300"/>
      <c r="BR1178" s="300"/>
      <c r="BS1178" s="300"/>
      <c r="BT1178" s="300"/>
      <c r="BU1178" s="300"/>
      <c r="BV1178" s="300"/>
      <c r="BW1178" s="300"/>
      <c r="BX1178" s="300"/>
      <c r="BY1178" s="300"/>
      <c r="BZ1178" s="300"/>
      <c r="CA1178" s="300"/>
      <c r="CB1178" s="300"/>
    </row>
    <row r="1179" spans="1:80" s="27" customFormat="1" x14ac:dyDescent="0.3">
      <c r="A1179" s="173"/>
      <c r="D1179" s="173"/>
      <c r="E1179" s="173"/>
      <c r="F1179" s="173"/>
      <c r="G1179" s="173"/>
      <c r="H1179" s="173"/>
      <c r="I1179" s="173"/>
      <c r="J1179" s="173"/>
      <c r="K1179" s="173"/>
      <c r="L1179" s="173"/>
      <c r="AM1179" s="173"/>
      <c r="AN1179" s="173"/>
      <c r="AZ1179" s="337"/>
      <c r="BL1179" s="349"/>
      <c r="BM1179" s="300"/>
      <c r="BN1179" s="300"/>
      <c r="BO1179" s="300"/>
      <c r="BP1179" s="300"/>
      <c r="BQ1179" s="300"/>
      <c r="BR1179" s="300"/>
      <c r="BS1179" s="300"/>
      <c r="BT1179" s="300"/>
      <c r="BU1179" s="300"/>
      <c r="BV1179" s="300"/>
      <c r="BW1179" s="300"/>
      <c r="BX1179" s="300"/>
      <c r="BY1179" s="300"/>
      <c r="BZ1179" s="300"/>
      <c r="CA1179" s="300"/>
      <c r="CB1179" s="300"/>
    </row>
    <row r="1180" spans="1:80" s="27" customFormat="1" x14ac:dyDescent="0.3">
      <c r="A1180" s="173"/>
      <c r="D1180" s="173"/>
      <c r="E1180" s="173"/>
      <c r="F1180" s="173"/>
      <c r="G1180" s="173"/>
      <c r="H1180" s="173"/>
      <c r="I1180" s="173"/>
      <c r="J1180" s="173"/>
      <c r="K1180" s="173"/>
      <c r="L1180" s="173"/>
      <c r="AM1180" s="173"/>
      <c r="AN1180" s="173"/>
      <c r="AZ1180" s="337"/>
      <c r="BL1180" s="349"/>
      <c r="BM1180" s="300"/>
      <c r="BN1180" s="300"/>
      <c r="BO1180" s="300"/>
      <c r="BP1180" s="300"/>
      <c r="BQ1180" s="300"/>
      <c r="BR1180" s="300"/>
      <c r="BS1180" s="300"/>
      <c r="BT1180" s="300"/>
      <c r="BU1180" s="300"/>
      <c r="BV1180" s="300"/>
      <c r="BW1180" s="300"/>
      <c r="BX1180" s="300"/>
      <c r="BY1180" s="300"/>
      <c r="BZ1180" s="300"/>
      <c r="CA1180" s="300"/>
      <c r="CB1180" s="300"/>
    </row>
    <row r="1181" spans="1:80" s="27" customFormat="1" x14ac:dyDescent="0.3">
      <c r="A1181" s="173"/>
      <c r="D1181" s="173"/>
      <c r="E1181" s="173"/>
      <c r="F1181" s="173"/>
      <c r="G1181" s="173"/>
      <c r="H1181" s="173"/>
      <c r="I1181" s="173"/>
      <c r="J1181" s="173"/>
      <c r="K1181" s="173"/>
      <c r="L1181" s="173"/>
      <c r="AM1181" s="173"/>
      <c r="AN1181" s="173"/>
      <c r="AZ1181" s="337"/>
      <c r="BL1181" s="349"/>
      <c r="BM1181" s="300"/>
      <c r="BN1181" s="300"/>
      <c r="BO1181" s="300"/>
      <c r="BP1181" s="300"/>
      <c r="BQ1181" s="300"/>
      <c r="BR1181" s="300"/>
      <c r="BS1181" s="300"/>
      <c r="BT1181" s="300"/>
      <c r="BU1181" s="300"/>
      <c r="BV1181" s="300"/>
      <c r="BW1181" s="300"/>
      <c r="BX1181" s="300"/>
      <c r="BY1181" s="300"/>
      <c r="BZ1181" s="300"/>
      <c r="CA1181" s="300"/>
      <c r="CB1181" s="300"/>
    </row>
    <row r="1182" spans="1:80" s="27" customFormat="1" x14ac:dyDescent="0.3">
      <c r="A1182" s="173"/>
      <c r="D1182" s="173"/>
      <c r="E1182" s="173"/>
      <c r="F1182" s="173"/>
      <c r="G1182" s="173"/>
      <c r="H1182" s="173"/>
      <c r="I1182" s="173"/>
      <c r="J1182" s="173"/>
      <c r="K1182" s="173"/>
      <c r="L1182" s="173"/>
      <c r="AM1182" s="173"/>
      <c r="AN1182" s="173"/>
      <c r="AZ1182" s="337"/>
      <c r="BL1182" s="349"/>
      <c r="BM1182" s="300"/>
      <c r="BN1182" s="300"/>
      <c r="BO1182" s="300"/>
      <c r="BP1182" s="300"/>
      <c r="BQ1182" s="300"/>
      <c r="BR1182" s="300"/>
      <c r="BS1182" s="300"/>
      <c r="BT1182" s="300"/>
      <c r="BU1182" s="300"/>
      <c r="BV1182" s="300"/>
      <c r="BW1182" s="300"/>
      <c r="BX1182" s="300"/>
      <c r="BY1182" s="300"/>
      <c r="BZ1182" s="300"/>
      <c r="CA1182" s="300"/>
      <c r="CB1182" s="300"/>
    </row>
    <row r="1183" spans="1:80" s="27" customFormat="1" x14ac:dyDescent="0.3">
      <c r="A1183" s="173"/>
      <c r="D1183" s="173"/>
      <c r="E1183" s="173"/>
      <c r="F1183" s="173"/>
      <c r="G1183" s="173"/>
      <c r="H1183" s="173"/>
      <c r="I1183" s="173"/>
      <c r="J1183" s="173"/>
      <c r="K1183" s="173"/>
      <c r="L1183" s="173"/>
      <c r="AM1183" s="173"/>
      <c r="AN1183" s="173"/>
      <c r="AZ1183" s="337"/>
      <c r="BL1183" s="349"/>
      <c r="BM1183" s="300"/>
      <c r="BN1183" s="300"/>
      <c r="BO1183" s="300"/>
      <c r="BP1183" s="300"/>
      <c r="BQ1183" s="300"/>
      <c r="BR1183" s="300"/>
      <c r="BS1183" s="300"/>
      <c r="BT1183" s="300"/>
      <c r="BU1183" s="300"/>
      <c r="BV1183" s="300"/>
      <c r="BW1183" s="300"/>
      <c r="BX1183" s="300"/>
      <c r="BY1183" s="300"/>
      <c r="BZ1183" s="300"/>
      <c r="CA1183" s="300"/>
      <c r="CB1183" s="300"/>
    </row>
    <row r="1184" spans="1:80" s="27" customFormat="1" x14ac:dyDescent="0.3">
      <c r="A1184" s="173"/>
      <c r="D1184" s="173"/>
      <c r="E1184" s="173"/>
      <c r="F1184" s="173"/>
      <c r="G1184" s="173"/>
      <c r="H1184" s="173"/>
      <c r="I1184" s="173"/>
      <c r="J1184" s="173"/>
      <c r="K1184" s="173"/>
      <c r="L1184" s="173"/>
      <c r="AM1184" s="173"/>
      <c r="AN1184" s="173"/>
      <c r="AZ1184" s="337"/>
      <c r="BL1184" s="349"/>
      <c r="BM1184" s="300"/>
      <c r="BN1184" s="300"/>
      <c r="BO1184" s="300"/>
      <c r="BP1184" s="300"/>
      <c r="BQ1184" s="300"/>
      <c r="BR1184" s="300"/>
      <c r="BS1184" s="300"/>
      <c r="BT1184" s="300"/>
      <c r="BU1184" s="300"/>
      <c r="BV1184" s="300"/>
      <c r="BW1184" s="300"/>
      <c r="BX1184" s="300"/>
      <c r="BY1184" s="300"/>
      <c r="BZ1184" s="300"/>
      <c r="CA1184" s="300"/>
      <c r="CB1184" s="300"/>
    </row>
    <row r="1185" spans="1:80" s="27" customFormat="1" x14ac:dyDescent="0.3">
      <c r="A1185" s="173"/>
      <c r="D1185" s="173"/>
      <c r="E1185" s="173"/>
      <c r="F1185" s="173"/>
      <c r="G1185" s="173"/>
      <c r="H1185" s="173"/>
      <c r="I1185" s="173"/>
      <c r="J1185" s="173"/>
      <c r="K1185" s="173"/>
      <c r="L1185" s="173"/>
      <c r="AM1185" s="173"/>
      <c r="AN1185" s="173"/>
      <c r="AZ1185" s="337"/>
      <c r="BL1185" s="349"/>
      <c r="BM1185" s="300"/>
      <c r="BN1185" s="300"/>
      <c r="BO1185" s="300"/>
      <c r="BP1185" s="300"/>
      <c r="BQ1185" s="300"/>
      <c r="BR1185" s="300"/>
      <c r="BS1185" s="300"/>
      <c r="BT1185" s="300"/>
      <c r="BU1185" s="300"/>
      <c r="BV1185" s="300"/>
      <c r="BW1185" s="300"/>
      <c r="BX1185" s="300"/>
      <c r="BY1185" s="300"/>
      <c r="BZ1185" s="300"/>
      <c r="CA1185" s="300"/>
      <c r="CB1185" s="300"/>
    </row>
    <row r="1186" spans="1:80" s="27" customFormat="1" x14ac:dyDescent="0.3">
      <c r="A1186" s="173"/>
      <c r="D1186" s="173"/>
      <c r="E1186" s="173"/>
      <c r="F1186" s="173"/>
      <c r="G1186" s="173"/>
      <c r="H1186" s="173"/>
      <c r="I1186" s="173"/>
      <c r="J1186" s="173"/>
      <c r="K1186" s="173"/>
      <c r="L1186" s="173"/>
      <c r="AM1186" s="173"/>
      <c r="AN1186" s="173"/>
      <c r="AZ1186" s="337"/>
      <c r="BL1186" s="349"/>
      <c r="BM1186" s="300"/>
      <c r="BN1186" s="300"/>
      <c r="BO1186" s="300"/>
      <c r="BP1186" s="300"/>
      <c r="BQ1186" s="300"/>
      <c r="BR1186" s="300"/>
      <c r="BS1186" s="300"/>
      <c r="BT1186" s="300"/>
      <c r="BU1186" s="300"/>
      <c r="BV1186" s="300"/>
      <c r="BW1186" s="300"/>
      <c r="BX1186" s="300"/>
      <c r="BY1186" s="300"/>
      <c r="BZ1186" s="300"/>
      <c r="CA1186" s="300"/>
      <c r="CB1186" s="300"/>
    </row>
    <row r="1187" spans="1:80" s="27" customFormat="1" x14ac:dyDescent="0.3">
      <c r="A1187" s="173"/>
      <c r="D1187" s="173"/>
      <c r="E1187" s="173"/>
      <c r="F1187" s="173"/>
      <c r="G1187" s="173"/>
      <c r="H1187" s="173"/>
      <c r="I1187" s="173"/>
      <c r="J1187" s="173"/>
      <c r="K1187" s="173"/>
      <c r="L1187" s="173"/>
      <c r="AM1187" s="173"/>
      <c r="AN1187" s="173"/>
      <c r="AZ1187" s="337"/>
      <c r="BL1187" s="349"/>
      <c r="BM1187" s="300"/>
      <c r="BN1187" s="300"/>
      <c r="BO1187" s="300"/>
      <c r="BP1187" s="300"/>
      <c r="BQ1187" s="300"/>
      <c r="BR1187" s="300"/>
      <c r="BS1187" s="300"/>
      <c r="BT1187" s="300"/>
      <c r="BU1187" s="300"/>
      <c r="BV1187" s="300"/>
      <c r="BW1187" s="300"/>
      <c r="BX1187" s="300"/>
      <c r="BY1187" s="300"/>
      <c r="BZ1187" s="300"/>
      <c r="CA1187" s="300"/>
      <c r="CB1187" s="300"/>
    </row>
    <row r="1188" spans="1:80" s="27" customFormat="1" x14ac:dyDescent="0.3">
      <c r="A1188" s="173"/>
      <c r="D1188" s="173"/>
      <c r="E1188" s="173"/>
      <c r="F1188" s="173"/>
      <c r="G1188" s="173"/>
      <c r="H1188" s="173"/>
      <c r="I1188" s="173"/>
      <c r="J1188" s="173"/>
      <c r="K1188" s="173"/>
      <c r="L1188" s="173"/>
      <c r="AM1188" s="173"/>
      <c r="AN1188" s="173"/>
      <c r="AZ1188" s="337"/>
      <c r="BL1188" s="349"/>
      <c r="BM1188" s="300"/>
      <c r="BN1188" s="300"/>
      <c r="BO1188" s="300"/>
      <c r="BP1188" s="300"/>
      <c r="BQ1188" s="300"/>
      <c r="BR1188" s="300"/>
      <c r="BS1188" s="300"/>
      <c r="BT1188" s="300"/>
      <c r="BU1188" s="300"/>
      <c r="BV1188" s="300"/>
      <c r="BW1188" s="300"/>
      <c r="BX1188" s="300"/>
      <c r="BY1188" s="300"/>
      <c r="BZ1188" s="300"/>
      <c r="CA1188" s="300"/>
      <c r="CB1188" s="300"/>
    </row>
    <row r="1189" spans="1:80" s="27" customFormat="1" x14ac:dyDescent="0.3">
      <c r="A1189" s="173"/>
      <c r="D1189" s="173"/>
      <c r="E1189" s="173"/>
      <c r="F1189" s="173"/>
      <c r="G1189" s="173"/>
      <c r="H1189" s="173"/>
      <c r="I1189" s="173"/>
      <c r="J1189" s="173"/>
      <c r="K1189" s="173"/>
      <c r="L1189" s="173"/>
      <c r="AM1189" s="173"/>
      <c r="AN1189" s="173"/>
      <c r="AZ1189" s="337"/>
      <c r="BL1189" s="349"/>
      <c r="BM1189" s="300"/>
      <c r="BN1189" s="300"/>
      <c r="BO1189" s="300"/>
      <c r="BP1189" s="300"/>
      <c r="BQ1189" s="300"/>
      <c r="BR1189" s="300"/>
      <c r="BS1189" s="300"/>
      <c r="BT1189" s="300"/>
      <c r="BU1189" s="300"/>
      <c r="BV1189" s="300"/>
      <c r="BW1189" s="300"/>
      <c r="BX1189" s="300"/>
      <c r="BY1189" s="300"/>
      <c r="BZ1189" s="300"/>
      <c r="CA1189" s="300"/>
      <c r="CB1189" s="300"/>
    </row>
    <row r="1190" spans="1:80" s="27" customFormat="1" x14ac:dyDescent="0.3">
      <c r="A1190" s="173"/>
      <c r="D1190" s="173"/>
      <c r="E1190" s="173"/>
      <c r="F1190" s="173"/>
      <c r="G1190" s="173"/>
      <c r="H1190" s="173"/>
      <c r="I1190" s="173"/>
      <c r="J1190" s="173"/>
      <c r="K1190" s="173"/>
      <c r="L1190" s="173"/>
      <c r="AM1190" s="173"/>
      <c r="AN1190" s="173"/>
      <c r="AZ1190" s="337"/>
      <c r="BL1190" s="349"/>
      <c r="BM1190" s="300"/>
      <c r="BN1190" s="300"/>
      <c r="BO1190" s="300"/>
      <c r="BP1190" s="300"/>
      <c r="BQ1190" s="300"/>
      <c r="BR1190" s="300"/>
      <c r="BS1190" s="300"/>
      <c r="BT1190" s="300"/>
      <c r="BU1190" s="300"/>
      <c r="BV1190" s="300"/>
      <c r="BW1190" s="300"/>
      <c r="BX1190" s="300"/>
      <c r="BY1190" s="300"/>
      <c r="BZ1190" s="300"/>
      <c r="CA1190" s="300"/>
      <c r="CB1190" s="300"/>
    </row>
    <row r="1191" spans="1:80" s="27" customFormat="1" x14ac:dyDescent="0.3">
      <c r="A1191" s="173"/>
      <c r="D1191" s="173"/>
      <c r="E1191" s="173"/>
      <c r="F1191" s="173"/>
      <c r="G1191" s="173"/>
      <c r="H1191" s="173"/>
      <c r="I1191" s="173"/>
      <c r="J1191" s="173"/>
      <c r="K1191" s="173"/>
      <c r="L1191" s="173"/>
      <c r="AM1191" s="173"/>
      <c r="AN1191" s="173"/>
      <c r="AZ1191" s="337"/>
      <c r="BL1191" s="349"/>
      <c r="BM1191" s="300"/>
      <c r="BN1191" s="300"/>
      <c r="BO1191" s="300"/>
      <c r="BP1191" s="300"/>
      <c r="BQ1191" s="300"/>
      <c r="BR1191" s="300"/>
      <c r="BS1191" s="300"/>
      <c r="BT1191" s="300"/>
      <c r="BU1191" s="300"/>
      <c r="BV1191" s="300"/>
      <c r="BW1191" s="300"/>
      <c r="BX1191" s="300"/>
      <c r="BY1191" s="300"/>
      <c r="BZ1191" s="300"/>
      <c r="CA1191" s="300"/>
      <c r="CB1191" s="300"/>
    </row>
    <row r="1192" spans="1:80" s="27" customFormat="1" x14ac:dyDescent="0.3">
      <c r="A1192" s="173"/>
      <c r="D1192" s="173"/>
      <c r="E1192" s="173"/>
      <c r="F1192" s="173"/>
      <c r="G1192" s="173"/>
      <c r="H1192" s="173"/>
      <c r="I1192" s="173"/>
      <c r="J1192" s="173"/>
      <c r="K1192" s="173"/>
      <c r="L1192" s="173"/>
      <c r="AM1192" s="173"/>
      <c r="AN1192" s="173"/>
      <c r="AZ1192" s="337"/>
      <c r="BL1192" s="349"/>
      <c r="BM1192" s="300"/>
      <c r="BN1192" s="300"/>
      <c r="BO1192" s="300"/>
      <c r="BP1192" s="300"/>
      <c r="BQ1192" s="300"/>
      <c r="BR1192" s="300"/>
      <c r="BS1192" s="300"/>
      <c r="BT1192" s="300"/>
      <c r="BU1192" s="300"/>
      <c r="BV1192" s="300"/>
      <c r="BW1192" s="300"/>
      <c r="BX1192" s="300"/>
      <c r="BY1192" s="300"/>
      <c r="BZ1192" s="300"/>
      <c r="CA1192" s="300"/>
      <c r="CB1192" s="300"/>
    </row>
    <row r="1193" spans="1:80" s="27" customFormat="1" x14ac:dyDescent="0.3">
      <c r="A1193" s="173"/>
      <c r="D1193" s="173"/>
      <c r="E1193" s="173"/>
      <c r="F1193" s="173"/>
      <c r="G1193" s="173"/>
      <c r="H1193" s="173"/>
      <c r="I1193" s="173"/>
      <c r="J1193" s="173"/>
      <c r="K1193" s="173"/>
      <c r="L1193" s="173"/>
      <c r="AM1193" s="173"/>
      <c r="AN1193" s="173"/>
      <c r="AZ1193" s="337"/>
      <c r="BL1193" s="349"/>
      <c r="BM1193" s="300"/>
      <c r="BN1193" s="300"/>
      <c r="BO1193" s="300"/>
      <c r="BP1193" s="300"/>
      <c r="BQ1193" s="300"/>
      <c r="BR1193" s="300"/>
      <c r="BS1193" s="300"/>
      <c r="BT1193" s="300"/>
      <c r="BU1193" s="300"/>
      <c r="BV1193" s="300"/>
      <c r="BW1193" s="300"/>
      <c r="BX1193" s="300"/>
      <c r="BY1193" s="300"/>
      <c r="BZ1193" s="300"/>
      <c r="CA1193" s="300"/>
      <c r="CB1193" s="300"/>
    </row>
    <row r="1194" spans="1:80" s="27" customFormat="1" x14ac:dyDescent="0.3">
      <c r="A1194" s="173"/>
      <c r="D1194" s="173"/>
      <c r="E1194" s="173"/>
      <c r="F1194" s="173"/>
      <c r="G1194" s="173"/>
      <c r="H1194" s="173"/>
      <c r="I1194" s="173"/>
      <c r="J1194" s="173"/>
      <c r="K1194" s="173"/>
      <c r="L1194" s="173"/>
      <c r="AM1194" s="173"/>
      <c r="AN1194" s="173"/>
      <c r="AZ1194" s="337"/>
      <c r="BL1194" s="349"/>
      <c r="BM1194" s="300"/>
      <c r="BN1194" s="300"/>
      <c r="BO1194" s="300"/>
      <c r="BP1194" s="300"/>
      <c r="BQ1194" s="300"/>
      <c r="BR1194" s="300"/>
      <c r="BS1194" s="300"/>
      <c r="BT1194" s="300"/>
      <c r="BU1194" s="300"/>
      <c r="BV1194" s="300"/>
      <c r="BW1194" s="300"/>
      <c r="BX1194" s="300"/>
      <c r="BY1194" s="300"/>
      <c r="BZ1194" s="300"/>
      <c r="CA1194" s="300"/>
      <c r="CB1194" s="300"/>
    </row>
    <row r="1195" spans="1:80" s="27" customFormat="1" x14ac:dyDescent="0.3">
      <c r="A1195" s="173"/>
      <c r="D1195" s="173"/>
      <c r="E1195" s="173"/>
      <c r="F1195" s="173"/>
      <c r="G1195" s="173"/>
      <c r="H1195" s="173"/>
      <c r="I1195" s="173"/>
      <c r="J1195" s="173"/>
      <c r="K1195" s="173"/>
      <c r="L1195" s="173"/>
      <c r="AM1195" s="173"/>
      <c r="AN1195" s="173"/>
      <c r="AZ1195" s="337"/>
      <c r="BL1195" s="349"/>
      <c r="BM1195" s="300"/>
      <c r="BN1195" s="300"/>
      <c r="BO1195" s="300"/>
      <c r="BP1195" s="300"/>
      <c r="BQ1195" s="300"/>
      <c r="BR1195" s="300"/>
      <c r="BS1195" s="300"/>
      <c r="BT1195" s="300"/>
      <c r="BU1195" s="300"/>
      <c r="BV1195" s="300"/>
      <c r="BW1195" s="300"/>
      <c r="BX1195" s="300"/>
      <c r="BY1195" s="300"/>
      <c r="BZ1195" s="300"/>
      <c r="CA1195" s="300"/>
      <c r="CB1195" s="300"/>
    </row>
    <row r="1196" spans="1:80" s="27" customFormat="1" x14ac:dyDescent="0.3">
      <c r="A1196" s="173"/>
      <c r="D1196" s="173"/>
      <c r="E1196" s="173"/>
      <c r="F1196" s="173"/>
      <c r="G1196" s="173"/>
      <c r="H1196" s="173"/>
      <c r="I1196" s="173"/>
      <c r="J1196" s="173"/>
      <c r="K1196" s="173"/>
      <c r="L1196" s="173"/>
      <c r="AM1196" s="173"/>
      <c r="AN1196" s="173"/>
      <c r="AZ1196" s="337"/>
      <c r="BL1196" s="349"/>
      <c r="BM1196" s="300"/>
      <c r="BN1196" s="300"/>
      <c r="BO1196" s="300"/>
      <c r="BP1196" s="300"/>
      <c r="BQ1196" s="300"/>
      <c r="BR1196" s="300"/>
      <c r="BS1196" s="300"/>
      <c r="BT1196" s="300"/>
      <c r="BU1196" s="300"/>
      <c r="BV1196" s="300"/>
      <c r="BW1196" s="300"/>
      <c r="BX1196" s="300"/>
      <c r="BY1196" s="300"/>
      <c r="BZ1196" s="300"/>
      <c r="CA1196" s="300"/>
      <c r="CB1196" s="300"/>
    </row>
    <row r="1197" spans="1:80" s="27" customFormat="1" x14ac:dyDescent="0.3">
      <c r="A1197" s="173"/>
      <c r="D1197" s="173"/>
      <c r="E1197" s="173"/>
      <c r="F1197" s="173"/>
      <c r="G1197" s="173"/>
      <c r="H1197" s="173"/>
      <c r="I1197" s="173"/>
      <c r="J1197" s="173"/>
      <c r="K1197" s="173"/>
      <c r="L1197" s="173"/>
      <c r="AM1197" s="173"/>
      <c r="AN1197" s="173"/>
      <c r="AZ1197" s="337"/>
      <c r="BL1197" s="349"/>
      <c r="BM1197" s="300"/>
      <c r="BN1197" s="300"/>
      <c r="BO1197" s="300"/>
      <c r="BP1197" s="300"/>
      <c r="BQ1197" s="300"/>
      <c r="BR1197" s="300"/>
      <c r="BS1197" s="300"/>
      <c r="BT1197" s="300"/>
      <c r="BU1197" s="300"/>
      <c r="BV1197" s="300"/>
      <c r="BW1197" s="300"/>
      <c r="BX1197" s="300"/>
      <c r="BY1197" s="300"/>
      <c r="BZ1197" s="300"/>
      <c r="CA1197" s="300"/>
      <c r="CB1197" s="300"/>
    </row>
    <row r="1198" spans="1:80" s="27" customFormat="1" x14ac:dyDescent="0.3">
      <c r="A1198" s="173"/>
      <c r="D1198" s="173"/>
      <c r="E1198" s="173"/>
      <c r="F1198" s="173"/>
      <c r="G1198" s="173"/>
      <c r="H1198" s="173"/>
      <c r="I1198" s="173"/>
      <c r="J1198" s="173"/>
      <c r="K1198" s="173"/>
      <c r="L1198" s="173"/>
      <c r="AM1198" s="173"/>
      <c r="AN1198" s="173"/>
      <c r="AZ1198" s="337"/>
      <c r="BL1198" s="349"/>
      <c r="BM1198" s="300"/>
      <c r="BN1198" s="300"/>
      <c r="BO1198" s="300"/>
      <c r="BP1198" s="300"/>
      <c r="BQ1198" s="300"/>
      <c r="BR1198" s="300"/>
      <c r="BS1198" s="300"/>
      <c r="BT1198" s="300"/>
      <c r="BU1198" s="300"/>
      <c r="BV1198" s="300"/>
      <c r="BW1198" s="300"/>
      <c r="BX1198" s="300"/>
      <c r="BY1198" s="300"/>
      <c r="BZ1198" s="300"/>
      <c r="CA1198" s="300"/>
      <c r="CB1198" s="300"/>
    </row>
    <row r="1199" spans="1:80" s="27" customFormat="1" x14ac:dyDescent="0.3">
      <c r="A1199" s="173"/>
      <c r="D1199" s="173"/>
      <c r="E1199" s="173"/>
      <c r="F1199" s="173"/>
      <c r="G1199" s="173"/>
      <c r="H1199" s="173"/>
      <c r="I1199" s="173"/>
      <c r="J1199" s="173"/>
      <c r="K1199" s="173"/>
      <c r="L1199" s="173"/>
      <c r="AM1199" s="173"/>
      <c r="AN1199" s="173"/>
      <c r="AZ1199" s="337"/>
      <c r="BL1199" s="349"/>
      <c r="BM1199" s="300"/>
      <c r="BN1199" s="300"/>
      <c r="BO1199" s="300"/>
      <c r="BP1199" s="300"/>
      <c r="BQ1199" s="300"/>
      <c r="BR1199" s="300"/>
      <c r="BS1199" s="300"/>
      <c r="BT1199" s="300"/>
      <c r="BU1199" s="300"/>
      <c r="BV1199" s="300"/>
      <c r="BW1199" s="300"/>
      <c r="BX1199" s="300"/>
      <c r="BY1199" s="300"/>
      <c r="BZ1199" s="300"/>
      <c r="CA1199" s="300"/>
      <c r="CB1199" s="300"/>
    </row>
    <row r="1200" spans="1:80" s="27" customFormat="1" x14ac:dyDescent="0.3">
      <c r="A1200" s="173"/>
      <c r="D1200" s="173"/>
      <c r="E1200" s="173"/>
      <c r="F1200" s="173"/>
      <c r="G1200" s="173"/>
      <c r="H1200" s="173"/>
      <c r="I1200" s="173"/>
      <c r="J1200" s="173"/>
      <c r="K1200" s="173"/>
      <c r="L1200" s="173"/>
      <c r="AM1200" s="173"/>
      <c r="AN1200" s="173"/>
      <c r="AZ1200" s="337"/>
      <c r="BL1200" s="349"/>
      <c r="BM1200" s="300"/>
      <c r="BN1200" s="300"/>
      <c r="BO1200" s="300"/>
      <c r="BP1200" s="300"/>
      <c r="BQ1200" s="300"/>
      <c r="BR1200" s="300"/>
      <c r="BS1200" s="300"/>
      <c r="BT1200" s="300"/>
      <c r="BU1200" s="300"/>
      <c r="BV1200" s="300"/>
      <c r="BW1200" s="300"/>
      <c r="BX1200" s="300"/>
      <c r="BY1200" s="300"/>
      <c r="BZ1200" s="300"/>
      <c r="CA1200" s="300"/>
      <c r="CB1200" s="300"/>
    </row>
    <row r="1201" spans="1:80" s="27" customFormat="1" x14ac:dyDescent="0.3">
      <c r="A1201" s="173"/>
      <c r="D1201" s="173"/>
      <c r="E1201" s="173"/>
      <c r="F1201" s="173"/>
      <c r="G1201" s="173"/>
      <c r="H1201" s="173"/>
      <c r="I1201" s="173"/>
      <c r="J1201" s="173"/>
      <c r="K1201" s="173"/>
      <c r="L1201" s="173"/>
      <c r="AM1201" s="173"/>
      <c r="AN1201" s="173"/>
      <c r="AZ1201" s="337"/>
      <c r="BL1201" s="349"/>
      <c r="BM1201" s="300"/>
      <c r="BN1201" s="300"/>
      <c r="BO1201" s="300"/>
      <c r="BP1201" s="300"/>
      <c r="BQ1201" s="300"/>
      <c r="BR1201" s="300"/>
      <c r="BS1201" s="300"/>
      <c r="BT1201" s="300"/>
      <c r="BU1201" s="300"/>
      <c r="BV1201" s="300"/>
      <c r="BW1201" s="300"/>
      <c r="BX1201" s="300"/>
      <c r="BY1201" s="300"/>
      <c r="BZ1201" s="300"/>
      <c r="CA1201" s="300"/>
      <c r="CB1201" s="300"/>
    </row>
    <row r="1202" spans="1:80" s="27" customFormat="1" x14ac:dyDescent="0.3">
      <c r="A1202" s="173"/>
      <c r="D1202" s="173"/>
      <c r="E1202" s="173"/>
      <c r="F1202" s="173"/>
      <c r="G1202" s="173"/>
      <c r="H1202" s="173"/>
      <c r="I1202" s="173"/>
      <c r="J1202" s="173"/>
      <c r="K1202" s="173"/>
      <c r="L1202" s="173"/>
      <c r="AM1202" s="173"/>
      <c r="AN1202" s="173"/>
      <c r="AZ1202" s="337"/>
      <c r="BL1202" s="349"/>
      <c r="BM1202" s="300"/>
      <c r="BN1202" s="300"/>
      <c r="BO1202" s="300"/>
      <c r="BP1202" s="300"/>
      <c r="BQ1202" s="300"/>
      <c r="BR1202" s="300"/>
      <c r="BS1202" s="300"/>
      <c r="BT1202" s="300"/>
      <c r="BU1202" s="300"/>
      <c r="BV1202" s="300"/>
      <c r="BW1202" s="300"/>
      <c r="BX1202" s="300"/>
      <c r="BY1202" s="300"/>
      <c r="BZ1202" s="300"/>
      <c r="CA1202" s="300"/>
      <c r="CB1202" s="300"/>
    </row>
    <row r="1203" spans="1:80" s="27" customFormat="1" x14ac:dyDescent="0.3">
      <c r="A1203" s="173"/>
      <c r="D1203" s="173"/>
      <c r="E1203" s="173"/>
      <c r="F1203" s="173"/>
      <c r="G1203" s="173"/>
      <c r="H1203" s="173"/>
      <c r="I1203" s="173"/>
      <c r="J1203" s="173"/>
      <c r="K1203" s="173"/>
      <c r="L1203" s="173"/>
      <c r="AM1203" s="173"/>
      <c r="AN1203" s="173"/>
      <c r="AZ1203" s="337"/>
      <c r="BL1203" s="349"/>
      <c r="BM1203" s="300"/>
      <c r="BN1203" s="300"/>
      <c r="BO1203" s="300"/>
      <c r="BP1203" s="300"/>
      <c r="BQ1203" s="300"/>
      <c r="BR1203" s="300"/>
      <c r="BS1203" s="300"/>
      <c r="BT1203" s="300"/>
      <c r="BU1203" s="300"/>
      <c r="BV1203" s="300"/>
      <c r="BW1203" s="300"/>
      <c r="BX1203" s="300"/>
      <c r="BY1203" s="300"/>
      <c r="BZ1203" s="300"/>
      <c r="CA1203" s="300"/>
      <c r="CB1203" s="300"/>
    </row>
    <row r="1204" spans="1:80" s="27" customFormat="1" x14ac:dyDescent="0.3">
      <c r="A1204" s="173"/>
      <c r="D1204" s="173"/>
      <c r="E1204" s="173"/>
      <c r="F1204" s="173"/>
      <c r="G1204" s="173"/>
      <c r="H1204" s="173"/>
      <c r="I1204" s="173"/>
      <c r="J1204" s="173"/>
      <c r="K1204" s="173"/>
      <c r="L1204" s="173"/>
      <c r="AM1204" s="173"/>
      <c r="AN1204" s="173"/>
      <c r="AZ1204" s="337"/>
      <c r="BL1204" s="349"/>
      <c r="BM1204" s="300"/>
      <c r="BN1204" s="300"/>
      <c r="BO1204" s="300"/>
      <c r="BP1204" s="300"/>
      <c r="BQ1204" s="300"/>
      <c r="BR1204" s="300"/>
      <c r="BS1204" s="300"/>
      <c r="BT1204" s="300"/>
      <c r="BU1204" s="300"/>
      <c r="BV1204" s="300"/>
      <c r="BW1204" s="300"/>
      <c r="BX1204" s="300"/>
      <c r="BY1204" s="300"/>
      <c r="BZ1204" s="300"/>
      <c r="CA1204" s="300"/>
      <c r="CB1204" s="300"/>
    </row>
    <row r="1205" spans="1:80" s="27" customFormat="1" x14ac:dyDescent="0.3">
      <c r="A1205" s="173"/>
      <c r="D1205" s="173"/>
      <c r="E1205" s="173"/>
      <c r="F1205" s="173"/>
      <c r="G1205" s="173"/>
      <c r="H1205" s="173"/>
      <c r="I1205" s="173"/>
      <c r="J1205" s="173"/>
      <c r="K1205" s="173"/>
      <c r="L1205" s="173"/>
      <c r="AM1205" s="173"/>
      <c r="AN1205" s="173"/>
      <c r="AZ1205" s="337"/>
      <c r="BL1205" s="349"/>
      <c r="BM1205" s="300"/>
      <c r="BN1205" s="300"/>
      <c r="BO1205" s="300"/>
      <c r="BP1205" s="300"/>
      <c r="BQ1205" s="300"/>
      <c r="BR1205" s="300"/>
      <c r="BS1205" s="300"/>
      <c r="BT1205" s="300"/>
      <c r="BU1205" s="300"/>
      <c r="BV1205" s="300"/>
      <c r="BW1205" s="300"/>
      <c r="BX1205" s="300"/>
      <c r="BY1205" s="300"/>
      <c r="BZ1205" s="300"/>
      <c r="CA1205" s="300"/>
      <c r="CB1205" s="300"/>
    </row>
    <row r="1206" spans="1:80" s="27" customFormat="1" x14ac:dyDescent="0.3">
      <c r="A1206" s="173"/>
      <c r="D1206" s="173"/>
      <c r="E1206" s="173"/>
      <c r="F1206" s="173"/>
      <c r="G1206" s="173"/>
      <c r="H1206" s="173"/>
      <c r="I1206" s="173"/>
      <c r="J1206" s="173"/>
      <c r="K1206" s="173"/>
      <c r="L1206" s="173"/>
      <c r="AM1206" s="173"/>
      <c r="AN1206" s="173"/>
      <c r="AZ1206" s="337"/>
      <c r="BL1206" s="349"/>
      <c r="BM1206" s="300"/>
      <c r="BN1206" s="300"/>
      <c r="BO1206" s="300"/>
      <c r="BP1206" s="300"/>
      <c r="BQ1206" s="300"/>
      <c r="BR1206" s="300"/>
      <c r="BS1206" s="300"/>
      <c r="BT1206" s="300"/>
      <c r="BU1206" s="300"/>
      <c r="BV1206" s="300"/>
      <c r="BW1206" s="300"/>
      <c r="BX1206" s="300"/>
      <c r="BY1206" s="300"/>
      <c r="BZ1206" s="300"/>
      <c r="CA1206" s="300"/>
      <c r="CB1206" s="300"/>
    </row>
    <row r="1207" spans="1:80" s="27" customFormat="1" x14ac:dyDescent="0.3">
      <c r="A1207" s="173"/>
      <c r="D1207" s="173"/>
      <c r="E1207" s="173"/>
      <c r="F1207" s="173"/>
      <c r="G1207" s="173"/>
      <c r="H1207" s="173"/>
      <c r="I1207" s="173"/>
      <c r="J1207" s="173"/>
      <c r="K1207" s="173"/>
      <c r="L1207" s="173"/>
      <c r="AM1207" s="173"/>
      <c r="AN1207" s="173"/>
      <c r="AZ1207" s="337"/>
      <c r="BL1207" s="349"/>
      <c r="BM1207" s="300"/>
      <c r="BN1207" s="300"/>
      <c r="BO1207" s="300"/>
      <c r="BP1207" s="300"/>
      <c r="BQ1207" s="300"/>
      <c r="BR1207" s="300"/>
      <c r="BS1207" s="300"/>
      <c r="BT1207" s="300"/>
      <c r="BU1207" s="300"/>
      <c r="BV1207" s="300"/>
      <c r="BW1207" s="300"/>
      <c r="BX1207" s="300"/>
      <c r="BY1207" s="300"/>
      <c r="BZ1207" s="300"/>
      <c r="CA1207" s="300"/>
      <c r="CB1207" s="300"/>
    </row>
    <row r="1208" spans="1:80" s="27" customFormat="1" x14ac:dyDescent="0.3">
      <c r="A1208" s="173"/>
      <c r="D1208" s="173"/>
      <c r="E1208" s="173"/>
      <c r="F1208" s="173"/>
      <c r="G1208" s="173"/>
      <c r="H1208" s="173"/>
      <c r="I1208" s="173"/>
      <c r="J1208" s="173"/>
      <c r="K1208" s="173"/>
      <c r="L1208" s="173"/>
      <c r="AM1208" s="173"/>
      <c r="AN1208" s="173"/>
      <c r="AZ1208" s="337"/>
      <c r="BL1208" s="349"/>
      <c r="BM1208" s="300"/>
      <c r="BN1208" s="300"/>
      <c r="BO1208" s="300"/>
      <c r="BP1208" s="300"/>
      <c r="BQ1208" s="300"/>
      <c r="BR1208" s="300"/>
      <c r="BS1208" s="300"/>
      <c r="BT1208" s="300"/>
      <c r="BU1208" s="300"/>
      <c r="BV1208" s="300"/>
      <c r="BW1208" s="300"/>
      <c r="BX1208" s="300"/>
      <c r="BY1208" s="300"/>
      <c r="BZ1208" s="300"/>
      <c r="CA1208" s="300"/>
      <c r="CB1208" s="300"/>
    </row>
    <row r="1209" spans="1:80" s="27" customFormat="1" x14ac:dyDescent="0.3">
      <c r="A1209" s="173"/>
      <c r="D1209" s="173"/>
      <c r="E1209" s="173"/>
      <c r="F1209" s="173"/>
      <c r="G1209" s="173"/>
      <c r="H1209" s="173"/>
      <c r="I1209" s="173"/>
      <c r="J1209" s="173"/>
      <c r="K1209" s="173"/>
      <c r="L1209" s="173"/>
      <c r="AM1209" s="173"/>
      <c r="AN1209" s="173"/>
      <c r="AZ1209" s="337"/>
      <c r="BL1209" s="349"/>
      <c r="BM1209" s="300"/>
      <c r="BN1209" s="300"/>
      <c r="BO1209" s="300"/>
      <c r="BP1209" s="300"/>
      <c r="BQ1209" s="300"/>
      <c r="BR1209" s="300"/>
      <c r="BS1209" s="300"/>
      <c r="BT1209" s="300"/>
      <c r="BU1209" s="300"/>
      <c r="BV1209" s="300"/>
      <c r="BW1209" s="300"/>
      <c r="BX1209" s="300"/>
      <c r="BY1209" s="300"/>
      <c r="BZ1209" s="300"/>
      <c r="CA1209" s="300"/>
      <c r="CB1209" s="300"/>
    </row>
    <row r="1210" spans="1:80" s="27" customFormat="1" x14ac:dyDescent="0.3">
      <c r="A1210" s="173"/>
      <c r="D1210" s="173"/>
      <c r="E1210" s="173"/>
      <c r="F1210" s="173"/>
      <c r="G1210" s="173"/>
      <c r="H1210" s="173"/>
      <c r="I1210" s="173"/>
      <c r="J1210" s="173"/>
      <c r="K1210" s="173"/>
      <c r="L1210" s="173"/>
      <c r="AM1210" s="173"/>
      <c r="AN1210" s="173"/>
      <c r="AZ1210" s="337"/>
      <c r="BL1210" s="349"/>
      <c r="BM1210" s="300"/>
      <c r="BN1210" s="300"/>
      <c r="BO1210" s="300"/>
      <c r="BP1210" s="300"/>
      <c r="BQ1210" s="300"/>
      <c r="BR1210" s="300"/>
      <c r="BS1210" s="300"/>
      <c r="BT1210" s="300"/>
      <c r="BU1210" s="300"/>
      <c r="BV1210" s="300"/>
      <c r="BW1210" s="300"/>
      <c r="BX1210" s="300"/>
      <c r="BY1210" s="300"/>
      <c r="BZ1210" s="300"/>
      <c r="CA1210" s="300"/>
      <c r="CB1210" s="300"/>
    </row>
    <row r="1211" spans="1:80" s="27" customFormat="1" x14ac:dyDescent="0.3">
      <c r="A1211" s="173"/>
      <c r="D1211" s="173"/>
      <c r="E1211" s="173"/>
      <c r="F1211" s="173"/>
      <c r="G1211" s="173"/>
      <c r="H1211" s="173"/>
      <c r="I1211" s="173"/>
      <c r="J1211" s="173"/>
      <c r="K1211" s="173"/>
      <c r="L1211" s="173"/>
      <c r="AM1211" s="173"/>
      <c r="AN1211" s="173"/>
      <c r="AZ1211" s="337"/>
      <c r="BL1211" s="349"/>
      <c r="BM1211" s="300"/>
      <c r="BN1211" s="300"/>
      <c r="BO1211" s="300"/>
      <c r="BP1211" s="300"/>
      <c r="BQ1211" s="300"/>
      <c r="BR1211" s="300"/>
      <c r="BS1211" s="300"/>
      <c r="BT1211" s="300"/>
      <c r="BU1211" s="300"/>
      <c r="BV1211" s="300"/>
      <c r="BW1211" s="300"/>
      <c r="BX1211" s="300"/>
      <c r="BY1211" s="300"/>
      <c r="BZ1211" s="300"/>
      <c r="CA1211" s="300"/>
      <c r="CB1211" s="300"/>
    </row>
    <row r="1212" spans="1:80" s="27" customFormat="1" x14ac:dyDescent="0.3">
      <c r="A1212" s="173"/>
      <c r="D1212" s="173"/>
      <c r="E1212" s="173"/>
      <c r="F1212" s="173"/>
      <c r="G1212" s="173"/>
      <c r="H1212" s="173"/>
      <c r="I1212" s="173"/>
      <c r="J1212" s="173"/>
      <c r="K1212" s="173"/>
      <c r="L1212" s="173"/>
      <c r="AM1212" s="173"/>
      <c r="AN1212" s="173"/>
      <c r="AZ1212" s="337"/>
      <c r="BL1212" s="349"/>
      <c r="BM1212" s="300"/>
      <c r="BN1212" s="300"/>
      <c r="BO1212" s="300"/>
      <c r="BP1212" s="300"/>
      <c r="BQ1212" s="300"/>
      <c r="BR1212" s="300"/>
      <c r="BS1212" s="300"/>
      <c r="BT1212" s="300"/>
      <c r="BU1212" s="300"/>
      <c r="BV1212" s="300"/>
      <c r="BW1212" s="300"/>
      <c r="BX1212" s="300"/>
      <c r="BY1212" s="300"/>
      <c r="BZ1212" s="300"/>
      <c r="CA1212" s="300"/>
      <c r="CB1212" s="300"/>
    </row>
    <row r="1213" spans="1:80" s="27" customFormat="1" x14ac:dyDescent="0.3">
      <c r="A1213" s="173"/>
      <c r="D1213" s="173"/>
      <c r="E1213" s="173"/>
      <c r="F1213" s="173"/>
      <c r="G1213" s="173"/>
      <c r="H1213" s="173"/>
      <c r="I1213" s="173"/>
      <c r="J1213" s="173"/>
      <c r="K1213" s="173"/>
      <c r="L1213" s="173"/>
      <c r="AM1213" s="173"/>
      <c r="AN1213" s="173"/>
      <c r="AZ1213" s="337"/>
      <c r="BL1213" s="349"/>
      <c r="BM1213" s="300"/>
      <c r="BN1213" s="300"/>
      <c r="BO1213" s="300"/>
      <c r="BP1213" s="300"/>
      <c r="BQ1213" s="300"/>
      <c r="BR1213" s="300"/>
      <c r="BS1213" s="300"/>
      <c r="BT1213" s="300"/>
      <c r="BU1213" s="300"/>
      <c r="BV1213" s="300"/>
      <c r="BW1213" s="300"/>
      <c r="BX1213" s="300"/>
      <c r="BY1213" s="300"/>
      <c r="BZ1213" s="300"/>
      <c r="CA1213" s="300"/>
      <c r="CB1213" s="300"/>
    </row>
    <row r="1214" spans="1:80" s="27" customFormat="1" x14ac:dyDescent="0.3">
      <c r="A1214" s="173"/>
      <c r="D1214" s="173"/>
      <c r="E1214" s="173"/>
      <c r="F1214" s="173"/>
      <c r="G1214" s="173"/>
      <c r="H1214" s="173"/>
      <c r="I1214" s="173"/>
      <c r="J1214" s="173"/>
      <c r="K1214" s="173"/>
      <c r="L1214" s="173"/>
      <c r="AM1214" s="173"/>
      <c r="AN1214" s="173"/>
      <c r="AZ1214" s="337"/>
      <c r="BL1214" s="349"/>
      <c r="BM1214" s="300"/>
      <c r="BN1214" s="300"/>
      <c r="BO1214" s="300"/>
      <c r="BP1214" s="300"/>
      <c r="BQ1214" s="300"/>
      <c r="BR1214" s="300"/>
      <c r="BS1214" s="300"/>
      <c r="BT1214" s="300"/>
      <c r="BU1214" s="300"/>
      <c r="BV1214" s="300"/>
      <c r="BW1214" s="300"/>
      <c r="BX1214" s="300"/>
      <c r="BY1214" s="300"/>
      <c r="BZ1214" s="300"/>
      <c r="CA1214" s="300"/>
      <c r="CB1214" s="300"/>
    </row>
    <row r="1215" spans="1:80" s="27" customFormat="1" x14ac:dyDescent="0.3">
      <c r="A1215" s="173"/>
      <c r="D1215" s="173"/>
      <c r="E1215" s="173"/>
      <c r="F1215" s="173"/>
      <c r="G1215" s="173"/>
      <c r="H1215" s="173"/>
      <c r="I1215" s="173"/>
      <c r="J1215" s="173"/>
      <c r="K1215" s="173"/>
      <c r="L1215" s="173"/>
      <c r="AM1215" s="173"/>
      <c r="AN1215" s="173"/>
      <c r="AZ1215" s="337"/>
      <c r="BL1215" s="349"/>
      <c r="BM1215" s="300"/>
      <c r="BN1215" s="300"/>
      <c r="BO1215" s="300"/>
      <c r="BP1215" s="300"/>
      <c r="BQ1215" s="300"/>
      <c r="BR1215" s="300"/>
      <c r="BS1215" s="300"/>
      <c r="BT1215" s="300"/>
      <c r="BU1215" s="300"/>
      <c r="BV1215" s="300"/>
      <c r="BW1215" s="300"/>
      <c r="BX1215" s="300"/>
      <c r="BY1215" s="300"/>
      <c r="BZ1215" s="300"/>
      <c r="CA1215" s="300"/>
      <c r="CB1215" s="300"/>
    </row>
    <row r="1216" spans="1:80" s="27" customFormat="1" x14ac:dyDescent="0.3">
      <c r="A1216" s="173"/>
      <c r="D1216" s="173"/>
      <c r="E1216" s="173"/>
      <c r="F1216" s="173"/>
      <c r="G1216" s="173"/>
      <c r="H1216" s="173"/>
      <c r="I1216" s="173"/>
      <c r="J1216" s="173"/>
      <c r="K1216" s="173"/>
      <c r="L1216" s="173"/>
      <c r="AM1216" s="173"/>
      <c r="AN1216" s="173"/>
      <c r="AZ1216" s="337"/>
      <c r="BL1216" s="349"/>
      <c r="BM1216" s="300"/>
      <c r="BN1216" s="300"/>
      <c r="BO1216" s="300"/>
      <c r="BP1216" s="300"/>
      <c r="BQ1216" s="300"/>
      <c r="BR1216" s="300"/>
      <c r="BS1216" s="300"/>
      <c r="BT1216" s="300"/>
      <c r="BU1216" s="300"/>
      <c r="BV1216" s="300"/>
      <c r="BW1216" s="300"/>
      <c r="BX1216" s="300"/>
      <c r="BY1216" s="300"/>
      <c r="BZ1216" s="300"/>
      <c r="CA1216" s="300"/>
      <c r="CB1216" s="300"/>
    </row>
    <row r="1217" spans="1:80" s="27" customFormat="1" x14ac:dyDescent="0.3">
      <c r="A1217" s="173"/>
      <c r="D1217" s="173"/>
      <c r="E1217" s="173"/>
      <c r="F1217" s="173"/>
      <c r="G1217" s="173"/>
      <c r="H1217" s="173"/>
      <c r="I1217" s="173"/>
      <c r="J1217" s="173"/>
      <c r="K1217" s="173"/>
      <c r="L1217" s="173"/>
      <c r="AM1217" s="173"/>
      <c r="AN1217" s="173"/>
      <c r="AZ1217" s="337"/>
      <c r="BL1217" s="349"/>
      <c r="BM1217" s="300"/>
      <c r="BN1217" s="300"/>
      <c r="BO1217" s="300"/>
      <c r="BP1217" s="300"/>
      <c r="BQ1217" s="300"/>
      <c r="BR1217" s="300"/>
      <c r="BS1217" s="300"/>
      <c r="BT1217" s="300"/>
      <c r="BU1217" s="300"/>
      <c r="BV1217" s="300"/>
      <c r="BW1217" s="300"/>
      <c r="BX1217" s="300"/>
      <c r="BY1217" s="300"/>
      <c r="BZ1217" s="300"/>
      <c r="CA1217" s="300"/>
      <c r="CB1217" s="300"/>
    </row>
    <row r="1218" spans="1:80" s="27" customFormat="1" x14ac:dyDescent="0.3">
      <c r="A1218" s="173"/>
      <c r="D1218" s="173"/>
      <c r="E1218" s="173"/>
      <c r="F1218" s="173"/>
      <c r="G1218" s="173"/>
      <c r="H1218" s="173"/>
      <c r="I1218" s="173"/>
      <c r="J1218" s="173"/>
      <c r="K1218" s="173"/>
      <c r="L1218" s="173"/>
      <c r="AM1218" s="173"/>
      <c r="AN1218" s="173"/>
      <c r="AZ1218" s="337"/>
      <c r="BL1218" s="349"/>
      <c r="BM1218" s="300"/>
      <c r="BN1218" s="300"/>
      <c r="BO1218" s="300"/>
      <c r="BP1218" s="300"/>
      <c r="BQ1218" s="300"/>
      <c r="BR1218" s="300"/>
      <c r="BS1218" s="300"/>
      <c r="BT1218" s="300"/>
      <c r="BU1218" s="300"/>
      <c r="BV1218" s="300"/>
      <c r="BW1218" s="300"/>
      <c r="BX1218" s="300"/>
      <c r="BY1218" s="300"/>
      <c r="BZ1218" s="300"/>
      <c r="CA1218" s="300"/>
      <c r="CB1218" s="300"/>
    </row>
    <row r="1219" spans="1:80" s="27" customFormat="1" x14ac:dyDescent="0.3">
      <c r="A1219" s="173"/>
      <c r="D1219" s="173"/>
      <c r="E1219" s="173"/>
      <c r="F1219" s="173"/>
      <c r="G1219" s="173"/>
      <c r="H1219" s="173"/>
      <c r="I1219" s="173"/>
      <c r="J1219" s="173"/>
      <c r="K1219" s="173"/>
      <c r="L1219" s="173"/>
      <c r="AM1219" s="173"/>
      <c r="AN1219" s="173"/>
      <c r="AZ1219" s="337"/>
      <c r="BL1219" s="349"/>
      <c r="BM1219" s="300"/>
      <c r="BN1219" s="300"/>
      <c r="BO1219" s="300"/>
      <c r="BP1219" s="300"/>
      <c r="BQ1219" s="300"/>
      <c r="BR1219" s="300"/>
      <c r="BS1219" s="300"/>
      <c r="BT1219" s="300"/>
      <c r="BU1219" s="300"/>
      <c r="BV1219" s="300"/>
      <c r="BW1219" s="300"/>
      <c r="BX1219" s="300"/>
      <c r="BY1219" s="300"/>
      <c r="BZ1219" s="300"/>
      <c r="CA1219" s="300"/>
      <c r="CB1219" s="300"/>
    </row>
    <row r="1220" spans="1:80" s="27" customFormat="1" x14ac:dyDescent="0.3">
      <c r="A1220" s="173"/>
      <c r="D1220" s="173"/>
      <c r="E1220" s="173"/>
      <c r="F1220" s="173"/>
      <c r="G1220" s="173"/>
      <c r="H1220" s="173"/>
      <c r="I1220" s="173"/>
      <c r="J1220" s="173"/>
      <c r="K1220" s="173"/>
      <c r="L1220" s="173"/>
      <c r="AM1220" s="173"/>
      <c r="AN1220" s="173"/>
      <c r="AZ1220" s="337"/>
      <c r="BL1220" s="349"/>
      <c r="BM1220" s="300"/>
      <c r="BN1220" s="300"/>
      <c r="BO1220" s="300"/>
      <c r="BP1220" s="300"/>
      <c r="BQ1220" s="300"/>
      <c r="BR1220" s="300"/>
      <c r="BS1220" s="300"/>
      <c r="BT1220" s="300"/>
      <c r="BU1220" s="300"/>
      <c r="BV1220" s="300"/>
      <c r="BW1220" s="300"/>
      <c r="BX1220" s="300"/>
      <c r="BY1220" s="300"/>
      <c r="BZ1220" s="300"/>
      <c r="CA1220" s="300"/>
      <c r="CB1220" s="300"/>
    </row>
    <row r="1221" spans="1:80" s="27" customFormat="1" x14ac:dyDescent="0.3">
      <c r="A1221" s="173"/>
      <c r="D1221" s="173"/>
      <c r="E1221" s="173"/>
      <c r="F1221" s="173"/>
      <c r="G1221" s="173"/>
      <c r="H1221" s="173"/>
      <c r="I1221" s="173"/>
      <c r="J1221" s="173"/>
      <c r="K1221" s="173"/>
      <c r="L1221" s="173"/>
      <c r="AM1221" s="173"/>
      <c r="AN1221" s="173"/>
      <c r="AZ1221" s="337"/>
      <c r="BL1221" s="349"/>
      <c r="BM1221" s="300"/>
      <c r="BN1221" s="300"/>
      <c r="BO1221" s="300"/>
      <c r="BP1221" s="300"/>
      <c r="BQ1221" s="300"/>
      <c r="BR1221" s="300"/>
      <c r="BS1221" s="300"/>
      <c r="BT1221" s="300"/>
      <c r="BU1221" s="300"/>
      <c r="BV1221" s="300"/>
      <c r="BW1221" s="300"/>
      <c r="BX1221" s="300"/>
      <c r="BY1221" s="300"/>
      <c r="BZ1221" s="300"/>
      <c r="CA1221" s="300"/>
      <c r="CB1221" s="300"/>
    </row>
    <row r="1222" spans="1:80" s="27" customFormat="1" x14ac:dyDescent="0.3">
      <c r="A1222" s="173"/>
      <c r="D1222" s="173"/>
      <c r="E1222" s="173"/>
      <c r="F1222" s="173"/>
      <c r="G1222" s="173"/>
      <c r="H1222" s="173"/>
      <c r="I1222" s="173"/>
      <c r="J1222" s="173"/>
      <c r="K1222" s="173"/>
      <c r="L1222" s="173"/>
      <c r="AM1222" s="173"/>
      <c r="AN1222" s="173"/>
      <c r="AZ1222" s="337"/>
      <c r="BL1222" s="349"/>
      <c r="BM1222" s="300"/>
      <c r="BN1222" s="300"/>
      <c r="BO1222" s="300"/>
      <c r="BP1222" s="300"/>
      <c r="BQ1222" s="300"/>
      <c r="BR1222" s="300"/>
      <c r="BS1222" s="300"/>
      <c r="BT1222" s="300"/>
      <c r="BU1222" s="300"/>
      <c r="BV1222" s="300"/>
      <c r="BW1222" s="300"/>
      <c r="BX1222" s="300"/>
      <c r="BY1222" s="300"/>
      <c r="BZ1222" s="300"/>
      <c r="CA1222" s="300"/>
      <c r="CB1222" s="300"/>
    </row>
    <row r="1223" spans="1:80" s="27" customFormat="1" x14ac:dyDescent="0.3">
      <c r="A1223" s="173"/>
      <c r="D1223" s="173"/>
      <c r="E1223" s="173"/>
      <c r="F1223" s="173"/>
      <c r="G1223" s="173"/>
      <c r="H1223" s="173"/>
      <c r="I1223" s="173"/>
      <c r="J1223" s="173"/>
      <c r="K1223" s="173"/>
      <c r="L1223" s="173"/>
      <c r="AM1223" s="173"/>
      <c r="AN1223" s="173"/>
      <c r="AZ1223" s="337"/>
      <c r="BL1223" s="349"/>
      <c r="BM1223" s="300"/>
      <c r="BN1223" s="300"/>
      <c r="BO1223" s="300"/>
      <c r="BP1223" s="300"/>
      <c r="BQ1223" s="300"/>
      <c r="BR1223" s="300"/>
      <c r="BS1223" s="300"/>
      <c r="BT1223" s="300"/>
      <c r="BU1223" s="300"/>
      <c r="BV1223" s="300"/>
      <c r="BW1223" s="300"/>
      <c r="BX1223" s="300"/>
      <c r="BY1223" s="300"/>
      <c r="BZ1223" s="300"/>
      <c r="CA1223" s="300"/>
      <c r="CB1223" s="300"/>
    </row>
    <row r="1224" spans="1:80" s="27" customFormat="1" x14ac:dyDescent="0.3">
      <c r="A1224" s="173"/>
      <c r="D1224" s="173"/>
      <c r="E1224" s="173"/>
      <c r="F1224" s="173"/>
      <c r="G1224" s="173"/>
      <c r="H1224" s="173"/>
      <c r="I1224" s="173"/>
      <c r="J1224" s="173"/>
      <c r="K1224" s="173"/>
      <c r="L1224" s="173"/>
      <c r="AM1224" s="173"/>
      <c r="AN1224" s="173"/>
      <c r="AZ1224" s="337"/>
      <c r="BL1224" s="349"/>
      <c r="BM1224" s="300"/>
      <c r="BN1224" s="300"/>
      <c r="BO1224" s="300"/>
      <c r="BP1224" s="300"/>
      <c r="BQ1224" s="300"/>
      <c r="BR1224" s="300"/>
      <c r="BS1224" s="300"/>
      <c r="BT1224" s="300"/>
      <c r="BU1224" s="300"/>
      <c r="BV1224" s="300"/>
      <c r="BW1224" s="300"/>
      <c r="BX1224" s="300"/>
      <c r="BY1224" s="300"/>
      <c r="BZ1224" s="300"/>
      <c r="CA1224" s="300"/>
      <c r="CB1224" s="300"/>
    </row>
    <row r="1225" spans="1:80" s="27" customFormat="1" x14ac:dyDescent="0.3">
      <c r="A1225" s="173"/>
      <c r="D1225" s="173"/>
      <c r="E1225" s="173"/>
      <c r="F1225" s="173"/>
      <c r="G1225" s="173"/>
      <c r="H1225" s="173"/>
      <c r="I1225" s="173"/>
      <c r="J1225" s="173"/>
      <c r="K1225" s="173"/>
      <c r="L1225" s="173"/>
      <c r="AM1225" s="173"/>
      <c r="AN1225" s="173"/>
      <c r="AZ1225" s="337"/>
      <c r="BL1225" s="349"/>
      <c r="BM1225" s="300"/>
      <c r="BN1225" s="300"/>
      <c r="BO1225" s="300"/>
      <c r="BP1225" s="300"/>
      <c r="BQ1225" s="300"/>
      <c r="BR1225" s="300"/>
      <c r="BS1225" s="300"/>
      <c r="BT1225" s="300"/>
      <c r="BU1225" s="300"/>
      <c r="BV1225" s="300"/>
      <c r="BW1225" s="300"/>
      <c r="BX1225" s="300"/>
      <c r="BY1225" s="300"/>
      <c r="BZ1225" s="300"/>
      <c r="CA1225" s="300"/>
      <c r="CB1225" s="300"/>
    </row>
    <row r="1226" spans="1:80" s="27" customFormat="1" x14ac:dyDescent="0.3">
      <c r="A1226" s="173"/>
      <c r="D1226" s="173"/>
      <c r="E1226" s="173"/>
      <c r="F1226" s="173"/>
      <c r="G1226" s="173"/>
      <c r="H1226" s="173"/>
      <c r="I1226" s="173"/>
      <c r="J1226" s="173"/>
      <c r="K1226" s="173"/>
      <c r="L1226" s="173"/>
      <c r="AM1226" s="173"/>
      <c r="AN1226" s="173"/>
      <c r="AZ1226" s="337"/>
      <c r="BL1226" s="349"/>
      <c r="BM1226" s="300"/>
      <c r="BN1226" s="300"/>
      <c r="BO1226" s="300"/>
      <c r="BP1226" s="300"/>
      <c r="BQ1226" s="300"/>
      <c r="BR1226" s="300"/>
      <c r="BS1226" s="300"/>
      <c r="BT1226" s="300"/>
      <c r="BU1226" s="300"/>
      <c r="BV1226" s="300"/>
      <c r="BW1226" s="300"/>
      <c r="BX1226" s="300"/>
      <c r="BY1226" s="300"/>
      <c r="BZ1226" s="300"/>
      <c r="CA1226" s="300"/>
      <c r="CB1226" s="300"/>
    </row>
    <row r="1227" spans="1:80" s="27" customFormat="1" x14ac:dyDescent="0.3">
      <c r="A1227" s="173"/>
      <c r="D1227" s="173"/>
      <c r="E1227" s="173"/>
      <c r="F1227" s="173"/>
      <c r="G1227" s="173"/>
      <c r="H1227" s="173"/>
      <c r="I1227" s="173"/>
      <c r="J1227" s="173"/>
      <c r="K1227" s="173"/>
      <c r="L1227" s="173"/>
      <c r="AM1227" s="173"/>
      <c r="AN1227" s="173"/>
      <c r="AZ1227" s="337"/>
      <c r="BL1227" s="349"/>
      <c r="BM1227" s="300"/>
      <c r="BN1227" s="300"/>
      <c r="BO1227" s="300"/>
      <c r="BP1227" s="300"/>
      <c r="BQ1227" s="300"/>
      <c r="BR1227" s="300"/>
      <c r="BS1227" s="300"/>
      <c r="BT1227" s="300"/>
      <c r="BU1227" s="300"/>
      <c r="BV1227" s="300"/>
      <c r="BW1227" s="300"/>
      <c r="BX1227" s="300"/>
      <c r="BY1227" s="300"/>
      <c r="BZ1227" s="300"/>
      <c r="CA1227" s="300"/>
      <c r="CB1227" s="300"/>
    </row>
    <row r="1228" spans="1:80" s="27" customFormat="1" x14ac:dyDescent="0.3">
      <c r="A1228" s="173"/>
      <c r="D1228" s="173"/>
      <c r="E1228" s="173"/>
      <c r="F1228" s="173"/>
      <c r="G1228" s="173"/>
      <c r="H1228" s="173"/>
      <c r="I1228" s="173"/>
      <c r="J1228" s="173"/>
      <c r="K1228" s="173"/>
      <c r="L1228" s="173"/>
      <c r="AM1228" s="173"/>
      <c r="AN1228" s="173"/>
      <c r="AZ1228" s="337"/>
      <c r="BL1228" s="349"/>
      <c r="BM1228" s="300"/>
      <c r="BN1228" s="300"/>
      <c r="BO1228" s="300"/>
      <c r="BP1228" s="300"/>
      <c r="BQ1228" s="300"/>
      <c r="BR1228" s="300"/>
      <c r="BS1228" s="300"/>
      <c r="BT1228" s="300"/>
      <c r="BU1228" s="300"/>
      <c r="BV1228" s="300"/>
      <c r="BW1228" s="300"/>
      <c r="BX1228" s="300"/>
      <c r="BY1228" s="300"/>
      <c r="BZ1228" s="300"/>
      <c r="CA1228" s="300"/>
      <c r="CB1228" s="300"/>
    </row>
    <row r="1229" spans="1:80" s="27" customFormat="1" x14ac:dyDescent="0.3">
      <c r="A1229" s="173"/>
      <c r="D1229" s="173"/>
      <c r="E1229" s="173"/>
      <c r="F1229" s="173"/>
      <c r="G1229" s="173"/>
      <c r="H1229" s="173"/>
      <c r="I1229" s="173"/>
      <c r="J1229" s="173"/>
      <c r="K1229" s="173"/>
      <c r="L1229" s="173"/>
      <c r="AM1229" s="173"/>
      <c r="AN1229" s="173"/>
      <c r="AZ1229" s="337"/>
      <c r="BL1229" s="349"/>
      <c r="BM1229" s="300"/>
      <c r="BN1229" s="300"/>
      <c r="BO1229" s="300"/>
      <c r="BP1229" s="300"/>
      <c r="BQ1229" s="300"/>
      <c r="BR1229" s="300"/>
      <c r="BS1229" s="300"/>
      <c r="BT1229" s="300"/>
      <c r="BU1229" s="300"/>
      <c r="BV1229" s="300"/>
      <c r="BW1229" s="300"/>
      <c r="BX1229" s="300"/>
      <c r="BY1229" s="300"/>
      <c r="BZ1229" s="300"/>
      <c r="CA1229" s="300"/>
      <c r="CB1229" s="300"/>
    </row>
    <row r="1230" spans="1:80" s="27" customFormat="1" x14ac:dyDescent="0.3">
      <c r="A1230" s="173"/>
      <c r="D1230" s="173"/>
      <c r="E1230" s="173"/>
      <c r="F1230" s="173"/>
      <c r="G1230" s="173"/>
      <c r="H1230" s="173"/>
      <c r="I1230" s="173"/>
      <c r="J1230" s="173"/>
      <c r="K1230" s="173"/>
      <c r="L1230" s="173"/>
      <c r="AM1230" s="173"/>
      <c r="AN1230" s="173"/>
      <c r="AZ1230" s="337"/>
      <c r="BL1230" s="349"/>
      <c r="BM1230" s="300"/>
      <c r="BN1230" s="300"/>
      <c r="BO1230" s="300"/>
      <c r="BP1230" s="300"/>
      <c r="BQ1230" s="300"/>
      <c r="BR1230" s="300"/>
      <c r="BS1230" s="300"/>
      <c r="BT1230" s="300"/>
      <c r="BU1230" s="300"/>
      <c r="BV1230" s="300"/>
      <c r="BW1230" s="300"/>
      <c r="BX1230" s="300"/>
      <c r="BY1230" s="300"/>
      <c r="BZ1230" s="300"/>
      <c r="CA1230" s="300"/>
      <c r="CB1230" s="300"/>
    </row>
    <row r="1231" spans="1:80" s="27" customFormat="1" x14ac:dyDescent="0.3">
      <c r="A1231" s="173"/>
      <c r="D1231" s="173"/>
      <c r="E1231" s="173"/>
      <c r="F1231" s="173"/>
      <c r="G1231" s="173"/>
      <c r="H1231" s="173"/>
      <c r="I1231" s="173"/>
      <c r="J1231" s="173"/>
      <c r="K1231" s="173"/>
      <c r="L1231" s="173"/>
      <c r="AM1231" s="173"/>
      <c r="AN1231" s="173"/>
      <c r="AZ1231" s="337"/>
      <c r="BL1231" s="349"/>
      <c r="BM1231" s="300"/>
      <c r="BN1231" s="300"/>
      <c r="BO1231" s="300"/>
      <c r="BP1231" s="300"/>
      <c r="BQ1231" s="300"/>
      <c r="BR1231" s="300"/>
      <c r="BS1231" s="300"/>
      <c r="BT1231" s="300"/>
      <c r="BU1231" s="300"/>
      <c r="BV1231" s="300"/>
      <c r="BW1231" s="300"/>
      <c r="BX1231" s="300"/>
      <c r="BY1231" s="300"/>
      <c r="BZ1231" s="300"/>
      <c r="CA1231" s="300"/>
      <c r="CB1231" s="300"/>
    </row>
    <row r="1232" spans="1:80" s="27" customFormat="1" x14ac:dyDescent="0.3">
      <c r="A1232" s="173"/>
      <c r="D1232" s="173"/>
      <c r="E1232" s="173"/>
      <c r="F1232" s="173"/>
      <c r="G1232" s="173"/>
      <c r="H1232" s="173"/>
      <c r="I1232" s="173"/>
      <c r="J1232" s="173"/>
      <c r="K1232" s="173"/>
      <c r="L1232" s="173"/>
      <c r="AM1232" s="173"/>
      <c r="AN1232" s="173"/>
      <c r="AZ1232" s="337"/>
      <c r="BL1232" s="349"/>
      <c r="BM1232" s="300"/>
      <c r="BN1232" s="300"/>
      <c r="BO1232" s="300"/>
      <c r="BP1232" s="300"/>
      <c r="BQ1232" s="300"/>
      <c r="BR1232" s="300"/>
      <c r="BS1232" s="300"/>
      <c r="BT1232" s="300"/>
      <c r="BU1232" s="300"/>
      <c r="BV1232" s="300"/>
      <c r="BW1232" s="300"/>
      <c r="BX1232" s="300"/>
      <c r="BY1232" s="300"/>
      <c r="BZ1232" s="300"/>
      <c r="CA1232" s="300"/>
      <c r="CB1232" s="300"/>
    </row>
    <row r="1233" spans="1:80" s="27" customFormat="1" x14ac:dyDescent="0.3">
      <c r="A1233" s="173"/>
      <c r="D1233" s="173"/>
      <c r="E1233" s="173"/>
      <c r="F1233" s="173"/>
      <c r="G1233" s="173"/>
      <c r="H1233" s="173"/>
      <c r="I1233" s="173"/>
      <c r="J1233" s="173"/>
      <c r="K1233" s="173"/>
      <c r="L1233" s="173"/>
      <c r="AM1233" s="173"/>
      <c r="AN1233" s="173"/>
      <c r="AZ1233" s="337"/>
      <c r="BL1233" s="349"/>
      <c r="BM1233" s="300"/>
      <c r="BN1233" s="300"/>
      <c r="BO1233" s="300"/>
      <c r="BP1233" s="300"/>
      <c r="BQ1233" s="300"/>
      <c r="BR1233" s="300"/>
      <c r="BS1233" s="300"/>
      <c r="BT1233" s="300"/>
      <c r="BU1233" s="300"/>
      <c r="BV1233" s="300"/>
      <c r="BW1233" s="300"/>
      <c r="BX1233" s="300"/>
      <c r="BY1233" s="300"/>
      <c r="BZ1233" s="300"/>
      <c r="CA1233" s="300"/>
      <c r="CB1233" s="300"/>
    </row>
    <row r="1234" spans="1:80" s="27" customFormat="1" x14ac:dyDescent="0.3">
      <c r="A1234" s="173"/>
      <c r="D1234" s="173"/>
      <c r="E1234" s="173"/>
      <c r="F1234" s="173"/>
      <c r="G1234" s="173"/>
      <c r="H1234" s="173"/>
      <c r="I1234" s="173"/>
      <c r="J1234" s="173"/>
      <c r="K1234" s="173"/>
      <c r="L1234" s="173"/>
      <c r="AM1234" s="173"/>
      <c r="AN1234" s="173"/>
      <c r="AZ1234" s="337"/>
      <c r="BL1234" s="349"/>
      <c r="BM1234" s="300"/>
      <c r="BN1234" s="300"/>
      <c r="BO1234" s="300"/>
      <c r="BP1234" s="300"/>
      <c r="BQ1234" s="300"/>
      <c r="BR1234" s="300"/>
      <c r="BS1234" s="300"/>
      <c r="BT1234" s="300"/>
      <c r="BU1234" s="300"/>
      <c r="BV1234" s="300"/>
      <c r="BW1234" s="300"/>
      <c r="BX1234" s="300"/>
      <c r="BY1234" s="300"/>
      <c r="BZ1234" s="300"/>
      <c r="CA1234" s="300"/>
      <c r="CB1234" s="300"/>
    </row>
    <row r="1235" spans="1:80" s="27" customFormat="1" x14ac:dyDescent="0.3">
      <c r="A1235" s="173"/>
      <c r="D1235" s="173"/>
      <c r="E1235" s="173"/>
      <c r="F1235" s="173"/>
      <c r="G1235" s="173"/>
      <c r="H1235" s="173"/>
      <c r="I1235" s="173"/>
      <c r="J1235" s="173"/>
      <c r="K1235" s="173"/>
      <c r="L1235" s="173"/>
      <c r="AM1235" s="173"/>
      <c r="AN1235" s="173"/>
      <c r="AZ1235" s="337"/>
      <c r="BL1235" s="349"/>
      <c r="BM1235" s="300"/>
      <c r="BN1235" s="300"/>
      <c r="BO1235" s="300"/>
      <c r="BP1235" s="300"/>
      <c r="BQ1235" s="300"/>
      <c r="BR1235" s="300"/>
      <c r="BS1235" s="300"/>
      <c r="BT1235" s="300"/>
      <c r="BU1235" s="300"/>
      <c r="BV1235" s="300"/>
      <c r="BW1235" s="300"/>
      <c r="BX1235" s="300"/>
      <c r="BY1235" s="300"/>
      <c r="BZ1235" s="300"/>
      <c r="CA1235" s="300"/>
      <c r="CB1235" s="300"/>
    </row>
    <row r="1236" spans="1:80" s="27" customFormat="1" x14ac:dyDescent="0.3">
      <c r="A1236" s="173"/>
      <c r="D1236" s="173"/>
      <c r="E1236" s="173"/>
      <c r="F1236" s="173"/>
      <c r="G1236" s="173"/>
      <c r="H1236" s="173"/>
      <c r="I1236" s="173"/>
      <c r="J1236" s="173"/>
      <c r="K1236" s="173"/>
      <c r="L1236" s="173"/>
      <c r="AM1236" s="173"/>
      <c r="AN1236" s="173"/>
      <c r="AZ1236" s="337"/>
      <c r="BL1236" s="349"/>
      <c r="BM1236" s="300"/>
      <c r="BN1236" s="300"/>
      <c r="BO1236" s="300"/>
      <c r="BP1236" s="300"/>
      <c r="BQ1236" s="300"/>
      <c r="BR1236" s="300"/>
      <c r="BS1236" s="300"/>
      <c r="BT1236" s="300"/>
      <c r="BU1236" s="300"/>
      <c r="BV1236" s="300"/>
      <c r="BW1236" s="300"/>
      <c r="BX1236" s="300"/>
      <c r="BY1236" s="300"/>
      <c r="BZ1236" s="300"/>
      <c r="CA1236" s="300"/>
      <c r="CB1236" s="300"/>
    </row>
    <row r="1237" spans="1:80" s="27" customFormat="1" x14ac:dyDescent="0.3">
      <c r="A1237" s="173"/>
      <c r="D1237" s="173"/>
      <c r="E1237" s="173"/>
      <c r="F1237" s="173"/>
      <c r="G1237" s="173"/>
      <c r="H1237" s="173"/>
      <c r="I1237" s="173"/>
      <c r="J1237" s="173"/>
      <c r="K1237" s="173"/>
      <c r="L1237" s="173"/>
      <c r="AM1237" s="173"/>
      <c r="AN1237" s="173"/>
      <c r="AZ1237" s="337"/>
      <c r="BL1237" s="349"/>
      <c r="BM1237" s="300"/>
      <c r="BN1237" s="300"/>
      <c r="BO1237" s="300"/>
      <c r="BP1237" s="300"/>
      <c r="BQ1237" s="300"/>
      <c r="BR1237" s="300"/>
      <c r="BS1237" s="300"/>
      <c r="BT1237" s="300"/>
      <c r="BU1237" s="300"/>
      <c r="BV1237" s="300"/>
      <c r="BW1237" s="300"/>
      <c r="BX1237" s="300"/>
      <c r="BY1237" s="300"/>
      <c r="BZ1237" s="300"/>
      <c r="CA1237" s="300"/>
      <c r="CB1237" s="300"/>
    </row>
    <row r="1238" spans="1:80" s="27" customFormat="1" x14ac:dyDescent="0.3">
      <c r="A1238" s="173"/>
      <c r="D1238" s="173"/>
      <c r="E1238" s="173"/>
      <c r="F1238" s="173"/>
      <c r="G1238" s="173"/>
      <c r="H1238" s="173"/>
      <c r="I1238" s="173"/>
      <c r="J1238" s="173"/>
      <c r="K1238" s="173"/>
      <c r="L1238" s="173"/>
      <c r="AM1238" s="173"/>
      <c r="AN1238" s="173"/>
      <c r="AZ1238" s="337"/>
      <c r="BL1238" s="349"/>
      <c r="BM1238" s="300"/>
      <c r="BN1238" s="300"/>
      <c r="BO1238" s="300"/>
      <c r="BP1238" s="300"/>
      <c r="BQ1238" s="300"/>
      <c r="BR1238" s="300"/>
      <c r="BS1238" s="300"/>
      <c r="BT1238" s="300"/>
      <c r="BU1238" s="300"/>
      <c r="BV1238" s="300"/>
      <c r="BW1238" s="300"/>
      <c r="BX1238" s="300"/>
      <c r="BY1238" s="300"/>
      <c r="BZ1238" s="300"/>
      <c r="CA1238" s="300"/>
      <c r="CB1238" s="300"/>
    </row>
    <row r="1239" spans="1:80" s="27" customFormat="1" x14ac:dyDescent="0.3">
      <c r="A1239" s="173"/>
      <c r="D1239" s="173"/>
      <c r="E1239" s="173"/>
      <c r="F1239" s="173"/>
      <c r="G1239" s="173"/>
      <c r="H1239" s="173"/>
      <c r="I1239" s="173"/>
      <c r="J1239" s="173"/>
      <c r="K1239" s="173"/>
      <c r="L1239" s="173"/>
      <c r="AM1239" s="173"/>
      <c r="AN1239" s="173"/>
      <c r="AZ1239" s="337"/>
      <c r="BL1239" s="349"/>
      <c r="BM1239" s="300"/>
      <c r="BN1239" s="300"/>
      <c r="BO1239" s="300"/>
      <c r="BP1239" s="300"/>
      <c r="BQ1239" s="300"/>
      <c r="BR1239" s="300"/>
      <c r="BS1239" s="300"/>
      <c r="BT1239" s="300"/>
      <c r="BU1239" s="300"/>
      <c r="BV1239" s="300"/>
      <c r="BW1239" s="300"/>
      <c r="BX1239" s="300"/>
      <c r="BY1239" s="300"/>
      <c r="BZ1239" s="300"/>
      <c r="CA1239" s="300"/>
      <c r="CB1239" s="300"/>
    </row>
    <row r="1240" spans="1:80" s="27" customFormat="1" x14ac:dyDescent="0.3">
      <c r="A1240" s="173"/>
      <c r="D1240" s="173"/>
      <c r="E1240" s="173"/>
      <c r="F1240" s="173"/>
      <c r="G1240" s="173"/>
      <c r="H1240" s="173"/>
      <c r="I1240" s="173"/>
      <c r="J1240" s="173"/>
      <c r="K1240" s="173"/>
      <c r="L1240" s="173"/>
      <c r="AM1240" s="173"/>
      <c r="AN1240" s="173"/>
      <c r="AZ1240" s="337"/>
      <c r="BL1240" s="349"/>
      <c r="BM1240" s="300"/>
      <c r="BN1240" s="300"/>
      <c r="BO1240" s="300"/>
      <c r="BP1240" s="300"/>
      <c r="BQ1240" s="300"/>
      <c r="BR1240" s="300"/>
      <c r="BS1240" s="300"/>
      <c r="BT1240" s="300"/>
      <c r="BU1240" s="300"/>
      <c r="BV1240" s="300"/>
      <c r="BW1240" s="300"/>
      <c r="BX1240" s="300"/>
      <c r="BY1240" s="300"/>
      <c r="BZ1240" s="300"/>
      <c r="CA1240" s="300"/>
      <c r="CB1240" s="300"/>
    </row>
    <row r="1241" spans="1:80" s="27" customFormat="1" x14ac:dyDescent="0.3">
      <c r="A1241" s="173"/>
      <c r="D1241" s="173"/>
      <c r="E1241" s="173"/>
      <c r="F1241" s="173"/>
      <c r="G1241" s="173"/>
      <c r="H1241" s="173"/>
      <c r="I1241" s="173"/>
      <c r="J1241" s="173"/>
      <c r="K1241" s="173"/>
      <c r="L1241" s="173"/>
      <c r="AM1241" s="173"/>
      <c r="AN1241" s="173"/>
      <c r="AZ1241" s="337"/>
      <c r="BL1241" s="349"/>
      <c r="BM1241" s="300"/>
      <c r="BN1241" s="300"/>
      <c r="BO1241" s="300"/>
      <c r="BP1241" s="300"/>
      <c r="BQ1241" s="300"/>
      <c r="BR1241" s="300"/>
      <c r="BS1241" s="300"/>
      <c r="BT1241" s="300"/>
      <c r="BU1241" s="300"/>
      <c r="BV1241" s="300"/>
      <c r="BW1241" s="300"/>
      <c r="BX1241" s="300"/>
      <c r="BY1241" s="300"/>
      <c r="BZ1241" s="300"/>
      <c r="CA1241" s="300"/>
      <c r="CB1241" s="300"/>
    </row>
    <row r="1242" spans="1:80" s="27" customFormat="1" x14ac:dyDescent="0.3">
      <c r="A1242" s="173"/>
      <c r="D1242" s="173"/>
      <c r="E1242" s="173"/>
      <c r="F1242" s="173"/>
      <c r="G1242" s="173"/>
      <c r="H1242" s="173"/>
      <c r="I1242" s="173"/>
      <c r="J1242" s="173"/>
      <c r="K1242" s="173"/>
      <c r="L1242" s="173"/>
      <c r="AM1242" s="173"/>
      <c r="AN1242" s="173"/>
      <c r="AZ1242" s="337"/>
      <c r="BL1242" s="349"/>
      <c r="BM1242" s="300"/>
      <c r="BN1242" s="300"/>
      <c r="BO1242" s="300"/>
      <c r="BP1242" s="300"/>
      <c r="BQ1242" s="300"/>
      <c r="BR1242" s="300"/>
      <c r="BS1242" s="300"/>
      <c r="BT1242" s="300"/>
      <c r="BU1242" s="300"/>
      <c r="BV1242" s="300"/>
      <c r="BW1242" s="300"/>
      <c r="BX1242" s="300"/>
      <c r="BY1242" s="300"/>
      <c r="BZ1242" s="300"/>
      <c r="CA1242" s="300"/>
      <c r="CB1242" s="300"/>
    </row>
    <row r="1243" spans="1:80" s="27" customFormat="1" x14ac:dyDescent="0.3">
      <c r="A1243" s="173"/>
      <c r="D1243" s="173"/>
      <c r="E1243" s="173"/>
      <c r="F1243" s="173"/>
      <c r="G1243" s="173"/>
      <c r="H1243" s="173"/>
      <c r="I1243" s="173"/>
      <c r="J1243" s="173"/>
      <c r="K1243" s="173"/>
      <c r="L1243" s="173"/>
      <c r="AM1243" s="173"/>
      <c r="AN1243" s="173"/>
      <c r="AZ1243" s="337"/>
      <c r="BL1243" s="349"/>
      <c r="BM1243" s="300"/>
      <c r="BN1243" s="300"/>
      <c r="BO1243" s="300"/>
      <c r="BP1243" s="300"/>
      <c r="BQ1243" s="300"/>
      <c r="BR1243" s="300"/>
      <c r="BS1243" s="300"/>
      <c r="BT1243" s="300"/>
      <c r="BU1243" s="300"/>
      <c r="BV1243" s="300"/>
      <c r="BW1243" s="300"/>
      <c r="BX1243" s="300"/>
      <c r="BY1243" s="300"/>
      <c r="BZ1243" s="300"/>
      <c r="CA1243" s="300"/>
      <c r="CB1243" s="300"/>
    </row>
    <row r="1244" spans="1:80" s="27" customFormat="1" x14ac:dyDescent="0.3">
      <c r="A1244" s="173"/>
      <c r="D1244" s="173"/>
      <c r="E1244" s="173"/>
      <c r="F1244" s="173"/>
      <c r="G1244" s="173"/>
      <c r="H1244" s="173"/>
      <c r="I1244" s="173"/>
      <c r="J1244" s="173"/>
      <c r="K1244" s="173"/>
      <c r="L1244" s="173"/>
      <c r="AM1244" s="173"/>
      <c r="AN1244" s="173"/>
      <c r="AZ1244" s="337"/>
      <c r="BL1244" s="349"/>
      <c r="BM1244" s="300"/>
      <c r="BN1244" s="300"/>
      <c r="BO1244" s="300"/>
      <c r="BP1244" s="300"/>
      <c r="BQ1244" s="300"/>
      <c r="BR1244" s="300"/>
      <c r="BS1244" s="300"/>
      <c r="BT1244" s="300"/>
      <c r="BU1244" s="300"/>
      <c r="BV1244" s="300"/>
      <c r="BW1244" s="300"/>
      <c r="BX1244" s="300"/>
      <c r="BY1244" s="300"/>
      <c r="BZ1244" s="300"/>
      <c r="CA1244" s="300"/>
      <c r="CB1244" s="300"/>
    </row>
    <row r="1245" spans="1:80" s="27" customFormat="1" x14ac:dyDescent="0.3">
      <c r="A1245" s="173"/>
      <c r="D1245" s="173"/>
      <c r="E1245" s="173"/>
      <c r="F1245" s="173"/>
      <c r="G1245" s="173"/>
      <c r="H1245" s="173"/>
      <c r="I1245" s="173"/>
      <c r="J1245" s="173"/>
      <c r="K1245" s="173"/>
      <c r="L1245" s="173"/>
      <c r="AM1245" s="173"/>
      <c r="AN1245" s="173"/>
      <c r="AZ1245" s="337"/>
      <c r="BL1245" s="349"/>
      <c r="BM1245" s="300"/>
      <c r="BN1245" s="300"/>
      <c r="BO1245" s="300"/>
      <c r="BP1245" s="300"/>
      <c r="BQ1245" s="300"/>
      <c r="BR1245" s="300"/>
      <c r="BS1245" s="300"/>
      <c r="BT1245" s="300"/>
      <c r="BU1245" s="300"/>
      <c r="BV1245" s="300"/>
      <c r="BW1245" s="300"/>
      <c r="BX1245" s="300"/>
      <c r="BY1245" s="300"/>
      <c r="BZ1245" s="300"/>
      <c r="CA1245" s="300"/>
      <c r="CB1245" s="300"/>
    </row>
    <row r="1246" spans="1:80" s="27" customFormat="1" x14ac:dyDescent="0.3">
      <c r="A1246" s="173"/>
      <c r="D1246" s="173"/>
      <c r="E1246" s="173"/>
      <c r="F1246" s="173"/>
      <c r="G1246" s="173"/>
      <c r="H1246" s="173"/>
      <c r="I1246" s="173"/>
      <c r="J1246" s="173"/>
      <c r="K1246" s="173"/>
      <c r="L1246" s="173"/>
      <c r="AM1246" s="173"/>
      <c r="AN1246" s="173"/>
      <c r="AZ1246" s="337"/>
      <c r="BL1246" s="349"/>
      <c r="BM1246" s="300"/>
      <c r="BN1246" s="300"/>
      <c r="BO1246" s="300"/>
      <c r="BP1246" s="300"/>
      <c r="BQ1246" s="300"/>
      <c r="BR1246" s="300"/>
      <c r="BS1246" s="300"/>
      <c r="BT1246" s="300"/>
      <c r="BU1246" s="300"/>
      <c r="BV1246" s="300"/>
      <c r="BW1246" s="300"/>
      <c r="BX1246" s="300"/>
      <c r="BY1246" s="300"/>
      <c r="BZ1246" s="300"/>
      <c r="CA1246" s="300"/>
      <c r="CB1246" s="300"/>
    </row>
    <row r="1247" spans="1:80" s="27" customFormat="1" x14ac:dyDescent="0.3">
      <c r="A1247" s="173"/>
      <c r="D1247" s="173"/>
      <c r="E1247" s="173"/>
      <c r="F1247" s="173"/>
      <c r="G1247" s="173"/>
      <c r="H1247" s="173"/>
      <c r="I1247" s="173"/>
      <c r="J1247" s="173"/>
      <c r="K1247" s="173"/>
      <c r="L1247" s="173"/>
      <c r="AM1247" s="173"/>
      <c r="AN1247" s="173"/>
      <c r="AZ1247" s="337"/>
      <c r="BL1247" s="349"/>
      <c r="BM1247" s="300"/>
      <c r="BN1247" s="300"/>
      <c r="BO1247" s="300"/>
      <c r="BP1247" s="300"/>
      <c r="BQ1247" s="300"/>
      <c r="BR1247" s="300"/>
      <c r="BS1247" s="300"/>
      <c r="BT1247" s="300"/>
      <c r="BU1247" s="300"/>
      <c r="BV1247" s="300"/>
      <c r="BW1247" s="300"/>
      <c r="BX1247" s="300"/>
      <c r="BY1247" s="300"/>
      <c r="BZ1247" s="300"/>
      <c r="CA1247" s="300"/>
      <c r="CB1247" s="300"/>
    </row>
    <row r="1248" spans="1:80" s="27" customFormat="1" x14ac:dyDescent="0.3">
      <c r="A1248" s="173"/>
      <c r="D1248" s="173"/>
      <c r="E1248" s="173"/>
      <c r="F1248" s="173"/>
      <c r="G1248" s="173"/>
      <c r="H1248" s="173"/>
      <c r="I1248" s="173"/>
      <c r="J1248" s="173"/>
      <c r="K1248" s="173"/>
      <c r="L1248" s="173"/>
      <c r="AM1248" s="173"/>
      <c r="AN1248" s="173"/>
      <c r="AZ1248" s="337"/>
      <c r="BL1248" s="349"/>
      <c r="BM1248" s="300"/>
      <c r="BN1248" s="300"/>
      <c r="BO1248" s="300"/>
      <c r="BP1248" s="300"/>
      <c r="BQ1248" s="300"/>
      <c r="BR1248" s="300"/>
      <c r="BS1248" s="300"/>
      <c r="BT1248" s="300"/>
      <c r="BU1248" s="300"/>
      <c r="BV1248" s="300"/>
      <c r="BW1248" s="300"/>
      <c r="BX1248" s="300"/>
      <c r="BY1248" s="300"/>
      <c r="BZ1248" s="300"/>
      <c r="CA1248" s="300"/>
      <c r="CB1248" s="300"/>
    </row>
    <row r="1249" spans="1:80" s="27" customFormat="1" x14ac:dyDescent="0.3">
      <c r="A1249" s="173"/>
      <c r="D1249" s="173"/>
      <c r="E1249" s="173"/>
      <c r="F1249" s="173"/>
      <c r="G1249" s="173"/>
      <c r="H1249" s="173"/>
      <c r="I1249" s="173"/>
      <c r="J1249" s="173"/>
      <c r="K1249" s="173"/>
      <c r="L1249" s="173"/>
      <c r="AM1249" s="173"/>
      <c r="AN1249" s="173"/>
      <c r="AZ1249" s="337"/>
      <c r="BL1249" s="349"/>
      <c r="BM1249" s="300"/>
      <c r="BN1249" s="300"/>
      <c r="BO1249" s="300"/>
      <c r="BP1249" s="300"/>
      <c r="BQ1249" s="300"/>
      <c r="BR1249" s="300"/>
      <c r="BS1249" s="300"/>
      <c r="BT1249" s="300"/>
      <c r="BU1249" s="300"/>
      <c r="BV1249" s="300"/>
      <c r="BW1249" s="300"/>
      <c r="BX1249" s="300"/>
      <c r="BY1249" s="300"/>
      <c r="BZ1249" s="300"/>
      <c r="CA1249" s="300"/>
      <c r="CB1249" s="300"/>
    </row>
    <row r="1250" spans="1:80" s="27" customFormat="1" x14ac:dyDescent="0.3">
      <c r="A1250" s="173"/>
      <c r="D1250" s="173"/>
      <c r="E1250" s="173"/>
      <c r="F1250" s="173"/>
      <c r="G1250" s="173"/>
      <c r="H1250" s="173"/>
      <c r="I1250" s="173"/>
      <c r="J1250" s="173"/>
      <c r="K1250" s="173"/>
      <c r="L1250" s="173"/>
      <c r="AM1250" s="173"/>
      <c r="AN1250" s="173"/>
      <c r="AZ1250" s="337"/>
      <c r="BL1250" s="349"/>
      <c r="BM1250" s="300"/>
      <c r="BN1250" s="300"/>
      <c r="BO1250" s="300"/>
      <c r="BP1250" s="300"/>
      <c r="BQ1250" s="300"/>
      <c r="BR1250" s="300"/>
      <c r="BS1250" s="300"/>
      <c r="BT1250" s="300"/>
      <c r="BU1250" s="300"/>
      <c r="BV1250" s="300"/>
      <c r="BW1250" s="300"/>
      <c r="BX1250" s="300"/>
      <c r="BY1250" s="300"/>
      <c r="BZ1250" s="300"/>
      <c r="CA1250" s="300"/>
      <c r="CB1250" s="300"/>
    </row>
    <row r="1251" spans="1:80" s="27" customFormat="1" x14ac:dyDescent="0.3">
      <c r="A1251" s="173"/>
      <c r="D1251" s="173"/>
      <c r="E1251" s="173"/>
      <c r="F1251" s="173"/>
      <c r="G1251" s="173"/>
      <c r="H1251" s="173"/>
      <c r="I1251" s="173"/>
      <c r="J1251" s="173"/>
      <c r="K1251" s="173"/>
      <c r="L1251" s="173"/>
      <c r="AM1251" s="173"/>
      <c r="AN1251" s="173"/>
      <c r="AZ1251" s="337"/>
      <c r="BL1251" s="349"/>
      <c r="BM1251" s="300"/>
      <c r="BN1251" s="300"/>
      <c r="BO1251" s="300"/>
      <c r="BP1251" s="300"/>
      <c r="BQ1251" s="300"/>
      <c r="BR1251" s="300"/>
      <c r="BS1251" s="300"/>
      <c r="BT1251" s="300"/>
      <c r="BU1251" s="300"/>
      <c r="BV1251" s="300"/>
      <c r="BW1251" s="300"/>
      <c r="BX1251" s="300"/>
      <c r="BY1251" s="300"/>
      <c r="BZ1251" s="300"/>
      <c r="CA1251" s="300"/>
      <c r="CB1251" s="300"/>
    </row>
    <row r="1252" spans="1:80" s="27" customFormat="1" x14ac:dyDescent="0.3">
      <c r="A1252" s="173"/>
      <c r="D1252" s="173"/>
      <c r="E1252" s="173"/>
      <c r="F1252" s="173"/>
      <c r="G1252" s="173"/>
      <c r="H1252" s="173"/>
      <c r="I1252" s="173"/>
      <c r="J1252" s="173"/>
      <c r="K1252" s="173"/>
      <c r="L1252" s="173"/>
      <c r="AM1252" s="173"/>
      <c r="AN1252" s="173"/>
      <c r="AZ1252" s="337"/>
      <c r="BL1252" s="349"/>
      <c r="BM1252" s="300"/>
      <c r="BN1252" s="300"/>
      <c r="BO1252" s="300"/>
      <c r="BP1252" s="300"/>
      <c r="BQ1252" s="300"/>
      <c r="BR1252" s="300"/>
      <c r="BS1252" s="300"/>
      <c r="BT1252" s="300"/>
      <c r="BU1252" s="300"/>
      <c r="BV1252" s="300"/>
      <c r="BW1252" s="300"/>
      <c r="BX1252" s="300"/>
      <c r="BY1252" s="300"/>
      <c r="BZ1252" s="300"/>
      <c r="CA1252" s="300"/>
      <c r="CB1252" s="300"/>
    </row>
    <row r="1253" spans="1:80" s="27" customFormat="1" x14ac:dyDescent="0.3">
      <c r="A1253" s="173"/>
      <c r="D1253" s="173"/>
      <c r="E1253" s="173"/>
      <c r="F1253" s="173"/>
      <c r="G1253" s="173"/>
      <c r="H1253" s="173"/>
      <c r="I1253" s="173"/>
      <c r="J1253" s="173"/>
      <c r="K1253" s="173"/>
      <c r="L1253" s="173"/>
      <c r="AM1253" s="173"/>
      <c r="AN1253" s="173"/>
      <c r="AZ1253" s="337"/>
      <c r="BL1253" s="349"/>
      <c r="BM1253" s="300"/>
      <c r="BN1253" s="300"/>
      <c r="BO1253" s="300"/>
      <c r="BP1253" s="300"/>
      <c r="BQ1253" s="300"/>
      <c r="BR1253" s="300"/>
      <c r="BS1253" s="300"/>
      <c r="BT1253" s="300"/>
      <c r="BU1253" s="300"/>
      <c r="BV1253" s="300"/>
      <c r="BW1253" s="300"/>
      <c r="BX1253" s="300"/>
      <c r="BY1253" s="300"/>
      <c r="BZ1253" s="300"/>
      <c r="CA1253" s="300"/>
      <c r="CB1253" s="300"/>
    </row>
    <row r="1254" spans="1:80" s="27" customFormat="1" x14ac:dyDescent="0.3">
      <c r="A1254" s="173"/>
      <c r="D1254" s="173"/>
      <c r="E1254" s="173"/>
      <c r="F1254" s="173"/>
      <c r="G1254" s="173"/>
      <c r="H1254" s="173"/>
      <c r="I1254" s="173"/>
      <c r="J1254" s="173"/>
      <c r="K1254" s="173"/>
      <c r="L1254" s="173"/>
      <c r="AM1254" s="173"/>
      <c r="AN1254" s="173"/>
      <c r="AZ1254" s="337"/>
      <c r="BL1254" s="349"/>
      <c r="BM1254" s="300"/>
      <c r="BN1254" s="300"/>
      <c r="BO1254" s="300"/>
      <c r="BP1254" s="300"/>
      <c r="BQ1254" s="300"/>
      <c r="BR1254" s="300"/>
      <c r="BS1254" s="300"/>
      <c r="BT1254" s="300"/>
      <c r="BU1254" s="300"/>
      <c r="BV1254" s="300"/>
      <c r="BW1254" s="300"/>
      <c r="BX1254" s="300"/>
      <c r="BY1254" s="300"/>
      <c r="BZ1254" s="300"/>
      <c r="CA1254" s="300"/>
      <c r="CB1254" s="300"/>
    </row>
    <row r="1255" spans="1:80" s="27" customFormat="1" x14ac:dyDescent="0.3">
      <c r="A1255" s="173"/>
      <c r="D1255" s="173"/>
      <c r="E1255" s="173"/>
      <c r="F1255" s="173"/>
      <c r="G1255" s="173"/>
      <c r="H1255" s="173"/>
      <c r="I1255" s="173"/>
      <c r="J1255" s="173"/>
      <c r="K1255" s="173"/>
      <c r="L1255" s="173"/>
      <c r="AM1255" s="173"/>
      <c r="AN1255" s="173"/>
      <c r="AZ1255" s="337"/>
      <c r="BL1255" s="349"/>
      <c r="BM1255" s="300"/>
      <c r="BN1255" s="300"/>
      <c r="BO1255" s="300"/>
      <c r="BP1255" s="300"/>
      <c r="BQ1255" s="300"/>
      <c r="BR1255" s="300"/>
      <c r="BS1255" s="300"/>
      <c r="BT1255" s="300"/>
      <c r="BU1255" s="300"/>
      <c r="BV1255" s="300"/>
      <c r="BW1255" s="300"/>
      <c r="BX1255" s="300"/>
      <c r="BY1255" s="300"/>
      <c r="BZ1255" s="300"/>
      <c r="CA1255" s="300"/>
      <c r="CB1255" s="300"/>
    </row>
    <row r="1256" spans="1:80" s="27" customFormat="1" x14ac:dyDescent="0.3">
      <c r="A1256" s="173"/>
      <c r="D1256" s="173"/>
      <c r="E1256" s="173"/>
      <c r="F1256" s="173"/>
      <c r="G1256" s="173"/>
      <c r="H1256" s="173"/>
      <c r="I1256" s="173"/>
      <c r="J1256" s="173"/>
      <c r="K1256" s="173"/>
      <c r="L1256" s="173"/>
      <c r="AM1256" s="173"/>
      <c r="AN1256" s="173"/>
      <c r="AZ1256" s="337"/>
      <c r="BL1256" s="349"/>
      <c r="BM1256" s="300"/>
      <c r="BN1256" s="300"/>
      <c r="BO1256" s="300"/>
      <c r="BP1256" s="300"/>
      <c r="BQ1256" s="300"/>
      <c r="BR1256" s="300"/>
      <c r="BS1256" s="300"/>
      <c r="BT1256" s="300"/>
      <c r="BU1256" s="300"/>
      <c r="BV1256" s="300"/>
      <c r="BW1256" s="300"/>
      <c r="BX1256" s="300"/>
      <c r="BY1256" s="300"/>
      <c r="BZ1256" s="300"/>
      <c r="CA1256" s="300"/>
      <c r="CB1256" s="300"/>
    </row>
    <row r="1257" spans="1:80" s="27" customFormat="1" x14ac:dyDescent="0.3">
      <c r="A1257" s="173"/>
      <c r="D1257" s="173"/>
      <c r="E1257" s="173"/>
      <c r="F1257" s="173"/>
      <c r="G1257" s="173"/>
      <c r="H1257" s="173"/>
      <c r="I1257" s="173"/>
      <c r="J1257" s="173"/>
      <c r="K1257" s="173"/>
      <c r="L1257" s="173"/>
      <c r="AM1257" s="173"/>
      <c r="AN1257" s="173"/>
      <c r="AZ1257" s="337"/>
      <c r="BL1257" s="349"/>
      <c r="BM1257" s="300"/>
      <c r="BN1257" s="300"/>
      <c r="BO1257" s="300"/>
      <c r="BP1257" s="300"/>
      <c r="BQ1257" s="300"/>
      <c r="BR1257" s="300"/>
      <c r="BS1257" s="300"/>
      <c r="BT1257" s="300"/>
      <c r="BU1257" s="300"/>
      <c r="BV1257" s="300"/>
      <c r="BW1257" s="300"/>
      <c r="BX1257" s="300"/>
      <c r="BY1257" s="300"/>
      <c r="BZ1257" s="300"/>
      <c r="CA1257" s="300"/>
      <c r="CB1257" s="300"/>
    </row>
    <row r="1258" spans="1:80" s="27" customFormat="1" x14ac:dyDescent="0.3">
      <c r="A1258" s="173"/>
      <c r="D1258" s="173"/>
      <c r="E1258" s="173"/>
      <c r="F1258" s="173"/>
      <c r="G1258" s="173"/>
      <c r="H1258" s="173"/>
      <c r="I1258" s="173"/>
      <c r="J1258" s="173"/>
      <c r="K1258" s="173"/>
      <c r="L1258" s="173"/>
      <c r="AM1258" s="173"/>
      <c r="AN1258" s="173"/>
      <c r="AZ1258" s="337"/>
      <c r="BL1258" s="349"/>
      <c r="BM1258" s="300"/>
      <c r="BN1258" s="300"/>
      <c r="BO1258" s="300"/>
      <c r="BP1258" s="300"/>
      <c r="BQ1258" s="300"/>
      <c r="BR1258" s="300"/>
      <c r="BS1258" s="300"/>
      <c r="BT1258" s="300"/>
      <c r="BU1258" s="300"/>
      <c r="BV1258" s="300"/>
      <c r="BW1258" s="300"/>
      <c r="BX1258" s="300"/>
      <c r="BY1258" s="300"/>
      <c r="BZ1258" s="300"/>
      <c r="CA1258" s="300"/>
      <c r="CB1258" s="300"/>
    </row>
    <row r="1259" spans="1:80" s="27" customFormat="1" x14ac:dyDescent="0.3">
      <c r="A1259" s="173"/>
      <c r="D1259" s="173"/>
      <c r="E1259" s="173"/>
      <c r="F1259" s="173"/>
      <c r="G1259" s="173"/>
      <c r="H1259" s="173"/>
      <c r="I1259" s="173"/>
      <c r="J1259" s="173"/>
      <c r="K1259" s="173"/>
      <c r="L1259" s="173"/>
      <c r="AM1259" s="173"/>
      <c r="AN1259" s="173"/>
      <c r="AZ1259" s="337"/>
      <c r="BL1259" s="349"/>
      <c r="BM1259" s="300"/>
      <c r="BN1259" s="300"/>
      <c r="BO1259" s="300"/>
      <c r="BP1259" s="300"/>
      <c r="BQ1259" s="300"/>
      <c r="BR1259" s="300"/>
      <c r="BS1259" s="300"/>
      <c r="BT1259" s="300"/>
      <c r="BU1259" s="300"/>
      <c r="BV1259" s="300"/>
      <c r="BW1259" s="300"/>
      <c r="BX1259" s="300"/>
      <c r="BY1259" s="300"/>
      <c r="BZ1259" s="300"/>
      <c r="CA1259" s="300"/>
      <c r="CB1259" s="300"/>
    </row>
    <row r="1260" spans="1:80" s="27" customFormat="1" x14ac:dyDescent="0.3">
      <c r="A1260" s="173"/>
      <c r="D1260" s="173"/>
      <c r="E1260" s="173"/>
      <c r="F1260" s="173"/>
      <c r="G1260" s="173"/>
      <c r="H1260" s="173"/>
      <c r="I1260" s="173"/>
      <c r="J1260" s="173"/>
      <c r="K1260" s="173"/>
      <c r="L1260" s="173"/>
      <c r="AM1260" s="173"/>
      <c r="AN1260" s="173"/>
      <c r="AZ1260" s="337"/>
      <c r="BL1260" s="349"/>
      <c r="BM1260" s="300"/>
      <c r="BN1260" s="300"/>
      <c r="BO1260" s="300"/>
      <c r="BP1260" s="300"/>
      <c r="BQ1260" s="300"/>
      <c r="BR1260" s="300"/>
      <c r="BS1260" s="300"/>
      <c r="BT1260" s="300"/>
      <c r="BU1260" s="300"/>
      <c r="BV1260" s="300"/>
      <c r="BW1260" s="300"/>
      <c r="BX1260" s="300"/>
      <c r="BY1260" s="300"/>
      <c r="BZ1260" s="300"/>
      <c r="CA1260" s="300"/>
      <c r="CB1260" s="300"/>
    </row>
    <row r="1261" spans="1:80" s="27" customFormat="1" x14ac:dyDescent="0.3">
      <c r="A1261" s="173"/>
      <c r="D1261" s="173"/>
      <c r="E1261" s="173"/>
      <c r="F1261" s="173"/>
      <c r="G1261" s="173"/>
      <c r="H1261" s="173"/>
      <c r="I1261" s="173"/>
      <c r="J1261" s="173"/>
      <c r="K1261" s="173"/>
      <c r="L1261" s="173"/>
      <c r="AM1261" s="173"/>
      <c r="AN1261" s="173"/>
      <c r="AZ1261" s="337"/>
      <c r="BL1261" s="349"/>
      <c r="BM1261" s="300"/>
      <c r="BN1261" s="300"/>
      <c r="BO1261" s="300"/>
      <c r="BP1261" s="300"/>
      <c r="BQ1261" s="300"/>
      <c r="BR1261" s="300"/>
      <c r="BS1261" s="300"/>
      <c r="BT1261" s="300"/>
      <c r="BU1261" s="300"/>
      <c r="BV1261" s="300"/>
      <c r="BW1261" s="300"/>
      <c r="BX1261" s="300"/>
      <c r="BY1261" s="300"/>
      <c r="BZ1261" s="300"/>
      <c r="CA1261" s="300"/>
      <c r="CB1261" s="300"/>
    </row>
    <row r="1262" spans="1:80" s="27" customFormat="1" x14ac:dyDescent="0.3">
      <c r="A1262" s="173"/>
      <c r="D1262" s="173"/>
      <c r="E1262" s="173"/>
      <c r="F1262" s="173"/>
      <c r="G1262" s="173"/>
      <c r="H1262" s="173"/>
      <c r="I1262" s="173"/>
      <c r="J1262" s="173"/>
      <c r="K1262" s="173"/>
      <c r="L1262" s="173"/>
      <c r="AM1262" s="173"/>
      <c r="AN1262" s="173"/>
      <c r="AZ1262" s="337"/>
      <c r="BL1262" s="349"/>
      <c r="BM1262" s="300"/>
      <c r="BN1262" s="300"/>
      <c r="BO1262" s="300"/>
      <c r="BP1262" s="300"/>
      <c r="BQ1262" s="300"/>
      <c r="BR1262" s="300"/>
      <c r="BS1262" s="300"/>
      <c r="BT1262" s="300"/>
      <c r="BU1262" s="300"/>
      <c r="BV1262" s="300"/>
      <c r="BW1262" s="300"/>
      <c r="BX1262" s="300"/>
      <c r="BY1262" s="300"/>
      <c r="BZ1262" s="300"/>
      <c r="CA1262" s="300"/>
      <c r="CB1262" s="300"/>
    </row>
    <row r="1263" spans="1:80" s="27" customFormat="1" x14ac:dyDescent="0.3">
      <c r="A1263" s="173"/>
      <c r="D1263" s="173"/>
      <c r="E1263" s="173"/>
      <c r="F1263" s="173"/>
      <c r="G1263" s="173"/>
      <c r="H1263" s="173"/>
      <c r="I1263" s="173"/>
      <c r="J1263" s="173"/>
      <c r="K1263" s="173"/>
      <c r="L1263" s="173"/>
      <c r="AM1263" s="173"/>
      <c r="AN1263" s="173"/>
      <c r="AZ1263" s="337"/>
      <c r="BL1263" s="349"/>
      <c r="BM1263" s="300"/>
      <c r="BN1263" s="300"/>
      <c r="BO1263" s="300"/>
      <c r="BP1263" s="300"/>
      <c r="BQ1263" s="300"/>
      <c r="BR1263" s="300"/>
      <c r="BS1263" s="300"/>
      <c r="BT1263" s="300"/>
      <c r="BU1263" s="300"/>
      <c r="BV1263" s="300"/>
      <c r="BW1263" s="300"/>
      <c r="BX1263" s="300"/>
      <c r="BY1263" s="300"/>
      <c r="BZ1263" s="300"/>
      <c r="CA1263" s="300"/>
      <c r="CB1263" s="300"/>
    </row>
    <row r="1264" spans="1:80" s="27" customFormat="1" x14ac:dyDescent="0.3">
      <c r="A1264" s="173"/>
      <c r="D1264" s="173"/>
      <c r="E1264" s="173"/>
      <c r="F1264" s="173"/>
      <c r="G1264" s="173"/>
      <c r="H1264" s="173"/>
      <c r="I1264" s="173"/>
      <c r="J1264" s="173"/>
      <c r="K1264" s="173"/>
      <c r="L1264" s="173"/>
      <c r="AM1264" s="173"/>
      <c r="AN1264" s="173"/>
      <c r="AZ1264" s="337"/>
      <c r="BL1264" s="349"/>
      <c r="BM1264" s="300"/>
      <c r="BN1264" s="300"/>
      <c r="BO1264" s="300"/>
      <c r="BP1264" s="300"/>
      <c r="BQ1264" s="300"/>
      <c r="BR1264" s="300"/>
      <c r="BS1264" s="300"/>
      <c r="BT1264" s="300"/>
      <c r="BU1264" s="300"/>
      <c r="BV1264" s="300"/>
      <c r="BW1264" s="300"/>
      <c r="BX1264" s="300"/>
      <c r="BY1264" s="300"/>
      <c r="BZ1264" s="300"/>
      <c r="CA1264" s="300"/>
      <c r="CB1264" s="300"/>
    </row>
    <row r="1265" spans="1:80" s="27" customFormat="1" x14ac:dyDescent="0.3">
      <c r="A1265" s="173"/>
      <c r="D1265" s="173"/>
      <c r="E1265" s="173"/>
      <c r="F1265" s="173"/>
      <c r="G1265" s="173"/>
      <c r="H1265" s="173"/>
      <c r="I1265" s="173"/>
      <c r="J1265" s="173"/>
      <c r="K1265" s="173"/>
      <c r="L1265" s="173"/>
      <c r="AM1265" s="173"/>
      <c r="AN1265" s="173"/>
      <c r="AZ1265" s="337"/>
      <c r="BL1265" s="349"/>
      <c r="BM1265" s="300"/>
      <c r="BN1265" s="300"/>
      <c r="BO1265" s="300"/>
      <c r="BP1265" s="300"/>
      <c r="BQ1265" s="300"/>
      <c r="BR1265" s="300"/>
      <c r="BS1265" s="300"/>
      <c r="BT1265" s="300"/>
      <c r="BU1265" s="300"/>
      <c r="BV1265" s="300"/>
      <c r="BW1265" s="300"/>
      <c r="BX1265" s="300"/>
      <c r="BY1265" s="300"/>
      <c r="BZ1265" s="300"/>
      <c r="CA1265" s="300"/>
      <c r="CB1265" s="300"/>
    </row>
    <row r="1266" spans="1:80" s="27" customFormat="1" x14ac:dyDescent="0.3">
      <c r="A1266" s="173"/>
      <c r="D1266" s="173"/>
      <c r="E1266" s="173"/>
      <c r="F1266" s="173"/>
      <c r="G1266" s="173"/>
      <c r="H1266" s="173"/>
      <c r="I1266" s="173"/>
      <c r="J1266" s="173"/>
      <c r="K1266" s="173"/>
      <c r="L1266" s="173"/>
      <c r="AM1266" s="173"/>
      <c r="AN1266" s="173"/>
      <c r="AZ1266" s="337"/>
      <c r="BL1266" s="349"/>
      <c r="BM1266" s="300"/>
      <c r="BN1266" s="300"/>
      <c r="BO1266" s="300"/>
      <c r="BP1266" s="300"/>
      <c r="BQ1266" s="300"/>
      <c r="BR1266" s="300"/>
      <c r="BS1266" s="300"/>
      <c r="BT1266" s="300"/>
      <c r="BU1266" s="300"/>
      <c r="BV1266" s="300"/>
      <c r="BW1266" s="300"/>
      <c r="BX1266" s="300"/>
      <c r="BY1266" s="300"/>
      <c r="BZ1266" s="300"/>
      <c r="CA1266" s="300"/>
      <c r="CB1266" s="300"/>
    </row>
    <row r="1267" spans="1:80" s="27" customFormat="1" x14ac:dyDescent="0.3">
      <c r="A1267" s="173"/>
      <c r="D1267" s="173"/>
      <c r="E1267" s="173"/>
      <c r="F1267" s="173"/>
      <c r="G1267" s="173"/>
      <c r="H1267" s="173"/>
      <c r="I1267" s="173"/>
      <c r="J1267" s="173"/>
      <c r="K1267" s="173"/>
      <c r="L1267" s="173"/>
      <c r="AM1267" s="173"/>
      <c r="AN1267" s="173"/>
      <c r="AZ1267" s="337"/>
      <c r="BL1267" s="349"/>
      <c r="BM1267" s="300"/>
      <c r="BN1267" s="300"/>
      <c r="BO1267" s="300"/>
      <c r="BP1267" s="300"/>
      <c r="BQ1267" s="300"/>
      <c r="BR1267" s="300"/>
      <c r="BS1267" s="300"/>
      <c r="BT1267" s="300"/>
      <c r="BU1267" s="300"/>
      <c r="BV1267" s="300"/>
      <c r="BW1267" s="300"/>
      <c r="BX1267" s="300"/>
      <c r="BY1267" s="300"/>
      <c r="BZ1267" s="300"/>
      <c r="CA1267" s="300"/>
      <c r="CB1267" s="300"/>
    </row>
    <row r="1268" spans="1:80" s="27" customFormat="1" x14ac:dyDescent="0.3">
      <c r="A1268" s="173"/>
      <c r="D1268" s="173"/>
      <c r="E1268" s="173"/>
      <c r="F1268" s="173"/>
      <c r="G1268" s="173"/>
      <c r="H1268" s="173"/>
      <c r="I1268" s="173"/>
      <c r="J1268" s="173"/>
      <c r="K1268" s="173"/>
      <c r="L1268" s="173"/>
      <c r="AM1268" s="173"/>
      <c r="AN1268" s="173"/>
      <c r="AZ1268" s="337"/>
      <c r="BL1268" s="349"/>
      <c r="BM1268" s="300"/>
      <c r="BN1268" s="300"/>
      <c r="BO1268" s="300"/>
      <c r="BP1268" s="300"/>
      <c r="BQ1268" s="300"/>
      <c r="BR1268" s="300"/>
      <c r="BS1268" s="300"/>
      <c r="BT1268" s="300"/>
      <c r="BU1268" s="300"/>
      <c r="BV1268" s="300"/>
      <c r="BW1268" s="300"/>
      <c r="BX1268" s="300"/>
      <c r="BY1268" s="300"/>
      <c r="BZ1268" s="300"/>
      <c r="CA1268" s="300"/>
      <c r="CB1268" s="300"/>
    </row>
    <row r="1269" spans="1:80" s="27" customFormat="1" x14ac:dyDescent="0.3">
      <c r="A1269" s="173"/>
      <c r="D1269" s="173"/>
      <c r="E1269" s="173"/>
      <c r="F1269" s="173"/>
      <c r="G1269" s="173"/>
      <c r="H1269" s="173"/>
      <c r="I1269" s="173"/>
      <c r="J1269" s="173"/>
      <c r="K1269" s="173"/>
      <c r="L1269" s="173"/>
      <c r="AM1269" s="173"/>
      <c r="AN1269" s="173"/>
      <c r="AZ1269" s="337"/>
      <c r="BL1269" s="349"/>
      <c r="BM1269" s="300"/>
      <c r="BN1269" s="300"/>
      <c r="BO1269" s="300"/>
      <c r="BP1269" s="300"/>
      <c r="BQ1269" s="300"/>
      <c r="BR1269" s="300"/>
      <c r="BS1269" s="300"/>
      <c r="BT1269" s="300"/>
      <c r="BU1269" s="300"/>
      <c r="BV1269" s="300"/>
      <c r="BW1269" s="300"/>
      <c r="BX1269" s="300"/>
      <c r="BY1269" s="300"/>
      <c r="BZ1269" s="300"/>
      <c r="CA1269" s="300"/>
      <c r="CB1269" s="300"/>
    </row>
    <row r="1270" spans="1:80" s="27" customFormat="1" x14ac:dyDescent="0.3">
      <c r="A1270" s="173"/>
      <c r="D1270" s="173"/>
      <c r="E1270" s="173"/>
      <c r="F1270" s="173"/>
      <c r="G1270" s="173"/>
      <c r="H1270" s="173"/>
      <c r="I1270" s="173"/>
      <c r="J1270" s="173"/>
      <c r="K1270" s="173"/>
      <c r="L1270" s="173"/>
      <c r="AM1270" s="173"/>
      <c r="AN1270" s="173"/>
      <c r="AZ1270" s="337"/>
      <c r="BL1270" s="349"/>
      <c r="BM1270" s="300"/>
      <c r="BN1270" s="300"/>
      <c r="BO1270" s="300"/>
      <c r="BP1270" s="300"/>
      <c r="BQ1270" s="300"/>
      <c r="BR1270" s="300"/>
      <c r="BS1270" s="300"/>
      <c r="BT1270" s="300"/>
      <c r="BU1270" s="300"/>
      <c r="BV1270" s="300"/>
      <c r="BW1270" s="300"/>
      <c r="BX1270" s="300"/>
      <c r="BY1270" s="300"/>
      <c r="BZ1270" s="300"/>
      <c r="CA1270" s="300"/>
      <c r="CB1270" s="300"/>
    </row>
    <row r="1271" spans="1:80" s="27" customFormat="1" x14ac:dyDescent="0.3">
      <c r="A1271" s="173"/>
      <c r="D1271" s="173"/>
      <c r="E1271" s="173"/>
      <c r="F1271" s="173"/>
      <c r="G1271" s="173"/>
      <c r="H1271" s="173"/>
      <c r="I1271" s="173"/>
      <c r="J1271" s="173"/>
      <c r="K1271" s="173"/>
      <c r="L1271" s="173"/>
      <c r="AM1271" s="173"/>
      <c r="AN1271" s="173"/>
      <c r="AZ1271" s="337"/>
      <c r="BL1271" s="349"/>
      <c r="BM1271" s="300"/>
      <c r="BN1271" s="300"/>
      <c r="BO1271" s="300"/>
      <c r="BP1271" s="300"/>
      <c r="BQ1271" s="300"/>
      <c r="BR1271" s="300"/>
      <c r="BS1271" s="300"/>
      <c r="BT1271" s="300"/>
      <c r="BU1271" s="300"/>
      <c r="BV1271" s="300"/>
      <c r="BW1271" s="300"/>
      <c r="BX1271" s="300"/>
      <c r="BY1271" s="300"/>
      <c r="BZ1271" s="300"/>
      <c r="CA1271" s="300"/>
      <c r="CB1271" s="300"/>
    </row>
    <row r="1272" spans="1:80" s="27" customFormat="1" x14ac:dyDescent="0.3">
      <c r="A1272" s="173"/>
      <c r="D1272" s="173"/>
      <c r="E1272" s="173"/>
      <c r="F1272" s="173"/>
      <c r="G1272" s="173"/>
      <c r="H1272" s="173"/>
      <c r="I1272" s="173"/>
      <c r="J1272" s="173"/>
      <c r="K1272" s="173"/>
      <c r="L1272" s="173"/>
      <c r="AM1272" s="173"/>
      <c r="AN1272" s="173"/>
      <c r="AZ1272" s="337"/>
      <c r="BL1272" s="349"/>
      <c r="BM1272" s="300"/>
      <c r="BN1272" s="300"/>
      <c r="BO1272" s="300"/>
      <c r="BP1272" s="300"/>
      <c r="BQ1272" s="300"/>
      <c r="BR1272" s="300"/>
      <c r="BS1272" s="300"/>
      <c r="BT1272" s="300"/>
      <c r="BU1272" s="300"/>
      <c r="BV1272" s="300"/>
      <c r="BW1272" s="300"/>
      <c r="BX1272" s="300"/>
      <c r="BY1272" s="300"/>
      <c r="BZ1272" s="300"/>
      <c r="CA1272" s="300"/>
      <c r="CB1272" s="300"/>
    </row>
    <row r="1273" spans="1:80" s="27" customFormat="1" x14ac:dyDescent="0.3">
      <c r="A1273" s="173"/>
      <c r="D1273" s="173"/>
      <c r="E1273" s="173"/>
      <c r="F1273" s="173"/>
      <c r="G1273" s="173"/>
      <c r="H1273" s="173"/>
      <c r="I1273" s="173"/>
      <c r="J1273" s="173"/>
      <c r="K1273" s="173"/>
      <c r="L1273" s="173"/>
      <c r="AM1273" s="173"/>
      <c r="AN1273" s="173"/>
      <c r="AZ1273" s="337"/>
      <c r="BL1273" s="349"/>
      <c r="BM1273" s="300"/>
      <c r="BN1273" s="300"/>
      <c r="BO1273" s="300"/>
      <c r="BP1273" s="300"/>
      <c r="BQ1273" s="300"/>
      <c r="BR1273" s="300"/>
      <c r="BS1273" s="300"/>
      <c r="BT1273" s="300"/>
      <c r="BU1273" s="300"/>
      <c r="BV1273" s="300"/>
      <c r="BW1273" s="300"/>
      <c r="BX1273" s="300"/>
      <c r="BY1273" s="300"/>
      <c r="BZ1273" s="300"/>
      <c r="CA1273" s="300"/>
      <c r="CB1273" s="300"/>
    </row>
    <row r="1274" spans="1:80" s="27" customFormat="1" x14ac:dyDescent="0.3">
      <c r="A1274" s="173"/>
      <c r="D1274" s="173"/>
      <c r="E1274" s="173"/>
      <c r="F1274" s="173"/>
      <c r="G1274" s="173"/>
      <c r="H1274" s="173"/>
      <c r="I1274" s="173"/>
      <c r="J1274" s="173"/>
      <c r="K1274" s="173"/>
      <c r="L1274" s="173"/>
      <c r="AM1274" s="173"/>
      <c r="AN1274" s="173"/>
      <c r="AZ1274" s="337"/>
      <c r="BL1274" s="349"/>
      <c r="BM1274" s="300"/>
      <c r="BN1274" s="300"/>
      <c r="BO1274" s="300"/>
      <c r="BP1274" s="300"/>
      <c r="BQ1274" s="300"/>
      <c r="BR1274" s="300"/>
      <c r="BS1274" s="300"/>
      <c r="BT1274" s="300"/>
      <c r="BU1274" s="300"/>
      <c r="BV1274" s="300"/>
      <c r="BW1274" s="300"/>
      <c r="BX1274" s="300"/>
      <c r="BY1274" s="300"/>
      <c r="BZ1274" s="300"/>
      <c r="CA1274" s="300"/>
      <c r="CB1274" s="300"/>
    </row>
    <row r="1275" spans="1:80" s="27" customFormat="1" x14ac:dyDescent="0.3">
      <c r="A1275" s="173"/>
      <c r="D1275" s="173"/>
      <c r="E1275" s="173"/>
      <c r="F1275" s="173"/>
      <c r="G1275" s="173"/>
      <c r="H1275" s="173"/>
      <c r="I1275" s="173"/>
      <c r="J1275" s="173"/>
      <c r="K1275" s="173"/>
      <c r="L1275" s="173"/>
      <c r="AM1275" s="173"/>
      <c r="AN1275" s="173"/>
      <c r="AZ1275" s="337"/>
      <c r="BL1275" s="349"/>
      <c r="BM1275" s="300"/>
      <c r="BN1275" s="300"/>
      <c r="BO1275" s="300"/>
      <c r="BP1275" s="300"/>
      <c r="BQ1275" s="300"/>
      <c r="BR1275" s="300"/>
      <c r="BS1275" s="300"/>
      <c r="BT1275" s="300"/>
      <c r="BU1275" s="300"/>
      <c r="BV1275" s="300"/>
      <c r="BW1275" s="300"/>
      <c r="BX1275" s="300"/>
      <c r="BY1275" s="300"/>
      <c r="BZ1275" s="300"/>
      <c r="CA1275" s="300"/>
      <c r="CB1275" s="300"/>
    </row>
    <row r="1276" spans="1:80" s="27" customFormat="1" x14ac:dyDescent="0.3">
      <c r="A1276" s="173"/>
      <c r="D1276" s="173"/>
      <c r="E1276" s="173"/>
      <c r="F1276" s="173"/>
      <c r="G1276" s="173"/>
      <c r="H1276" s="173"/>
      <c r="I1276" s="173"/>
      <c r="J1276" s="173"/>
      <c r="K1276" s="173"/>
      <c r="L1276" s="173"/>
      <c r="AM1276" s="173"/>
      <c r="AN1276" s="173"/>
      <c r="AZ1276" s="337"/>
      <c r="BL1276" s="349"/>
      <c r="BM1276" s="300"/>
      <c r="BN1276" s="300"/>
      <c r="BO1276" s="300"/>
      <c r="BP1276" s="300"/>
      <c r="BQ1276" s="300"/>
      <c r="BR1276" s="300"/>
      <c r="BS1276" s="300"/>
      <c r="BT1276" s="300"/>
      <c r="BU1276" s="300"/>
      <c r="BV1276" s="300"/>
      <c r="BW1276" s="300"/>
      <c r="BX1276" s="300"/>
      <c r="BY1276" s="300"/>
      <c r="BZ1276" s="300"/>
      <c r="CA1276" s="300"/>
      <c r="CB1276" s="300"/>
    </row>
    <row r="1277" spans="1:80" s="27" customFormat="1" x14ac:dyDescent="0.3">
      <c r="A1277" s="173"/>
      <c r="D1277" s="173"/>
      <c r="E1277" s="173"/>
      <c r="F1277" s="173"/>
      <c r="G1277" s="173"/>
      <c r="H1277" s="173"/>
      <c r="I1277" s="173"/>
      <c r="J1277" s="173"/>
      <c r="K1277" s="173"/>
      <c r="L1277" s="173"/>
      <c r="AM1277" s="173"/>
      <c r="AN1277" s="173"/>
      <c r="AZ1277" s="337"/>
      <c r="BL1277" s="349"/>
      <c r="BM1277" s="300"/>
      <c r="BN1277" s="300"/>
      <c r="BO1277" s="300"/>
      <c r="BP1277" s="300"/>
      <c r="BQ1277" s="300"/>
      <c r="BR1277" s="300"/>
      <c r="BS1277" s="300"/>
      <c r="BT1277" s="300"/>
      <c r="BU1277" s="300"/>
      <c r="BV1277" s="300"/>
      <c r="BW1277" s="300"/>
      <c r="BX1277" s="300"/>
      <c r="BY1277" s="300"/>
      <c r="BZ1277" s="300"/>
      <c r="CA1277" s="300"/>
      <c r="CB1277" s="300"/>
    </row>
    <row r="1278" spans="1:80" s="27" customFormat="1" x14ac:dyDescent="0.3">
      <c r="A1278" s="173"/>
      <c r="D1278" s="173"/>
      <c r="E1278" s="173"/>
      <c r="F1278" s="173"/>
      <c r="G1278" s="173"/>
      <c r="H1278" s="173"/>
      <c r="I1278" s="173"/>
      <c r="J1278" s="173"/>
      <c r="K1278" s="173"/>
      <c r="L1278" s="173"/>
      <c r="AM1278" s="173"/>
      <c r="AN1278" s="173"/>
      <c r="AZ1278" s="337"/>
      <c r="BL1278" s="349"/>
      <c r="BM1278" s="300"/>
      <c r="BN1278" s="300"/>
      <c r="BO1278" s="300"/>
      <c r="BP1278" s="300"/>
      <c r="BQ1278" s="300"/>
      <c r="BR1278" s="300"/>
      <c r="BS1278" s="300"/>
      <c r="BT1278" s="300"/>
      <c r="BU1278" s="300"/>
      <c r="BV1278" s="300"/>
      <c r="BW1278" s="300"/>
      <c r="BX1278" s="300"/>
      <c r="BY1278" s="300"/>
      <c r="BZ1278" s="300"/>
      <c r="CA1278" s="300"/>
      <c r="CB1278" s="300"/>
    </row>
    <row r="1279" spans="1:80" s="27" customFormat="1" x14ac:dyDescent="0.3">
      <c r="A1279" s="173"/>
      <c r="D1279" s="173"/>
      <c r="E1279" s="173"/>
      <c r="F1279" s="173"/>
      <c r="G1279" s="173"/>
      <c r="H1279" s="173"/>
      <c r="I1279" s="173"/>
      <c r="J1279" s="173"/>
      <c r="K1279" s="173"/>
      <c r="L1279" s="173"/>
      <c r="AM1279" s="173"/>
      <c r="AN1279" s="173"/>
      <c r="AZ1279" s="337"/>
      <c r="BL1279" s="349"/>
      <c r="BM1279" s="300"/>
      <c r="BN1279" s="300"/>
      <c r="BO1279" s="300"/>
      <c r="BP1279" s="300"/>
      <c r="BQ1279" s="300"/>
      <c r="BR1279" s="300"/>
      <c r="BS1279" s="300"/>
      <c r="BT1279" s="300"/>
      <c r="BU1279" s="300"/>
      <c r="BV1279" s="300"/>
      <c r="BW1279" s="300"/>
      <c r="BX1279" s="300"/>
      <c r="BY1279" s="300"/>
      <c r="BZ1279" s="300"/>
      <c r="CA1279" s="300"/>
      <c r="CB1279" s="300"/>
    </row>
    <row r="1280" spans="1:80" s="27" customFormat="1" x14ac:dyDescent="0.3">
      <c r="A1280" s="173"/>
      <c r="D1280" s="173"/>
      <c r="E1280" s="173"/>
      <c r="F1280" s="173"/>
      <c r="G1280" s="173"/>
      <c r="H1280" s="173"/>
      <c r="I1280" s="173"/>
      <c r="J1280" s="173"/>
      <c r="K1280" s="173"/>
      <c r="L1280" s="173"/>
      <c r="AM1280" s="173"/>
      <c r="AN1280" s="173"/>
      <c r="AZ1280" s="337"/>
      <c r="BL1280" s="349"/>
      <c r="BM1280" s="300"/>
      <c r="BN1280" s="300"/>
      <c r="BO1280" s="300"/>
      <c r="BP1280" s="300"/>
      <c r="BQ1280" s="300"/>
      <c r="BR1280" s="300"/>
      <c r="BS1280" s="300"/>
      <c r="BT1280" s="300"/>
      <c r="BU1280" s="300"/>
      <c r="BV1280" s="300"/>
      <c r="BW1280" s="300"/>
      <c r="BX1280" s="300"/>
      <c r="BY1280" s="300"/>
      <c r="BZ1280" s="300"/>
      <c r="CA1280" s="300"/>
      <c r="CB1280" s="300"/>
    </row>
    <row r="1281" spans="1:80" s="27" customFormat="1" x14ac:dyDescent="0.3">
      <c r="A1281" s="173"/>
      <c r="D1281" s="173"/>
      <c r="E1281" s="173"/>
      <c r="F1281" s="173"/>
      <c r="G1281" s="173"/>
      <c r="H1281" s="173"/>
      <c r="I1281" s="173"/>
      <c r="J1281" s="173"/>
      <c r="K1281" s="173"/>
      <c r="L1281" s="173"/>
      <c r="AM1281" s="173"/>
      <c r="AN1281" s="173"/>
      <c r="AZ1281" s="337"/>
      <c r="BL1281" s="349"/>
      <c r="BM1281" s="300"/>
      <c r="BN1281" s="300"/>
      <c r="BO1281" s="300"/>
      <c r="BP1281" s="300"/>
      <c r="BQ1281" s="300"/>
      <c r="BR1281" s="300"/>
      <c r="BS1281" s="300"/>
      <c r="BT1281" s="300"/>
      <c r="BU1281" s="300"/>
      <c r="BV1281" s="300"/>
      <c r="BW1281" s="300"/>
      <c r="BX1281" s="300"/>
      <c r="BY1281" s="300"/>
      <c r="BZ1281" s="300"/>
      <c r="CA1281" s="300"/>
      <c r="CB1281" s="300"/>
    </row>
    <row r="1282" spans="1:80" s="27" customFormat="1" x14ac:dyDescent="0.3">
      <c r="A1282" s="173"/>
      <c r="D1282" s="173"/>
      <c r="E1282" s="173"/>
      <c r="F1282" s="173"/>
      <c r="G1282" s="173"/>
      <c r="H1282" s="173"/>
      <c r="I1282" s="173"/>
      <c r="J1282" s="173"/>
      <c r="K1282" s="173"/>
      <c r="L1282" s="173"/>
      <c r="AM1282" s="173"/>
      <c r="AN1282" s="173"/>
      <c r="AZ1282" s="337"/>
      <c r="BL1282" s="349"/>
      <c r="BM1282" s="300"/>
      <c r="BN1282" s="300"/>
      <c r="BO1282" s="300"/>
      <c r="BP1282" s="300"/>
      <c r="BQ1282" s="300"/>
      <c r="BR1282" s="300"/>
      <c r="BS1282" s="300"/>
      <c r="BT1282" s="300"/>
      <c r="BU1282" s="300"/>
      <c r="BV1282" s="300"/>
      <c r="BW1282" s="300"/>
      <c r="BX1282" s="300"/>
      <c r="BY1282" s="300"/>
      <c r="BZ1282" s="300"/>
      <c r="CA1282" s="300"/>
      <c r="CB1282" s="300"/>
    </row>
    <row r="1283" spans="1:80" s="27" customFormat="1" x14ac:dyDescent="0.3">
      <c r="A1283" s="173"/>
      <c r="D1283" s="173"/>
      <c r="E1283" s="173"/>
      <c r="F1283" s="173"/>
      <c r="G1283" s="173"/>
      <c r="H1283" s="173"/>
      <c r="I1283" s="173"/>
      <c r="J1283" s="173"/>
      <c r="K1283" s="173"/>
      <c r="L1283" s="173"/>
      <c r="AM1283" s="173"/>
      <c r="AN1283" s="173"/>
      <c r="AZ1283" s="337"/>
      <c r="BL1283" s="349"/>
      <c r="BM1283" s="300"/>
      <c r="BN1283" s="300"/>
      <c r="BO1283" s="300"/>
      <c r="BP1283" s="300"/>
      <c r="BQ1283" s="300"/>
      <c r="BR1283" s="300"/>
      <c r="BS1283" s="300"/>
      <c r="BT1283" s="300"/>
      <c r="BU1283" s="300"/>
      <c r="BV1283" s="300"/>
      <c r="BW1283" s="300"/>
      <c r="BX1283" s="300"/>
      <c r="BY1283" s="300"/>
      <c r="BZ1283" s="300"/>
      <c r="CA1283" s="300"/>
      <c r="CB1283" s="300"/>
    </row>
    <row r="1284" spans="1:80" s="27" customFormat="1" x14ac:dyDescent="0.3">
      <c r="A1284" s="173"/>
      <c r="D1284" s="173"/>
      <c r="E1284" s="173"/>
      <c r="F1284" s="173"/>
      <c r="G1284" s="173"/>
      <c r="H1284" s="173"/>
      <c r="I1284" s="173"/>
      <c r="J1284" s="173"/>
      <c r="K1284" s="173"/>
      <c r="L1284" s="173"/>
      <c r="AM1284" s="173"/>
      <c r="AN1284" s="173"/>
      <c r="AZ1284" s="337"/>
      <c r="BL1284" s="349"/>
      <c r="BM1284" s="300"/>
      <c r="BN1284" s="300"/>
      <c r="BO1284" s="300"/>
      <c r="BP1284" s="300"/>
      <c r="BQ1284" s="300"/>
      <c r="BR1284" s="300"/>
      <c r="BS1284" s="300"/>
      <c r="BT1284" s="300"/>
      <c r="BU1284" s="300"/>
      <c r="BV1284" s="300"/>
      <c r="BW1284" s="300"/>
      <c r="BX1284" s="300"/>
      <c r="BY1284" s="300"/>
      <c r="BZ1284" s="300"/>
      <c r="CA1284" s="300"/>
      <c r="CB1284" s="300"/>
    </row>
    <row r="1285" spans="1:80" s="27" customFormat="1" x14ac:dyDescent="0.3">
      <c r="A1285" s="173"/>
      <c r="D1285" s="173"/>
      <c r="E1285" s="173"/>
      <c r="F1285" s="173"/>
      <c r="G1285" s="173"/>
      <c r="H1285" s="173"/>
      <c r="I1285" s="173"/>
      <c r="J1285" s="173"/>
      <c r="K1285" s="173"/>
      <c r="L1285" s="173"/>
      <c r="AM1285" s="173"/>
      <c r="AN1285" s="173"/>
      <c r="AZ1285" s="337"/>
      <c r="BL1285" s="349"/>
      <c r="BM1285" s="300"/>
      <c r="BN1285" s="300"/>
      <c r="BO1285" s="300"/>
      <c r="BP1285" s="300"/>
      <c r="BQ1285" s="300"/>
      <c r="BR1285" s="300"/>
      <c r="BS1285" s="300"/>
      <c r="BT1285" s="300"/>
      <c r="BU1285" s="300"/>
      <c r="BV1285" s="300"/>
      <c r="BW1285" s="300"/>
      <c r="BX1285" s="300"/>
      <c r="BY1285" s="300"/>
      <c r="BZ1285" s="300"/>
      <c r="CA1285" s="300"/>
      <c r="CB1285" s="300"/>
    </row>
    <row r="1286" spans="1:80" s="27" customFormat="1" x14ac:dyDescent="0.3">
      <c r="A1286" s="173"/>
      <c r="D1286" s="173"/>
      <c r="E1286" s="173"/>
      <c r="F1286" s="173"/>
      <c r="G1286" s="173"/>
      <c r="H1286" s="173"/>
      <c r="I1286" s="173"/>
      <c r="J1286" s="173"/>
      <c r="K1286" s="173"/>
      <c r="L1286" s="173"/>
      <c r="AM1286" s="173"/>
      <c r="AN1286" s="173"/>
      <c r="AZ1286" s="337"/>
      <c r="BL1286" s="349"/>
      <c r="BM1286" s="300"/>
      <c r="BN1286" s="300"/>
      <c r="BO1286" s="300"/>
      <c r="BP1286" s="300"/>
      <c r="BQ1286" s="300"/>
      <c r="BR1286" s="300"/>
      <c r="BS1286" s="300"/>
      <c r="BT1286" s="300"/>
      <c r="BU1286" s="300"/>
      <c r="BV1286" s="300"/>
      <c r="BW1286" s="300"/>
      <c r="BX1286" s="300"/>
      <c r="BY1286" s="300"/>
      <c r="BZ1286" s="300"/>
      <c r="CA1286" s="300"/>
      <c r="CB1286" s="300"/>
    </row>
    <row r="1287" spans="1:80" s="27" customFormat="1" x14ac:dyDescent="0.3">
      <c r="A1287" s="173"/>
      <c r="D1287" s="173"/>
      <c r="E1287" s="173"/>
      <c r="F1287" s="173"/>
      <c r="G1287" s="173"/>
      <c r="H1287" s="173"/>
      <c r="I1287" s="173"/>
      <c r="J1287" s="173"/>
      <c r="K1287" s="173"/>
      <c r="L1287" s="173"/>
      <c r="AM1287" s="173"/>
      <c r="AN1287" s="173"/>
      <c r="AZ1287" s="337"/>
      <c r="BL1287" s="349"/>
      <c r="BM1287" s="300"/>
      <c r="BN1287" s="300"/>
      <c r="BO1287" s="300"/>
      <c r="BP1287" s="300"/>
      <c r="BQ1287" s="300"/>
      <c r="BR1287" s="300"/>
      <c r="BS1287" s="300"/>
      <c r="BT1287" s="300"/>
      <c r="BU1287" s="300"/>
      <c r="BV1287" s="300"/>
      <c r="BW1287" s="300"/>
      <c r="BX1287" s="300"/>
      <c r="BY1287" s="300"/>
      <c r="BZ1287" s="300"/>
      <c r="CA1287" s="300"/>
      <c r="CB1287" s="300"/>
    </row>
    <row r="1288" spans="1:80" s="27" customFormat="1" x14ac:dyDescent="0.3">
      <c r="A1288" s="173"/>
      <c r="D1288" s="173"/>
      <c r="E1288" s="173"/>
      <c r="F1288" s="173"/>
      <c r="G1288" s="173"/>
      <c r="H1288" s="173"/>
      <c r="I1288" s="173"/>
      <c r="J1288" s="173"/>
      <c r="K1288" s="173"/>
      <c r="L1288" s="173"/>
      <c r="AM1288" s="173"/>
      <c r="AN1288" s="173"/>
      <c r="AZ1288" s="337"/>
      <c r="BL1288" s="349"/>
      <c r="BM1288" s="300"/>
      <c r="BN1288" s="300"/>
      <c r="BO1288" s="300"/>
      <c r="BP1288" s="300"/>
      <c r="BQ1288" s="300"/>
      <c r="BR1288" s="300"/>
      <c r="BS1288" s="300"/>
      <c r="BT1288" s="300"/>
      <c r="BU1288" s="300"/>
      <c r="BV1288" s="300"/>
      <c r="BW1288" s="300"/>
      <c r="BX1288" s="300"/>
      <c r="BY1288" s="300"/>
      <c r="BZ1288" s="300"/>
      <c r="CA1288" s="300"/>
      <c r="CB1288" s="300"/>
    </row>
    <row r="1289" spans="1:80" s="27" customFormat="1" x14ac:dyDescent="0.3">
      <c r="A1289" s="173"/>
      <c r="D1289" s="173"/>
      <c r="E1289" s="173"/>
      <c r="F1289" s="173"/>
      <c r="G1289" s="173"/>
      <c r="H1289" s="173"/>
      <c r="I1289" s="173"/>
      <c r="J1289" s="173"/>
      <c r="K1289" s="173"/>
      <c r="L1289" s="173"/>
      <c r="AM1289" s="173"/>
      <c r="AN1289" s="173"/>
      <c r="AZ1289" s="337"/>
      <c r="BL1289" s="349"/>
      <c r="BM1289" s="300"/>
      <c r="BN1289" s="300"/>
      <c r="BO1289" s="300"/>
      <c r="BP1289" s="300"/>
      <c r="BQ1289" s="300"/>
      <c r="BR1289" s="300"/>
      <c r="BS1289" s="300"/>
      <c r="BT1289" s="300"/>
      <c r="BU1289" s="300"/>
      <c r="BV1289" s="300"/>
      <c r="BW1289" s="300"/>
      <c r="BX1289" s="300"/>
      <c r="BY1289" s="300"/>
      <c r="BZ1289" s="300"/>
      <c r="CA1289" s="300"/>
      <c r="CB1289" s="300"/>
    </row>
    <row r="1290" spans="1:80" s="27" customFormat="1" x14ac:dyDescent="0.3">
      <c r="A1290" s="173"/>
      <c r="D1290" s="173"/>
      <c r="E1290" s="173"/>
      <c r="F1290" s="173"/>
      <c r="G1290" s="173"/>
      <c r="H1290" s="173"/>
      <c r="I1290" s="173"/>
      <c r="J1290" s="173"/>
      <c r="K1290" s="173"/>
      <c r="L1290" s="173"/>
      <c r="AM1290" s="173"/>
      <c r="AN1290" s="173"/>
      <c r="AZ1290" s="337"/>
      <c r="BL1290" s="349"/>
      <c r="BM1290" s="300"/>
      <c r="BN1290" s="300"/>
      <c r="BO1290" s="300"/>
      <c r="BP1290" s="300"/>
      <c r="BQ1290" s="300"/>
      <c r="BR1290" s="300"/>
      <c r="BS1290" s="300"/>
      <c r="BT1290" s="300"/>
      <c r="BU1290" s="300"/>
      <c r="BV1290" s="300"/>
      <c r="BW1290" s="300"/>
      <c r="BX1290" s="300"/>
      <c r="BY1290" s="300"/>
      <c r="BZ1290" s="300"/>
      <c r="CA1290" s="300"/>
      <c r="CB1290" s="300"/>
    </row>
    <row r="1291" spans="1:80" s="27" customFormat="1" x14ac:dyDescent="0.3">
      <c r="A1291" s="173"/>
      <c r="D1291" s="173"/>
      <c r="E1291" s="173"/>
      <c r="F1291" s="173"/>
      <c r="G1291" s="173"/>
      <c r="H1291" s="173"/>
      <c r="I1291" s="173"/>
      <c r="J1291" s="173"/>
      <c r="K1291" s="173"/>
      <c r="L1291" s="173"/>
      <c r="AM1291" s="173"/>
      <c r="AN1291" s="173"/>
      <c r="AZ1291" s="337"/>
      <c r="BL1291" s="349"/>
      <c r="BM1291" s="300"/>
      <c r="BN1291" s="300"/>
      <c r="BO1291" s="300"/>
      <c r="BP1291" s="300"/>
      <c r="BQ1291" s="300"/>
      <c r="BR1291" s="300"/>
      <c r="BS1291" s="300"/>
      <c r="BT1291" s="300"/>
      <c r="BU1291" s="300"/>
      <c r="BV1291" s="300"/>
      <c r="BW1291" s="300"/>
      <c r="BX1291" s="300"/>
      <c r="BY1291" s="300"/>
      <c r="BZ1291" s="300"/>
      <c r="CA1291" s="300"/>
      <c r="CB1291" s="300"/>
    </row>
    <row r="1292" spans="1:80" s="27" customFormat="1" x14ac:dyDescent="0.3">
      <c r="A1292" s="173"/>
      <c r="D1292" s="173"/>
      <c r="E1292" s="173"/>
      <c r="F1292" s="173"/>
      <c r="G1292" s="173"/>
      <c r="H1292" s="173"/>
      <c r="I1292" s="173"/>
      <c r="J1292" s="173"/>
      <c r="K1292" s="173"/>
      <c r="L1292" s="173"/>
      <c r="AM1292" s="173"/>
      <c r="AN1292" s="173"/>
      <c r="AZ1292" s="337"/>
      <c r="BL1292" s="349"/>
      <c r="BM1292" s="300"/>
      <c r="BN1292" s="300"/>
      <c r="BO1292" s="300"/>
      <c r="BP1292" s="300"/>
      <c r="BQ1292" s="300"/>
      <c r="BR1292" s="300"/>
      <c r="BS1292" s="300"/>
      <c r="BT1292" s="300"/>
      <c r="BU1292" s="300"/>
      <c r="BV1292" s="300"/>
      <c r="BW1292" s="300"/>
      <c r="BX1292" s="300"/>
      <c r="BY1292" s="300"/>
      <c r="BZ1292" s="300"/>
      <c r="CA1292" s="300"/>
      <c r="CB1292" s="300"/>
    </row>
    <row r="1293" spans="1:80" s="27" customFormat="1" x14ac:dyDescent="0.3">
      <c r="A1293" s="173"/>
      <c r="D1293" s="173"/>
      <c r="E1293" s="173"/>
      <c r="F1293" s="173"/>
      <c r="G1293" s="173"/>
      <c r="H1293" s="173"/>
      <c r="I1293" s="173"/>
      <c r="J1293" s="173"/>
      <c r="K1293" s="173"/>
      <c r="L1293" s="173"/>
      <c r="AM1293" s="173"/>
      <c r="AN1293" s="173"/>
      <c r="AZ1293" s="337"/>
      <c r="BL1293" s="349"/>
      <c r="BM1293" s="300"/>
      <c r="BN1293" s="300"/>
      <c r="BO1293" s="300"/>
      <c r="BP1293" s="300"/>
      <c r="BQ1293" s="300"/>
      <c r="BR1293" s="300"/>
      <c r="BS1293" s="300"/>
      <c r="BT1293" s="300"/>
      <c r="BU1293" s="300"/>
      <c r="BV1293" s="300"/>
      <c r="BW1293" s="300"/>
      <c r="BX1293" s="300"/>
      <c r="BY1293" s="300"/>
      <c r="BZ1293" s="300"/>
      <c r="CA1293" s="300"/>
      <c r="CB1293" s="300"/>
    </row>
    <row r="1294" spans="1:80" s="27" customFormat="1" x14ac:dyDescent="0.3">
      <c r="A1294" s="173"/>
      <c r="D1294" s="173"/>
      <c r="E1294" s="173"/>
      <c r="F1294" s="173"/>
      <c r="G1294" s="173"/>
      <c r="H1294" s="173"/>
      <c r="I1294" s="173"/>
      <c r="J1294" s="173"/>
      <c r="K1294" s="173"/>
      <c r="L1294" s="173"/>
      <c r="AM1294" s="173"/>
      <c r="AN1294" s="173"/>
      <c r="AZ1294" s="337"/>
      <c r="BL1294" s="349"/>
      <c r="BM1294" s="300"/>
      <c r="BN1294" s="300"/>
      <c r="BO1294" s="300"/>
      <c r="BP1294" s="300"/>
      <c r="BQ1294" s="300"/>
      <c r="BR1294" s="300"/>
      <c r="BS1294" s="300"/>
      <c r="BT1294" s="300"/>
      <c r="BU1294" s="300"/>
      <c r="BV1294" s="300"/>
      <c r="BW1294" s="300"/>
      <c r="BX1294" s="300"/>
      <c r="BY1294" s="300"/>
      <c r="BZ1294" s="300"/>
      <c r="CA1294" s="300"/>
      <c r="CB1294" s="300"/>
    </row>
    <row r="1295" spans="1:80" s="27" customFormat="1" x14ac:dyDescent="0.3">
      <c r="A1295" s="173"/>
      <c r="D1295" s="173"/>
      <c r="E1295" s="173"/>
      <c r="F1295" s="173"/>
      <c r="G1295" s="173"/>
      <c r="H1295" s="173"/>
      <c r="I1295" s="173"/>
      <c r="J1295" s="173"/>
      <c r="K1295" s="173"/>
      <c r="L1295" s="173"/>
      <c r="AM1295" s="173"/>
      <c r="AN1295" s="173"/>
      <c r="AZ1295" s="337"/>
      <c r="BL1295" s="349"/>
      <c r="BM1295" s="300"/>
      <c r="BN1295" s="300"/>
      <c r="BO1295" s="300"/>
      <c r="BP1295" s="300"/>
      <c r="BQ1295" s="300"/>
      <c r="BR1295" s="300"/>
      <c r="BS1295" s="300"/>
      <c r="BT1295" s="300"/>
      <c r="BU1295" s="300"/>
      <c r="BV1295" s="300"/>
      <c r="BW1295" s="300"/>
      <c r="BX1295" s="300"/>
      <c r="BY1295" s="300"/>
      <c r="BZ1295" s="300"/>
      <c r="CA1295" s="300"/>
      <c r="CB1295" s="300"/>
    </row>
    <row r="1296" spans="1:80" s="27" customFormat="1" x14ac:dyDescent="0.3">
      <c r="A1296" s="173"/>
      <c r="D1296" s="173"/>
      <c r="E1296" s="173"/>
      <c r="F1296" s="173"/>
      <c r="G1296" s="173"/>
      <c r="H1296" s="173"/>
      <c r="I1296" s="173"/>
      <c r="J1296" s="173"/>
      <c r="K1296" s="173"/>
      <c r="L1296" s="173"/>
      <c r="AM1296" s="173"/>
      <c r="AN1296" s="173"/>
      <c r="AZ1296" s="337"/>
      <c r="BL1296" s="349"/>
      <c r="BM1296" s="300"/>
      <c r="BN1296" s="300"/>
      <c r="BO1296" s="300"/>
      <c r="BP1296" s="300"/>
      <c r="BQ1296" s="300"/>
      <c r="BR1296" s="300"/>
      <c r="BS1296" s="300"/>
      <c r="BT1296" s="300"/>
      <c r="BU1296" s="300"/>
      <c r="BV1296" s="300"/>
      <c r="BW1296" s="300"/>
      <c r="BX1296" s="300"/>
      <c r="BY1296" s="300"/>
      <c r="BZ1296" s="300"/>
      <c r="CA1296" s="300"/>
      <c r="CB1296" s="300"/>
    </row>
    <row r="1297" spans="1:80" s="27" customFormat="1" x14ac:dyDescent="0.3">
      <c r="A1297" s="173"/>
      <c r="D1297" s="173"/>
      <c r="E1297" s="173"/>
      <c r="F1297" s="173"/>
      <c r="G1297" s="173"/>
      <c r="H1297" s="173"/>
      <c r="I1297" s="173"/>
      <c r="J1297" s="173"/>
      <c r="K1297" s="173"/>
      <c r="L1297" s="173"/>
      <c r="AM1297" s="173"/>
      <c r="AN1297" s="173"/>
      <c r="AZ1297" s="337"/>
      <c r="BL1297" s="349"/>
      <c r="BM1297" s="300"/>
      <c r="BN1297" s="300"/>
      <c r="BO1297" s="300"/>
      <c r="BP1297" s="300"/>
      <c r="BQ1297" s="300"/>
      <c r="BR1297" s="300"/>
      <c r="BS1297" s="300"/>
      <c r="BT1297" s="300"/>
      <c r="BU1297" s="300"/>
      <c r="BV1297" s="300"/>
      <c r="BW1297" s="300"/>
      <c r="BX1297" s="300"/>
      <c r="BY1297" s="300"/>
      <c r="BZ1297" s="300"/>
      <c r="CA1297" s="300"/>
      <c r="CB1297" s="300"/>
    </row>
    <row r="1298" spans="1:80" s="27" customFormat="1" x14ac:dyDescent="0.3">
      <c r="A1298" s="173"/>
      <c r="D1298" s="173"/>
      <c r="E1298" s="173"/>
      <c r="F1298" s="173"/>
      <c r="G1298" s="173"/>
      <c r="H1298" s="173"/>
      <c r="I1298" s="173"/>
      <c r="J1298" s="173"/>
      <c r="K1298" s="173"/>
      <c r="L1298" s="173"/>
      <c r="AM1298" s="173"/>
      <c r="AN1298" s="173"/>
      <c r="AZ1298" s="337"/>
      <c r="BL1298" s="349"/>
      <c r="BM1298" s="300"/>
      <c r="BN1298" s="300"/>
      <c r="BO1298" s="300"/>
      <c r="BP1298" s="300"/>
      <c r="BQ1298" s="300"/>
      <c r="BR1298" s="300"/>
      <c r="BS1298" s="300"/>
      <c r="BT1298" s="300"/>
      <c r="BU1298" s="300"/>
      <c r="BV1298" s="300"/>
      <c r="BW1298" s="300"/>
      <c r="BX1298" s="300"/>
      <c r="BY1298" s="300"/>
      <c r="BZ1298" s="300"/>
      <c r="CA1298" s="300"/>
      <c r="CB1298" s="300"/>
    </row>
    <row r="1299" spans="1:80" s="27" customFormat="1" x14ac:dyDescent="0.3">
      <c r="A1299" s="173"/>
      <c r="D1299" s="173"/>
      <c r="E1299" s="173"/>
      <c r="F1299" s="173"/>
      <c r="G1299" s="173"/>
      <c r="H1299" s="173"/>
      <c r="I1299" s="173"/>
      <c r="J1299" s="173"/>
      <c r="K1299" s="173"/>
      <c r="L1299" s="173"/>
      <c r="AM1299" s="173"/>
      <c r="AN1299" s="173"/>
      <c r="AZ1299" s="337"/>
      <c r="BL1299" s="349"/>
      <c r="BM1299" s="300"/>
      <c r="BN1299" s="300"/>
      <c r="BO1299" s="300"/>
      <c r="BP1299" s="300"/>
      <c r="BQ1299" s="300"/>
      <c r="BR1299" s="300"/>
      <c r="BS1299" s="300"/>
      <c r="BT1299" s="300"/>
      <c r="BU1299" s="300"/>
      <c r="BV1299" s="300"/>
      <c r="BW1299" s="300"/>
      <c r="BX1299" s="300"/>
      <c r="BY1299" s="300"/>
      <c r="BZ1299" s="300"/>
      <c r="CA1299" s="300"/>
      <c r="CB1299" s="300"/>
    </row>
    <row r="1300" spans="1:80" s="27" customFormat="1" x14ac:dyDescent="0.3">
      <c r="A1300" s="173"/>
      <c r="D1300" s="173"/>
      <c r="E1300" s="173"/>
      <c r="F1300" s="173"/>
      <c r="G1300" s="173"/>
      <c r="H1300" s="173"/>
      <c r="I1300" s="173"/>
      <c r="J1300" s="173"/>
      <c r="K1300" s="173"/>
      <c r="L1300" s="173"/>
      <c r="AM1300" s="173"/>
      <c r="AN1300" s="173"/>
      <c r="AZ1300" s="337"/>
      <c r="BL1300" s="349"/>
      <c r="BM1300" s="300"/>
      <c r="BN1300" s="300"/>
      <c r="BO1300" s="300"/>
      <c r="BP1300" s="300"/>
      <c r="BQ1300" s="300"/>
      <c r="BR1300" s="300"/>
      <c r="BS1300" s="300"/>
      <c r="BT1300" s="300"/>
      <c r="BU1300" s="300"/>
      <c r="BV1300" s="300"/>
      <c r="BW1300" s="300"/>
      <c r="BX1300" s="300"/>
      <c r="BY1300" s="300"/>
      <c r="BZ1300" s="300"/>
      <c r="CA1300" s="300"/>
      <c r="CB1300" s="300"/>
    </row>
    <row r="1301" spans="1:80" s="27" customFormat="1" x14ac:dyDescent="0.3">
      <c r="A1301" s="173"/>
      <c r="D1301" s="173"/>
      <c r="E1301" s="173"/>
      <c r="F1301" s="173"/>
      <c r="G1301" s="173"/>
      <c r="H1301" s="173"/>
      <c r="I1301" s="173"/>
      <c r="J1301" s="173"/>
      <c r="K1301" s="173"/>
      <c r="L1301" s="173"/>
      <c r="AM1301" s="173"/>
      <c r="AN1301" s="173"/>
      <c r="AZ1301" s="337"/>
      <c r="BL1301" s="349"/>
      <c r="BM1301" s="300"/>
      <c r="BN1301" s="300"/>
      <c r="BO1301" s="300"/>
      <c r="BP1301" s="300"/>
      <c r="BQ1301" s="300"/>
      <c r="BR1301" s="300"/>
      <c r="BS1301" s="300"/>
      <c r="BT1301" s="300"/>
      <c r="BU1301" s="300"/>
      <c r="BV1301" s="300"/>
      <c r="BW1301" s="300"/>
      <c r="BX1301" s="300"/>
      <c r="BY1301" s="300"/>
      <c r="BZ1301" s="300"/>
      <c r="CA1301" s="300"/>
      <c r="CB1301" s="300"/>
    </row>
    <row r="1302" spans="1:80" s="27" customFormat="1" x14ac:dyDescent="0.3">
      <c r="A1302" s="173"/>
      <c r="D1302" s="173"/>
      <c r="E1302" s="173"/>
      <c r="F1302" s="173"/>
      <c r="G1302" s="173"/>
      <c r="H1302" s="173"/>
      <c r="I1302" s="173"/>
      <c r="J1302" s="173"/>
      <c r="K1302" s="173"/>
      <c r="L1302" s="173"/>
      <c r="AM1302" s="173"/>
      <c r="AN1302" s="173"/>
      <c r="AZ1302" s="337"/>
      <c r="BL1302" s="349"/>
      <c r="BM1302" s="300"/>
      <c r="BN1302" s="300"/>
      <c r="BO1302" s="300"/>
      <c r="BP1302" s="300"/>
      <c r="BQ1302" s="300"/>
      <c r="BR1302" s="300"/>
      <c r="BS1302" s="300"/>
      <c r="BT1302" s="300"/>
      <c r="BU1302" s="300"/>
      <c r="BV1302" s="300"/>
      <c r="BW1302" s="300"/>
      <c r="BX1302" s="300"/>
      <c r="BY1302" s="300"/>
      <c r="BZ1302" s="300"/>
      <c r="CA1302" s="300"/>
      <c r="CB1302" s="300"/>
    </row>
    <row r="1303" spans="1:80" s="27" customFormat="1" x14ac:dyDescent="0.3">
      <c r="A1303" s="173"/>
      <c r="D1303" s="173"/>
      <c r="E1303" s="173"/>
      <c r="F1303" s="173"/>
      <c r="G1303" s="173"/>
      <c r="H1303" s="173"/>
      <c r="I1303" s="173"/>
      <c r="J1303" s="173"/>
      <c r="K1303" s="173"/>
      <c r="L1303" s="173"/>
      <c r="AM1303" s="173"/>
      <c r="AN1303" s="173"/>
      <c r="AZ1303" s="337"/>
      <c r="BL1303" s="349"/>
      <c r="BM1303" s="300"/>
      <c r="BN1303" s="300"/>
      <c r="BO1303" s="300"/>
      <c r="BP1303" s="300"/>
      <c r="BQ1303" s="300"/>
      <c r="BR1303" s="300"/>
      <c r="BS1303" s="300"/>
      <c r="BT1303" s="300"/>
      <c r="BU1303" s="300"/>
      <c r="BV1303" s="300"/>
      <c r="BW1303" s="300"/>
      <c r="BX1303" s="300"/>
      <c r="BY1303" s="300"/>
      <c r="BZ1303" s="300"/>
      <c r="CA1303" s="300"/>
      <c r="CB1303" s="300"/>
    </row>
    <row r="1304" spans="1:80" s="27" customFormat="1" x14ac:dyDescent="0.3">
      <c r="A1304" s="173"/>
      <c r="D1304" s="173"/>
      <c r="E1304" s="173"/>
      <c r="F1304" s="173"/>
      <c r="G1304" s="173"/>
      <c r="H1304" s="173"/>
      <c r="I1304" s="173"/>
      <c r="J1304" s="173"/>
      <c r="K1304" s="173"/>
      <c r="L1304" s="173"/>
      <c r="AM1304" s="173"/>
      <c r="AN1304" s="173"/>
      <c r="AZ1304" s="337"/>
      <c r="BL1304" s="349"/>
      <c r="BM1304" s="300"/>
      <c r="BN1304" s="300"/>
      <c r="BO1304" s="300"/>
      <c r="BP1304" s="300"/>
      <c r="BQ1304" s="300"/>
      <c r="BR1304" s="300"/>
      <c r="BS1304" s="300"/>
      <c r="BT1304" s="300"/>
      <c r="BU1304" s="300"/>
      <c r="BV1304" s="300"/>
      <c r="BW1304" s="300"/>
      <c r="BX1304" s="300"/>
      <c r="BY1304" s="300"/>
      <c r="BZ1304" s="300"/>
      <c r="CA1304" s="300"/>
      <c r="CB1304" s="300"/>
    </row>
    <row r="1305" spans="1:80" s="27" customFormat="1" x14ac:dyDescent="0.3">
      <c r="A1305" s="173"/>
      <c r="D1305" s="173"/>
      <c r="E1305" s="173"/>
      <c r="F1305" s="173"/>
      <c r="G1305" s="173"/>
      <c r="H1305" s="173"/>
      <c r="I1305" s="173"/>
      <c r="J1305" s="173"/>
      <c r="K1305" s="173"/>
      <c r="L1305" s="173"/>
      <c r="AM1305" s="173"/>
      <c r="AN1305" s="173"/>
      <c r="AZ1305" s="337"/>
      <c r="BL1305" s="349"/>
      <c r="BM1305" s="300"/>
      <c r="BN1305" s="300"/>
      <c r="BO1305" s="300"/>
      <c r="BP1305" s="300"/>
      <c r="BQ1305" s="300"/>
      <c r="BR1305" s="300"/>
      <c r="BS1305" s="300"/>
      <c r="BT1305" s="300"/>
      <c r="BU1305" s="300"/>
      <c r="BV1305" s="300"/>
      <c r="BW1305" s="300"/>
      <c r="BX1305" s="300"/>
      <c r="BY1305" s="300"/>
      <c r="BZ1305" s="300"/>
      <c r="CA1305" s="300"/>
      <c r="CB1305" s="300"/>
    </row>
    <row r="1306" spans="1:80" s="27" customFormat="1" x14ac:dyDescent="0.3">
      <c r="A1306" s="173"/>
      <c r="D1306" s="173"/>
      <c r="E1306" s="173"/>
      <c r="F1306" s="173"/>
      <c r="G1306" s="173"/>
      <c r="H1306" s="173"/>
      <c r="I1306" s="173"/>
      <c r="J1306" s="173"/>
      <c r="K1306" s="173"/>
      <c r="L1306" s="173"/>
      <c r="AM1306" s="173"/>
      <c r="AN1306" s="173"/>
      <c r="AZ1306" s="337"/>
      <c r="BL1306" s="349"/>
      <c r="BM1306" s="300"/>
      <c r="BN1306" s="300"/>
      <c r="BO1306" s="300"/>
      <c r="BP1306" s="300"/>
      <c r="BQ1306" s="300"/>
      <c r="BR1306" s="300"/>
      <c r="BS1306" s="300"/>
      <c r="BT1306" s="300"/>
      <c r="BU1306" s="300"/>
      <c r="BV1306" s="300"/>
      <c r="BW1306" s="300"/>
      <c r="BX1306" s="300"/>
      <c r="BY1306" s="300"/>
      <c r="BZ1306" s="300"/>
      <c r="CA1306" s="300"/>
      <c r="CB1306" s="300"/>
    </row>
    <row r="1307" spans="1:80" s="27" customFormat="1" x14ac:dyDescent="0.3">
      <c r="A1307" s="173"/>
      <c r="D1307" s="173"/>
      <c r="E1307" s="173"/>
      <c r="F1307" s="173"/>
      <c r="G1307" s="173"/>
      <c r="H1307" s="173"/>
      <c r="I1307" s="173"/>
      <c r="J1307" s="173"/>
      <c r="K1307" s="173"/>
      <c r="L1307" s="173"/>
      <c r="AM1307" s="173"/>
      <c r="AN1307" s="173"/>
      <c r="AZ1307" s="337"/>
      <c r="BL1307" s="349"/>
      <c r="BM1307" s="300"/>
      <c r="BN1307" s="300"/>
      <c r="BO1307" s="300"/>
      <c r="BP1307" s="300"/>
      <c r="BQ1307" s="300"/>
      <c r="BR1307" s="300"/>
      <c r="BS1307" s="300"/>
      <c r="BT1307" s="300"/>
      <c r="BU1307" s="300"/>
      <c r="BV1307" s="300"/>
      <c r="BW1307" s="300"/>
      <c r="BX1307" s="300"/>
      <c r="BY1307" s="300"/>
      <c r="BZ1307" s="300"/>
      <c r="CA1307" s="300"/>
      <c r="CB1307" s="300"/>
    </row>
    <row r="1308" spans="1:80" s="27" customFormat="1" x14ac:dyDescent="0.3">
      <c r="A1308" s="173"/>
      <c r="D1308" s="173"/>
      <c r="E1308" s="173"/>
      <c r="F1308" s="173"/>
      <c r="G1308" s="173"/>
      <c r="H1308" s="173"/>
      <c r="I1308" s="173"/>
      <c r="J1308" s="173"/>
      <c r="K1308" s="173"/>
      <c r="L1308" s="173"/>
      <c r="AM1308" s="173"/>
      <c r="AN1308" s="173"/>
      <c r="AZ1308" s="337"/>
      <c r="BL1308" s="349"/>
      <c r="BM1308" s="300"/>
      <c r="BN1308" s="300"/>
      <c r="BO1308" s="300"/>
      <c r="BP1308" s="300"/>
      <c r="BQ1308" s="300"/>
      <c r="BR1308" s="300"/>
      <c r="BS1308" s="300"/>
      <c r="BT1308" s="300"/>
      <c r="BU1308" s="300"/>
      <c r="BV1308" s="300"/>
      <c r="BW1308" s="300"/>
      <c r="BX1308" s="300"/>
      <c r="BY1308" s="300"/>
      <c r="BZ1308" s="300"/>
      <c r="CA1308" s="300"/>
      <c r="CB1308" s="300"/>
    </row>
    <row r="1309" spans="1:80" s="27" customFormat="1" x14ac:dyDescent="0.3">
      <c r="A1309" s="173"/>
      <c r="D1309" s="173"/>
      <c r="E1309" s="173"/>
      <c r="F1309" s="173"/>
      <c r="G1309" s="173"/>
      <c r="H1309" s="173"/>
      <c r="I1309" s="173"/>
      <c r="J1309" s="173"/>
      <c r="K1309" s="173"/>
      <c r="L1309" s="173"/>
      <c r="AM1309" s="173"/>
      <c r="AN1309" s="173"/>
      <c r="AZ1309" s="337"/>
      <c r="BL1309" s="349"/>
      <c r="BM1309" s="300"/>
      <c r="BN1309" s="300"/>
      <c r="BO1309" s="300"/>
      <c r="BP1309" s="300"/>
      <c r="BQ1309" s="300"/>
      <c r="BR1309" s="300"/>
      <c r="BS1309" s="300"/>
      <c r="BT1309" s="300"/>
      <c r="BU1309" s="300"/>
      <c r="BV1309" s="300"/>
      <c r="BW1309" s="300"/>
      <c r="BX1309" s="300"/>
      <c r="BY1309" s="300"/>
      <c r="BZ1309" s="300"/>
      <c r="CA1309" s="300"/>
      <c r="CB1309" s="300"/>
    </row>
    <row r="1310" spans="1:80" s="27" customFormat="1" x14ac:dyDescent="0.3">
      <c r="A1310" s="173"/>
      <c r="D1310" s="173"/>
      <c r="E1310" s="173"/>
      <c r="F1310" s="173"/>
      <c r="G1310" s="173"/>
      <c r="H1310" s="173"/>
      <c r="I1310" s="173"/>
      <c r="J1310" s="173"/>
      <c r="K1310" s="173"/>
      <c r="L1310" s="173"/>
      <c r="AM1310" s="173"/>
      <c r="AN1310" s="173"/>
      <c r="AZ1310" s="337"/>
      <c r="BL1310" s="349"/>
      <c r="BM1310" s="300"/>
      <c r="BN1310" s="300"/>
      <c r="BO1310" s="300"/>
      <c r="BP1310" s="300"/>
      <c r="BQ1310" s="300"/>
      <c r="BR1310" s="300"/>
      <c r="BS1310" s="300"/>
      <c r="BT1310" s="300"/>
      <c r="BU1310" s="300"/>
      <c r="BV1310" s="300"/>
      <c r="BW1310" s="300"/>
      <c r="BX1310" s="300"/>
      <c r="BY1310" s="300"/>
      <c r="BZ1310" s="300"/>
      <c r="CA1310" s="300"/>
      <c r="CB1310" s="300"/>
    </row>
    <row r="1311" spans="1:80" s="27" customFormat="1" x14ac:dyDescent="0.3">
      <c r="A1311" s="173"/>
      <c r="D1311" s="173"/>
      <c r="E1311" s="173"/>
      <c r="F1311" s="173"/>
      <c r="G1311" s="173"/>
      <c r="H1311" s="173"/>
      <c r="I1311" s="173"/>
      <c r="J1311" s="173"/>
      <c r="K1311" s="173"/>
      <c r="L1311" s="173"/>
      <c r="AM1311" s="173"/>
      <c r="AN1311" s="173"/>
      <c r="AZ1311" s="337"/>
      <c r="BL1311" s="349"/>
      <c r="BM1311" s="300"/>
      <c r="BN1311" s="300"/>
      <c r="BO1311" s="300"/>
      <c r="BP1311" s="300"/>
      <c r="BQ1311" s="300"/>
      <c r="BR1311" s="300"/>
      <c r="BS1311" s="300"/>
      <c r="BT1311" s="300"/>
      <c r="BU1311" s="300"/>
      <c r="BV1311" s="300"/>
      <c r="BW1311" s="300"/>
      <c r="BX1311" s="300"/>
      <c r="BY1311" s="300"/>
      <c r="BZ1311" s="300"/>
      <c r="CA1311" s="300"/>
      <c r="CB1311" s="300"/>
    </row>
    <row r="1312" spans="1:80" s="27" customFormat="1" x14ac:dyDescent="0.3">
      <c r="A1312" s="173"/>
      <c r="D1312" s="173"/>
      <c r="E1312" s="173"/>
      <c r="F1312" s="173"/>
      <c r="G1312" s="173"/>
      <c r="H1312" s="173"/>
      <c r="I1312" s="173"/>
      <c r="J1312" s="173"/>
      <c r="K1312" s="173"/>
      <c r="L1312" s="173"/>
      <c r="AM1312" s="173"/>
      <c r="AN1312" s="173"/>
      <c r="AZ1312" s="337"/>
      <c r="BL1312" s="349"/>
      <c r="BM1312" s="300"/>
      <c r="BN1312" s="300"/>
      <c r="BO1312" s="300"/>
      <c r="BP1312" s="300"/>
      <c r="BQ1312" s="300"/>
      <c r="BR1312" s="300"/>
      <c r="BS1312" s="300"/>
      <c r="BT1312" s="300"/>
      <c r="BU1312" s="300"/>
      <c r="BV1312" s="300"/>
      <c r="BW1312" s="300"/>
      <c r="BX1312" s="300"/>
      <c r="BY1312" s="300"/>
      <c r="BZ1312" s="300"/>
      <c r="CA1312" s="300"/>
      <c r="CB1312" s="300"/>
    </row>
    <row r="1313" spans="1:80" s="27" customFormat="1" x14ac:dyDescent="0.3">
      <c r="A1313" s="173"/>
      <c r="D1313" s="173"/>
      <c r="E1313" s="173"/>
      <c r="F1313" s="173"/>
      <c r="G1313" s="173"/>
      <c r="H1313" s="173"/>
      <c r="I1313" s="173"/>
      <c r="J1313" s="173"/>
      <c r="K1313" s="173"/>
      <c r="L1313" s="173"/>
      <c r="AM1313" s="173"/>
      <c r="AN1313" s="173"/>
      <c r="AZ1313" s="337"/>
      <c r="BL1313" s="349"/>
      <c r="BM1313" s="300"/>
      <c r="BN1313" s="300"/>
      <c r="BO1313" s="300"/>
      <c r="BP1313" s="300"/>
      <c r="BQ1313" s="300"/>
      <c r="BR1313" s="300"/>
      <c r="BS1313" s="300"/>
      <c r="BT1313" s="300"/>
      <c r="BU1313" s="300"/>
      <c r="BV1313" s="300"/>
      <c r="BW1313" s="300"/>
      <c r="BX1313" s="300"/>
      <c r="BY1313" s="300"/>
      <c r="BZ1313" s="300"/>
      <c r="CA1313" s="300"/>
      <c r="CB1313" s="300"/>
    </row>
    <row r="1314" spans="1:80" s="27" customFormat="1" x14ac:dyDescent="0.3">
      <c r="A1314" s="173"/>
      <c r="D1314" s="173"/>
      <c r="E1314" s="173"/>
      <c r="F1314" s="173"/>
      <c r="G1314" s="173"/>
      <c r="H1314" s="173"/>
      <c r="I1314" s="173"/>
      <c r="J1314" s="173"/>
      <c r="K1314" s="173"/>
      <c r="L1314" s="173"/>
      <c r="AM1314" s="173"/>
      <c r="AN1314" s="173"/>
      <c r="AZ1314" s="337"/>
      <c r="BL1314" s="349"/>
      <c r="BM1314" s="300"/>
      <c r="BN1314" s="300"/>
      <c r="BO1314" s="300"/>
      <c r="BP1314" s="300"/>
      <c r="BQ1314" s="300"/>
      <c r="BR1314" s="300"/>
      <c r="BS1314" s="300"/>
      <c r="BT1314" s="300"/>
      <c r="BU1314" s="300"/>
      <c r="BV1314" s="300"/>
      <c r="BW1314" s="300"/>
      <c r="BX1314" s="300"/>
      <c r="BY1314" s="300"/>
      <c r="BZ1314" s="300"/>
      <c r="CA1314" s="300"/>
      <c r="CB1314" s="300"/>
    </row>
    <row r="1315" spans="1:80" s="27" customFormat="1" x14ac:dyDescent="0.3">
      <c r="A1315" s="173"/>
      <c r="D1315" s="173"/>
      <c r="E1315" s="173"/>
      <c r="F1315" s="173"/>
      <c r="G1315" s="173"/>
      <c r="H1315" s="173"/>
      <c r="I1315" s="173"/>
      <c r="J1315" s="173"/>
      <c r="K1315" s="173"/>
      <c r="L1315" s="173"/>
      <c r="AM1315" s="173"/>
      <c r="AN1315" s="173"/>
      <c r="AZ1315" s="337"/>
      <c r="BL1315" s="349"/>
      <c r="BM1315" s="300"/>
      <c r="BN1315" s="300"/>
      <c r="BO1315" s="300"/>
      <c r="BP1315" s="300"/>
      <c r="BQ1315" s="300"/>
      <c r="BR1315" s="300"/>
      <c r="BS1315" s="300"/>
      <c r="BT1315" s="300"/>
      <c r="BU1315" s="300"/>
      <c r="BV1315" s="300"/>
      <c r="BW1315" s="300"/>
      <c r="BX1315" s="300"/>
      <c r="BY1315" s="300"/>
      <c r="BZ1315" s="300"/>
      <c r="CA1315" s="300"/>
      <c r="CB1315" s="300"/>
    </row>
    <row r="1316" spans="1:80" s="27" customFormat="1" x14ac:dyDescent="0.3">
      <c r="A1316" s="173"/>
      <c r="D1316" s="173"/>
      <c r="E1316" s="173"/>
      <c r="F1316" s="173"/>
      <c r="G1316" s="173"/>
      <c r="H1316" s="173"/>
      <c r="I1316" s="173"/>
      <c r="J1316" s="173"/>
      <c r="K1316" s="173"/>
      <c r="L1316" s="173"/>
      <c r="AM1316" s="173"/>
      <c r="AN1316" s="173"/>
      <c r="AZ1316" s="337"/>
      <c r="BL1316" s="349"/>
      <c r="BM1316" s="300"/>
      <c r="BN1316" s="300"/>
      <c r="BO1316" s="300"/>
      <c r="BP1316" s="300"/>
      <c r="BQ1316" s="300"/>
      <c r="BR1316" s="300"/>
      <c r="BS1316" s="300"/>
      <c r="BT1316" s="300"/>
      <c r="BU1316" s="300"/>
      <c r="BV1316" s="300"/>
      <c r="BW1316" s="300"/>
      <c r="BX1316" s="300"/>
      <c r="BY1316" s="300"/>
      <c r="BZ1316" s="300"/>
      <c r="CA1316" s="300"/>
      <c r="CB1316" s="300"/>
    </row>
    <row r="1317" spans="1:80" s="27" customFormat="1" x14ac:dyDescent="0.3">
      <c r="A1317" s="173"/>
      <c r="D1317" s="173"/>
      <c r="E1317" s="173"/>
      <c r="F1317" s="173"/>
      <c r="G1317" s="173"/>
      <c r="H1317" s="173"/>
      <c r="I1317" s="173"/>
      <c r="J1317" s="173"/>
      <c r="K1317" s="173"/>
      <c r="L1317" s="173"/>
      <c r="AM1317" s="173"/>
      <c r="AN1317" s="173"/>
      <c r="AZ1317" s="337"/>
      <c r="BL1317" s="349"/>
      <c r="BM1317" s="300"/>
      <c r="BN1317" s="300"/>
      <c r="BO1317" s="300"/>
      <c r="BP1317" s="300"/>
      <c r="BQ1317" s="300"/>
      <c r="BR1317" s="300"/>
      <c r="BS1317" s="300"/>
      <c r="BT1317" s="300"/>
      <c r="BU1317" s="300"/>
      <c r="BV1317" s="300"/>
      <c r="BW1317" s="300"/>
      <c r="BX1317" s="300"/>
      <c r="BY1317" s="300"/>
      <c r="BZ1317" s="300"/>
      <c r="CA1317" s="300"/>
      <c r="CB1317" s="300"/>
    </row>
    <row r="1318" spans="1:80" s="27" customFormat="1" x14ac:dyDescent="0.3">
      <c r="A1318" s="173"/>
      <c r="D1318" s="173"/>
      <c r="E1318" s="173"/>
      <c r="F1318" s="173"/>
      <c r="G1318" s="173"/>
      <c r="H1318" s="173"/>
      <c r="I1318" s="173"/>
      <c r="J1318" s="173"/>
      <c r="K1318" s="173"/>
      <c r="L1318" s="173"/>
      <c r="AM1318" s="173"/>
      <c r="AN1318" s="173"/>
      <c r="AZ1318" s="337"/>
      <c r="BL1318" s="349"/>
      <c r="BM1318" s="300"/>
      <c r="BN1318" s="300"/>
      <c r="BO1318" s="300"/>
      <c r="BP1318" s="300"/>
      <c r="BQ1318" s="300"/>
      <c r="BR1318" s="300"/>
      <c r="BS1318" s="300"/>
      <c r="BT1318" s="300"/>
      <c r="BU1318" s="300"/>
      <c r="BV1318" s="300"/>
      <c r="BW1318" s="300"/>
      <c r="BX1318" s="300"/>
      <c r="BY1318" s="300"/>
      <c r="BZ1318" s="300"/>
      <c r="CA1318" s="300"/>
      <c r="CB1318" s="300"/>
    </row>
    <row r="1319" spans="1:80" s="27" customFormat="1" x14ac:dyDescent="0.3">
      <c r="A1319" s="173"/>
      <c r="D1319" s="173"/>
      <c r="E1319" s="173"/>
      <c r="F1319" s="173"/>
      <c r="G1319" s="173"/>
      <c r="H1319" s="173"/>
      <c r="I1319" s="173"/>
      <c r="J1319" s="173"/>
      <c r="K1319" s="173"/>
      <c r="L1319" s="173"/>
      <c r="AM1319" s="173"/>
      <c r="AN1319" s="173"/>
      <c r="AZ1319" s="337"/>
      <c r="BL1319" s="349"/>
      <c r="BM1319" s="300"/>
      <c r="BN1319" s="300"/>
      <c r="BO1319" s="300"/>
      <c r="BP1319" s="300"/>
      <c r="BQ1319" s="300"/>
      <c r="BR1319" s="300"/>
      <c r="BS1319" s="300"/>
      <c r="BT1319" s="300"/>
      <c r="BU1319" s="300"/>
      <c r="BV1319" s="300"/>
      <c r="BW1319" s="300"/>
      <c r="BX1319" s="300"/>
      <c r="BY1319" s="300"/>
      <c r="BZ1319" s="300"/>
      <c r="CA1319" s="300"/>
      <c r="CB1319" s="300"/>
    </row>
    <row r="1320" spans="1:80" s="27" customFormat="1" x14ac:dyDescent="0.3">
      <c r="A1320" s="173"/>
      <c r="D1320" s="173"/>
      <c r="E1320" s="173"/>
      <c r="F1320" s="173"/>
      <c r="G1320" s="173"/>
      <c r="H1320" s="173"/>
      <c r="I1320" s="173"/>
      <c r="J1320" s="173"/>
      <c r="K1320" s="173"/>
      <c r="L1320" s="173"/>
      <c r="AM1320" s="173"/>
      <c r="AN1320" s="173"/>
      <c r="AZ1320" s="337"/>
      <c r="BL1320" s="349"/>
      <c r="BM1320" s="300"/>
      <c r="BN1320" s="300"/>
      <c r="BO1320" s="300"/>
      <c r="BP1320" s="300"/>
      <c r="BQ1320" s="300"/>
      <c r="BR1320" s="300"/>
      <c r="BS1320" s="300"/>
      <c r="BT1320" s="300"/>
      <c r="BU1320" s="300"/>
      <c r="BV1320" s="300"/>
      <c r="BW1320" s="300"/>
      <c r="BX1320" s="300"/>
      <c r="BY1320" s="300"/>
      <c r="BZ1320" s="300"/>
      <c r="CA1320" s="300"/>
      <c r="CB1320" s="300"/>
    </row>
    <row r="1321" spans="1:80" s="27" customFormat="1" x14ac:dyDescent="0.3">
      <c r="A1321" s="173"/>
      <c r="D1321" s="173"/>
      <c r="E1321" s="173"/>
      <c r="F1321" s="173"/>
      <c r="G1321" s="173"/>
      <c r="H1321" s="173"/>
      <c r="I1321" s="173"/>
      <c r="J1321" s="173"/>
      <c r="K1321" s="173"/>
      <c r="L1321" s="173"/>
      <c r="AM1321" s="173"/>
      <c r="AN1321" s="173"/>
      <c r="AZ1321" s="337"/>
      <c r="BL1321" s="349"/>
      <c r="BM1321" s="300"/>
      <c r="BN1321" s="300"/>
      <c r="BO1321" s="300"/>
      <c r="BP1321" s="300"/>
      <c r="BQ1321" s="300"/>
      <c r="BR1321" s="300"/>
      <c r="BS1321" s="300"/>
      <c r="BT1321" s="300"/>
      <c r="BU1321" s="300"/>
      <c r="BV1321" s="300"/>
      <c r="BW1321" s="300"/>
      <c r="BX1321" s="300"/>
      <c r="BY1321" s="300"/>
      <c r="BZ1321" s="300"/>
      <c r="CA1321" s="300"/>
      <c r="CB1321" s="300"/>
    </row>
    <row r="1322" spans="1:80" s="27" customFormat="1" x14ac:dyDescent="0.3">
      <c r="A1322" s="173"/>
      <c r="D1322" s="173"/>
      <c r="E1322" s="173"/>
      <c r="F1322" s="173"/>
      <c r="G1322" s="173"/>
      <c r="H1322" s="173"/>
      <c r="I1322" s="173"/>
      <c r="J1322" s="173"/>
      <c r="K1322" s="173"/>
      <c r="L1322" s="173"/>
      <c r="AM1322" s="173"/>
      <c r="AN1322" s="173"/>
      <c r="AZ1322" s="337"/>
      <c r="BL1322" s="349"/>
      <c r="BM1322" s="300"/>
      <c r="BN1322" s="300"/>
      <c r="BO1322" s="300"/>
      <c r="BP1322" s="300"/>
      <c r="BQ1322" s="300"/>
      <c r="BR1322" s="300"/>
      <c r="BS1322" s="300"/>
      <c r="BT1322" s="300"/>
      <c r="BU1322" s="300"/>
      <c r="BV1322" s="300"/>
      <c r="BW1322" s="300"/>
      <c r="BX1322" s="300"/>
      <c r="BY1322" s="300"/>
      <c r="BZ1322" s="300"/>
      <c r="CA1322" s="300"/>
      <c r="CB1322" s="300"/>
    </row>
    <row r="1323" spans="1:80" s="27" customFormat="1" x14ac:dyDescent="0.3">
      <c r="A1323" s="173"/>
      <c r="D1323" s="173"/>
      <c r="E1323" s="173"/>
      <c r="F1323" s="173"/>
      <c r="G1323" s="173"/>
      <c r="H1323" s="173"/>
      <c r="I1323" s="173"/>
      <c r="J1323" s="173"/>
      <c r="K1323" s="173"/>
      <c r="L1323" s="173"/>
      <c r="AM1323" s="173"/>
      <c r="AN1323" s="173"/>
      <c r="AZ1323" s="337"/>
      <c r="BL1323" s="349"/>
      <c r="BM1323" s="300"/>
      <c r="BN1323" s="300"/>
      <c r="BO1323" s="300"/>
      <c r="BP1323" s="300"/>
      <c r="BQ1323" s="300"/>
      <c r="BR1323" s="300"/>
      <c r="BS1323" s="300"/>
      <c r="BT1323" s="300"/>
      <c r="BU1323" s="300"/>
      <c r="BV1323" s="300"/>
      <c r="BW1323" s="300"/>
      <c r="BX1323" s="300"/>
      <c r="BY1323" s="300"/>
      <c r="BZ1323" s="300"/>
      <c r="CA1323" s="300"/>
      <c r="CB1323" s="300"/>
    </row>
    <row r="1324" spans="1:80" s="27" customFormat="1" x14ac:dyDescent="0.3">
      <c r="A1324" s="173"/>
      <c r="D1324" s="173"/>
      <c r="E1324" s="173"/>
      <c r="F1324" s="173"/>
      <c r="G1324" s="173"/>
      <c r="H1324" s="173"/>
      <c r="I1324" s="173"/>
      <c r="J1324" s="173"/>
      <c r="K1324" s="173"/>
      <c r="L1324" s="173"/>
      <c r="AM1324" s="173"/>
      <c r="AN1324" s="173"/>
      <c r="AZ1324" s="337"/>
      <c r="BL1324" s="349"/>
      <c r="BM1324" s="300"/>
      <c r="BN1324" s="300"/>
      <c r="BO1324" s="300"/>
      <c r="BP1324" s="300"/>
      <c r="BQ1324" s="300"/>
      <c r="BR1324" s="300"/>
      <c r="BS1324" s="300"/>
      <c r="BT1324" s="300"/>
      <c r="BU1324" s="300"/>
      <c r="BV1324" s="300"/>
      <c r="BW1324" s="300"/>
      <c r="BX1324" s="300"/>
      <c r="BY1324" s="300"/>
      <c r="BZ1324" s="300"/>
      <c r="CA1324" s="300"/>
      <c r="CB1324" s="300"/>
    </row>
    <row r="1325" spans="1:80" s="27" customFormat="1" x14ac:dyDescent="0.3">
      <c r="A1325" s="173"/>
      <c r="D1325" s="173"/>
      <c r="E1325" s="173"/>
      <c r="F1325" s="173"/>
      <c r="G1325" s="173"/>
      <c r="H1325" s="173"/>
      <c r="I1325" s="173"/>
      <c r="J1325" s="173"/>
      <c r="K1325" s="173"/>
      <c r="L1325" s="173"/>
      <c r="AM1325" s="173"/>
      <c r="AN1325" s="173"/>
      <c r="AZ1325" s="337"/>
      <c r="BL1325" s="349"/>
      <c r="BM1325" s="300"/>
      <c r="BN1325" s="300"/>
      <c r="BO1325" s="300"/>
      <c r="BP1325" s="300"/>
      <c r="BQ1325" s="300"/>
      <c r="BR1325" s="300"/>
      <c r="BS1325" s="300"/>
      <c r="BT1325" s="300"/>
      <c r="BU1325" s="300"/>
      <c r="BV1325" s="300"/>
      <c r="BW1325" s="300"/>
      <c r="BX1325" s="300"/>
      <c r="BY1325" s="300"/>
      <c r="BZ1325" s="300"/>
      <c r="CA1325" s="300"/>
      <c r="CB1325" s="300"/>
    </row>
    <row r="1326" spans="1:80" s="27" customFormat="1" x14ac:dyDescent="0.3">
      <c r="A1326" s="173"/>
      <c r="D1326" s="173"/>
      <c r="E1326" s="173"/>
      <c r="F1326" s="173"/>
      <c r="G1326" s="173"/>
      <c r="H1326" s="173"/>
      <c r="I1326" s="173"/>
      <c r="J1326" s="173"/>
      <c r="K1326" s="173"/>
      <c r="L1326" s="173"/>
      <c r="AM1326" s="173"/>
      <c r="AN1326" s="173"/>
      <c r="AZ1326" s="337"/>
      <c r="BL1326" s="349"/>
      <c r="BM1326" s="300"/>
      <c r="BN1326" s="300"/>
      <c r="BO1326" s="300"/>
      <c r="BP1326" s="300"/>
      <c r="BQ1326" s="300"/>
      <c r="BR1326" s="300"/>
      <c r="BS1326" s="300"/>
      <c r="BT1326" s="300"/>
      <c r="BU1326" s="300"/>
      <c r="BV1326" s="300"/>
      <c r="BW1326" s="300"/>
      <c r="BX1326" s="300"/>
      <c r="BY1326" s="300"/>
      <c r="BZ1326" s="300"/>
      <c r="CA1326" s="300"/>
      <c r="CB1326" s="300"/>
    </row>
    <row r="1327" spans="1:80" s="27" customFormat="1" x14ac:dyDescent="0.3">
      <c r="A1327" s="173"/>
      <c r="D1327" s="173"/>
      <c r="E1327" s="173"/>
      <c r="F1327" s="173"/>
      <c r="G1327" s="173"/>
      <c r="H1327" s="173"/>
      <c r="I1327" s="173"/>
      <c r="J1327" s="173"/>
      <c r="K1327" s="173"/>
      <c r="L1327" s="173"/>
      <c r="AM1327" s="173"/>
      <c r="AN1327" s="173"/>
      <c r="AZ1327" s="337"/>
      <c r="BL1327" s="349"/>
      <c r="BM1327" s="300"/>
      <c r="BN1327" s="300"/>
      <c r="BO1327" s="300"/>
      <c r="BP1327" s="300"/>
      <c r="BQ1327" s="300"/>
      <c r="BR1327" s="300"/>
      <c r="BS1327" s="300"/>
      <c r="BT1327" s="300"/>
      <c r="BU1327" s="300"/>
      <c r="BV1327" s="300"/>
      <c r="BW1327" s="300"/>
      <c r="BX1327" s="300"/>
      <c r="BY1327" s="300"/>
      <c r="BZ1327" s="300"/>
      <c r="CA1327" s="300"/>
      <c r="CB1327" s="300"/>
    </row>
    <row r="1328" spans="1:80" s="27" customFormat="1" x14ac:dyDescent="0.3">
      <c r="A1328" s="173"/>
      <c r="D1328" s="173"/>
      <c r="E1328" s="173"/>
      <c r="F1328" s="173"/>
      <c r="G1328" s="173"/>
      <c r="H1328" s="173"/>
      <c r="I1328" s="173"/>
      <c r="J1328" s="173"/>
      <c r="K1328" s="173"/>
      <c r="L1328" s="173"/>
      <c r="AM1328" s="173"/>
      <c r="AN1328" s="173"/>
      <c r="AZ1328" s="337"/>
      <c r="BL1328" s="349"/>
      <c r="BM1328" s="300"/>
      <c r="BN1328" s="300"/>
      <c r="BO1328" s="300"/>
      <c r="BP1328" s="300"/>
      <c r="BQ1328" s="300"/>
      <c r="BR1328" s="300"/>
      <c r="BS1328" s="300"/>
      <c r="BT1328" s="300"/>
      <c r="BU1328" s="300"/>
      <c r="BV1328" s="300"/>
      <c r="BW1328" s="300"/>
      <c r="BX1328" s="300"/>
      <c r="BY1328" s="300"/>
      <c r="BZ1328" s="300"/>
      <c r="CA1328" s="300"/>
      <c r="CB1328" s="300"/>
    </row>
    <row r="1329" spans="1:80" s="27" customFormat="1" x14ac:dyDescent="0.3">
      <c r="A1329" s="173"/>
      <c r="D1329" s="173"/>
      <c r="E1329" s="173"/>
      <c r="F1329" s="173"/>
      <c r="G1329" s="173"/>
      <c r="H1329" s="173"/>
      <c r="I1329" s="173"/>
      <c r="J1329" s="173"/>
      <c r="K1329" s="173"/>
      <c r="L1329" s="173"/>
      <c r="AM1329" s="173"/>
      <c r="AN1329" s="173"/>
      <c r="AZ1329" s="337"/>
      <c r="BL1329" s="349"/>
      <c r="BM1329" s="300"/>
      <c r="BN1329" s="300"/>
      <c r="BO1329" s="300"/>
      <c r="BP1329" s="300"/>
      <c r="BQ1329" s="300"/>
      <c r="BR1329" s="300"/>
      <c r="BS1329" s="300"/>
      <c r="BT1329" s="300"/>
      <c r="BU1329" s="300"/>
      <c r="BV1329" s="300"/>
      <c r="BW1329" s="300"/>
      <c r="BX1329" s="300"/>
      <c r="BY1329" s="300"/>
      <c r="BZ1329" s="300"/>
      <c r="CA1329" s="300"/>
      <c r="CB1329" s="300"/>
    </row>
    <row r="1330" spans="1:80" s="27" customFormat="1" x14ac:dyDescent="0.3">
      <c r="A1330" s="173"/>
      <c r="D1330" s="173"/>
      <c r="E1330" s="173"/>
      <c r="F1330" s="173"/>
      <c r="G1330" s="173"/>
      <c r="H1330" s="173"/>
      <c r="I1330" s="173"/>
      <c r="J1330" s="173"/>
      <c r="K1330" s="173"/>
      <c r="L1330" s="173"/>
      <c r="AM1330" s="173"/>
      <c r="AN1330" s="173"/>
      <c r="AZ1330" s="337"/>
      <c r="BL1330" s="349"/>
      <c r="BM1330" s="300"/>
      <c r="BN1330" s="300"/>
      <c r="BO1330" s="300"/>
      <c r="BP1330" s="300"/>
      <c r="BQ1330" s="300"/>
      <c r="BR1330" s="300"/>
      <c r="BS1330" s="300"/>
      <c r="BT1330" s="300"/>
      <c r="BU1330" s="300"/>
      <c r="BV1330" s="300"/>
      <c r="BW1330" s="300"/>
      <c r="BX1330" s="300"/>
      <c r="BY1330" s="300"/>
      <c r="BZ1330" s="300"/>
      <c r="CA1330" s="300"/>
      <c r="CB1330" s="300"/>
    </row>
    <row r="1331" spans="1:80" s="27" customFormat="1" x14ac:dyDescent="0.3">
      <c r="A1331" s="173"/>
      <c r="D1331" s="173"/>
      <c r="E1331" s="173"/>
      <c r="F1331" s="173"/>
      <c r="G1331" s="173"/>
      <c r="H1331" s="173"/>
      <c r="I1331" s="173"/>
      <c r="J1331" s="173"/>
      <c r="K1331" s="173"/>
      <c r="L1331" s="173"/>
      <c r="AM1331" s="173"/>
      <c r="AN1331" s="173"/>
      <c r="AZ1331" s="337"/>
      <c r="BL1331" s="349"/>
      <c r="BM1331" s="300"/>
      <c r="BN1331" s="300"/>
      <c r="BO1331" s="300"/>
      <c r="BP1331" s="300"/>
      <c r="BQ1331" s="300"/>
      <c r="BR1331" s="300"/>
      <c r="BS1331" s="300"/>
      <c r="BT1331" s="300"/>
      <c r="BU1331" s="300"/>
      <c r="BV1331" s="300"/>
      <c r="BW1331" s="300"/>
      <c r="BX1331" s="300"/>
      <c r="BY1331" s="300"/>
      <c r="BZ1331" s="300"/>
      <c r="CA1331" s="300"/>
      <c r="CB1331" s="300"/>
    </row>
    <row r="1332" spans="1:80" s="27" customFormat="1" x14ac:dyDescent="0.3">
      <c r="A1332" s="173"/>
      <c r="D1332" s="173"/>
      <c r="E1332" s="173"/>
      <c r="F1332" s="173"/>
      <c r="G1332" s="173"/>
      <c r="H1332" s="173"/>
      <c r="I1332" s="173"/>
      <c r="J1332" s="173"/>
      <c r="K1332" s="173"/>
      <c r="L1332" s="173"/>
      <c r="AM1332" s="173"/>
      <c r="AN1332" s="173"/>
      <c r="AZ1332" s="337"/>
      <c r="BL1332" s="349"/>
      <c r="BM1332" s="300"/>
      <c r="BN1332" s="300"/>
      <c r="BO1332" s="300"/>
      <c r="BP1332" s="300"/>
      <c r="BQ1332" s="300"/>
      <c r="BR1332" s="300"/>
      <c r="BS1332" s="300"/>
      <c r="BT1332" s="300"/>
      <c r="BU1332" s="300"/>
      <c r="BV1332" s="300"/>
      <c r="BW1332" s="300"/>
      <c r="BX1332" s="300"/>
      <c r="BY1332" s="300"/>
      <c r="BZ1332" s="300"/>
      <c r="CA1332" s="300"/>
      <c r="CB1332" s="300"/>
    </row>
    <row r="1333" spans="1:80" s="27" customFormat="1" x14ac:dyDescent="0.3">
      <c r="A1333" s="173"/>
      <c r="D1333" s="173"/>
      <c r="E1333" s="173"/>
      <c r="F1333" s="173"/>
      <c r="G1333" s="173"/>
      <c r="H1333" s="173"/>
      <c r="I1333" s="173"/>
      <c r="J1333" s="173"/>
      <c r="K1333" s="173"/>
      <c r="L1333" s="173"/>
      <c r="AM1333" s="173"/>
      <c r="AN1333" s="173"/>
      <c r="AZ1333" s="337"/>
      <c r="BL1333" s="349"/>
      <c r="BM1333" s="300"/>
      <c r="BN1333" s="300"/>
      <c r="BO1333" s="300"/>
      <c r="BP1333" s="300"/>
      <c r="BQ1333" s="300"/>
      <c r="BR1333" s="300"/>
      <c r="BS1333" s="300"/>
      <c r="BT1333" s="300"/>
      <c r="BU1333" s="300"/>
      <c r="BV1333" s="300"/>
      <c r="BW1333" s="300"/>
      <c r="BX1333" s="300"/>
      <c r="BY1333" s="300"/>
      <c r="BZ1333" s="300"/>
      <c r="CA1333" s="300"/>
      <c r="CB1333" s="300"/>
    </row>
    <row r="1334" spans="1:80" s="27" customFormat="1" x14ac:dyDescent="0.3">
      <c r="A1334" s="173"/>
      <c r="D1334" s="173"/>
      <c r="E1334" s="173"/>
      <c r="F1334" s="173"/>
      <c r="G1334" s="173"/>
      <c r="H1334" s="173"/>
      <c r="I1334" s="173"/>
      <c r="J1334" s="173"/>
      <c r="K1334" s="173"/>
      <c r="L1334" s="173"/>
      <c r="AM1334" s="173"/>
      <c r="AN1334" s="173"/>
      <c r="AZ1334" s="337"/>
      <c r="BL1334" s="349"/>
      <c r="BM1334" s="300"/>
      <c r="BN1334" s="300"/>
      <c r="BO1334" s="300"/>
      <c r="BP1334" s="300"/>
      <c r="BQ1334" s="300"/>
      <c r="BR1334" s="300"/>
      <c r="BS1334" s="300"/>
      <c r="BT1334" s="300"/>
      <c r="BU1334" s="300"/>
      <c r="BV1334" s="300"/>
      <c r="BW1334" s="300"/>
      <c r="BX1334" s="300"/>
      <c r="BY1334" s="300"/>
      <c r="BZ1334" s="300"/>
      <c r="CA1334" s="300"/>
      <c r="CB1334" s="300"/>
    </row>
    <row r="1335" spans="1:80" s="27" customFormat="1" x14ac:dyDescent="0.3">
      <c r="A1335" s="173"/>
      <c r="D1335" s="173"/>
      <c r="E1335" s="173"/>
      <c r="F1335" s="173"/>
      <c r="G1335" s="173"/>
      <c r="H1335" s="173"/>
      <c r="I1335" s="173"/>
      <c r="J1335" s="173"/>
      <c r="K1335" s="173"/>
      <c r="L1335" s="173"/>
      <c r="AM1335" s="173"/>
      <c r="AN1335" s="173"/>
      <c r="AZ1335" s="337"/>
      <c r="BL1335" s="349"/>
      <c r="BM1335" s="300"/>
      <c r="BN1335" s="300"/>
      <c r="BO1335" s="300"/>
      <c r="BP1335" s="300"/>
      <c r="BQ1335" s="300"/>
      <c r="BR1335" s="300"/>
      <c r="BS1335" s="300"/>
      <c r="BT1335" s="300"/>
      <c r="BU1335" s="300"/>
      <c r="BV1335" s="300"/>
      <c r="BW1335" s="300"/>
      <c r="BX1335" s="300"/>
      <c r="BY1335" s="300"/>
      <c r="BZ1335" s="300"/>
      <c r="CA1335" s="300"/>
      <c r="CB1335" s="300"/>
    </row>
    <row r="1336" spans="1:80" s="27" customFormat="1" x14ac:dyDescent="0.3">
      <c r="A1336" s="173"/>
      <c r="D1336" s="173"/>
      <c r="E1336" s="173"/>
      <c r="F1336" s="173"/>
      <c r="G1336" s="173"/>
      <c r="H1336" s="173"/>
      <c r="I1336" s="173"/>
      <c r="J1336" s="173"/>
      <c r="K1336" s="173"/>
      <c r="L1336" s="173"/>
      <c r="AM1336" s="173"/>
      <c r="AN1336" s="173"/>
      <c r="AZ1336" s="337"/>
      <c r="BL1336" s="349"/>
      <c r="BM1336" s="300"/>
      <c r="BN1336" s="300"/>
      <c r="BO1336" s="300"/>
      <c r="BP1336" s="300"/>
      <c r="BQ1336" s="300"/>
      <c r="BR1336" s="300"/>
      <c r="BS1336" s="300"/>
      <c r="BT1336" s="300"/>
      <c r="BU1336" s="300"/>
      <c r="BV1336" s="300"/>
      <c r="BW1336" s="300"/>
      <c r="BX1336" s="300"/>
      <c r="BY1336" s="300"/>
      <c r="BZ1336" s="300"/>
      <c r="CA1336" s="300"/>
      <c r="CB1336" s="300"/>
    </row>
    <row r="1337" spans="1:80" s="27" customFormat="1" x14ac:dyDescent="0.3">
      <c r="A1337" s="173"/>
      <c r="D1337" s="173"/>
      <c r="E1337" s="173"/>
      <c r="F1337" s="173"/>
      <c r="G1337" s="173"/>
      <c r="H1337" s="173"/>
      <c r="I1337" s="173"/>
      <c r="J1337" s="173"/>
      <c r="K1337" s="173"/>
      <c r="L1337" s="173"/>
      <c r="AM1337" s="173"/>
      <c r="AN1337" s="173"/>
      <c r="AZ1337" s="337"/>
      <c r="BL1337" s="349"/>
      <c r="BM1337" s="300"/>
      <c r="BN1337" s="300"/>
      <c r="BO1337" s="300"/>
      <c r="BP1337" s="300"/>
      <c r="BQ1337" s="300"/>
      <c r="BR1337" s="300"/>
      <c r="BS1337" s="300"/>
      <c r="BT1337" s="300"/>
      <c r="BU1337" s="300"/>
      <c r="BV1337" s="300"/>
      <c r="BW1337" s="300"/>
      <c r="BX1337" s="300"/>
      <c r="BY1337" s="300"/>
      <c r="BZ1337" s="300"/>
      <c r="CA1337" s="300"/>
      <c r="CB1337" s="300"/>
    </row>
    <row r="1338" spans="1:80" s="27" customFormat="1" x14ac:dyDescent="0.3">
      <c r="A1338" s="173"/>
      <c r="D1338" s="173"/>
      <c r="E1338" s="173"/>
      <c r="F1338" s="173"/>
      <c r="G1338" s="173"/>
      <c r="H1338" s="173"/>
      <c r="I1338" s="173"/>
      <c r="J1338" s="173"/>
      <c r="K1338" s="173"/>
      <c r="L1338" s="173"/>
      <c r="AM1338" s="173"/>
      <c r="AN1338" s="173"/>
      <c r="AZ1338" s="337"/>
      <c r="BL1338" s="349"/>
      <c r="BM1338" s="300"/>
      <c r="BN1338" s="300"/>
      <c r="BO1338" s="300"/>
      <c r="BP1338" s="300"/>
      <c r="BQ1338" s="300"/>
      <c r="BR1338" s="300"/>
      <c r="BS1338" s="300"/>
      <c r="BT1338" s="300"/>
      <c r="BU1338" s="300"/>
      <c r="BV1338" s="300"/>
      <c r="BW1338" s="300"/>
      <c r="BX1338" s="300"/>
      <c r="BY1338" s="300"/>
      <c r="BZ1338" s="300"/>
      <c r="CA1338" s="300"/>
      <c r="CB1338" s="300"/>
    </row>
    <row r="1339" spans="1:80" s="27" customFormat="1" x14ac:dyDescent="0.3">
      <c r="A1339" s="173"/>
      <c r="D1339" s="173"/>
      <c r="E1339" s="173"/>
      <c r="F1339" s="173"/>
      <c r="G1339" s="173"/>
      <c r="H1339" s="173"/>
      <c r="I1339" s="173"/>
      <c r="J1339" s="173"/>
      <c r="K1339" s="173"/>
      <c r="L1339" s="173"/>
      <c r="AM1339" s="173"/>
      <c r="AN1339" s="173"/>
      <c r="AZ1339" s="337"/>
      <c r="BL1339" s="349"/>
      <c r="BM1339" s="300"/>
      <c r="BN1339" s="300"/>
      <c r="BO1339" s="300"/>
      <c r="BP1339" s="300"/>
      <c r="BQ1339" s="300"/>
      <c r="BR1339" s="300"/>
      <c r="BS1339" s="300"/>
      <c r="BT1339" s="300"/>
      <c r="BU1339" s="300"/>
      <c r="BV1339" s="300"/>
      <c r="BW1339" s="300"/>
      <c r="BX1339" s="300"/>
      <c r="BY1339" s="300"/>
      <c r="BZ1339" s="300"/>
      <c r="CA1339" s="300"/>
      <c r="CB1339" s="300"/>
    </row>
    <row r="1340" spans="1:80" s="27" customFormat="1" x14ac:dyDescent="0.3">
      <c r="A1340" s="173"/>
      <c r="D1340" s="173"/>
      <c r="E1340" s="173"/>
      <c r="F1340" s="173"/>
      <c r="G1340" s="173"/>
      <c r="H1340" s="173"/>
      <c r="I1340" s="173"/>
      <c r="J1340" s="173"/>
      <c r="K1340" s="173"/>
      <c r="L1340" s="173"/>
      <c r="AM1340" s="173"/>
      <c r="AN1340" s="173"/>
      <c r="AZ1340" s="337"/>
      <c r="BL1340" s="349"/>
      <c r="BM1340" s="300"/>
      <c r="BN1340" s="300"/>
      <c r="BO1340" s="300"/>
      <c r="BP1340" s="300"/>
      <c r="BQ1340" s="300"/>
      <c r="BR1340" s="300"/>
      <c r="BS1340" s="300"/>
      <c r="BT1340" s="300"/>
      <c r="BU1340" s="300"/>
      <c r="BV1340" s="300"/>
      <c r="BW1340" s="300"/>
      <c r="BX1340" s="300"/>
      <c r="BY1340" s="300"/>
      <c r="BZ1340" s="300"/>
      <c r="CA1340" s="300"/>
      <c r="CB1340" s="300"/>
    </row>
    <row r="1341" spans="1:80" s="27" customFormat="1" x14ac:dyDescent="0.3">
      <c r="A1341" s="173"/>
      <c r="D1341" s="173"/>
      <c r="E1341" s="173"/>
      <c r="F1341" s="173"/>
      <c r="G1341" s="173"/>
      <c r="H1341" s="173"/>
      <c r="I1341" s="173"/>
      <c r="J1341" s="173"/>
      <c r="K1341" s="173"/>
      <c r="L1341" s="173"/>
      <c r="AM1341" s="173"/>
      <c r="AN1341" s="173"/>
      <c r="AZ1341" s="337"/>
      <c r="BL1341" s="349"/>
      <c r="BM1341" s="300"/>
      <c r="BN1341" s="300"/>
      <c r="BO1341" s="300"/>
      <c r="BP1341" s="300"/>
      <c r="BQ1341" s="300"/>
      <c r="BR1341" s="300"/>
      <c r="BS1341" s="300"/>
      <c r="BT1341" s="300"/>
      <c r="BU1341" s="300"/>
      <c r="BV1341" s="300"/>
      <c r="BW1341" s="300"/>
      <c r="BX1341" s="300"/>
      <c r="BY1341" s="300"/>
      <c r="BZ1341" s="300"/>
      <c r="CA1341" s="300"/>
      <c r="CB1341" s="300"/>
    </row>
    <row r="1342" spans="1:80" s="27" customFormat="1" x14ac:dyDescent="0.3">
      <c r="A1342" s="173"/>
      <c r="D1342" s="173"/>
      <c r="E1342" s="173"/>
      <c r="F1342" s="173"/>
      <c r="G1342" s="173"/>
      <c r="H1342" s="173"/>
      <c r="I1342" s="173"/>
      <c r="J1342" s="173"/>
      <c r="K1342" s="173"/>
      <c r="L1342" s="173"/>
      <c r="AM1342" s="173"/>
      <c r="AN1342" s="173"/>
      <c r="AZ1342" s="337"/>
      <c r="BL1342" s="349"/>
      <c r="BM1342" s="300"/>
      <c r="BN1342" s="300"/>
      <c r="BO1342" s="300"/>
      <c r="BP1342" s="300"/>
      <c r="BQ1342" s="300"/>
      <c r="BR1342" s="300"/>
      <c r="BS1342" s="300"/>
      <c r="BT1342" s="300"/>
      <c r="BU1342" s="300"/>
      <c r="BV1342" s="300"/>
      <c r="BW1342" s="300"/>
      <c r="BX1342" s="300"/>
      <c r="BY1342" s="300"/>
      <c r="BZ1342" s="300"/>
      <c r="CA1342" s="300"/>
      <c r="CB1342" s="300"/>
    </row>
    <row r="1343" spans="1:80" s="27" customFormat="1" x14ac:dyDescent="0.3">
      <c r="A1343" s="173"/>
      <c r="D1343" s="173"/>
      <c r="E1343" s="173"/>
      <c r="F1343" s="173"/>
      <c r="G1343" s="173"/>
      <c r="H1343" s="173"/>
      <c r="I1343" s="173"/>
      <c r="J1343" s="173"/>
      <c r="K1343" s="173"/>
      <c r="L1343" s="173"/>
      <c r="AM1343" s="173"/>
      <c r="AN1343" s="173"/>
      <c r="AZ1343" s="337"/>
      <c r="BL1343" s="349"/>
      <c r="BM1343" s="300"/>
      <c r="BN1343" s="300"/>
      <c r="BO1343" s="300"/>
      <c r="BP1343" s="300"/>
      <c r="BQ1343" s="300"/>
      <c r="BR1343" s="300"/>
      <c r="BS1343" s="300"/>
      <c r="BT1343" s="300"/>
      <c r="BU1343" s="300"/>
      <c r="BV1343" s="300"/>
      <c r="BW1343" s="300"/>
      <c r="BX1343" s="300"/>
      <c r="BY1343" s="300"/>
      <c r="BZ1343" s="300"/>
      <c r="CA1343" s="300"/>
      <c r="CB1343" s="300"/>
    </row>
    <row r="1344" spans="1:80" s="27" customFormat="1" x14ac:dyDescent="0.3">
      <c r="A1344" s="173"/>
      <c r="D1344" s="173"/>
      <c r="E1344" s="173"/>
      <c r="F1344" s="173"/>
      <c r="G1344" s="173"/>
      <c r="H1344" s="173"/>
      <c r="I1344" s="173"/>
      <c r="J1344" s="173"/>
      <c r="K1344" s="173"/>
      <c r="L1344" s="173"/>
      <c r="AM1344" s="173"/>
      <c r="AN1344" s="173"/>
      <c r="AZ1344" s="337"/>
      <c r="BL1344" s="349"/>
      <c r="BM1344" s="300"/>
      <c r="BN1344" s="300"/>
      <c r="BO1344" s="300"/>
      <c r="BP1344" s="300"/>
      <c r="BQ1344" s="300"/>
      <c r="BR1344" s="300"/>
      <c r="BS1344" s="300"/>
      <c r="BT1344" s="300"/>
      <c r="BU1344" s="300"/>
      <c r="BV1344" s="300"/>
      <c r="BW1344" s="300"/>
      <c r="BX1344" s="300"/>
      <c r="BY1344" s="300"/>
      <c r="BZ1344" s="300"/>
      <c r="CA1344" s="300"/>
      <c r="CB1344" s="300"/>
    </row>
    <row r="1345" spans="1:80" s="27" customFormat="1" x14ac:dyDescent="0.3">
      <c r="A1345" s="173"/>
      <c r="D1345" s="173"/>
      <c r="E1345" s="173"/>
      <c r="F1345" s="173"/>
      <c r="G1345" s="173"/>
      <c r="H1345" s="173"/>
      <c r="I1345" s="173"/>
      <c r="J1345" s="173"/>
      <c r="K1345" s="173"/>
      <c r="L1345" s="173"/>
      <c r="AM1345" s="173"/>
      <c r="AN1345" s="173"/>
      <c r="AZ1345" s="337"/>
      <c r="BL1345" s="349"/>
      <c r="BM1345" s="300"/>
      <c r="BN1345" s="300"/>
      <c r="BO1345" s="300"/>
      <c r="BP1345" s="300"/>
      <c r="BQ1345" s="300"/>
      <c r="BR1345" s="300"/>
      <c r="BS1345" s="300"/>
      <c r="BT1345" s="300"/>
      <c r="BU1345" s="300"/>
      <c r="BV1345" s="300"/>
      <c r="BW1345" s="300"/>
      <c r="BX1345" s="300"/>
      <c r="BY1345" s="300"/>
      <c r="BZ1345" s="300"/>
      <c r="CA1345" s="300"/>
      <c r="CB1345" s="300"/>
    </row>
    <row r="1346" spans="1:80" s="27" customFormat="1" x14ac:dyDescent="0.3">
      <c r="A1346" s="173"/>
      <c r="D1346" s="173"/>
      <c r="E1346" s="173"/>
      <c r="F1346" s="173"/>
      <c r="G1346" s="173"/>
      <c r="H1346" s="173"/>
      <c r="I1346" s="173"/>
      <c r="J1346" s="173"/>
      <c r="K1346" s="173"/>
      <c r="L1346" s="173"/>
      <c r="AM1346" s="173"/>
      <c r="AN1346" s="173"/>
      <c r="AZ1346" s="337"/>
      <c r="BL1346" s="349"/>
      <c r="BM1346" s="300"/>
      <c r="BN1346" s="300"/>
      <c r="BO1346" s="300"/>
      <c r="BP1346" s="300"/>
      <c r="BQ1346" s="300"/>
      <c r="BR1346" s="300"/>
      <c r="BS1346" s="300"/>
      <c r="BT1346" s="300"/>
      <c r="BU1346" s="300"/>
      <c r="BV1346" s="300"/>
      <c r="BW1346" s="300"/>
      <c r="BX1346" s="300"/>
      <c r="BY1346" s="300"/>
      <c r="BZ1346" s="300"/>
      <c r="CA1346" s="300"/>
      <c r="CB1346" s="300"/>
    </row>
    <row r="1347" spans="1:80" s="27" customFormat="1" x14ac:dyDescent="0.3">
      <c r="A1347" s="173"/>
      <c r="D1347" s="173"/>
      <c r="E1347" s="173"/>
      <c r="F1347" s="173"/>
      <c r="G1347" s="173"/>
      <c r="H1347" s="173"/>
      <c r="I1347" s="173"/>
      <c r="J1347" s="173"/>
      <c r="K1347" s="173"/>
      <c r="L1347" s="173"/>
      <c r="AM1347" s="173"/>
      <c r="AN1347" s="173"/>
      <c r="AZ1347" s="337"/>
      <c r="BL1347" s="349"/>
      <c r="BM1347" s="300"/>
      <c r="BN1347" s="300"/>
      <c r="BO1347" s="300"/>
      <c r="BP1347" s="300"/>
      <c r="BQ1347" s="300"/>
      <c r="BR1347" s="300"/>
      <c r="BS1347" s="300"/>
      <c r="BT1347" s="300"/>
      <c r="BU1347" s="300"/>
      <c r="BV1347" s="300"/>
      <c r="BW1347" s="300"/>
      <c r="BX1347" s="300"/>
      <c r="BY1347" s="300"/>
      <c r="BZ1347" s="300"/>
      <c r="CA1347" s="300"/>
      <c r="CB1347" s="300"/>
    </row>
    <row r="1348" spans="1:80" s="27" customFormat="1" x14ac:dyDescent="0.3">
      <c r="A1348" s="173"/>
      <c r="D1348" s="173"/>
      <c r="E1348" s="173"/>
      <c r="F1348" s="173"/>
      <c r="G1348" s="173"/>
      <c r="H1348" s="173"/>
      <c r="I1348" s="173"/>
      <c r="J1348" s="173"/>
      <c r="K1348" s="173"/>
      <c r="L1348" s="173"/>
      <c r="AM1348" s="173"/>
      <c r="AN1348" s="173"/>
      <c r="AZ1348" s="337"/>
      <c r="BL1348" s="349"/>
      <c r="BM1348" s="300"/>
      <c r="BN1348" s="300"/>
      <c r="BO1348" s="300"/>
      <c r="BP1348" s="300"/>
      <c r="BQ1348" s="300"/>
      <c r="BR1348" s="300"/>
      <c r="BS1348" s="300"/>
      <c r="BT1348" s="300"/>
      <c r="BU1348" s="300"/>
      <c r="BV1348" s="300"/>
      <c r="BW1348" s="300"/>
      <c r="BX1348" s="300"/>
      <c r="BY1348" s="300"/>
      <c r="BZ1348" s="300"/>
      <c r="CA1348" s="300"/>
      <c r="CB1348" s="300"/>
    </row>
    <row r="1349" spans="1:80" s="27" customFormat="1" x14ac:dyDescent="0.3">
      <c r="A1349" s="173"/>
      <c r="D1349" s="173"/>
      <c r="E1349" s="173"/>
      <c r="F1349" s="173"/>
      <c r="G1349" s="173"/>
      <c r="H1349" s="173"/>
      <c r="I1349" s="173"/>
      <c r="J1349" s="173"/>
      <c r="K1349" s="173"/>
      <c r="L1349" s="173"/>
      <c r="AM1349" s="173"/>
      <c r="AN1349" s="173"/>
      <c r="AZ1349" s="337"/>
      <c r="BL1349" s="349"/>
      <c r="BM1349" s="300"/>
      <c r="BN1349" s="300"/>
      <c r="BO1349" s="300"/>
      <c r="BP1349" s="300"/>
      <c r="BQ1349" s="300"/>
      <c r="BR1349" s="300"/>
      <c r="BS1349" s="300"/>
      <c r="BT1349" s="300"/>
      <c r="BU1349" s="300"/>
      <c r="BV1349" s="300"/>
      <c r="BW1349" s="300"/>
      <c r="BX1349" s="300"/>
      <c r="BY1349" s="300"/>
      <c r="BZ1349" s="300"/>
      <c r="CA1349" s="300"/>
      <c r="CB1349" s="300"/>
    </row>
    <row r="1350" spans="1:80" s="27" customFormat="1" x14ac:dyDescent="0.3">
      <c r="A1350" s="173"/>
      <c r="D1350" s="173"/>
      <c r="E1350" s="173"/>
      <c r="F1350" s="173"/>
      <c r="G1350" s="173"/>
      <c r="H1350" s="173"/>
      <c r="I1350" s="173"/>
      <c r="J1350" s="173"/>
      <c r="K1350" s="173"/>
      <c r="L1350" s="173"/>
      <c r="AM1350" s="173"/>
      <c r="AN1350" s="173"/>
      <c r="AZ1350" s="337"/>
      <c r="BL1350" s="349"/>
      <c r="BM1350" s="300"/>
      <c r="BN1350" s="300"/>
      <c r="BO1350" s="300"/>
      <c r="BP1350" s="300"/>
      <c r="BQ1350" s="300"/>
      <c r="BR1350" s="300"/>
      <c r="BS1350" s="300"/>
      <c r="BT1350" s="300"/>
      <c r="BU1350" s="300"/>
      <c r="BV1350" s="300"/>
      <c r="BW1350" s="300"/>
      <c r="BX1350" s="300"/>
      <c r="BY1350" s="300"/>
      <c r="BZ1350" s="300"/>
      <c r="CA1350" s="300"/>
      <c r="CB1350" s="300"/>
    </row>
    <row r="1351" spans="1:80" s="27" customFormat="1" x14ac:dyDescent="0.3">
      <c r="A1351" s="173"/>
      <c r="D1351" s="173"/>
      <c r="E1351" s="173"/>
      <c r="F1351" s="173"/>
      <c r="G1351" s="173"/>
      <c r="H1351" s="173"/>
      <c r="I1351" s="173"/>
      <c r="J1351" s="173"/>
      <c r="K1351" s="173"/>
      <c r="L1351" s="173"/>
      <c r="AM1351" s="173"/>
      <c r="AN1351" s="173"/>
      <c r="AZ1351" s="337"/>
      <c r="BL1351" s="349"/>
      <c r="BM1351" s="300"/>
      <c r="BN1351" s="300"/>
      <c r="BO1351" s="300"/>
      <c r="BP1351" s="300"/>
      <c r="BQ1351" s="300"/>
      <c r="BR1351" s="300"/>
      <c r="BS1351" s="300"/>
      <c r="BT1351" s="300"/>
      <c r="BU1351" s="300"/>
      <c r="BV1351" s="300"/>
      <c r="BW1351" s="300"/>
      <c r="BX1351" s="300"/>
      <c r="BY1351" s="300"/>
      <c r="BZ1351" s="300"/>
      <c r="CA1351" s="300"/>
      <c r="CB1351" s="300"/>
    </row>
    <row r="1352" spans="1:80" s="27" customFormat="1" x14ac:dyDescent="0.3">
      <c r="A1352" s="173"/>
      <c r="D1352" s="173"/>
      <c r="E1352" s="173"/>
      <c r="F1352" s="173"/>
      <c r="G1352" s="173"/>
      <c r="H1352" s="173"/>
      <c r="I1352" s="173"/>
      <c r="J1352" s="173"/>
      <c r="K1352" s="173"/>
      <c r="L1352" s="173"/>
      <c r="AM1352" s="173"/>
      <c r="AN1352" s="173"/>
      <c r="AZ1352" s="337"/>
      <c r="BL1352" s="349"/>
      <c r="BM1352" s="300"/>
      <c r="BN1352" s="300"/>
      <c r="BO1352" s="300"/>
      <c r="BP1352" s="300"/>
      <c r="BQ1352" s="300"/>
      <c r="BR1352" s="300"/>
      <c r="BS1352" s="300"/>
      <c r="BT1352" s="300"/>
      <c r="BU1352" s="300"/>
      <c r="BV1352" s="300"/>
      <c r="BW1352" s="300"/>
      <c r="BX1352" s="300"/>
      <c r="BY1352" s="300"/>
      <c r="BZ1352" s="300"/>
      <c r="CA1352" s="300"/>
      <c r="CB1352" s="300"/>
    </row>
    <row r="1353" spans="1:80" s="27" customFormat="1" x14ac:dyDescent="0.3">
      <c r="A1353" s="173"/>
      <c r="D1353" s="173"/>
      <c r="E1353" s="173"/>
      <c r="F1353" s="173"/>
      <c r="G1353" s="173"/>
      <c r="H1353" s="173"/>
      <c r="I1353" s="173"/>
      <c r="J1353" s="173"/>
      <c r="K1353" s="173"/>
      <c r="L1353" s="173"/>
      <c r="AM1353" s="173"/>
      <c r="AN1353" s="173"/>
      <c r="AZ1353" s="337"/>
      <c r="BL1353" s="349"/>
      <c r="BM1353" s="300"/>
      <c r="BN1353" s="300"/>
      <c r="BO1353" s="300"/>
      <c r="BP1353" s="300"/>
      <c r="BQ1353" s="300"/>
      <c r="BR1353" s="300"/>
      <c r="BS1353" s="300"/>
      <c r="BT1353" s="300"/>
      <c r="BU1353" s="300"/>
      <c r="BV1353" s="300"/>
      <c r="BW1353" s="300"/>
      <c r="BX1353" s="300"/>
      <c r="BY1353" s="300"/>
      <c r="BZ1353" s="300"/>
      <c r="CA1353" s="300"/>
      <c r="CB1353" s="300"/>
    </row>
    <row r="1354" spans="1:80" s="27" customFormat="1" x14ac:dyDescent="0.3">
      <c r="A1354" s="173"/>
      <c r="D1354" s="173"/>
      <c r="E1354" s="173"/>
      <c r="F1354" s="173"/>
      <c r="G1354" s="173"/>
      <c r="H1354" s="173"/>
      <c r="I1354" s="173"/>
      <c r="J1354" s="173"/>
      <c r="K1354" s="173"/>
      <c r="L1354" s="173"/>
      <c r="AM1354" s="173"/>
      <c r="AN1354" s="173"/>
      <c r="AZ1354" s="337"/>
      <c r="BL1354" s="349"/>
      <c r="BM1354" s="300"/>
      <c r="BN1354" s="300"/>
      <c r="BO1354" s="300"/>
      <c r="BP1354" s="300"/>
      <c r="BQ1354" s="300"/>
      <c r="BR1354" s="300"/>
      <c r="BS1354" s="300"/>
      <c r="BT1354" s="300"/>
      <c r="BU1354" s="300"/>
      <c r="BV1354" s="300"/>
      <c r="BW1354" s="300"/>
      <c r="BX1354" s="300"/>
      <c r="BY1354" s="300"/>
      <c r="BZ1354" s="300"/>
      <c r="CA1354" s="300"/>
      <c r="CB1354" s="300"/>
    </row>
    <row r="1355" spans="1:80" s="27" customFormat="1" x14ac:dyDescent="0.3">
      <c r="A1355" s="173"/>
      <c r="D1355" s="173"/>
      <c r="E1355" s="173"/>
      <c r="F1355" s="173"/>
      <c r="G1355" s="173"/>
      <c r="H1355" s="173"/>
      <c r="I1355" s="173"/>
      <c r="J1355" s="173"/>
      <c r="K1355" s="173"/>
      <c r="L1355" s="173"/>
      <c r="AM1355" s="173"/>
      <c r="AN1355" s="173"/>
      <c r="AZ1355" s="337"/>
      <c r="BL1355" s="349"/>
      <c r="BM1355" s="300"/>
      <c r="BN1355" s="300"/>
      <c r="BO1355" s="300"/>
      <c r="BP1355" s="300"/>
      <c r="BQ1355" s="300"/>
      <c r="BR1355" s="300"/>
      <c r="BS1355" s="300"/>
      <c r="BT1355" s="300"/>
      <c r="BU1355" s="300"/>
      <c r="BV1355" s="300"/>
      <c r="BW1355" s="300"/>
      <c r="BX1355" s="300"/>
      <c r="BY1355" s="300"/>
      <c r="BZ1355" s="300"/>
      <c r="CA1355" s="300"/>
      <c r="CB1355" s="300"/>
    </row>
    <row r="1356" spans="1:80" s="27" customFormat="1" x14ac:dyDescent="0.3">
      <c r="A1356" s="173"/>
      <c r="D1356" s="173"/>
      <c r="E1356" s="173"/>
      <c r="F1356" s="173"/>
      <c r="G1356" s="173"/>
      <c r="H1356" s="173"/>
      <c r="I1356" s="173"/>
      <c r="J1356" s="173"/>
      <c r="K1356" s="173"/>
      <c r="L1356" s="173"/>
      <c r="AM1356" s="173"/>
      <c r="AN1356" s="173"/>
      <c r="AZ1356" s="337"/>
      <c r="BL1356" s="349"/>
      <c r="BM1356" s="300"/>
      <c r="BN1356" s="300"/>
      <c r="BO1356" s="300"/>
      <c r="BP1356" s="300"/>
      <c r="BQ1356" s="300"/>
      <c r="BR1356" s="300"/>
      <c r="BS1356" s="300"/>
      <c r="BT1356" s="300"/>
      <c r="BU1356" s="300"/>
      <c r="BV1356" s="300"/>
      <c r="BW1356" s="300"/>
      <c r="BX1356" s="300"/>
      <c r="BY1356" s="300"/>
      <c r="BZ1356" s="300"/>
      <c r="CA1356" s="300"/>
      <c r="CB1356" s="300"/>
    </row>
    <row r="1357" spans="1:80" s="27" customFormat="1" x14ac:dyDescent="0.3">
      <c r="A1357" s="173"/>
      <c r="D1357" s="173"/>
      <c r="E1357" s="173"/>
      <c r="F1357" s="173"/>
      <c r="G1357" s="173"/>
      <c r="H1357" s="173"/>
      <c r="I1357" s="173"/>
      <c r="J1357" s="173"/>
      <c r="K1357" s="173"/>
      <c r="L1357" s="173"/>
      <c r="AM1357" s="173"/>
      <c r="AN1357" s="173"/>
      <c r="AZ1357" s="337"/>
      <c r="BL1357" s="349"/>
      <c r="BM1357" s="300"/>
      <c r="BN1357" s="300"/>
      <c r="BO1357" s="300"/>
      <c r="BP1357" s="300"/>
      <c r="BQ1357" s="300"/>
      <c r="BR1357" s="300"/>
      <c r="BS1357" s="300"/>
      <c r="BT1357" s="300"/>
      <c r="BU1357" s="300"/>
      <c r="BV1357" s="300"/>
      <c r="BW1357" s="300"/>
      <c r="BX1357" s="300"/>
      <c r="BY1357" s="300"/>
      <c r="BZ1357" s="300"/>
      <c r="CA1357" s="300"/>
      <c r="CB1357" s="300"/>
    </row>
    <row r="1358" spans="1:80" s="27" customFormat="1" x14ac:dyDescent="0.3">
      <c r="A1358" s="173"/>
      <c r="D1358" s="173"/>
      <c r="E1358" s="173"/>
      <c r="F1358" s="173"/>
      <c r="G1358" s="173"/>
      <c r="H1358" s="173"/>
      <c r="I1358" s="173"/>
      <c r="J1358" s="173"/>
      <c r="K1358" s="173"/>
      <c r="L1358" s="173"/>
      <c r="AM1358" s="173"/>
      <c r="AN1358" s="173"/>
      <c r="AZ1358" s="337"/>
      <c r="BL1358" s="349"/>
      <c r="BM1358" s="300"/>
      <c r="BN1358" s="300"/>
      <c r="BO1358" s="300"/>
      <c r="BP1358" s="300"/>
      <c r="BQ1358" s="300"/>
      <c r="BR1358" s="300"/>
      <c r="BS1358" s="300"/>
      <c r="BT1358" s="300"/>
      <c r="BU1358" s="300"/>
      <c r="BV1358" s="300"/>
      <c r="BW1358" s="300"/>
      <c r="BX1358" s="300"/>
      <c r="BY1358" s="300"/>
      <c r="BZ1358" s="300"/>
      <c r="CA1358" s="300"/>
      <c r="CB1358" s="300"/>
    </row>
    <row r="1359" spans="1:80" s="27" customFormat="1" x14ac:dyDescent="0.3">
      <c r="A1359" s="173"/>
      <c r="D1359" s="173"/>
      <c r="E1359" s="173"/>
      <c r="F1359" s="173"/>
      <c r="G1359" s="173"/>
      <c r="H1359" s="173"/>
      <c r="I1359" s="173"/>
      <c r="J1359" s="173"/>
      <c r="K1359" s="173"/>
      <c r="L1359" s="173"/>
      <c r="AM1359" s="173"/>
      <c r="AN1359" s="173"/>
      <c r="AZ1359" s="337"/>
      <c r="BL1359" s="349"/>
      <c r="BM1359" s="300"/>
      <c r="BN1359" s="300"/>
      <c r="BO1359" s="300"/>
      <c r="BP1359" s="300"/>
      <c r="BQ1359" s="300"/>
      <c r="BR1359" s="300"/>
      <c r="BS1359" s="300"/>
      <c r="BT1359" s="300"/>
      <c r="BU1359" s="300"/>
      <c r="BV1359" s="300"/>
      <c r="BW1359" s="300"/>
      <c r="BX1359" s="300"/>
      <c r="BY1359" s="300"/>
      <c r="BZ1359" s="300"/>
      <c r="CA1359" s="300"/>
      <c r="CB1359" s="300"/>
    </row>
    <row r="1360" spans="1:80" s="27" customFormat="1" x14ac:dyDescent="0.3">
      <c r="A1360" s="173"/>
      <c r="D1360" s="173"/>
      <c r="E1360" s="173"/>
      <c r="F1360" s="173"/>
      <c r="G1360" s="173"/>
      <c r="H1360" s="173"/>
      <c r="I1360" s="173"/>
      <c r="J1360" s="173"/>
      <c r="K1360" s="173"/>
      <c r="L1360" s="173"/>
      <c r="AM1360" s="173"/>
      <c r="AN1360" s="173"/>
      <c r="AZ1360" s="337"/>
      <c r="BL1360" s="349"/>
      <c r="BM1360" s="300"/>
      <c r="BN1360" s="300"/>
      <c r="BO1360" s="300"/>
      <c r="BP1360" s="300"/>
      <c r="BQ1360" s="300"/>
      <c r="BR1360" s="300"/>
      <c r="BS1360" s="300"/>
      <c r="BT1360" s="300"/>
      <c r="BU1360" s="300"/>
      <c r="BV1360" s="300"/>
      <c r="BW1360" s="300"/>
      <c r="BX1360" s="300"/>
      <c r="BY1360" s="300"/>
      <c r="BZ1360" s="300"/>
      <c r="CA1360" s="300"/>
      <c r="CB1360" s="300"/>
    </row>
    <row r="1361" spans="1:80" s="27" customFormat="1" x14ac:dyDescent="0.3">
      <c r="A1361" s="173"/>
      <c r="D1361" s="173"/>
      <c r="E1361" s="173"/>
      <c r="F1361" s="173"/>
      <c r="G1361" s="173"/>
      <c r="H1361" s="173"/>
      <c r="I1361" s="173"/>
      <c r="J1361" s="173"/>
      <c r="K1361" s="173"/>
      <c r="L1361" s="173"/>
      <c r="AM1361" s="173"/>
      <c r="AN1361" s="173"/>
      <c r="AZ1361" s="337"/>
      <c r="BL1361" s="349"/>
      <c r="BM1361" s="300"/>
      <c r="BN1361" s="300"/>
      <c r="BO1361" s="300"/>
      <c r="BP1361" s="300"/>
      <c r="BQ1361" s="300"/>
      <c r="BR1361" s="300"/>
      <c r="BS1361" s="300"/>
      <c r="BT1361" s="300"/>
      <c r="BU1361" s="300"/>
      <c r="BV1361" s="300"/>
      <c r="BW1361" s="300"/>
      <c r="BX1361" s="300"/>
      <c r="BY1361" s="300"/>
      <c r="BZ1361" s="300"/>
      <c r="CA1361" s="300"/>
      <c r="CB1361" s="300"/>
    </row>
    <row r="1362" spans="1:80" s="27" customFormat="1" x14ac:dyDescent="0.3">
      <c r="A1362" s="173"/>
      <c r="D1362" s="173"/>
      <c r="E1362" s="173"/>
      <c r="F1362" s="173"/>
      <c r="G1362" s="173"/>
      <c r="H1362" s="173"/>
      <c r="I1362" s="173"/>
      <c r="J1362" s="173"/>
      <c r="K1362" s="173"/>
      <c r="L1362" s="173"/>
      <c r="AM1362" s="173"/>
      <c r="AN1362" s="173"/>
      <c r="AZ1362" s="337"/>
      <c r="BL1362" s="349"/>
      <c r="BM1362" s="300"/>
      <c r="BN1362" s="300"/>
      <c r="BO1362" s="300"/>
      <c r="BP1362" s="300"/>
      <c r="BQ1362" s="300"/>
      <c r="BR1362" s="300"/>
      <c r="BS1362" s="300"/>
      <c r="BT1362" s="300"/>
      <c r="BU1362" s="300"/>
      <c r="BV1362" s="300"/>
      <c r="BW1362" s="300"/>
      <c r="BX1362" s="300"/>
      <c r="BY1362" s="300"/>
      <c r="BZ1362" s="300"/>
      <c r="CA1362" s="300"/>
      <c r="CB1362" s="300"/>
    </row>
    <row r="1363" spans="1:80" s="27" customFormat="1" x14ac:dyDescent="0.3">
      <c r="A1363" s="173"/>
      <c r="D1363" s="173"/>
      <c r="E1363" s="173"/>
      <c r="F1363" s="173"/>
      <c r="G1363" s="173"/>
      <c r="H1363" s="173"/>
      <c r="I1363" s="173"/>
      <c r="J1363" s="173"/>
      <c r="K1363" s="173"/>
      <c r="L1363" s="173"/>
      <c r="AM1363" s="173"/>
      <c r="AN1363" s="173"/>
      <c r="AZ1363" s="337"/>
      <c r="BL1363" s="349"/>
      <c r="BM1363" s="300"/>
      <c r="BN1363" s="300"/>
      <c r="BO1363" s="300"/>
      <c r="BP1363" s="300"/>
      <c r="BQ1363" s="300"/>
      <c r="BR1363" s="300"/>
      <c r="BS1363" s="300"/>
      <c r="BT1363" s="300"/>
      <c r="BU1363" s="300"/>
      <c r="BV1363" s="300"/>
      <c r="BW1363" s="300"/>
      <c r="BX1363" s="300"/>
      <c r="BY1363" s="300"/>
      <c r="BZ1363" s="300"/>
      <c r="CA1363" s="300"/>
      <c r="CB1363" s="300"/>
    </row>
    <row r="1364" spans="1:80" s="27" customFormat="1" x14ac:dyDescent="0.3">
      <c r="A1364" s="173"/>
      <c r="D1364" s="173"/>
      <c r="E1364" s="173"/>
      <c r="F1364" s="173"/>
      <c r="G1364" s="173"/>
      <c r="H1364" s="173"/>
      <c r="I1364" s="173"/>
      <c r="J1364" s="173"/>
      <c r="K1364" s="173"/>
      <c r="L1364" s="173"/>
      <c r="AM1364" s="173"/>
      <c r="AN1364" s="173"/>
      <c r="AZ1364" s="337"/>
      <c r="BL1364" s="349"/>
      <c r="BM1364" s="300"/>
      <c r="BN1364" s="300"/>
      <c r="BO1364" s="300"/>
      <c r="BP1364" s="300"/>
      <c r="BQ1364" s="300"/>
      <c r="BR1364" s="300"/>
      <c r="BS1364" s="300"/>
      <c r="BT1364" s="300"/>
      <c r="BU1364" s="300"/>
      <c r="BV1364" s="300"/>
      <c r="BW1364" s="300"/>
      <c r="BX1364" s="300"/>
      <c r="BY1364" s="300"/>
      <c r="BZ1364" s="300"/>
      <c r="CA1364" s="300"/>
      <c r="CB1364" s="300"/>
    </row>
    <row r="1365" spans="1:80" s="27" customFormat="1" x14ac:dyDescent="0.3">
      <c r="A1365" s="173"/>
      <c r="D1365" s="173"/>
      <c r="E1365" s="173"/>
      <c r="F1365" s="173"/>
      <c r="G1365" s="173"/>
      <c r="H1365" s="173"/>
      <c r="I1365" s="173"/>
      <c r="J1365" s="173"/>
      <c r="K1365" s="173"/>
      <c r="L1365" s="173"/>
      <c r="AM1365" s="173"/>
      <c r="AN1365" s="173"/>
      <c r="AZ1365" s="337"/>
      <c r="BL1365" s="349"/>
      <c r="BM1365" s="300"/>
      <c r="BN1365" s="300"/>
      <c r="BO1365" s="300"/>
      <c r="BP1365" s="300"/>
      <c r="BQ1365" s="300"/>
      <c r="BR1365" s="300"/>
      <c r="BS1365" s="300"/>
      <c r="BT1365" s="300"/>
      <c r="BU1365" s="300"/>
      <c r="BV1365" s="300"/>
      <c r="BW1365" s="300"/>
      <c r="BX1365" s="300"/>
      <c r="BY1365" s="300"/>
      <c r="BZ1365" s="300"/>
      <c r="CA1365" s="300"/>
      <c r="CB1365" s="300"/>
    </row>
    <row r="1366" spans="1:80" s="27" customFormat="1" x14ac:dyDescent="0.3">
      <c r="A1366" s="173"/>
      <c r="D1366" s="173"/>
      <c r="E1366" s="173"/>
      <c r="F1366" s="173"/>
      <c r="G1366" s="173"/>
      <c r="H1366" s="173"/>
      <c r="I1366" s="173"/>
      <c r="J1366" s="173"/>
      <c r="K1366" s="173"/>
      <c r="L1366" s="173"/>
      <c r="AM1366" s="173"/>
      <c r="AN1366" s="173"/>
      <c r="AZ1366" s="337"/>
      <c r="BL1366" s="349"/>
      <c r="BM1366" s="300"/>
      <c r="BN1366" s="300"/>
      <c r="BO1366" s="300"/>
      <c r="BP1366" s="300"/>
      <c r="BQ1366" s="300"/>
      <c r="BR1366" s="300"/>
      <c r="BS1366" s="300"/>
      <c r="BT1366" s="300"/>
      <c r="BU1366" s="300"/>
      <c r="BV1366" s="300"/>
      <c r="BW1366" s="300"/>
      <c r="BX1366" s="300"/>
      <c r="BY1366" s="300"/>
      <c r="BZ1366" s="300"/>
      <c r="CA1366" s="300"/>
      <c r="CB1366" s="300"/>
    </row>
    <row r="1367" spans="1:80" s="27" customFormat="1" x14ac:dyDescent="0.3">
      <c r="A1367" s="173"/>
      <c r="D1367" s="173"/>
      <c r="E1367" s="173"/>
      <c r="F1367" s="173"/>
      <c r="G1367" s="173"/>
      <c r="H1367" s="173"/>
      <c r="I1367" s="173"/>
      <c r="J1367" s="173"/>
      <c r="K1367" s="173"/>
      <c r="L1367" s="173"/>
      <c r="AM1367" s="173"/>
      <c r="AN1367" s="173"/>
      <c r="AZ1367" s="337"/>
      <c r="BL1367" s="349"/>
      <c r="BM1367" s="300"/>
      <c r="BN1367" s="300"/>
      <c r="BO1367" s="300"/>
      <c r="BP1367" s="300"/>
      <c r="BQ1367" s="300"/>
      <c r="BR1367" s="300"/>
      <c r="BS1367" s="300"/>
      <c r="BT1367" s="300"/>
      <c r="BU1367" s="300"/>
      <c r="BV1367" s="300"/>
      <c r="BW1367" s="300"/>
      <c r="BX1367" s="300"/>
      <c r="BY1367" s="300"/>
      <c r="BZ1367" s="300"/>
      <c r="CA1367" s="300"/>
      <c r="CB1367" s="300"/>
    </row>
    <row r="1368" spans="1:80" s="27" customFormat="1" x14ac:dyDescent="0.3">
      <c r="A1368" s="173"/>
      <c r="D1368" s="173"/>
      <c r="E1368" s="173"/>
      <c r="F1368" s="173"/>
      <c r="G1368" s="173"/>
      <c r="H1368" s="173"/>
      <c r="I1368" s="173"/>
      <c r="J1368" s="173"/>
      <c r="K1368" s="173"/>
      <c r="L1368" s="173"/>
      <c r="AM1368" s="173"/>
      <c r="AN1368" s="173"/>
      <c r="AZ1368" s="337"/>
      <c r="BL1368" s="349"/>
      <c r="BM1368" s="300"/>
      <c r="BN1368" s="300"/>
      <c r="BO1368" s="300"/>
      <c r="BP1368" s="300"/>
      <c r="BQ1368" s="300"/>
      <c r="BR1368" s="300"/>
      <c r="BS1368" s="300"/>
      <c r="BT1368" s="300"/>
      <c r="BU1368" s="300"/>
      <c r="BV1368" s="300"/>
      <c r="BW1368" s="300"/>
      <c r="BX1368" s="300"/>
      <c r="BY1368" s="300"/>
      <c r="BZ1368" s="300"/>
      <c r="CA1368" s="300"/>
      <c r="CB1368" s="300"/>
    </row>
    <row r="1369" spans="1:80" s="27" customFormat="1" x14ac:dyDescent="0.3">
      <c r="A1369" s="173"/>
      <c r="D1369" s="173"/>
      <c r="E1369" s="173"/>
      <c r="F1369" s="173"/>
      <c r="G1369" s="173"/>
      <c r="H1369" s="173"/>
      <c r="I1369" s="173"/>
      <c r="J1369" s="173"/>
      <c r="K1369" s="173"/>
      <c r="L1369" s="173"/>
      <c r="AM1369" s="173"/>
      <c r="AN1369" s="173"/>
      <c r="AZ1369" s="337"/>
      <c r="BL1369" s="349"/>
      <c r="BM1369" s="300"/>
      <c r="BN1369" s="300"/>
      <c r="BO1369" s="300"/>
      <c r="BP1369" s="300"/>
      <c r="BQ1369" s="300"/>
      <c r="BR1369" s="300"/>
      <c r="BS1369" s="300"/>
      <c r="BT1369" s="300"/>
      <c r="BU1369" s="300"/>
      <c r="BV1369" s="300"/>
      <c r="BW1369" s="300"/>
      <c r="BX1369" s="300"/>
      <c r="BY1369" s="300"/>
      <c r="BZ1369" s="300"/>
      <c r="CA1369" s="300"/>
      <c r="CB1369" s="300"/>
    </row>
    <row r="1370" spans="1:80" s="27" customFormat="1" x14ac:dyDescent="0.3">
      <c r="A1370" s="173"/>
      <c r="D1370" s="173"/>
      <c r="E1370" s="173"/>
      <c r="F1370" s="173"/>
      <c r="G1370" s="173"/>
      <c r="H1370" s="173"/>
      <c r="I1370" s="173"/>
      <c r="J1370" s="173"/>
      <c r="K1370" s="173"/>
      <c r="L1370" s="173"/>
      <c r="AM1370" s="173"/>
      <c r="AN1370" s="173"/>
      <c r="AZ1370" s="337"/>
      <c r="BL1370" s="349"/>
      <c r="BM1370" s="300"/>
      <c r="BN1370" s="300"/>
      <c r="BO1370" s="300"/>
      <c r="BP1370" s="300"/>
      <c r="BQ1370" s="300"/>
      <c r="BR1370" s="300"/>
      <c r="BS1370" s="300"/>
      <c r="BT1370" s="300"/>
      <c r="BU1370" s="300"/>
      <c r="BV1370" s="300"/>
      <c r="BW1370" s="300"/>
      <c r="BX1370" s="300"/>
      <c r="BY1370" s="300"/>
      <c r="BZ1370" s="300"/>
      <c r="CA1370" s="300"/>
      <c r="CB1370" s="300"/>
    </row>
    <row r="1371" spans="1:80" s="27" customFormat="1" x14ac:dyDescent="0.3">
      <c r="A1371" s="173"/>
      <c r="D1371" s="173"/>
      <c r="E1371" s="173"/>
      <c r="F1371" s="173"/>
      <c r="G1371" s="173"/>
      <c r="H1371" s="173"/>
      <c r="I1371" s="173"/>
      <c r="J1371" s="173"/>
      <c r="K1371" s="173"/>
      <c r="L1371" s="173"/>
      <c r="AM1371" s="173"/>
      <c r="AN1371" s="173"/>
      <c r="AZ1371" s="337"/>
      <c r="BL1371" s="349"/>
      <c r="BM1371" s="300"/>
      <c r="BN1371" s="300"/>
      <c r="BO1371" s="300"/>
      <c r="BP1371" s="300"/>
      <c r="BQ1371" s="300"/>
      <c r="BR1371" s="300"/>
      <c r="BS1371" s="300"/>
      <c r="BT1371" s="300"/>
      <c r="BU1371" s="300"/>
      <c r="BV1371" s="300"/>
      <c r="BW1371" s="300"/>
      <c r="BX1371" s="300"/>
      <c r="BY1371" s="300"/>
      <c r="BZ1371" s="300"/>
      <c r="CA1371" s="300"/>
      <c r="CB1371" s="300"/>
    </row>
    <row r="1372" spans="1:80" s="27" customFormat="1" x14ac:dyDescent="0.3">
      <c r="A1372" s="173"/>
      <c r="D1372" s="173"/>
      <c r="E1372" s="173"/>
      <c r="F1372" s="173"/>
      <c r="G1372" s="173"/>
      <c r="H1372" s="173"/>
      <c r="I1372" s="173"/>
      <c r="J1372" s="173"/>
      <c r="K1372" s="173"/>
      <c r="L1372" s="173"/>
      <c r="AM1372" s="173"/>
      <c r="AN1372" s="173"/>
      <c r="AZ1372" s="337"/>
      <c r="BL1372" s="349"/>
      <c r="BM1372" s="300"/>
      <c r="BN1372" s="300"/>
      <c r="BO1372" s="300"/>
      <c r="BP1372" s="300"/>
      <c r="BQ1372" s="300"/>
      <c r="BR1372" s="300"/>
      <c r="BS1372" s="300"/>
      <c r="BT1372" s="300"/>
      <c r="BU1372" s="300"/>
      <c r="BV1372" s="300"/>
      <c r="BW1372" s="300"/>
      <c r="BX1372" s="300"/>
      <c r="BY1372" s="300"/>
      <c r="BZ1372" s="300"/>
      <c r="CA1372" s="300"/>
      <c r="CB1372" s="300"/>
    </row>
    <row r="1373" spans="1:80" s="27" customFormat="1" x14ac:dyDescent="0.3">
      <c r="A1373" s="173"/>
      <c r="D1373" s="173"/>
      <c r="E1373" s="173"/>
      <c r="F1373" s="173"/>
      <c r="G1373" s="173"/>
      <c r="H1373" s="173"/>
      <c r="I1373" s="173"/>
      <c r="J1373" s="173"/>
      <c r="K1373" s="173"/>
      <c r="L1373" s="173"/>
      <c r="AM1373" s="173"/>
      <c r="AN1373" s="173"/>
      <c r="AZ1373" s="337"/>
      <c r="BL1373" s="349"/>
      <c r="BM1373" s="300"/>
      <c r="BN1373" s="300"/>
      <c r="BO1373" s="300"/>
      <c r="BP1373" s="300"/>
      <c r="BQ1373" s="300"/>
      <c r="BR1373" s="300"/>
      <c r="BS1373" s="300"/>
      <c r="BT1373" s="300"/>
      <c r="BU1373" s="300"/>
      <c r="BV1373" s="300"/>
      <c r="BW1373" s="300"/>
      <c r="BX1373" s="300"/>
      <c r="BY1373" s="300"/>
      <c r="BZ1373" s="300"/>
      <c r="CA1373" s="300"/>
      <c r="CB1373" s="300"/>
    </row>
    <row r="1374" spans="1:80" s="27" customFormat="1" x14ac:dyDescent="0.3">
      <c r="A1374" s="173"/>
      <c r="D1374" s="173"/>
      <c r="E1374" s="173"/>
      <c r="F1374" s="173"/>
      <c r="G1374" s="173"/>
      <c r="H1374" s="173"/>
      <c r="I1374" s="173"/>
      <c r="J1374" s="173"/>
      <c r="K1374" s="173"/>
      <c r="L1374" s="173"/>
      <c r="AM1374" s="173"/>
      <c r="AN1374" s="173"/>
      <c r="AZ1374" s="337"/>
      <c r="BL1374" s="349"/>
      <c r="BM1374" s="300"/>
      <c r="BN1374" s="300"/>
      <c r="BO1374" s="300"/>
      <c r="BP1374" s="300"/>
      <c r="BQ1374" s="300"/>
      <c r="BR1374" s="300"/>
      <c r="BS1374" s="300"/>
      <c r="BT1374" s="300"/>
      <c r="BU1374" s="300"/>
      <c r="BV1374" s="300"/>
      <c r="BW1374" s="300"/>
      <c r="BX1374" s="300"/>
      <c r="BY1374" s="300"/>
      <c r="BZ1374" s="300"/>
      <c r="CA1374" s="300"/>
      <c r="CB1374" s="300"/>
    </row>
    <row r="1375" spans="1:80" s="27" customFormat="1" x14ac:dyDescent="0.3">
      <c r="A1375" s="173"/>
      <c r="D1375" s="173"/>
      <c r="E1375" s="173"/>
      <c r="F1375" s="173"/>
      <c r="G1375" s="173"/>
      <c r="H1375" s="173"/>
      <c r="I1375" s="173"/>
      <c r="J1375" s="173"/>
      <c r="K1375" s="173"/>
      <c r="L1375" s="173"/>
      <c r="AM1375" s="173"/>
      <c r="AN1375" s="173"/>
      <c r="AZ1375" s="337"/>
      <c r="BL1375" s="349"/>
      <c r="BM1375" s="300"/>
      <c r="BN1375" s="300"/>
      <c r="BO1375" s="300"/>
      <c r="BP1375" s="300"/>
      <c r="BQ1375" s="300"/>
      <c r="BR1375" s="300"/>
      <c r="BS1375" s="300"/>
      <c r="BT1375" s="300"/>
      <c r="BU1375" s="300"/>
      <c r="BV1375" s="300"/>
      <c r="BW1375" s="300"/>
      <c r="BX1375" s="300"/>
      <c r="BY1375" s="300"/>
      <c r="BZ1375" s="300"/>
      <c r="CA1375" s="300"/>
      <c r="CB1375" s="300"/>
    </row>
    <row r="1376" spans="1:80" s="27" customFormat="1" x14ac:dyDescent="0.3">
      <c r="A1376" s="173"/>
      <c r="D1376" s="173"/>
      <c r="E1376" s="173"/>
      <c r="F1376" s="173"/>
      <c r="G1376" s="173"/>
      <c r="H1376" s="173"/>
      <c r="I1376" s="173"/>
      <c r="J1376" s="173"/>
      <c r="K1376" s="173"/>
      <c r="L1376" s="173"/>
      <c r="AM1376" s="173"/>
      <c r="AN1376" s="173"/>
      <c r="AZ1376" s="337"/>
      <c r="BL1376" s="349"/>
      <c r="BM1376" s="300"/>
      <c r="BN1376" s="300"/>
      <c r="BO1376" s="300"/>
      <c r="BP1376" s="300"/>
      <c r="BQ1376" s="300"/>
      <c r="BR1376" s="300"/>
      <c r="BS1376" s="300"/>
      <c r="BT1376" s="300"/>
      <c r="BU1376" s="300"/>
      <c r="BV1376" s="300"/>
      <c r="BW1376" s="300"/>
      <c r="BX1376" s="300"/>
      <c r="BY1376" s="300"/>
      <c r="BZ1376" s="300"/>
      <c r="CA1376" s="300"/>
      <c r="CB1376" s="300"/>
    </row>
    <row r="1377" spans="1:80" s="27" customFormat="1" x14ac:dyDescent="0.3">
      <c r="A1377" s="173"/>
      <c r="D1377" s="173"/>
      <c r="E1377" s="173"/>
      <c r="F1377" s="173"/>
      <c r="G1377" s="173"/>
      <c r="H1377" s="173"/>
      <c r="I1377" s="173"/>
      <c r="J1377" s="173"/>
      <c r="K1377" s="173"/>
      <c r="L1377" s="173"/>
      <c r="AM1377" s="173"/>
      <c r="AN1377" s="173"/>
      <c r="AZ1377" s="337"/>
      <c r="BL1377" s="349"/>
      <c r="BM1377" s="300"/>
      <c r="BN1377" s="300"/>
      <c r="BO1377" s="300"/>
      <c r="BP1377" s="300"/>
      <c r="BQ1377" s="300"/>
      <c r="BR1377" s="300"/>
      <c r="BS1377" s="300"/>
      <c r="BT1377" s="300"/>
      <c r="BU1377" s="300"/>
      <c r="BV1377" s="300"/>
      <c r="BW1377" s="300"/>
      <c r="BX1377" s="300"/>
      <c r="BY1377" s="300"/>
      <c r="BZ1377" s="300"/>
      <c r="CA1377" s="300"/>
      <c r="CB1377" s="300"/>
    </row>
    <row r="1378" spans="1:80" s="27" customFormat="1" x14ac:dyDescent="0.3">
      <c r="A1378" s="173"/>
      <c r="D1378" s="173"/>
      <c r="E1378" s="173"/>
      <c r="F1378" s="173"/>
      <c r="G1378" s="173"/>
      <c r="H1378" s="173"/>
      <c r="I1378" s="173"/>
      <c r="J1378" s="173"/>
      <c r="K1378" s="173"/>
      <c r="L1378" s="173"/>
      <c r="AM1378" s="173"/>
      <c r="AN1378" s="173"/>
      <c r="AZ1378" s="337"/>
      <c r="BL1378" s="349"/>
      <c r="BM1378" s="300"/>
      <c r="BN1378" s="300"/>
      <c r="BO1378" s="300"/>
      <c r="BP1378" s="300"/>
      <c r="BQ1378" s="300"/>
      <c r="BR1378" s="300"/>
      <c r="BS1378" s="300"/>
      <c r="BT1378" s="300"/>
      <c r="BU1378" s="300"/>
      <c r="BV1378" s="300"/>
      <c r="BW1378" s="300"/>
      <c r="BX1378" s="300"/>
      <c r="BY1378" s="300"/>
      <c r="BZ1378" s="300"/>
      <c r="CA1378" s="300"/>
      <c r="CB1378" s="300"/>
    </row>
    <row r="1379" spans="1:80" s="27" customFormat="1" x14ac:dyDescent="0.3">
      <c r="A1379" s="173"/>
      <c r="D1379" s="173"/>
      <c r="E1379" s="173"/>
      <c r="F1379" s="173"/>
      <c r="G1379" s="173"/>
      <c r="H1379" s="173"/>
      <c r="I1379" s="173"/>
      <c r="J1379" s="173"/>
      <c r="K1379" s="173"/>
      <c r="L1379" s="173"/>
      <c r="AM1379" s="173"/>
      <c r="AN1379" s="173"/>
      <c r="AZ1379" s="337"/>
      <c r="BL1379" s="349"/>
      <c r="BM1379" s="300"/>
      <c r="BN1379" s="300"/>
      <c r="BO1379" s="300"/>
      <c r="BP1379" s="300"/>
      <c r="BQ1379" s="300"/>
      <c r="BR1379" s="300"/>
      <c r="BS1379" s="300"/>
      <c r="BT1379" s="300"/>
      <c r="BU1379" s="300"/>
      <c r="BV1379" s="300"/>
      <c r="BW1379" s="300"/>
      <c r="BX1379" s="300"/>
      <c r="BY1379" s="300"/>
      <c r="BZ1379" s="300"/>
      <c r="CA1379" s="300"/>
      <c r="CB1379" s="300"/>
    </row>
    <row r="1380" spans="1:80" s="27" customFormat="1" x14ac:dyDescent="0.3">
      <c r="A1380" s="173"/>
      <c r="D1380" s="173"/>
      <c r="E1380" s="173"/>
      <c r="F1380" s="173"/>
      <c r="G1380" s="173"/>
      <c r="H1380" s="173"/>
      <c r="I1380" s="173"/>
      <c r="J1380" s="173"/>
      <c r="K1380" s="173"/>
      <c r="L1380" s="173"/>
      <c r="AM1380" s="173"/>
      <c r="AN1380" s="173"/>
      <c r="AZ1380" s="337"/>
      <c r="BL1380" s="349"/>
      <c r="BM1380" s="300"/>
      <c r="BN1380" s="300"/>
      <c r="BO1380" s="300"/>
      <c r="BP1380" s="300"/>
      <c r="BQ1380" s="300"/>
      <c r="BR1380" s="300"/>
      <c r="BS1380" s="300"/>
      <c r="BT1380" s="300"/>
      <c r="BU1380" s="300"/>
      <c r="BV1380" s="300"/>
      <c r="BW1380" s="300"/>
      <c r="BX1380" s="300"/>
      <c r="BY1380" s="300"/>
      <c r="BZ1380" s="300"/>
      <c r="CA1380" s="300"/>
      <c r="CB1380" s="300"/>
    </row>
    <row r="1381" spans="1:80" s="27" customFormat="1" x14ac:dyDescent="0.3">
      <c r="A1381" s="173"/>
      <c r="D1381" s="173"/>
      <c r="E1381" s="173"/>
      <c r="F1381" s="173"/>
      <c r="G1381" s="173"/>
      <c r="H1381" s="173"/>
      <c r="I1381" s="173"/>
      <c r="J1381" s="173"/>
      <c r="K1381" s="173"/>
      <c r="L1381" s="173"/>
      <c r="AM1381" s="173"/>
      <c r="AN1381" s="173"/>
      <c r="AZ1381" s="337"/>
      <c r="BL1381" s="349"/>
      <c r="BM1381" s="300"/>
      <c r="BN1381" s="300"/>
      <c r="BO1381" s="300"/>
      <c r="BP1381" s="300"/>
      <c r="BQ1381" s="300"/>
      <c r="BR1381" s="300"/>
      <c r="BS1381" s="300"/>
      <c r="BT1381" s="300"/>
      <c r="BU1381" s="300"/>
      <c r="BV1381" s="300"/>
      <c r="BW1381" s="300"/>
      <c r="BX1381" s="300"/>
      <c r="BY1381" s="300"/>
      <c r="BZ1381" s="300"/>
      <c r="CA1381" s="300"/>
      <c r="CB1381" s="300"/>
    </row>
    <row r="1382" spans="1:80" s="27" customFormat="1" x14ac:dyDescent="0.3">
      <c r="A1382" s="173"/>
      <c r="D1382" s="173"/>
      <c r="E1382" s="173"/>
      <c r="F1382" s="173"/>
      <c r="G1382" s="173"/>
      <c r="H1382" s="173"/>
      <c r="I1382" s="173"/>
      <c r="J1382" s="173"/>
      <c r="K1382" s="173"/>
      <c r="L1382" s="173"/>
      <c r="AM1382" s="173"/>
      <c r="AN1382" s="173"/>
      <c r="AZ1382" s="337"/>
      <c r="BL1382" s="349"/>
      <c r="BM1382" s="300"/>
      <c r="BN1382" s="300"/>
      <c r="BO1382" s="300"/>
      <c r="BP1382" s="300"/>
      <c r="BQ1382" s="300"/>
      <c r="BR1382" s="300"/>
      <c r="BS1382" s="300"/>
      <c r="BT1382" s="300"/>
      <c r="BU1382" s="300"/>
      <c r="BV1382" s="300"/>
      <c r="BW1382" s="300"/>
      <c r="BX1382" s="300"/>
      <c r="BY1382" s="300"/>
      <c r="BZ1382" s="300"/>
      <c r="CA1382" s="300"/>
      <c r="CB1382" s="300"/>
    </row>
    <row r="1383" spans="1:80" s="27" customFormat="1" x14ac:dyDescent="0.3">
      <c r="A1383" s="173"/>
      <c r="D1383" s="173"/>
      <c r="E1383" s="173"/>
      <c r="F1383" s="173"/>
      <c r="G1383" s="173"/>
      <c r="H1383" s="173"/>
      <c r="I1383" s="173"/>
      <c r="J1383" s="173"/>
      <c r="K1383" s="173"/>
      <c r="L1383" s="173"/>
      <c r="AM1383" s="173"/>
      <c r="AN1383" s="173"/>
      <c r="AZ1383" s="337"/>
      <c r="BL1383" s="349"/>
      <c r="BM1383" s="300"/>
      <c r="BN1383" s="300"/>
      <c r="BO1383" s="300"/>
      <c r="BP1383" s="300"/>
      <c r="BQ1383" s="300"/>
      <c r="BR1383" s="300"/>
      <c r="BS1383" s="300"/>
      <c r="BT1383" s="300"/>
      <c r="BU1383" s="300"/>
      <c r="BV1383" s="300"/>
      <c r="BW1383" s="300"/>
      <c r="BX1383" s="300"/>
      <c r="BY1383" s="300"/>
      <c r="BZ1383" s="300"/>
      <c r="CA1383" s="300"/>
      <c r="CB1383" s="300"/>
    </row>
    <row r="1384" spans="1:80" s="27" customFormat="1" x14ac:dyDescent="0.3">
      <c r="A1384" s="173"/>
      <c r="D1384" s="173"/>
      <c r="E1384" s="173"/>
      <c r="F1384" s="173"/>
      <c r="G1384" s="173"/>
      <c r="H1384" s="173"/>
      <c r="I1384" s="173"/>
      <c r="J1384" s="173"/>
      <c r="K1384" s="173"/>
      <c r="L1384" s="173"/>
      <c r="AM1384" s="173"/>
      <c r="AN1384" s="173"/>
      <c r="AZ1384" s="337"/>
      <c r="BL1384" s="349"/>
      <c r="BM1384" s="300"/>
      <c r="BN1384" s="300"/>
      <c r="BO1384" s="300"/>
      <c r="BP1384" s="300"/>
      <c r="BQ1384" s="300"/>
      <c r="BR1384" s="300"/>
      <c r="BS1384" s="300"/>
      <c r="BT1384" s="300"/>
      <c r="BU1384" s="300"/>
      <c r="BV1384" s="300"/>
      <c r="BW1384" s="300"/>
      <c r="BX1384" s="300"/>
      <c r="BY1384" s="300"/>
      <c r="BZ1384" s="300"/>
      <c r="CA1384" s="300"/>
      <c r="CB1384" s="300"/>
    </row>
    <row r="1385" spans="1:80" s="27" customFormat="1" x14ac:dyDescent="0.3">
      <c r="A1385" s="173"/>
      <c r="D1385" s="173"/>
      <c r="E1385" s="173"/>
      <c r="F1385" s="173"/>
      <c r="G1385" s="173"/>
      <c r="H1385" s="173"/>
      <c r="I1385" s="173"/>
      <c r="J1385" s="173"/>
      <c r="K1385" s="173"/>
      <c r="L1385" s="173"/>
      <c r="AM1385" s="173"/>
      <c r="AN1385" s="173"/>
      <c r="AZ1385" s="337"/>
      <c r="BL1385" s="349"/>
      <c r="BM1385" s="300"/>
      <c r="BN1385" s="300"/>
      <c r="BO1385" s="300"/>
      <c r="BP1385" s="300"/>
      <c r="BQ1385" s="300"/>
      <c r="BR1385" s="300"/>
      <c r="BS1385" s="300"/>
      <c r="BT1385" s="300"/>
      <c r="BU1385" s="300"/>
      <c r="BV1385" s="300"/>
      <c r="BW1385" s="300"/>
      <c r="BX1385" s="300"/>
      <c r="BY1385" s="300"/>
      <c r="BZ1385" s="300"/>
      <c r="CA1385" s="300"/>
      <c r="CB1385" s="300"/>
    </row>
    <row r="1386" spans="1:80" s="27" customFormat="1" x14ac:dyDescent="0.3">
      <c r="A1386" s="173"/>
      <c r="D1386" s="173"/>
      <c r="E1386" s="173"/>
      <c r="F1386" s="173"/>
      <c r="G1386" s="173"/>
      <c r="H1386" s="173"/>
      <c r="I1386" s="173"/>
      <c r="J1386" s="173"/>
      <c r="K1386" s="173"/>
      <c r="L1386" s="173"/>
      <c r="AM1386" s="173"/>
      <c r="AN1386" s="173"/>
      <c r="AZ1386" s="337"/>
      <c r="BL1386" s="349"/>
      <c r="BM1386" s="300"/>
      <c r="BN1386" s="300"/>
      <c r="BO1386" s="300"/>
      <c r="BP1386" s="300"/>
      <c r="BQ1386" s="300"/>
      <c r="BR1386" s="300"/>
      <c r="BS1386" s="300"/>
      <c r="BT1386" s="300"/>
      <c r="BU1386" s="300"/>
      <c r="BV1386" s="300"/>
      <c r="BW1386" s="300"/>
      <c r="BX1386" s="300"/>
      <c r="BY1386" s="300"/>
      <c r="BZ1386" s="300"/>
      <c r="CA1386" s="300"/>
      <c r="CB1386" s="300"/>
    </row>
    <row r="1387" spans="1:80" s="27" customFormat="1" x14ac:dyDescent="0.3">
      <c r="A1387" s="173"/>
      <c r="D1387" s="173"/>
      <c r="E1387" s="173"/>
      <c r="F1387" s="173"/>
      <c r="G1387" s="173"/>
      <c r="H1387" s="173"/>
      <c r="I1387" s="173"/>
      <c r="J1387" s="173"/>
      <c r="K1387" s="173"/>
      <c r="L1387" s="173"/>
      <c r="AM1387" s="173"/>
      <c r="AN1387" s="173"/>
      <c r="AZ1387" s="337"/>
      <c r="BL1387" s="349"/>
      <c r="BM1387" s="300"/>
      <c r="BN1387" s="300"/>
      <c r="BO1387" s="300"/>
      <c r="BP1387" s="300"/>
      <c r="BQ1387" s="300"/>
      <c r="BR1387" s="300"/>
      <c r="BS1387" s="300"/>
      <c r="BT1387" s="300"/>
      <c r="BU1387" s="300"/>
      <c r="BV1387" s="300"/>
      <c r="BW1387" s="300"/>
      <c r="BX1387" s="300"/>
      <c r="BY1387" s="300"/>
      <c r="BZ1387" s="300"/>
      <c r="CA1387" s="300"/>
      <c r="CB1387" s="300"/>
    </row>
    <row r="1388" spans="1:80" s="27" customFormat="1" x14ac:dyDescent="0.3">
      <c r="A1388" s="173"/>
      <c r="D1388" s="173"/>
      <c r="E1388" s="173"/>
      <c r="F1388" s="173"/>
      <c r="G1388" s="173"/>
      <c r="H1388" s="173"/>
      <c r="I1388" s="173"/>
      <c r="J1388" s="173"/>
      <c r="K1388" s="173"/>
      <c r="L1388" s="173"/>
      <c r="AM1388" s="173"/>
      <c r="AN1388" s="173"/>
      <c r="AZ1388" s="337"/>
      <c r="BL1388" s="349"/>
      <c r="BM1388" s="300"/>
      <c r="BN1388" s="300"/>
      <c r="BO1388" s="300"/>
      <c r="BP1388" s="300"/>
      <c r="BQ1388" s="300"/>
      <c r="BR1388" s="300"/>
      <c r="BS1388" s="300"/>
      <c r="BT1388" s="300"/>
      <c r="BU1388" s="300"/>
      <c r="BV1388" s="300"/>
      <c r="BW1388" s="300"/>
      <c r="BX1388" s="300"/>
      <c r="BY1388" s="300"/>
      <c r="BZ1388" s="300"/>
      <c r="CA1388" s="300"/>
      <c r="CB1388" s="300"/>
    </row>
    <row r="1389" spans="1:80" s="27" customFormat="1" x14ac:dyDescent="0.3">
      <c r="A1389" s="173"/>
      <c r="D1389" s="173"/>
      <c r="E1389" s="173"/>
      <c r="F1389" s="173"/>
      <c r="G1389" s="173"/>
      <c r="H1389" s="173"/>
      <c r="I1389" s="173"/>
      <c r="J1389" s="173"/>
      <c r="K1389" s="173"/>
      <c r="L1389" s="173"/>
      <c r="AM1389" s="173"/>
      <c r="AN1389" s="173"/>
      <c r="AZ1389" s="337"/>
      <c r="BL1389" s="349"/>
      <c r="BM1389" s="300"/>
      <c r="BN1389" s="300"/>
      <c r="BO1389" s="300"/>
      <c r="BP1389" s="300"/>
      <c r="BQ1389" s="300"/>
      <c r="BR1389" s="300"/>
      <c r="BS1389" s="300"/>
      <c r="BT1389" s="300"/>
      <c r="BU1389" s="300"/>
      <c r="BV1389" s="300"/>
      <c r="BW1389" s="300"/>
      <c r="BX1389" s="300"/>
      <c r="BY1389" s="300"/>
      <c r="BZ1389" s="300"/>
      <c r="CA1389" s="300"/>
      <c r="CB1389" s="300"/>
    </row>
    <row r="1390" spans="1:80" s="27" customFormat="1" x14ac:dyDescent="0.3">
      <c r="A1390" s="173"/>
      <c r="D1390" s="173"/>
      <c r="E1390" s="173"/>
      <c r="F1390" s="173"/>
      <c r="G1390" s="173"/>
      <c r="H1390" s="173"/>
      <c r="I1390" s="173"/>
      <c r="J1390" s="173"/>
      <c r="K1390" s="173"/>
      <c r="L1390" s="173"/>
      <c r="AM1390" s="173"/>
      <c r="AN1390" s="173"/>
      <c r="AZ1390" s="337"/>
      <c r="BL1390" s="349"/>
      <c r="BM1390" s="300"/>
      <c r="BN1390" s="300"/>
      <c r="BO1390" s="300"/>
      <c r="BP1390" s="300"/>
      <c r="BQ1390" s="300"/>
      <c r="BR1390" s="300"/>
      <c r="BS1390" s="300"/>
      <c r="BT1390" s="300"/>
      <c r="BU1390" s="300"/>
      <c r="BV1390" s="300"/>
      <c r="BW1390" s="300"/>
      <c r="BX1390" s="300"/>
      <c r="BY1390" s="300"/>
      <c r="BZ1390" s="300"/>
      <c r="CA1390" s="300"/>
      <c r="CB1390" s="300"/>
    </row>
    <row r="1391" spans="1:80" s="27" customFormat="1" x14ac:dyDescent="0.3">
      <c r="A1391" s="173"/>
      <c r="D1391" s="173"/>
      <c r="E1391" s="173"/>
      <c r="F1391" s="173"/>
      <c r="G1391" s="173"/>
      <c r="H1391" s="173"/>
      <c r="I1391" s="173"/>
      <c r="J1391" s="173"/>
      <c r="K1391" s="173"/>
      <c r="L1391" s="173"/>
      <c r="AM1391" s="173"/>
      <c r="AN1391" s="173"/>
      <c r="AZ1391" s="337"/>
      <c r="BL1391" s="349"/>
      <c r="BM1391" s="300"/>
      <c r="BN1391" s="300"/>
      <c r="BO1391" s="300"/>
      <c r="BP1391" s="300"/>
      <c r="BQ1391" s="300"/>
      <c r="BR1391" s="300"/>
      <c r="BS1391" s="300"/>
      <c r="BT1391" s="300"/>
      <c r="BU1391" s="300"/>
      <c r="BV1391" s="300"/>
      <c r="BW1391" s="300"/>
      <c r="BX1391" s="300"/>
      <c r="BY1391" s="300"/>
      <c r="BZ1391" s="300"/>
      <c r="CA1391" s="300"/>
      <c r="CB1391" s="300"/>
    </row>
    <row r="1392" spans="1:80" s="27" customFormat="1" x14ac:dyDescent="0.3">
      <c r="A1392" s="173"/>
      <c r="D1392" s="173"/>
      <c r="E1392" s="173"/>
      <c r="F1392" s="173"/>
      <c r="G1392" s="173"/>
      <c r="H1392" s="173"/>
      <c r="I1392" s="173"/>
      <c r="J1392" s="173"/>
      <c r="K1392" s="173"/>
      <c r="L1392" s="173"/>
      <c r="AM1392" s="173"/>
      <c r="AN1392" s="173"/>
      <c r="AZ1392" s="337"/>
      <c r="BL1392" s="349"/>
      <c r="BM1392" s="300"/>
      <c r="BN1392" s="300"/>
      <c r="BO1392" s="300"/>
      <c r="BP1392" s="300"/>
      <c r="BQ1392" s="300"/>
      <c r="BR1392" s="300"/>
      <c r="BS1392" s="300"/>
      <c r="BT1392" s="300"/>
      <c r="BU1392" s="300"/>
      <c r="BV1392" s="300"/>
      <c r="BW1392" s="300"/>
      <c r="BX1392" s="300"/>
      <c r="BY1392" s="300"/>
      <c r="BZ1392" s="300"/>
      <c r="CA1392" s="300"/>
      <c r="CB1392" s="300"/>
    </row>
    <row r="1393" spans="1:80" s="27" customFormat="1" x14ac:dyDescent="0.3">
      <c r="A1393" s="173"/>
      <c r="D1393" s="173"/>
      <c r="E1393" s="173"/>
      <c r="F1393" s="173"/>
      <c r="G1393" s="173"/>
      <c r="H1393" s="173"/>
      <c r="I1393" s="173"/>
      <c r="J1393" s="173"/>
      <c r="K1393" s="173"/>
      <c r="L1393" s="173"/>
      <c r="AM1393" s="173"/>
      <c r="AN1393" s="173"/>
      <c r="AZ1393" s="337"/>
      <c r="BL1393" s="349"/>
      <c r="BM1393" s="300"/>
      <c r="BN1393" s="300"/>
      <c r="BO1393" s="300"/>
      <c r="BP1393" s="300"/>
      <c r="BQ1393" s="300"/>
      <c r="BR1393" s="300"/>
      <c r="BS1393" s="300"/>
      <c r="BT1393" s="300"/>
      <c r="BU1393" s="300"/>
      <c r="BV1393" s="300"/>
      <c r="BW1393" s="300"/>
      <c r="BX1393" s="300"/>
      <c r="BY1393" s="300"/>
      <c r="BZ1393" s="300"/>
      <c r="CA1393" s="300"/>
      <c r="CB1393" s="300"/>
    </row>
    <row r="1394" spans="1:80" s="27" customFormat="1" x14ac:dyDescent="0.3">
      <c r="A1394" s="173"/>
      <c r="D1394" s="173"/>
      <c r="E1394" s="173"/>
      <c r="F1394" s="173"/>
      <c r="G1394" s="173"/>
      <c r="H1394" s="173"/>
      <c r="I1394" s="173"/>
      <c r="J1394" s="173"/>
      <c r="K1394" s="173"/>
      <c r="L1394" s="173"/>
      <c r="AM1394" s="173"/>
      <c r="AN1394" s="173"/>
      <c r="AZ1394" s="337"/>
      <c r="BL1394" s="349"/>
      <c r="BM1394" s="300"/>
      <c r="BN1394" s="300"/>
      <c r="BO1394" s="300"/>
      <c r="BP1394" s="300"/>
      <c r="BQ1394" s="300"/>
      <c r="BR1394" s="300"/>
      <c r="BS1394" s="300"/>
      <c r="BT1394" s="300"/>
      <c r="BU1394" s="300"/>
      <c r="BV1394" s="300"/>
      <c r="BW1394" s="300"/>
      <c r="BX1394" s="300"/>
      <c r="BY1394" s="300"/>
      <c r="BZ1394" s="300"/>
      <c r="CA1394" s="300"/>
      <c r="CB1394" s="300"/>
    </row>
    <row r="1395" spans="1:80" s="27" customFormat="1" x14ac:dyDescent="0.3">
      <c r="A1395" s="173"/>
      <c r="D1395" s="173"/>
      <c r="E1395" s="173"/>
      <c r="F1395" s="173"/>
      <c r="G1395" s="173"/>
      <c r="H1395" s="173"/>
      <c r="I1395" s="173"/>
      <c r="J1395" s="173"/>
      <c r="K1395" s="173"/>
      <c r="L1395" s="173"/>
      <c r="AM1395" s="173"/>
      <c r="AN1395" s="173"/>
      <c r="AZ1395" s="337"/>
      <c r="BL1395" s="349"/>
      <c r="BM1395" s="300"/>
      <c r="BN1395" s="300"/>
      <c r="BO1395" s="300"/>
      <c r="BP1395" s="300"/>
      <c r="BQ1395" s="300"/>
      <c r="BR1395" s="300"/>
      <c r="BS1395" s="300"/>
      <c r="BT1395" s="300"/>
      <c r="BU1395" s="300"/>
      <c r="BV1395" s="300"/>
      <c r="BW1395" s="300"/>
      <c r="BX1395" s="300"/>
      <c r="BY1395" s="300"/>
      <c r="BZ1395" s="300"/>
      <c r="CA1395" s="300"/>
      <c r="CB1395" s="300"/>
    </row>
    <row r="1396" spans="1:80" s="27" customFormat="1" x14ac:dyDescent="0.3">
      <c r="A1396" s="173"/>
      <c r="D1396" s="173"/>
      <c r="E1396" s="173"/>
      <c r="F1396" s="173"/>
      <c r="G1396" s="173"/>
      <c r="H1396" s="173"/>
      <c r="I1396" s="173"/>
      <c r="J1396" s="173"/>
      <c r="K1396" s="173"/>
      <c r="L1396" s="173"/>
      <c r="AM1396" s="173"/>
      <c r="AN1396" s="173"/>
      <c r="AZ1396" s="337"/>
      <c r="BL1396" s="349"/>
      <c r="BM1396" s="300"/>
      <c r="BN1396" s="300"/>
      <c r="BO1396" s="300"/>
      <c r="BP1396" s="300"/>
      <c r="BQ1396" s="300"/>
      <c r="BR1396" s="300"/>
      <c r="BS1396" s="300"/>
      <c r="BT1396" s="300"/>
      <c r="BU1396" s="300"/>
      <c r="BV1396" s="300"/>
      <c r="BW1396" s="300"/>
      <c r="BX1396" s="300"/>
      <c r="BY1396" s="300"/>
      <c r="BZ1396" s="300"/>
      <c r="CA1396" s="300"/>
      <c r="CB1396" s="300"/>
    </row>
    <row r="1397" spans="1:80" s="27" customFormat="1" x14ac:dyDescent="0.3">
      <c r="A1397" s="173"/>
      <c r="D1397" s="173"/>
      <c r="E1397" s="173"/>
      <c r="F1397" s="173"/>
      <c r="G1397" s="173"/>
      <c r="H1397" s="173"/>
      <c r="I1397" s="173"/>
      <c r="J1397" s="173"/>
      <c r="K1397" s="173"/>
      <c r="L1397" s="173"/>
      <c r="AM1397" s="173"/>
      <c r="AN1397" s="173"/>
      <c r="AZ1397" s="337"/>
      <c r="BL1397" s="349"/>
      <c r="BM1397" s="300"/>
      <c r="BN1397" s="300"/>
      <c r="BO1397" s="300"/>
      <c r="BP1397" s="300"/>
      <c r="BQ1397" s="300"/>
      <c r="BR1397" s="300"/>
      <c r="BS1397" s="300"/>
      <c r="BT1397" s="300"/>
      <c r="BU1397" s="300"/>
      <c r="BV1397" s="300"/>
      <c r="BW1397" s="300"/>
      <c r="BX1397" s="300"/>
      <c r="BY1397" s="300"/>
      <c r="BZ1397" s="300"/>
      <c r="CA1397" s="300"/>
      <c r="CB1397" s="300"/>
    </row>
  </sheetData>
  <autoFilter ref="A4:BT195" xr:uid="{00000000-0009-0000-0000-000005000000}">
    <filterColumn colId="0" showButton="0"/>
  </autoFilter>
  <mergeCells count="525">
    <mergeCell ref="BY10:CB10"/>
    <mergeCell ref="BY165:CB165"/>
    <mergeCell ref="BY69:CB69"/>
    <mergeCell ref="BY187:CB187"/>
    <mergeCell ref="BY114:CB114"/>
    <mergeCell ref="BY185:CB185"/>
    <mergeCell ref="BY166:CB166"/>
    <mergeCell ref="BY188:CB188"/>
    <mergeCell ref="BY195:CB195"/>
    <mergeCell ref="BY98:CB98"/>
    <mergeCell ref="BY183:CB183"/>
    <mergeCell ref="BY156:CB156"/>
    <mergeCell ref="BY190:CB190"/>
    <mergeCell ref="BY174:CB174"/>
    <mergeCell ref="BY186:CB186"/>
    <mergeCell ref="BY136:CB136"/>
    <mergeCell ref="BY124:CB124"/>
    <mergeCell ref="BY102:CB102"/>
    <mergeCell ref="BY193:CB193"/>
    <mergeCell ref="BY150:CB150"/>
    <mergeCell ref="BY112:CB112"/>
    <mergeCell ref="BY125:CB125"/>
    <mergeCell ref="BY127:CB127"/>
    <mergeCell ref="BY113:CB113"/>
    <mergeCell ref="BY172:CB172"/>
    <mergeCell ref="BY184:CB184"/>
    <mergeCell ref="BY140:CB140"/>
    <mergeCell ref="BU61:BX61"/>
    <mergeCell ref="BU46:BX46"/>
    <mergeCell ref="BU72:BX72"/>
    <mergeCell ref="BY162:CB162"/>
    <mergeCell ref="BY161:CB161"/>
    <mergeCell ref="BY131:CB131"/>
    <mergeCell ref="BY138:CB138"/>
    <mergeCell ref="BY86:CB86"/>
    <mergeCell ref="BY160:CB160"/>
    <mergeCell ref="BY46:CB46"/>
    <mergeCell ref="BY59:CB59"/>
    <mergeCell ref="BY63:CB63"/>
    <mergeCell ref="BY79:CB79"/>
    <mergeCell ref="BY80:CB80"/>
    <mergeCell ref="BY85:CB85"/>
    <mergeCell ref="BU88:BX88"/>
    <mergeCell ref="BU91:BX91"/>
    <mergeCell ref="BU92:BX92"/>
    <mergeCell ref="BU93:BX93"/>
    <mergeCell ref="BU95:BX95"/>
    <mergeCell ref="BU99:BX99"/>
    <mergeCell ref="BU100:BX100"/>
    <mergeCell ref="BU65:BX65"/>
    <mergeCell ref="BU74:BX74"/>
    <mergeCell ref="BU70:BX70"/>
    <mergeCell ref="BU98:BX98"/>
    <mergeCell ref="BU84:BX84"/>
    <mergeCell ref="BU87:BX87"/>
    <mergeCell ref="BU94:BX94"/>
    <mergeCell ref="BU96:BX96"/>
    <mergeCell ref="BU66:BX66"/>
    <mergeCell ref="BU67:BX67"/>
    <mergeCell ref="BU73:BX73"/>
    <mergeCell ref="BU11:BX11"/>
    <mergeCell ref="BU90:BX90"/>
    <mergeCell ref="BU151:BX151"/>
    <mergeCell ref="BU83:BX83"/>
    <mergeCell ref="BU85:BX85"/>
    <mergeCell ref="BU63:BX63"/>
    <mergeCell ref="BU109:BX109"/>
    <mergeCell ref="BU71:BX71"/>
    <mergeCell ref="BU102:BX102"/>
    <mergeCell ref="BU108:BX108"/>
    <mergeCell ref="BU49:BX49"/>
    <mergeCell ref="BU82:BX82"/>
    <mergeCell ref="BU53:BX53"/>
    <mergeCell ref="BU80:BX80"/>
    <mergeCell ref="BU69:BX69"/>
    <mergeCell ref="BU106:BX106"/>
    <mergeCell ref="BU47:BX47"/>
    <mergeCell ref="BU51:BX51"/>
    <mergeCell ref="BU97:BX97"/>
    <mergeCell ref="BU79:BX79"/>
    <mergeCell ref="BU78:BX78"/>
    <mergeCell ref="BU77:BX77"/>
    <mergeCell ref="BU89:BX89"/>
    <mergeCell ref="BU12:BX12"/>
    <mergeCell ref="P7:P9"/>
    <mergeCell ref="Q7:Q9"/>
    <mergeCell ref="F7:F9"/>
    <mergeCell ref="G7:G9"/>
    <mergeCell ref="H7:H9"/>
    <mergeCell ref="I7:I9"/>
    <mergeCell ref="J7:J9"/>
    <mergeCell ref="K7:K9"/>
    <mergeCell ref="R7:R9"/>
    <mergeCell ref="A7:A9"/>
    <mergeCell ref="B7:B9"/>
    <mergeCell ref="C7:C9"/>
    <mergeCell ref="D7:D9"/>
    <mergeCell ref="E7:E9"/>
    <mergeCell ref="L7:L9"/>
    <mergeCell ref="M7:M9"/>
    <mergeCell ref="N7:N9"/>
    <mergeCell ref="O7:O9"/>
    <mergeCell ref="A1:L2"/>
    <mergeCell ref="E3:E6"/>
    <mergeCell ref="F3:F6"/>
    <mergeCell ref="G3:G6"/>
    <mergeCell ref="H3:H6"/>
    <mergeCell ref="I3:I6"/>
    <mergeCell ref="J3:J6"/>
    <mergeCell ref="K3:K6"/>
    <mergeCell ref="L3:L6"/>
    <mergeCell ref="A4:A5"/>
    <mergeCell ref="A6:D6"/>
    <mergeCell ref="S7:S9"/>
    <mergeCell ref="T7:T9"/>
    <mergeCell ref="U7:U9"/>
    <mergeCell ref="V7:AK7"/>
    <mergeCell ref="AL7:AL9"/>
    <mergeCell ref="AA8:AA9"/>
    <mergeCell ref="AB8:AB9"/>
    <mergeCell ref="AC8:AF8"/>
    <mergeCell ref="AG8:AK8"/>
    <mergeCell ref="BQ7:BT7"/>
    <mergeCell ref="V8:V9"/>
    <mergeCell ref="W8:W9"/>
    <mergeCell ref="X8:X9"/>
    <mergeCell ref="Y8:Y9"/>
    <mergeCell ref="Z8:Z9"/>
    <mergeCell ref="AM7:AM9"/>
    <mergeCell ref="AO7:AP7"/>
    <mergeCell ref="AQ7:AQ9"/>
    <mergeCell ref="AS7:AU7"/>
    <mergeCell ref="AV7:AX7"/>
    <mergeCell ref="AY7:BK7"/>
    <mergeCell ref="AO8:AO9"/>
    <mergeCell ref="AP8:AP9"/>
    <mergeCell ref="AS8:AS9"/>
    <mergeCell ref="AT8:AT9"/>
    <mergeCell ref="BA8:BA9"/>
    <mergeCell ref="BB8:BH8"/>
    <mergeCell ref="BI8:BK8"/>
    <mergeCell ref="BM10:BP10"/>
    <mergeCell ref="BM11:BP11"/>
    <mergeCell ref="BM12:BP12"/>
    <mergeCell ref="AU8:AU9"/>
    <mergeCell ref="AV8:AV9"/>
    <mergeCell ref="AW8:AW9"/>
    <mergeCell ref="AX8:AX9"/>
    <mergeCell ref="AY8:AY9"/>
    <mergeCell ref="AZ8:AZ9"/>
    <mergeCell ref="BL7:BL9"/>
    <mergeCell ref="BM7:BP7"/>
    <mergeCell ref="AM16:AM17"/>
    <mergeCell ref="AN16:AN17"/>
    <mergeCell ref="AO16:AO17"/>
    <mergeCell ref="AP16:AP17"/>
    <mergeCell ref="AQ16:AQ17"/>
    <mergeCell ref="AR16:AR17"/>
    <mergeCell ref="BM13:BP13"/>
    <mergeCell ref="BQ13:BT13"/>
    <mergeCell ref="BM14:BP14"/>
    <mergeCell ref="BQ14:BT14"/>
    <mergeCell ref="BM15:BP15"/>
    <mergeCell ref="BM20:BP20"/>
    <mergeCell ref="BQ20:BT20"/>
    <mergeCell ref="BM21:BP21"/>
    <mergeCell ref="BM24:BP24"/>
    <mergeCell ref="BM25:BP25"/>
    <mergeCell ref="BM16:BP16"/>
    <mergeCell ref="BM17:BP17"/>
    <mergeCell ref="BQ17:BT17"/>
    <mergeCell ref="BM18:BP18"/>
    <mergeCell ref="BQ18:BT18"/>
    <mergeCell ref="BM19:BP19"/>
    <mergeCell ref="BM36:BP36"/>
    <mergeCell ref="BQ36:BT36"/>
    <mergeCell ref="BM37:BP37"/>
    <mergeCell ref="BQ37:BT37"/>
    <mergeCell ref="BM39:BP39"/>
    <mergeCell ref="BQ39:BT39"/>
    <mergeCell ref="BM28:BP28"/>
    <mergeCell ref="BQ28:BT28"/>
    <mergeCell ref="BM32:BP32"/>
    <mergeCell ref="BM33:BP33"/>
    <mergeCell ref="BQ33:BT33"/>
    <mergeCell ref="BM35:BP35"/>
    <mergeCell ref="BQ35:BT35"/>
    <mergeCell ref="BQ32:BT32"/>
    <mergeCell ref="BM40:BP40"/>
    <mergeCell ref="BM41:BP41"/>
    <mergeCell ref="BQ41:BT41"/>
    <mergeCell ref="BM44:BP44"/>
    <mergeCell ref="BM46:BP46"/>
    <mergeCell ref="BM48:BP48"/>
    <mergeCell ref="BQ48:BT48"/>
    <mergeCell ref="BQ55:BT55"/>
    <mergeCell ref="BM56:BP56"/>
    <mergeCell ref="BQ56:BT56"/>
    <mergeCell ref="BQ58:BT58"/>
    <mergeCell ref="BM59:BP59"/>
    <mergeCell ref="BQ59:BT59"/>
    <mergeCell ref="BM50:BP50"/>
    <mergeCell ref="BM51:BP51"/>
    <mergeCell ref="BQ62:BT62"/>
    <mergeCell ref="AM64:AM65"/>
    <mergeCell ref="AN64:AN65"/>
    <mergeCell ref="BM64:BP64"/>
    <mergeCell ref="BQ64:BT64"/>
    <mergeCell ref="AM55:AM56"/>
    <mergeCell ref="AN55:AN56"/>
    <mergeCell ref="AO55:AO56"/>
    <mergeCell ref="AP55:AP56"/>
    <mergeCell ref="AQ55:AQ56"/>
    <mergeCell ref="BM55:BP55"/>
    <mergeCell ref="BM66:BP66"/>
    <mergeCell ref="AM60:AM62"/>
    <mergeCell ref="AN60:AN62"/>
    <mergeCell ref="AO60:AO62"/>
    <mergeCell ref="AP60:AP62"/>
    <mergeCell ref="BM60:BP60"/>
    <mergeCell ref="BM61:BP61"/>
    <mergeCell ref="BM62:BP62"/>
    <mergeCell ref="BM58:BP58"/>
    <mergeCell ref="BQ76:BT76"/>
    <mergeCell ref="BM77:BP77"/>
    <mergeCell ref="BM80:BP80"/>
    <mergeCell ref="BQ80:BT80"/>
    <mergeCell ref="BM81:BP81"/>
    <mergeCell ref="BQ81:BT81"/>
    <mergeCell ref="BM76:BP76"/>
    <mergeCell ref="BM67:BP67"/>
    <mergeCell ref="BM69:BP69"/>
    <mergeCell ref="BM71:BP71"/>
    <mergeCell ref="BM72:BP72"/>
    <mergeCell ref="BM73:BP73"/>
    <mergeCell ref="BM74:BP74"/>
    <mergeCell ref="BM95:BP95"/>
    <mergeCell ref="BQ95:BT95"/>
    <mergeCell ref="BM96:BP96"/>
    <mergeCell ref="BQ96:BT96"/>
    <mergeCell ref="BM97:BP97"/>
    <mergeCell ref="BQ97:BT97"/>
    <mergeCell ref="BM88:BP88"/>
    <mergeCell ref="BM89:BP89"/>
    <mergeCell ref="AO91:AO92"/>
    <mergeCell ref="AP91:AP92"/>
    <mergeCell ref="BM91:BP91"/>
    <mergeCell ref="BQ91:BT91"/>
    <mergeCell ref="BM92:BP92"/>
    <mergeCell ref="BM102:BP102"/>
    <mergeCell ref="BM103:BP103"/>
    <mergeCell ref="BM104:BP104"/>
    <mergeCell ref="BM106:BP106"/>
    <mergeCell ref="BQ106:BT106"/>
    <mergeCell ref="BM107:BP107"/>
    <mergeCell ref="BM98:BP98"/>
    <mergeCell ref="BQ98:BT98"/>
    <mergeCell ref="BM99:BP99"/>
    <mergeCell ref="BM100:BP100"/>
    <mergeCell ref="BM101:BP101"/>
    <mergeCell ref="BQ101:BT101"/>
    <mergeCell ref="BQ116:BT116"/>
    <mergeCell ref="BM120:BP120"/>
    <mergeCell ref="BM123:BP123"/>
    <mergeCell ref="BQ123:BT123"/>
    <mergeCell ref="BQ120:BT120"/>
    <mergeCell ref="BM108:BP108"/>
    <mergeCell ref="BQ108:BT108"/>
    <mergeCell ref="BM109:BP109"/>
    <mergeCell ref="BM111:BP111"/>
    <mergeCell ref="BQ111:BT111"/>
    <mergeCell ref="BM112:BP112"/>
    <mergeCell ref="AM124:AM125"/>
    <mergeCell ref="AN124:AN125"/>
    <mergeCell ref="AO124:AO125"/>
    <mergeCell ref="AP124:AP125"/>
    <mergeCell ref="BM113:BP113"/>
    <mergeCell ref="BM115:BP115"/>
    <mergeCell ref="BM116:BP116"/>
    <mergeCell ref="AW124:AW125"/>
    <mergeCell ref="AX124:AX125"/>
    <mergeCell ref="BM124:BP124"/>
    <mergeCell ref="BQ124:BT124"/>
    <mergeCell ref="BM125:BP125"/>
    <mergeCell ref="BQ125:BT125"/>
    <mergeCell ref="AQ124:AQ125"/>
    <mergeCell ref="AR124:AR125"/>
    <mergeCell ref="AS124:AS125"/>
    <mergeCell ref="AT124:AT125"/>
    <mergeCell ref="AU124:AU125"/>
    <mergeCell ref="AV124:AV125"/>
    <mergeCell ref="BQ150:BT150"/>
    <mergeCell ref="BM153:BP153"/>
    <mergeCell ref="BQ153:BT153"/>
    <mergeCell ref="BM126:BP126"/>
    <mergeCell ref="BQ126:BT126"/>
    <mergeCell ref="BM127:BP127"/>
    <mergeCell ref="BM128:BP128"/>
    <mergeCell ref="BM129:BP129"/>
    <mergeCell ref="BM131:BP131"/>
    <mergeCell ref="BQ131:BT131"/>
    <mergeCell ref="BM133:BP133"/>
    <mergeCell ref="BM134:BP134"/>
    <mergeCell ref="BM136:BP136"/>
    <mergeCell ref="BM137:BP137"/>
    <mergeCell ref="BM138:BP138"/>
    <mergeCell ref="BM139:BP139"/>
    <mergeCell ref="BM148:BP148"/>
    <mergeCell ref="BQ148:BT148"/>
    <mergeCell ref="BM149:BP149"/>
    <mergeCell ref="BM140:BP140"/>
    <mergeCell ref="BM141:BP141"/>
    <mergeCell ref="BQ141:BT141"/>
    <mergeCell ref="BM144:BP144"/>
    <mergeCell ref="BM145:BP145"/>
    <mergeCell ref="BM146:BP146"/>
    <mergeCell ref="AM192:AM193"/>
    <mergeCell ref="AN192:AN193"/>
    <mergeCell ref="BM192:BP192"/>
    <mergeCell ref="BM181:BP181"/>
    <mergeCell ref="BM182:BP182"/>
    <mergeCell ref="BM161:BP161"/>
    <mergeCell ref="BM156:BP156"/>
    <mergeCell ref="BM150:BP150"/>
    <mergeCell ref="BM183:BP183"/>
    <mergeCell ref="BM184:BP184"/>
    <mergeCell ref="BQ182:BT182"/>
    <mergeCell ref="BQ184:BT184"/>
    <mergeCell ref="BM193:BP193"/>
    <mergeCell ref="BQ193:BT193"/>
    <mergeCell ref="BM163:BP163"/>
    <mergeCell ref="BM164:BP164"/>
    <mergeCell ref="BM165:BP165"/>
    <mergeCell ref="BM168:BP168"/>
    <mergeCell ref="BQ168:BT168"/>
    <mergeCell ref="BM170:BP170"/>
    <mergeCell ref="BQ161:BT161"/>
    <mergeCell ref="BM162:BP162"/>
    <mergeCell ref="BQ162:BT162"/>
    <mergeCell ref="BU7:BX7"/>
    <mergeCell ref="BY7:CB7"/>
    <mergeCell ref="BM195:BP195"/>
    <mergeCell ref="BQ195:BT195"/>
    <mergeCell ref="BM185:BP185"/>
    <mergeCell ref="BQ185:BT185"/>
    <mergeCell ref="BM190:BP190"/>
    <mergeCell ref="BQ190:BT190"/>
    <mergeCell ref="BM191:BP191"/>
    <mergeCell ref="BM173:BP173"/>
    <mergeCell ref="BQ173:BT173"/>
    <mergeCell ref="BM174:BP174"/>
    <mergeCell ref="BQ174:BT174"/>
    <mergeCell ref="BM179:BP179"/>
    <mergeCell ref="BM180:BP180"/>
    <mergeCell ref="BQ180:BT180"/>
    <mergeCell ref="BM171:BP171"/>
    <mergeCell ref="BM154:BP154"/>
    <mergeCell ref="BU160:BX160"/>
    <mergeCell ref="BU10:BX10"/>
    <mergeCell ref="BU169:BX169"/>
    <mergeCell ref="BU162:BX162"/>
    <mergeCell ref="BU153:BX153"/>
    <mergeCell ref="BU186:BX186"/>
    <mergeCell ref="BU130:BX130"/>
    <mergeCell ref="BU13:BX13"/>
    <mergeCell ref="BU14:BX14"/>
    <mergeCell ref="BU15:BX15"/>
    <mergeCell ref="BU16:BX16"/>
    <mergeCell ref="BU18:BX18"/>
    <mergeCell ref="BU19:BX19"/>
    <mergeCell ref="BU26:BX26"/>
    <mergeCell ref="BU20:BX20"/>
    <mergeCell ref="BU23:BX23"/>
    <mergeCell ref="BU17:BX17"/>
    <mergeCell ref="BU21:BX21"/>
    <mergeCell ref="BU24:BX24"/>
    <mergeCell ref="BU25:BX25"/>
    <mergeCell ref="BU22:BX22"/>
    <mergeCell ref="BU50:BX50"/>
    <mergeCell ref="BU45:BX45"/>
    <mergeCell ref="BU62:BX62"/>
    <mergeCell ref="BU30:BX30"/>
    <mergeCell ref="BU183:BX183"/>
    <mergeCell ref="BU43:BX43"/>
    <mergeCell ref="BU164:BX164"/>
    <mergeCell ref="BU156:BX156"/>
    <mergeCell ref="BU140:BX140"/>
    <mergeCell ref="BU134:BX134"/>
    <mergeCell ref="BU105:BX105"/>
    <mergeCell ref="BU86:BX86"/>
    <mergeCell ref="BU195:BX195"/>
    <mergeCell ref="BU163:BX163"/>
    <mergeCell ref="BU165:BX165"/>
    <mergeCell ref="BU182:BX182"/>
    <mergeCell ref="BU137:BX137"/>
    <mergeCell ref="BU128:BX128"/>
    <mergeCell ref="BU193:BX193"/>
    <mergeCell ref="BU185:BX185"/>
    <mergeCell ref="BU173:BX173"/>
    <mergeCell ref="BU192:BX192"/>
    <mergeCell ref="BU176:BX176"/>
    <mergeCell ref="BU167:BX167"/>
    <mergeCell ref="BU166:BX166"/>
    <mergeCell ref="BU172:BX172"/>
    <mergeCell ref="BU157:BX157"/>
    <mergeCell ref="BU180:BX180"/>
    <mergeCell ref="BU158:BX158"/>
    <mergeCell ref="BU190:BX190"/>
    <mergeCell ref="BU194:BX194"/>
    <mergeCell ref="BU191:BX191"/>
    <mergeCell ref="BU179:BX179"/>
    <mergeCell ref="BU126:BX126"/>
    <mergeCell ref="BU138:BX138"/>
    <mergeCell ref="BU143:BX143"/>
    <mergeCell ref="BU127:BX127"/>
    <mergeCell ref="BU114:BX114"/>
    <mergeCell ref="BU184:BX184"/>
    <mergeCell ref="BU154:BX154"/>
    <mergeCell ref="BU139:BX139"/>
    <mergeCell ref="BU125:BX125"/>
    <mergeCell ref="BU155:BX155"/>
    <mergeCell ref="BU147:BX147"/>
    <mergeCell ref="BU141:BX141"/>
    <mergeCell ref="BU189:BX189"/>
    <mergeCell ref="BU187:BX187"/>
    <mergeCell ref="BU159:BX159"/>
    <mergeCell ref="BU161:BX161"/>
    <mergeCell ref="BU135:BX135"/>
    <mergeCell ref="BU188:BX188"/>
    <mergeCell ref="BU149:BX149"/>
    <mergeCell ref="BU150:BX150"/>
    <mergeCell ref="BU174:BX174"/>
    <mergeCell ref="BY61:CB61"/>
    <mergeCell ref="BY109:CB109"/>
    <mergeCell ref="BY157:CB157"/>
    <mergeCell ref="BY67:CB67"/>
    <mergeCell ref="BY76:CB76"/>
    <mergeCell ref="BY28:CB28"/>
    <mergeCell ref="BY91:CB91"/>
    <mergeCell ref="BY145:CB145"/>
    <mergeCell ref="BY123:CB123"/>
    <mergeCell ref="BY116:CB116"/>
    <mergeCell ref="BY83:CB83"/>
    <mergeCell ref="BY33:CB33"/>
    <mergeCell ref="BY50:CB50"/>
    <mergeCell ref="BY35:CB35"/>
    <mergeCell ref="BY38:CB38"/>
    <mergeCell ref="BY151:CB151"/>
    <mergeCell ref="BY45:CB45"/>
    <mergeCell ref="BY66:CB66"/>
    <mergeCell ref="BY77:CB77"/>
    <mergeCell ref="BY117:CB117"/>
    <mergeCell ref="BY94:CB94"/>
    <mergeCell ref="BY48:CB48"/>
    <mergeCell ref="BY34:CB34"/>
    <mergeCell ref="BY49:CB49"/>
    <mergeCell ref="BU119:BX119"/>
    <mergeCell ref="BU121:BX121"/>
    <mergeCell ref="BU122:BX122"/>
    <mergeCell ref="BU118:BX118"/>
    <mergeCell ref="BU36:BX36"/>
    <mergeCell ref="BU123:BX123"/>
    <mergeCell ref="BU81:BX81"/>
    <mergeCell ref="BU75:BX75"/>
    <mergeCell ref="BU124:BX124"/>
    <mergeCell ref="BU110:BX110"/>
    <mergeCell ref="BU117:BX117"/>
    <mergeCell ref="BU111:BX111"/>
    <mergeCell ref="BU112:BX112"/>
    <mergeCell ref="BU113:BX113"/>
    <mergeCell ref="BU104:BX104"/>
    <mergeCell ref="BU116:BX116"/>
    <mergeCell ref="BU115:BX115"/>
    <mergeCell ref="BU101:BX101"/>
    <mergeCell ref="BU103:BX103"/>
    <mergeCell ref="BU107:BX107"/>
    <mergeCell ref="BU44:BX44"/>
    <mergeCell ref="BU56:BX56"/>
    <mergeCell ref="BU76:BX76"/>
    <mergeCell ref="BU68:BX68"/>
    <mergeCell ref="BY12:CB12"/>
    <mergeCell ref="BY17:CB17"/>
    <mergeCell ref="BY23:CB23"/>
    <mergeCell ref="BY26:CB26"/>
    <mergeCell ref="BU27:BX27"/>
    <mergeCell ref="BU28:BX28"/>
    <mergeCell ref="BU34:BX34"/>
    <mergeCell ref="BY20:CB20"/>
    <mergeCell ref="BU60:BX60"/>
    <mergeCell ref="BU40:BX40"/>
    <mergeCell ref="BU35:BX35"/>
    <mergeCell ref="BU29:BX29"/>
    <mergeCell ref="BU41:BX41"/>
    <mergeCell ref="BY41:CB41"/>
    <mergeCell ref="BY21:CB21"/>
    <mergeCell ref="BY14:CB14"/>
    <mergeCell ref="BY24:CB24"/>
    <mergeCell ref="BY18:CB18"/>
    <mergeCell ref="BY58:CB58"/>
    <mergeCell ref="BU33:BX33"/>
    <mergeCell ref="BY19:CB19"/>
    <mergeCell ref="BU152:BX152"/>
    <mergeCell ref="BY22:CB22"/>
    <mergeCell ref="BU145:BX145"/>
    <mergeCell ref="BU31:BX31"/>
    <mergeCell ref="BU32:BX32"/>
    <mergeCell ref="BU38:BX38"/>
    <mergeCell ref="BU42:BX42"/>
    <mergeCell ref="BU59:BX59"/>
    <mergeCell ref="BU58:BX58"/>
    <mergeCell ref="BU55:BX55"/>
    <mergeCell ref="BU52:BX52"/>
    <mergeCell ref="BU57:BX57"/>
    <mergeCell ref="BU54:BX54"/>
    <mergeCell ref="BU37:BX37"/>
    <mergeCell ref="BU48:BX48"/>
    <mergeCell ref="BU39:BX39"/>
    <mergeCell ref="BU148:BX148"/>
    <mergeCell ref="BU146:BX146"/>
    <mergeCell ref="BU144:BX144"/>
    <mergeCell ref="BU136:BX136"/>
    <mergeCell ref="BU131:BX131"/>
    <mergeCell ref="BU64:BX64"/>
    <mergeCell ref="BU129:BX129"/>
    <mergeCell ref="BU120:BX120"/>
  </mergeCells>
  <conditionalFormatting sqref="AG10">
    <cfRule type="expression" dxfId="48" priority="19" stopIfTrue="1">
      <formula>AND(#REF!&lt;&gt;"", AND(#REF!&gt;TODAY(),#REF!&lt; TODAY()+280))</formula>
    </cfRule>
    <cfRule type="expression" dxfId="47" priority="20" stopIfTrue="1">
      <formula>AND(#REF!&lt;&gt;"", AND(#REF!&gt;TODAY(),#REF!&lt; TODAY()+90))</formula>
    </cfRule>
  </conditionalFormatting>
  <conditionalFormatting sqref="AG10:AG193">
    <cfRule type="expression" dxfId="46" priority="21">
      <formula>AND(#REF!&lt;&gt;"",#REF!= TODAY())</formula>
    </cfRule>
    <cfRule type="expression" dxfId="45" priority="22" stopIfTrue="1">
      <formula>AND(#REF!&lt;&gt;"", AND(#REF!&gt;TODAY(),#REF!&lt; TODAY()+30))</formula>
    </cfRule>
    <cfRule type="expression" dxfId="44" priority="23">
      <formula>AND(#REF!&lt;&gt;"", AND(#REF!&lt;TODAY(),#REF!&lt; TODAY()))</formula>
    </cfRule>
    <cfRule type="expression" dxfId="43" priority="29" stopIfTrue="1">
      <formula>AND(#REF!&lt;&gt;"",#REF!= TODAY())</formula>
    </cfRule>
  </conditionalFormatting>
  <conditionalFormatting sqref="AG11:AG195">
    <cfRule type="expression" dxfId="42" priority="7" stopIfTrue="1">
      <formula>AND(#REF!&lt;&gt;"", AND(#REF!&gt;TODAY(),#REF!&lt; TODAY()+280))</formula>
    </cfRule>
    <cfRule type="expression" dxfId="41" priority="8" stopIfTrue="1">
      <formula>AND(#REF!&lt;&gt;"", AND(#REF!&gt;TODAY(),#REF!&lt; TODAY()+90))</formula>
    </cfRule>
  </conditionalFormatting>
  <conditionalFormatting sqref="AG194:AG195">
    <cfRule type="expression" dxfId="40" priority="9" stopIfTrue="1">
      <formula>AND(#REF!&lt;&gt;"",#REF!= TODAY())</formula>
    </cfRule>
    <cfRule type="expression" dxfId="39" priority="10">
      <formula>AND(#REF!&lt;&gt;"",#REF!= TODAY())</formula>
    </cfRule>
    <cfRule type="expression" dxfId="38" priority="11" stopIfTrue="1">
      <formula>AND(#REF!&lt;&gt;"", AND(#REF!&gt;TODAY(),#REF!&lt; TODAY()+30))</formula>
    </cfRule>
    <cfRule type="expression" dxfId="37" priority="12">
      <formula>AND(#REF!&lt;&gt;"", AND(#REF!&lt;TODAY(),#REF!&lt; TODAY()))</formula>
    </cfRule>
  </conditionalFormatting>
  <hyperlinks>
    <hyperlink ref="O150" r:id="rId1" xr:uid="{00000000-0004-0000-0500-000000000000}"/>
    <hyperlink ref="O115" r:id="rId2" xr:uid="{00000000-0004-0000-0500-000001000000}"/>
    <hyperlink ref="O109" r:id="rId3" xr:uid="{00000000-0004-0000-0500-000002000000}"/>
    <hyperlink ref="O44" r:id="rId4" xr:uid="{00000000-0004-0000-0500-000003000000}"/>
    <hyperlink ref="O56" r:id="rId5" xr:uid="{00000000-0004-0000-0500-000004000000}"/>
    <hyperlink ref="O55" r:id="rId6" xr:uid="{00000000-0004-0000-0500-000005000000}"/>
    <hyperlink ref="O60" r:id="rId7" xr:uid="{00000000-0004-0000-0500-000006000000}"/>
    <hyperlink ref="O62" r:id="rId8" xr:uid="{00000000-0004-0000-0500-000007000000}"/>
    <hyperlink ref="O67" r:id="rId9" xr:uid="{00000000-0004-0000-0500-000008000000}"/>
    <hyperlink ref="O91" r:id="rId10" xr:uid="{00000000-0004-0000-0500-000009000000}"/>
    <hyperlink ref="O96" r:id="rId11" xr:uid="{00000000-0004-0000-0500-00000A000000}"/>
    <hyperlink ref="O97" r:id="rId12" xr:uid="{00000000-0004-0000-0500-00000B000000}"/>
    <hyperlink ref="O98" r:id="rId13" xr:uid="{00000000-0004-0000-0500-00000C000000}"/>
    <hyperlink ref="O108" r:id="rId14" display="srshanthana@gmail.com " xr:uid="{00000000-0004-0000-0500-00000D000000}"/>
    <hyperlink ref="O116" r:id="rId15" xr:uid="{00000000-0004-0000-0500-00000E000000}"/>
    <hyperlink ref="O120" r:id="rId16" xr:uid="{00000000-0004-0000-0500-00000F000000}"/>
    <hyperlink ref="O127" r:id="rId17" xr:uid="{00000000-0004-0000-0500-000010000000}"/>
    <hyperlink ref="O125" r:id="rId18" xr:uid="{00000000-0004-0000-0500-000011000000}"/>
    <hyperlink ref="O138" r:id="rId19" xr:uid="{00000000-0004-0000-0500-000012000000}"/>
    <hyperlink ref="O141" r:id="rId20" xr:uid="{00000000-0004-0000-0500-000013000000}"/>
    <hyperlink ref="O159" r:id="rId21" xr:uid="{00000000-0004-0000-0500-000014000000}"/>
    <hyperlink ref="O160" r:id="rId22" xr:uid="{00000000-0004-0000-0500-000015000000}"/>
    <hyperlink ref="O161" r:id="rId23" xr:uid="{00000000-0004-0000-0500-000016000000}"/>
    <hyperlink ref="O166" r:id="rId24" xr:uid="{00000000-0004-0000-0500-000017000000}"/>
    <hyperlink ref="O189" r:id="rId25" xr:uid="{00000000-0004-0000-0500-000018000000}"/>
    <hyperlink ref="O190" r:id="rId26" xr:uid="{00000000-0004-0000-0500-000019000000}"/>
    <hyperlink ref="O41" r:id="rId27" xr:uid="{00000000-0004-0000-0500-00001A000000}"/>
    <hyperlink ref="O48" r:id="rId28" xr:uid="{00000000-0004-0000-0500-00001B000000}"/>
    <hyperlink ref="O49" r:id="rId29" xr:uid="{00000000-0004-0000-0500-00001C000000}"/>
    <hyperlink ref="O66" r:id="rId30" xr:uid="{00000000-0004-0000-0500-00001D000000}"/>
    <hyperlink ref="O72" r:id="rId31" xr:uid="{00000000-0004-0000-0500-00001E000000}"/>
    <hyperlink ref="O73" r:id="rId32" xr:uid="{00000000-0004-0000-0500-00001F000000}"/>
    <hyperlink ref="O76" r:id="rId33" xr:uid="{00000000-0004-0000-0500-000020000000}"/>
    <hyperlink ref="O75" r:id="rId34" xr:uid="{00000000-0004-0000-0500-000021000000}"/>
    <hyperlink ref="O78" r:id="rId35" xr:uid="{00000000-0004-0000-0500-000022000000}"/>
    <hyperlink ref="O85" r:id="rId36" xr:uid="{00000000-0004-0000-0500-000023000000}"/>
    <hyperlink ref="O74" r:id="rId37" xr:uid="{00000000-0004-0000-0500-000024000000}"/>
    <hyperlink ref="O86" r:id="rId38" xr:uid="{00000000-0004-0000-0500-000025000000}"/>
    <hyperlink ref="O87" r:id="rId39" xr:uid="{00000000-0004-0000-0500-000026000000}"/>
    <hyperlink ref="O90" r:id="rId40" xr:uid="{00000000-0004-0000-0500-000027000000}"/>
    <hyperlink ref="O94" r:id="rId41" xr:uid="{00000000-0004-0000-0500-000028000000}"/>
    <hyperlink ref="O101" r:id="rId42" xr:uid="{00000000-0004-0000-0500-000029000000}"/>
    <hyperlink ref="O103" r:id="rId43" xr:uid="{00000000-0004-0000-0500-00002A000000}"/>
    <hyperlink ref="O104" r:id="rId44" xr:uid="{00000000-0004-0000-0500-00002B000000}"/>
    <hyperlink ref="O113" r:id="rId45" xr:uid="{00000000-0004-0000-0500-00002C000000}"/>
    <hyperlink ref="O118" r:id="rId46" xr:uid="{00000000-0004-0000-0500-00002D000000}"/>
    <hyperlink ref="O122" r:id="rId47" xr:uid="{00000000-0004-0000-0500-00002E000000}"/>
    <hyperlink ref="O129" r:id="rId48" xr:uid="{00000000-0004-0000-0500-00002F000000}"/>
    <hyperlink ref="O133" r:id="rId49" xr:uid="{00000000-0004-0000-0500-000030000000}"/>
    <hyperlink ref="O131" r:id="rId50" xr:uid="{00000000-0004-0000-0500-000031000000}"/>
    <hyperlink ref="O136" r:id="rId51" xr:uid="{00000000-0004-0000-0500-000032000000}"/>
    <hyperlink ref="O134" r:id="rId52" xr:uid="{00000000-0004-0000-0500-000033000000}"/>
    <hyperlink ref="O135" r:id="rId53" xr:uid="{00000000-0004-0000-0500-000034000000}"/>
    <hyperlink ref="O146" r:id="rId54" xr:uid="{00000000-0004-0000-0500-000035000000}"/>
    <hyperlink ref="O145" r:id="rId55" xr:uid="{00000000-0004-0000-0500-000036000000}"/>
    <hyperlink ref="O144" r:id="rId56" xr:uid="{00000000-0004-0000-0500-000037000000}"/>
    <hyperlink ref="O147" r:id="rId57" xr:uid="{00000000-0004-0000-0500-000038000000}"/>
    <hyperlink ref="O157" r:id="rId58" xr:uid="{00000000-0004-0000-0500-000039000000}"/>
    <hyperlink ref="O165" r:id="rId59" xr:uid="{00000000-0004-0000-0500-00003A000000}"/>
    <hyperlink ref="O169" r:id="rId60" xr:uid="{00000000-0004-0000-0500-00003B000000}"/>
    <hyperlink ref="O181" r:id="rId61" xr:uid="{00000000-0004-0000-0500-00003C000000}"/>
    <hyperlink ref="O182" r:id="rId62" xr:uid="{00000000-0004-0000-0500-00003D000000}"/>
    <hyperlink ref="O191" r:id="rId63" xr:uid="{00000000-0004-0000-0500-00003E000000}"/>
    <hyperlink ref="O192" r:id="rId64" xr:uid="{00000000-0004-0000-0500-00003F000000}"/>
    <hyperlink ref="O195" r:id="rId65" xr:uid="{00000000-0004-0000-0500-000040000000}"/>
    <hyperlink ref="O89" r:id="rId66" xr:uid="{00000000-0004-0000-0500-000041000000}"/>
    <hyperlink ref="O79" r:id="rId67" xr:uid="{00000000-0004-0000-0500-000042000000}"/>
    <hyperlink ref="O140" r:id="rId68" xr:uid="{00000000-0004-0000-0500-000043000000}"/>
    <hyperlink ref="O148" r:id="rId69" xr:uid="{00000000-0004-0000-0500-000044000000}"/>
    <hyperlink ref="O193" r:id="rId70" xr:uid="{00000000-0004-0000-0500-000045000000}"/>
    <hyperlink ref="O171" r:id="rId71" xr:uid="{00000000-0004-0000-0500-000046000000}"/>
    <hyperlink ref="O180" r:id="rId72" xr:uid="{00000000-0004-0000-0500-000047000000}"/>
    <hyperlink ref="O153" r:id="rId73" xr:uid="{00000000-0004-0000-0500-000048000000}"/>
    <hyperlink ref="O137" r:id="rId74" xr:uid="{00000000-0004-0000-0500-000049000000}"/>
    <hyperlink ref="O156" r:id="rId75" xr:uid="{00000000-0004-0000-0500-00004A000000}"/>
    <hyperlink ref="O184" r:id="rId76" xr:uid="{00000000-0004-0000-0500-00004B000000}"/>
    <hyperlink ref="O107" r:id="rId77" xr:uid="{00000000-0004-0000-0500-00004C000000}"/>
    <hyperlink ref="O185" r:id="rId78" xr:uid="{00000000-0004-0000-0500-00004D000000}"/>
    <hyperlink ref="O151" r:id="rId79" xr:uid="{00000000-0004-0000-0500-00004E000000}"/>
    <hyperlink ref="O83" r:id="rId80" xr:uid="{00000000-0004-0000-0500-00004F000000}"/>
    <hyperlink ref="O139" r:id="rId81" xr:uid="{00000000-0004-0000-0500-000050000000}"/>
    <hyperlink ref="O50" r:id="rId82" xr:uid="{00000000-0004-0000-0500-000051000000}"/>
    <hyperlink ref="O58" r:id="rId83" xr:uid="{00000000-0004-0000-0500-000052000000}"/>
    <hyperlink ref="O81" r:id="rId84" xr:uid="{00000000-0004-0000-0500-000053000000}"/>
    <hyperlink ref="O106" r:id="rId85" xr:uid="{00000000-0004-0000-0500-000054000000}"/>
    <hyperlink ref="O168" r:id="rId86" xr:uid="{00000000-0004-0000-0500-000055000000}"/>
    <hyperlink ref="O64" r:id="rId87" xr:uid="{00000000-0004-0000-0500-000056000000}"/>
    <hyperlink ref="O20" r:id="rId88" xr:uid="{00000000-0004-0000-0500-000057000000}"/>
    <hyperlink ref="O95" r:id="rId89" xr:uid="{00000000-0004-0000-0500-000058000000}"/>
    <hyperlink ref="O124" r:id="rId90" xr:uid="{00000000-0004-0000-0500-000059000000}"/>
    <hyperlink ref="O80" r:id="rId91" xr:uid="{00000000-0004-0000-0500-00005A000000}"/>
    <hyperlink ref="O28" r:id="rId92" xr:uid="{00000000-0004-0000-0500-00005B000000}"/>
    <hyperlink ref="O35" r:id="rId93" xr:uid="{00000000-0004-0000-0500-00005C000000}"/>
    <hyperlink ref="O14" r:id="rId94" xr:uid="{00000000-0004-0000-0500-00005D000000}"/>
    <hyperlink ref="O123" r:id="rId95" xr:uid="{00000000-0004-0000-0500-00005E000000}"/>
    <hyperlink ref="O27" r:id="rId96" xr:uid="{00000000-0004-0000-0500-00005F000000}"/>
    <hyperlink ref="O174" r:id="rId97" xr:uid="{00000000-0004-0000-0500-000060000000}"/>
    <hyperlink ref="O173" r:id="rId98" xr:uid="{00000000-0004-0000-0500-000061000000}"/>
    <hyperlink ref="O172" r:id="rId99" xr:uid="{00000000-0004-0000-0500-000062000000}"/>
    <hyperlink ref="O61" r:id="rId100" xr:uid="{00000000-0004-0000-0500-000063000000}"/>
    <hyperlink ref="O117" r:id="rId101" xr:uid="{00000000-0004-0000-0500-000064000000}"/>
    <hyperlink ref="O34" r:id="rId102" xr:uid="{00000000-0004-0000-0500-000065000000}"/>
    <hyperlink ref="O22" r:id="rId103" xr:uid="{00000000-0004-0000-0500-000066000000}"/>
    <hyperlink ref="O18" r:id="rId104" xr:uid="{00000000-0004-0000-0500-000067000000}"/>
    <hyperlink ref="O24" r:id="rId105" xr:uid="{00000000-0004-0000-0500-000068000000}"/>
    <hyperlink ref="O63" r:id="rId106" xr:uid="{00000000-0004-0000-0500-000069000000}"/>
    <hyperlink ref="O186" r:id="rId107" xr:uid="{00000000-0004-0000-0500-00006A000000}"/>
    <hyperlink ref="O33" r:id="rId108" xr:uid="{00000000-0004-0000-0500-00006B000000}"/>
    <hyperlink ref="O183" r:id="rId109" xr:uid="{00000000-0004-0000-0500-00006C000000}"/>
    <hyperlink ref="O112" r:id="rId110" xr:uid="{00000000-0004-0000-0500-00006D000000}"/>
    <hyperlink ref="O114" r:id="rId111" xr:uid="{00000000-0004-0000-0500-00006E000000}"/>
    <hyperlink ref="O26" r:id="rId112" xr:uid="{00000000-0004-0000-0500-00006F000000}"/>
    <hyperlink ref="O187" r:id="rId113" xr:uid="{00000000-0004-0000-0500-000070000000}"/>
    <hyperlink ref="O19" r:id="rId114" xr:uid="{BB807147-34E1-4BD0-B9F8-D2658FA81FF2}"/>
  </hyperlinks>
  <pageMargins left="0.7" right="0.7" top="0.75" bottom="0.75" header="0.3" footer="0.3"/>
  <pageSetup paperSize="9" orientation="landscape" horizontalDpi="300" verticalDpi="300" r:id="rId11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U1216"/>
  <sheetViews>
    <sheetView topLeftCell="P3" workbookViewId="0">
      <selection activeCell="A11" sqref="A11:XFD11"/>
    </sheetView>
  </sheetViews>
  <sheetFormatPr defaultColWidth="8.88671875" defaultRowHeight="13.8" x14ac:dyDescent="0.3"/>
  <cols>
    <col min="1" max="1" width="6.6640625" style="3" customWidth="1"/>
    <col min="2" max="2" width="43" style="1" customWidth="1"/>
    <col min="3" max="3" width="66.109375" style="1" customWidth="1"/>
    <col min="4" max="4" width="66.109375" style="1" hidden="1" customWidth="1"/>
    <col min="5" max="5" width="29.88671875" style="3" customWidth="1"/>
    <col min="6" max="11" width="15.88671875" style="3" customWidth="1"/>
    <col min="12" max="12" width="16.88671875" style="3" customWidth="1"/>
    <col min="13" max="13" width="15.88671875" style="3" customWidth="1"/>
    <col min="14" max="15" width="15.33203125" style="27" customWidth="1"/>
    <col min="16" max="16" width="32.33203125" style="27" customWidth="1"/>
    <col min="17" max="17" width="13.5546875" style="27" customWidth="1"/>
    <col min="18" max="18" width="5" style="27" customWidth="1"/>
    <col min="19" max="21" width="8.88671875" style="27" customWidth="1"/>
    <col min="22" max="22" width="9.44140625" style="27" customWidth="1"/>
    <col min="23" max="23" width="14.109375" style="27" customWidth="1"/>
    <col min="24" max="24" width="8.44140625" style="27" customWidth="1"/>
    <col min="25" max="25" width="26.88671875" style="27" customWidth="1"/>
    <col min="26" max="26" width="14" style="27" customWidth="1"/>
    <col min="27" max="27" width="39.109375" style="27" customWidth="1"/>
    <col min="28" max="28" width="10.5546875" style="27" customWidth="1"/>
    <col min="29" max="33" width="15.5546875" style="27" customWidth="1"/>
    <col min="34" max="34" width="30.88671875" style="27" customWidth="1"/>
    <col min="35" max="36" width="15.5546875" style="27" customWidth="1"/>
    <col min="37" max="37" width="19.88671875" style="27" customWidth="1"/>
    <col min="38" max="38" width="29.6640625" style="27" customWidth="1"/>
    <col min="39" max="39" width="28.88671875" style="27" customWidth="1"/>
    <col min="40" max="40" width="7" style="27" customWidth="1"/>
    <col min="41" max="41" width="9.6640625" style="27" customWidth="1"/>
    <col min="42" max="42" width="10.44140625" style="27" customWidth="1"/>
    <col min="43" max="43" width="10" style="27" customWidth="1"/>
    <col min="44" max="46" width="8.88671875" style="27" customWidth="1"/>
    <col min="47" max="47" width="9.6640625" style="27" customWidth="1"/>
    <col min="48" max="48" width="10.109375" style="27" customWidth="1"/>
    <col min="49" max="52" width="8.88671875" style="27" customWidth="1"/>
    <col min="53" max="53" width="23.88671875" style="27" customWidth="1"/>
    <col min="54" max="54" width="11" style="27" customWidth="1"/>
    <col min="55" max="55" width="12.109375" style="27" customWidth="1"/>
    <col min="56" max="56" width="10" style="27" customWidth="1"/>
    <col min="57" max="58" width="10.33203125" style="27" customWidth="1"/>
    <col min="59" max="59" width="11.109375" style="27" customWidth="1"/>
    <col min="60" max="60" width="10.6640625" style="27" customWidth="1"/>
    <col min="61" max="61" width="12.44140625" style="27" customWidth="1"/>
    <col min="62" max="62" width="10" style="27" customWidth="1"/>
    <col min="63" max="63" width="16.5546875" style="27" customWidth="1"/>
    <col min="64" max="64" width="8" style="27" customWidth="1"/>
    <col min="65" max="65" width="3.33203125" style="27" customWidth="1"/>
    <col min="66" max="73" width="8.88671875" style="27" customWidth="1"/>
    <col min="74" max="1815" width="8.88671875" style="27"/>
    <col min="1816" max="16384" width="8.88671875" style="1"/>
  </cols>
  <sheetData>
    <row r="1" spans="1:1815" ht="33" hidden="1" customHeight="1" x14ac:dyDescent="0.3">
      <c r="A1" s="997" t="s">
        <v>486</v>
      </c>
      <c r="B1" s="998"/>
      <c r="C1" s="998"/>
      <c r="D1" s="998"/>
      <c r="E1" s="998"/>
      <c r="F1" s="998"/>
      <c r="G1" s="998"/>
      <c r="H1" s="998"/>
      <c r="I1" s="998"/>
      <c r="J1" s="998"/>
      <c r="K1" s="998"/>
      <c r="L1" s="998"/>
      <c r="M1" s="998"/>
    </row>
    <row r="2" spans="1:1815" ht="21.75" hidden="1" customHeight="1" x14ac:dyDescent="0.3">
      <c r="A2" s="999"/>
      <c r="B2" s="999"/>
      <c r="C2" s="999"/>
      <c r="D2" s="999"/>
      <c r="E2" s="999"/>
      <c r="F2" s="999"/>
      <c r="G2" s="999"/>
      <c r="H2" s="999"/>
      <c r="I2" s="999"/>
      <c r="J2" s="999"/>
      <c r="K2" s="999"/>
      <c r="L2" s="999"/>
      <c r="M2" s="999"/>
    </row>
    <row r="3" spans="1:1815" ht="15" customHeight="1" x14ac:dyDescent="0.3">
      <c r="A3" s="127"/>
      <c r="B3" s="128"/>
      <c r="C3" s="128"/>
      <c r="D3" s="128"/>
      <c r="E3" s="128"/>
      <c r="F3" s="1000"/>
      <c r="G3" s="1000"/>
      <c r="H3" s="1000"/>
      <c r="I3" s="1000"/>
      <c r="J3" s="1000"/>
      <c r="K3" s="1000"/>
      <c r="L3" s="1000"/>
      <c r="M3" s="1000"/>
    </row>
    <row r="4" spans="1:1815" ht="15" customHeight="1" x14ac:dyDescent="0.3">
      <c r="A4" s="1002">
        <f ca="1">TODAY()</f>
        <v>46002</v>
      </c>
      <c r="B4" s="1002"/>
      <c r="C4" s="129"/>
      <c r="D4" s="128"/>
      <c r="E4" s="128"/>
      <c r="F4" s="1000"/>
      <c r="G4" s="1000"/>
      <c r="H4" s="1000"/>
      <c r="I4" s="1000"/>
      <c r="J4" s="1000"/>
      <c r="K4" s="1000"/>
      <c r="L4" s="1000"/>
      <c r="M4" s="1000"/>
    </row>
    <row r="5" spans="1:1815" ht="15" customHeight="1" x14ac:dyDescent="0.3">
      <c r="A5" s="1002"/>
      <c r="B5" s="1002"/>
      <c r="C5" s="129"/>
      <c r="D5" s="128"/>
      <c r="E5" s="128"/>
      <c r="F5" s="1000"/>
      <c r="G5" s="1000"/>
      <c r="H5" s="1000"/>
      <c r="I5" s="1000"/>
      <c r="J5" s="1000"/>
      <c r="K5" s="1000"/>
      <c r="L5" s="1000"/>
      <c r="M5" s="1000"/>
    </row>
    <row r="6" spans="1:1815" ht="36" customHeight="1" thickBot="1" x14ac:dyDescent="0.35">
      <c r="A6" s="1023" t="s">
        <v>2240</v>
      </c>
      <c r="B6" s="1023"/>
      <c r="C6" s="1023"/>
      <c r="D6" s="1023"/>
      <c r="E6" s="1024"/>
      <c r="F6" s="1001"/>
      <c r="G6" s="1001"/>
      <c r="H6" s="1001"/>
      <c r="I6" s="1001"/>
      <c r="J6" s="1001"/>
      <c r="K6" s="1001"/>
      <c r="L6" s="1001"/>
      <c r="M6" s="1001"/>
    </row>
    <row r="7" spans="1:1815" s="39" customFormat="1" ht="30" customHeight="1" thickBot="1" x14ac:dyDescent="0.3">
      <c r="A7" s="1006" t="s">
        <v>0</v>
      </c>
      <c r="B7" s="982" t="s">
        <v>1</v>
      </c>
      <c r="C7" s="982" t="s">
        <v>487</v>
      </c>
      <c r="D7" s="982" t="s">
        <v>545</v>
      </c>
      <c r="E7" s="982" t="s">
        <v>488</v>
      </c>
      <c r="F7" s="982" t="s">
        <v>3</v>
      </c>
      <c r="G7" s="982" t="s">
        <v>2</v>
      </c>
      <c r="H7" s="967" t="s">
        <v>4</v>
      </c>
      <c r="I7" s="967" t="s">
        <v>5</v>
      </c>
      <c r="J7" s="967" t="s">
        <v>6</v>
      </c>
      <c r="K7" s="967" t="s">
        <v>7</v>
      </c>
      <c r="L7" s="967" t="s">
        <v>8</v>
      </c>
      <c r="M7" s="967" t="s">
        <v>9</v>
      </c>
      <c r="N7" s="985" t="s">
        <v>507</v>
      </c>
      <c r="O7" s="985" t="s">
        <v>508</v>
      </c>
      <c r="P7" s="982" t="s">
        <v>509</v>
      </c>
      <c r="Q7" s="1009" t="s">
        <v>510</v>
      </c>
      <c r="R7" s="985" t="s">
        <v>490</v>
      </c>
      <c r="S7" s="985" t="s">
        <v>511</v>
      </c>
      <c r="T7" s="982" t="s">
        <v>512</v>
      </c>
      <c r="U7" s="985" t="s">
        <v>513</v>
      </c>
      <c r="V7" s="988" t="s">
        <v>514</v>
      </c>
      <c r="W7" s="991" t="s">
        <v>491</v>
      </c>
      <c r="X7" s="851"/>
      <c r="Y7" s="851"/>
      <c r="Z7" s="851"/>
      <c r="AA7" s="851"/>
      <c r="AB7" s="851"/>
      <c r="AC7" s="851"/>
      <c r="AD7" s="851"/>
      <c r="AE7" s="851"/>
      <c r="AF7" s="851"/>
      <c r="AG7" s="851"/>
      <c r="AH7" s="851"/>
      <c r="AI7" s="851"/>
      <c r="AJ7" s="851"/>
      <c r="AK7" s="851"/>
      <c r="AL7" s="852"/>
      <c r="AM7" s="955" t="s">
        <v>628</v>
      </c>
      <c r="AN7" s="975" t="s">
        <v>602</v>
      </c>
      <c r="AO7" s="976"/>
      <c r="AP7" s="976"/>
      <c r="AQ7" s="976"/>
      <c r="AR7" s="976"/>
      <c r="AS7" s="976"/>
      <c r="AT7" s="976"/>
      <c r="AU7" s="976"/>
      <c r="AV7" s="976"/>
      <c r="AW7" s="976"/>
      <c r="AX7" s="976"/>
      <c r="AY7" s="976"/>
      <c r="AZ7" s="976"/>
      <c r="BA7" s="1020" t="s">
        <v>549</v>
      </c>
      <c r="BB7" s="1021" t="s">
        <v>1790</v>
      </c>
      <c r="BC7" s="1022"/>
      <c r="BD7" s="1022"/>
      <c r="BE7" s="1022"/>
      <c r="BF7" s="1022" t="s">
        <v>1791</v>
      </c>
      <c r="BG7" s="1022"/>
      <c r="BH7" s="1022"/>
      <c r="BI7" s="1027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  <c r="AMM7" s="38"/>
      <c r="AMN7" s="38"/>
      <c r="AMO7" s="38"/>
      <c r="AMP7" s="38"/>
      <c r="AMQ7" s="38"/>
      <c r="AMR7" s="38"/>
      <c r="AMS7" s="38"/>
      <c r="AMT7" s="38"/>
      <c r="AMU7" s="38"/>
      <c r="AMV7" s="38"/>
      <c r="AMW7" s="38"/>
      <c r="AMX7" s="38"/>
      <c r="AMY7" s="38"/>
      <c r="AMZ7" s="38"/>
      <c r="ANA7" s="38"/>
      <c r="ANB7" s="38"/>
      <c r="ANC7" s="38"/>
      <c r="AND7" s="38"/>
      <c r="ANE7" s="38"/>
      <c r="ANF7" s="38"/>
      <c r="ANG7" s="38"/>
      <c r="ANH7" s="38"/>
      <c r="ANI7" s="38"/>
      <c r="ANJ7" s="38"/>
      <c r="ANK7" s="38"/>
      <c r="ANL7" s="38"/>
      <c r="ANM7" s="38"/>
      <c r="ANN7" s="38"/>
      <c r="ANO7" s="38"/>
      <c r="ANP7" s="38"/>
      <c r="ANQ7" s="38"/>
      <c r="ANR7" s="38"/>
      <c r="ANS7" s="38"/>
      <c r="ANT7" s="38"/>
      <c r="ANU7" s="38"/>
      <c r="ANV7" s="38"/>
      <c r="ANW7" s="38"/>
      <c r="ANX7" s="38"/>
      <c r="ANY7" s="38"/>
      <c r="ANZ7" s="38"/>
      <c r="AOA7" s="38"/>
      <c r="AOB7" s="38"/>
      <c r="AOC7" s="38"/>
      <c r="AOD7" s="38"/>
      <c r="AOE7" s="38"/>
      <c r="AOF7" s="38"/>
      <c r="AOG7" s="38"/>
      <c r="AOH7" s="38"/>
      <c r="AOI7" s="38"/>
      <c r="AOJ7" s="38"/>
      <c r="AOK7" s="38"/>
      <c r="AOL7" s="38"/>
      <c r="AOM7" s="38"/>
      <c r="AON7" s="38"/>
      <c r="AOO7" s="38"/>
      <c r="AOP7" s="38"/>
      <c r="AOQ7" s="38"/>
      <c r="AOR7" s="38"/>
      <c r="AOS7" s="38"/>
      <c r="AOT7" s="38"/>
      <c r="AOU7" s="38"/>
      <c r="AOV7" s="38"/>
      <c r="AOW7" s="38"/>
      <c r="AOX7" s="38"/>
      <c r="AOY7" s="38"/>
      <c r="AOZ7" s="38"/>
      <c r="APA7" s="38"/>
      <c r="APB7" s="38"/>
      <c r="APC7" s="38"/>
      <c r="APD7" s="38"/>
      <c r="APE7" s="38"/>
      <c r="APF7" s="38"/>
      <c r="APG7" s="38"/>
      <c r="APH7" s="38"/>
      <c r="API7" s="38"/>
      <c r="APJ7" s="38"/>
      <c r="APK7" s="38"/>
      <c r="APL7" s="38"/>
      <c r="APM7" s="38"/>
      <c r="APN7" s="38"/>
      <c r="APO7" s="38"/>
      <c r="APP7" s="38"/>
      <c r="APQ7" s="38"/>
      <c r="APR7" s="38"/>
      <c r="APS7" s="38"/>
      <c r="APT7" s="38"/>
      <c r="APU7" s="38"/>
      <c r="APV7" s="38"/>
      <c r="APW7" s="38"/>
      <c r="APX7" s="38"/>
      <c r="APY7" s="38"/>
      <c r="APZ7" s="38"/>
      <c r="AQA7" s="38"/>
      <c r="AQB7" s="38"/>
      <c r="AQC7" s="38"/>
      <c r="AQD7" s="38"/>
      <c r="AQE7" s="38"/>
      <c r="AQF7" s="38"/>
      <c r="AQG7" s="38"/>
      <c r="AQH7" s="38"/>
      <c r="AQI7" s="38"/>
      <c r="AQJ7" s="38"/>
      <c r="AQK7" s="38"/>
      <c r="AQL7" s="38"/>
      <c r="AQM7" s="38"/>
      <c r="AQN7" s="38"/>
      <c r="AQO7" s="38"/>
      <c r="AQP7" s="38"/>
      <c r="AQQ7" s="38"/>
      <c r="AQR7" s="38"/>
      <c r="AQS7" s="38"/>
      <c r="AQT7" s="38"/>
      <c r="AQU7" s="38"/>
      <c r="AQV7" s="38"/>
      <c r="AQW7" s="38"/>
      <c r="AQX7" s="38"/>
      <c r="AQY7" s="38"/>
      <c r="AQZ7" s="38"/>
      <c r="ARA7" s="38"/>
      <c r="ARB7" s="38"/>
      <c r="ARC7" s="38"/>
      <c r="ARD7" s="38"/>
      <c r="ARE7" s="38"/>
      <c r="ARF7" s="38"/>
      <c r="ARG7" s="38"/>
      <c r="ARH7" s="38"/>
      <c r="ARI7" s="38"/>
      <c r="ARJ7" s="38"/>
      <c r="ARK7" s="38"/>
      <c r="ARL7" s="38"/>
      <c r="ARM7" s="38"/>
      <c r="ARN7" s="38"/>
      <c r="ARO7" s="38"/>
      <c r="ARP7" s="38"/>
      <c r="ARQ7" s="38"/>
      <c r="ARR7" s="38"/>
      <c r="ARS7" s="38"/>
      <c r="ART7" s="38"/>
      <c r="ARU7" s="38"/>
      <c r="ARV7" s="38"/>
      <c r="ARW7" s="38"/>
      <c r="ARX7" s="38"/>
      <c r="ARY7" s="38"/>
      <c r="ARZ7" s="38"/>
      <c r="ASA7" s="38"/>
      <c r="ASB7" s="38"/>
      <c r="ASC7" s="38"/>
      <c r="ASD7" s="38"/>
      <c r="ASE7" s="38"/>
      <c r="ASF7" s="38"/>
      <c r="ASG7" s="38"/>
      <c r="ASH7" s="38"/>
      <c r="ASI7" s="38"/>
      <c r="ASJ7" s="38"/>
      <c r="ASK7" s="38"/>
      <c r="ASL7" s="38"/>
      <c r="ASM7" s="38"/>
      <c r="ASN7" s="38"/>
      <c r="ASO7" s="38"/>
      <c r="ASP7" s="38"/>
      <c r="ASQ7" s="38"/>
      <c r="ASR7" s="38"/>
      <c r="ASS7" s="38"/>
      <c r="AST7" s="38"/>
      <c r="ASU7" s="38"/>
      <c r="ASV7" s="38"/>
      <c r="ASW7" s="38"/>
      <c r="ASX7" s="38"/>
      <c r="ASY7" s="38"/>
      <c r="ASZ7" s="38"/>
      <c r="ATA7" s="38"/>
      <c r="ATB7" s="38"/>
      <c r="ATC7" s="38"/>
      <c r="ATD7" s="38"/>
      <c r="ATE7" s="38"/>
      <c r="ATF7" s="38"/>
      <c r="ATG7" s="38"/>
      <c r="ATH7" s="38"/>
      <c r="ATI7" s="38"/>
      <c r="ATJ7" s="38"/>
      <c r="ATK7" s="38"/>
      <c r="ATL7" s="38"/>
      <c r="ATM7" s="38"/>
      <c r="ATN7" s="38"/>
      <c r="ATO7" s="38"/>
      <c r="ATP7" s="38"/>
      <c r="ATQ7" s="38"/>
      <c r="ATR7" s="38"/>
      <c r="ATS7" s="38"/>
      <c r="ATT7" s="38"/>
      <c r="ATU7" s="38"/>
      <c r="ATV7" s="38"/>
      <c r="ATW7" s="38"/>
      <c r="ATX7" s="38"/>
      <c r="ATY7" s="38"/>
      <c r="ATZ7" s="38"/>
      <c r="AUA7" s="38"/>
      <c r="AUB7" s="38"/>
      <c r="AUC7" s="38"/>
      <c r="AUD7" s="38"/>
      <c r="AUE7" s="38"/>
      <c r="AUF7" s="38"/>
      <c r="AUG7" s="38"/>
      <c r="AUH7" s="38"/>
      <c r="AUI7" s="38"/>
      <c r="AUJ7" s="38"/>
      <c r="AUK7" s="38"/>
      <c r="AUL7" s="38"/>
      <c r="AUM7" s="38"/>
      <c r="AUN7" s="38"/>
      <c r="AUO7" s="38"/>
      <c r="AUP7" s="38"/>
      <c r="AUQ7" s="38"/>
      <c r="AUR7" s="38"/>
      <c r="AUS7" s="38"/>
      <c r="AUT7" s="38"/>
      <c r="AUU7" s="38"/>
      <c r="AUV7" s="38"/>
      <c r="AUW7" s="38"/>
      <c r="AUX7" s="38"/>
      <c r="AUY7" s="38"/>
      <c r="AUZ7" s="38"/>
      <c r="AVA7" s="38"/>
      <c r="AVB7" s="38"/>
      <c r="AVC7" s="38"/>
      <c r="AVD7" s="38"/>
      <c r="AVE7" s="38"/>
      <c r="AVF7" s="38"/>
      <c r="AVG7" s="38"/>
      <c r="AVH7" s="38"/>
      <c r="AVI7" s="38"/>
      <c r="AVJ7" s="38"/>
      <c r="AVK7" s="38"/>
      <c r="AVL7" s="38"/>
      <c r="AVM7" s="38"/>
      <c r="AVN7" s="38"/>
      <c r="AVO7" s="38"/>
      <c r="AVP7" s="38"/>
      <c r="AVQ7" s="38"/>
      <c r="AVR7" s="38"/>
      <c r="AVS7" s="38"/>
      <c r="AVT7" s="38"/>
      <c r="AVU7" s="38"/>
      <c r="AVV7" s="38"/>
      <c r="AVW7" s="38"/>
      <c r="AVX7" s="38"/>
      <c r="AVY7" s="38"/>
      <c r="AVZ7" s="38"/>
      <c r="AWA7" s="38"/>
      <c r="AWB7" s="38"/>
      <c r="AWC7" s="38"/>
      <c r="AWD7" s="38"/>
      <c r="AWE7" s="38"/>
      <c r="AWF7" s="38"/>
      <c r="AWG7" s="38"/>
      <c r="AWH7" s="38"/>
      <c r="AWI7" s="38"/>
      <c r="AWJ7" s="38"/>
      <c r="AWK7" s="38"/>
      <c r="AWL7" s="38"/>
      <c r="AWM7" s="38"/>
      <c r="AWN7" s="38"/>
      <c r="AWO7" s="38"/>
      <c r="AWP7" s="38"/>
      <c r="AWQ7" s="38"/>
      <c r="AWR7" s="38"/>
      <c r="AWS7" s="38"/>
      <c r="AWT7" s="38"/>
      <c r="AWU7" s="38"/>
      <c r="AWV7" s="38"/>
      <c r="AWW7" s="38"/>
      <c r="AWX7" s="38"/>
      <c r="AWY7" s="38"/>
      <c r="AWZ7" s="38"/>
      <c r="AXA7" s="38"/>
      <c r="AXB7" s="38"/>
      <c r="AXC7" s="38"/>
      <c r="AXD7" s="38"/>
      <c r="AXE7" s="38"/>
      <c r="AXF7" s="38"/>
      <c r="AXG7" s="38"/>
      <c r="AXH7" s="38"/>
      <c r="AXI7" s="38"/>
      <c r="AXJ7" s="38"/>
      <c r="AXK7" s="38"/>
      <c r="AXL7" s="38"/>
      <c r="AXM7" s="38"/>
      <c r="AXN7" s="38"/>
      <c r="AXO7" s="38"/>
      <c r="AXP7" s="38"/>
      <c r="AXQ7" s="38"/>
      <c r="AXR7" s="38"/>
      <c r="AXS7" s="38"/>
      <c r="AXT7" s="38"/>
      <c r="AXU7" s="38"/>
      <c r="AXV7" s="38"/>
      <c r="AXW7" s="38"/>
      <c r="AXX7" s="38"/>
      <c r="AXY7" s="38"/>
      <c r="AXZ7" s="38"/>
      <c r="AYA7" s="38"/>
      <c r="AYB7" s="38"/>
      <c r="AYC7" s="38"/>
      <c r="AYD7" s="38"/>
      <c r="AYE7" s="38"/>
      <c r="AYF7" s="38"/>
      <c r="AYG7" s="38"/>
      <c r="AYH7" s="38"/>
      <c r="AYI7" s="38"/>
      <c r="AYJ7" s="38"/>
      <c r="AYK7" s="38"/>
      <c r="AYL7" s="38"/>
      <c r="AYM7" s="38"/>
      <c r="AYN7" s="38"/>
      <c r="AYO7" s="38"/>
      <c r="AYP7" s="38"/>
      <c r="AYQ7" s="38"/>
      <c r="AYR7" s="38"/>
      <c r="AYS7" s="38"/>
      <c r="AYT7" s="38"/>
      <c r="AYU7" s="38"/>
      <c r="AYV7" s="38"/>
      <c r="AYW7" s="38"/>
      <c r="AYX7" s="38"/>
      <c r="AYY7" s="38"/>
      <c r="AYZ7" s="38"/>
      <c r="AZA7" s="38"/>
      <c r="AZB7" s="38"/>
      <c r="AZC7" s="38"/>
      <c r="AZD7" s="38"/>
      <c r="AZE7" s="38"/>
      <c r="AZF7" s="38"/>
      <c r="AZG7" s="38"/>
      <c r="AZH7" s="38"/>
      <c r="AZI7" s="38"/>
      <c r="AZJ7" s="38"/>
      <c r="AZK7" s="38"/>
      <c r="AZL7" s="38"/>
      <c r="AZM7" s="38"/>
      <c r="AZN7" s="38"/>
      <c r="AZO7" s="38"/>
      <c r="AZP7" s="38"/>
      <c r="AZQ7" s="38"/>
      <c r="AZR7" s="38"/>
      <c r="AZS7" s="38"/>
      <c r="AZT7" s="38"/>
      <c r="AZU7" s="38"/>
      <c r="AZV7" s="38"/>
      <c r="AZW7" s="38"/>
      <c r="AZX7" s="38"/>
      <c r="AZY7" s="38"/>
      <c r="AZZ7" s="38"/>
      <c r="BAA7" s="38"/>
      <c r="BAB7" s="38"/>
      <c r="BAC7" s="38"/>
      <c r="BAD7" s="38"/>
      <c r="BAE7" s="38"/>
      <c r="BAF7" s="38"/>
      <c r="BAG7" s="38"/>
      <c r="BAH7" s="38"/>
      <c r="BAI7" s="38"/>
      <c r="BAJ7" s="38"/>
      <c r="BAK7" s="38"/>
      <c r="BAL7" s="38"/>
      <c r="BAM7" s="38"/>
      <c r="BAN7" s="38"/>
      <c r="BAO7" s="38"/>
      <c r="BAP7" s="38"/>
      <c r="BAQ7" s="38"/>
      <c r="BAR7" s="38"/>
      <c r="BAS7" s="38"/>
      <c r="BAT7" s="38"/>
      <c r="BAU7" s="38"/>
      <c r="BAV7" s="38"/>
      <c r="BAW7" s="38"/>
      <c r="BAX7" s="38"/>
      <c r="BAY7" s="38"/>
      <c r="BAZ7" s="38"/>
      <c r="BBA7" s="38"/>
      <c r="BBB7" s="38"/>
      <c r="BBC7" s="38"/>
      <c r="BBD7" s="38"/>
      <c r="BBE7" s="38"/>
      <c r="BBF7" s="38"/>
      <c r="BBG7" s="38"/>
      <c r="BBH7" s="38"/>
      <c r="BBI7" s="38"/>
      <c r="BBJ7" s="38"/>
      <c r="BBK7" s="38"/>
      <c r="BBL7" s="38"/>
      <c r="BBM7" s="38"/>
      <c r="BBN7" s="38"/>
      <c r="BBO7" s="38"/>
      <c r="BBP7" s="38"/>
      <c r="BBQ7" s="38"/>
      <c r="BBR7" s="38"/>
      <c r="BBS7" s="38"/>
      <c r="BBT7" s="38"/>
      <c r="BBU7" s="38"/>
      <c r="BBV7" s="38"/>
      <c r="BBW7" s="38"/>
      <c r="BBX7" s="38"/>
      <c r="BBY7" s="38"/>
      <c r="BBZ7" s="38"/>
      <c r="BCA7" s="38"/>
      <c r="BCB7" s="38"/>
      <c r="BCC7" s="38"/>
      <c r="BCD7" s="38"/>
      <c r="BCE7" s="38"/>
      <c r="BCF7" s="38"/>
      <c r="BCG7" s="38"/>
      <c r="BCH7" s="38"/>
      <c r="BCI7" s="38"/>
      <c r="BCJ7" s="38"/>
      <c r="BCK7" s="38"/>
      <c r="BCL7" s="38"/>
      <c r="BCM7" s="38"/>
      <c r="BCN7" s="38"/>
      <c r="BCO7" s="38"/>
      <c r="BCP7" s="38"/>
      <c r="BCQ7" s="38"/>
      <c r="BCR7" s="38"/>
      <c r="BCS7" s="38"/>
      <c r="BCT7" s="38"/>
      <c r="BCU7" s="38"/>
      <c r="BCV7" s="38"/>
      <c r="BCW7" s="38"/>
      <c r="BCX7" s="38"/>
      <c r="BCY7" s="38"/>
      <c r="BCZ7" s="38"/>
      <c r="BDA7" s="38"/>
      <c r="BDB7" s="38"/>
      <c r="BDC7" s="38"/>
      <c r="BDD7" s="38"/>
      <c r="BDE7" s="38"/>
      <c r="BDF7" s="38"/>
      <c r="BDG7" s="38"/>
      <c r="BDH7" s="38"/>
      <c r="BDI7" s="38"/>
      <c r="BDJ7" s="38"/>
      <c r="BDK7" s="38"/>
      <c r="BDL7" s="38"/>
      <c r="BDM7" s="38"/>
      <c r="BDN7" s="38"/>
      <c r="BDO7" s="38"/>
      <c r="BDP7" s="38"/>
      <c r="BDQ7" s="38"/>
      <c r="BDR7" s="38"/>
      <c r="BDS7" s="38"/>
      <c r="BDT7" s="38"/>
      <c r="BDU7" s="38"/>
      <c r="BDV7" s="38"/>
      <c r="BDW7" s="38"/>
      <c r="BDX7" s="38"/>
      <c r="BDY7" s="38"/>
      <c r="BDZ7" s="38"/>
      <c r="BEA7" s="38"/>
      <c r="BEB7" s="38"/>
      <c r="BEC7" s="38"/>
      <c r="BED7" s="38"/>
      <c r="BEE7" s="38"/>
      <c r="BEF7" s="38"/>
      <c r="BEG7" s="38"/>
      <c r="BEH7" s="38"/>
      <c r="BEI7" s="38"/>
      <c r="BEJ7" s="38"/>
      <c r="BEK7" s="38"/>
      <c r="BEL7" s="38"/>
      <c r="BEM7" s="38"/>
      <c r="BEN7" s="38"/>
      <c r="BEO7" s="38"/>
      <c r="BEP7" s="38"/>
      <c r="BEQ7" s="38"/>
      <c r="BER7" s="38"/>
      <c r="BES7" s="38"/>
      <c r="BET7" s="38"/>
      <c r="BEU7" s="38"/>
      <c r="BEV7" s="38"/>
      <c r="BEW7" s="38"/>
      <c r="BEX7" s="38"/>
      <c r="BEY7" s="38"/>
      <c r="BEZ7" s="38"/>
      <c r="BFA7" s="38"/>
      <c r="BFB7" s="38"/>
      <c r="BFC7" s="38"/>
      <c r="BFD7" s="38"/>
      <c r="BFE7" s="38"/>
      <c r="BFF7" s="38"/>
      <c r="BFG7" s="38"/>
      <c r="BFH7" s="38"/>
      <c r="BFI7" s="38"/>
      <c r="BFJ7" s="38"/>
      <c r="BFK7" s="38"/>
      <c r="BFL7" s="38"/>
      <c r="BFM7" s="38"/>
      <c r="BFN7" s="38"/>
      <c r="BFO7" s="38"/>
      <c r="BFP7" s="38"/>
      <c r="BFQ7" s="38"/>
      <c r="BFR7" s="38"/>
      <c r="BFS7" s="38"/>
      <c r="BFT7" s="38"/>
      <c r="BFU7" s="38"/>
      <c r="BFV7" s="38"/>
      <c r="BFW7" s="38"/>
      <c r="BFX7" s="38"/>
      <c r="BFY7" s="38"/>
      <c r="BFZ7" s="38"/>
      <c r="BGA7" s="38"/>
      <c r="BGB7" s="38"/>
      <c r="BGC7" s="38"/>
      <c r="BGD7" s="38"/>
      <c r="BGE7" s="38"/>
      <c r="BGF7" s="38"/>
      <c r="BGG7" s="38"/>
      <c r="BGH7" s="38"/>
      <c r="BGI7" s="38"/>
      <c r="BGJ7" s="38"/>
      <c r="BGK7" s="38"/>
      <c r="BGL7" s="38"/>
      <c r="BGM7" s="38"/>
      <c r="BGN7" s="38"/>
      <c r="BGO7" s="38"/>
      <c r="BGP7" s="38"/>
      <c r="BGQ7" s="38"/>
      <c r="BGR7" s="38"/>
      <c r="BGS7" s="38"/>
      <c r="BGT7" s="38"/>
      <c r="BGU7" s="38"/>
      <c r="BGV7" s="38"/>
      <c r="BGW7" s="38"/>
      <c r="BGX7" s="38"/>
      <c r="BGY7" s="38"/>
      <c r="BGZ7" s="38"/>
      <c r="BHA7" s="38"/>
      <c r="BHB7" s="38"/>
      <c r="BHC7" s="38"/>
      <c r="BHD7" s="38"/>
      <c r="BHE7" s="38"/>
      <c r="BHF7" s="38"/>
      <c r="BHG7" s="38"/>
      <c r="BHH7" s="38"/>
      <c r="BHI7" s="38"/>
      <c r="BHJ7" s="38"/>
      <c r="BHK7" s="38"/>
      <c r="BHL7" s="38"/>
      <c r="BHM7" s="38"/>
      <c r="BHN7" s="38"/>
      <c r="BHO7" s="38"/>
      <c r="BHP7" s="38"/>
      <c r="BHQ7" s="38"/>
      <c r="BHR7" s="38"/>
      <c r="BHS7" s="38"/>
      <c r="BHT7" s="38"/>
      <c r="BHU7" s="38"/>
      <c r="BHV7" s="38"/>
      <c r="BHW7" s="38"/>
      <c r="BHX7" s="38"/>
      <c r="BHY7" s="38"/>
      <c r="BHZ7" s="38"/>
      <c r="BIA7" s="38"/>
      <c r="BIB7" s="38"/>
      <c r="BIC7" s="38"/>
      <c r="BID7" s="38"/>
      <c r="BIE7" s="38"/>
      <c r="BIF7" s="38"/>
      <c r="BIG7" s="38"/>
      <c r="BIH7" s="38"/>
      <c r="BII7" s="38"/>
      <c r="BIJ7" s="38"/>
      <c r="BIK7" s="38"/>
      <c r="BIL7" s="38"/>
      <c r="BIM7" s="38"/>
      <c r="BIN7" s="38"/>
      <c r="BIO7" s="38"/>
      <c r="BIP7" s="38"/>
      <c r="BIQ7" s="38"/>
      <c r="BIR7" s="38"/>
      <c r="BIS7" s="38"/>
      <c r="BIT7" s="38"/>
      <c r="BIU7" s="38"/>
      <c r="BIV7" s="38"/>
      <c r="BIW7" s="38"/>
      <c r="BIX7" s="38"/>
      <c r="BIY7" s="38"/>
      <c r="BIZ7" s="38"/>
      <c r="BJA7" s="38"/>
      <c r="BJB7" s="38"/>
      <c r="BJC7" s="38"/>
      <c r="BJD7" s="38"/>
      <c r="BJE7" s="38"/>
      <c r="BJF7" s="38"/>
      <c r="BJG7" s="38"/>
      <c r="BJH7" s="38"/>
      <c r="BJI7" s="38"/>
      <c r="BJJ7" s="38"/>
      <c r="BJK7" s="38"/>
      <c r="BJL7" s="38"/>
      <c r="BJM7" s="38"/>
      <c r="BJN7" s="38"/>
      <c r="BJO7" s="38"/>
      <c r="BJP7" s="38"/>
      <c r="BJQ7" s="38"/>
      <c r="BJR7" s="38"/>
      <c r="BJS7" s="38"/>
      <c r="BJT7" s="38"/>
      <c r="BJU7" s="38"/>
      <c r="BJV7" s="38"/>
      <c r="BJW7" s="38"/>
      <c r="BJX7" s="38"/>
      <c r="BJY7" s="38"/>
      <c r="BJZ7" s="38"/>
      <c r="BKA7" s="38"/>
      <c r="BKB7" s="38"/>
      <c r="BKC7" s="38"/>
      <c r="BKD7" s="38"/>
      <c r="BKE7" s="38"/>
      <c r="BKF7" s="38"/>
      <c r="BKG7" s="38"/>
      <c r="BKH7" s="38"/>
      <c r="BKI7" s="38"/>
      <c r="BKJ7" s="38"/>
      <c r="BKK7" s="38"/>
      <c r="BKL7" s="38"/>
      <c r="BKM7" s="38"/>
      <c r="BKN7" s="38"/>
      <c r="BKO7" s="38"/>
      <c r="BKP7" s="38"/>
      <c r="BKQ7" s="38"/>
      <c r="BKR7" s="38"/>
      <c r="BKS7" s="38"/>
      <c r="BKT7" s="38"/>
      <c r="BKU7" s="38"/>
      <c r="BKV7" s="38"/>
      <c r="BKW7" s="38"/>
      <c r="BKX7" s="38"/>
      <c r="BKY7" s="38"/>
      <c r="BKZ7" s="38"/>
      <c r="BLA7" s="38"/>
      <c r="BLB7" s="38"/>
      <c r="BLC7" s="38"/>
      <c r="BLD7" s="38"/>
      <c r="BLE7" s="38"/>
      <c r="BLF7" s="38"/>
      <c r="BLG7" s="38"/>
      <c r="BLH7" s="38"/>
      <c r="BLI7" s="38"/>
      <c r="BLJ7" s="38"/>
      <c r="BLK7" s="38"/>
      <c r="BLL7" s="38"/>
      <c r="BLM7" s="38"/>
      <c r="BLN7" s="38"/>
      <c r="BLO7" s="38"/>
      <c r="BLP7" s="38"/>
      <c r="BLQ7" s="38"/>
      <c r="BLR7" s="38"/>
      <c r="BLS7" s="38"/>
      <c r="BLT7" s="38"/>
      <c r="BLU7" s="38"/>
      <c r="BLV7" s="38"/>
      <c r="BLW7" s="38"/>
      <c r="BLX7" s="38"/>
      <c r="BLY7" s="38"/>
      <c r="BLZ7" s="38"/>
      <c r="BMA7" s="38"/>
      <c r="BMB7" s="38"/>
      <c r="BMC7" s="38"/>
      <c r="BMD7" s="38"/>
      <c r="BME7" s="38"/>
      <c r="BMF7" s="38"/>
      <c r="BMG7" s="38"/>
      <c r="BMH7" s="38"/>
      <c r="BMI7" s="38"/>
      <c r="BMJ7" s="38"/>
      <c r="BMK7" s="38"/>
      <c r="BML7" s="38"/>
      <c r="BMM7" s="38"/>
      <c r="BMN7" s="38"/>
      <c r="BMO7" s="38"/>
      <c r="BMP7" s="38"/>
      <c r="BMQ7" s="38"/>
      <c r="BMR7" s="38"/>
      <c r="BMS7" s="38"/>
      <c r="BMT7" s="38"/>
      <c r="BMU7" s="38"/>
      <c r="BMV7" s="38"/>
      <c r="BMW7" s="38"/>
      <c r="BMX7" s="38"/>
      <c r="BMY7" s="38"/>
      <c r="BMZ7" s="38"/>
      <c r="BNA7" s="38"/>
      <c r="BNB7" s="38"/>
      <c r="BNC7" s="38"/>
      <c r="BND7" s="38"/>
      <c r="BNE7" s="38"/>
      <c r="BNF7" s="38"/>
      <c r="BNG7" s="38"/>
      <c r="BNH7" s="38"/>
      <c r="BNI7" s="38"/>
      <c r="BNJ7" s="38"/>
      <c r="BNK7" s="38"/>
      <c r="BNL7" s="38"/>
      <c r="BNM7" s="38"/>
      <c r="BNN7" s="38"/>
      <c r="BNO7" s="38"/>
      <c r="BNP7" s="38"/>
      <c r="BNQ7" s="38"/>
      <c r="BNR7" s="38"/>
      <c r="BNS7" s="38"/>
      <c r="BNT7" s="38"/>
      <c r="BNU7" s="38"/>
      <c r="BNV7" s="38"/>
      <c r="BNW7" s="38"/>
      <c r="BNX7" s="38"/>
      <c r="BNY7" s="38"/>
      <c r="BNZ7" s="38"/>
      <c r="BOA7" s="38"/>
      <c r="BOB7" s="38"/>
      <c r="BOC7" s="38"/>
      <c r="BOD7" s="38"/>
      <c r="BOE7" s="38"/>
      <c r="BOF7" s="38"/>
      <c r="BOG7" s="38"/>
      <c r="BOH7" s="38"/>
      <c r="BOI7" s="38"/>
      <c r="BOJ7" s="38"/>
      <c r="BOK7" s="38"/>
      <c r="BOL7" s="38"/>
      <c r="BOM7" s="38"/>
      <c r="BON7" s="38"/>
      <c r="BOO7" s="38"/>
      <c r="BOP7" s="38"/>
      <c r="BOQ7" s="38"/>
      <c r="BOR7" s="38"/>
      <c r="BOS7" s="38"/>
      <c r="BOT7" s="38"/>
      <c r="BOU7" s="38"/>
      <c r="BOV7" s="38"/>
      <c r="BOW7" s="38"/>
      <c r="BOX7" s="38"/>
      <c r="BOY7" s="38"/>
      <c r="BOZ7" s="38"/>
      <c r="BPA7" s="38"/>
      <c r="BPB7" s="38"/>
      <c r="BPC7" s="38"/>
      <c r="BPD7" s="38"/>
      <c r="BPE7" s="38"/>
      <c r="BPF7" s="38"/>
      <c r="BPG7" s="38"/>
      <c r="BPH7" s="38"/>
      <c r="BPI7" s="38"/>
      <c r="BPJ7" s="38"/>
      <c r="BPK7" s="38"/>
      <c r="BPL7" s="38"/>
      <c r="BPM7" s="38"/>
      <c r="BPN7" s="38"/>
      <c r="BPO7" s="38"/>
      <c r="BPP7" s="38"/>
      <c r="BPQ7" s="38"/>
      <c r="BPR7" s="38"/>
      <c r="BPS7" s="38"/>
      <c r="BPT7" s="38"/>
      <c r="BPU7" s="38"/>
      <c r="BPV7" s="38"/>
      <c r="BPW7" s="38"/>
      <c r="BPX7" s="38"/>
      <c r="BPY7" s="38"/>
      <c r="BPZ7" s="38"/>
      <c r="BQA7" s="38"/>
      <c r="BQB7" s="38"/>
      <c r="BQC7" s="38"/>
      <c r="BQD7" s="38"/>
      <c r="BQE7" s="38"/>
      <c r="BQF7" s="38"/>
      <c r="BQG7" s="38"/>
      <c r="BQH7" s="38"/>
      <c r="BQI7" s="38"/>
      <c r="BQJ7" s="38"/>
      <c r="BQK7" s="38"/>
      <c r="BQL7" s="38"/>
      <c r="BQM7" s="38"/>
      <c r="BQN7" s="38"/>
      <c r="BQO7" s="38"/>
      <c r="BQP7" s="38"/>
      <c r="BQQ7" s="38"/>
      <c r="BQR7" s="38"/>
      <c r="BQS7" s="38"/>
      <c r="BQT7" s="38"/>
      <c r="BQU7" s="38"/>
    </row>
    <row r="8" spans="1:1815" s="39" customFormat="1" ht="32.25" customHeight="1" thickBot="1" x14ac:dyDescent="0.35">
      <c r="A8" s="1007"/>
      <c r="B8" s="983"/>
      <c r="C8" s="983"/>
      <c r="D8" s="983"/>
      <c r="E8" s="983"/>
      <c r="F8" s="983"/>
      <c r="G8" s="983"/>
      <c r="H8" s="976"/>
      <c r="I8" s="976"/>
      <c r="J8" s="976"/>
      <c r="K8" s="976"/>
      <c r="L8" s="976"/>
      <c r="M8" s="976"/>
      <c r="N8" s="986"/>
      <c r="O8" s="986"/>
      <c r="P8" s="983"/>
      <c r="Q8" s="1010"/>
      <c r="R8" s="986"/>
      <c r="S8" s="986"/>
      <c r="T8" s="983"/>
      <c r="U8" s="986"/>
      <c r="V8" s="989"/>
      <c r="W8" s="965" t="s">
        <v>515</v>
      </c>
      <c r="X8" s="967" t="s">
        <v>516</v>
      </c>
      <c r="Y8" s="969" t="s">
        <v>517</v>
      </c>
      <c r="Z8" s="969" t="s">
        <v>518</v>
      </c>
      <c r="AA8" s="969" t="s">
        <v>519</v>
      </c>
      <c r="AB8" s="969" t="s">
        <v>520</v>
      </c>
      <c r="AC8" s="992" t="s">
        <v>521</v>
      </c>
      <c r="AD8" s="994" t="s">
        <v>492</v>
      </c>
      <c r="AE8" s="995"/>
      <c r="AF8" s="995"/>
      <c r="AG8" s="996"/>
      <c r="AH8" s="994" t="s">
        <v>493</v>
      </c>
      <c r="AI8" s="995"/>
      <c r="AJ8" s="995"/>
      <c r="AK8" s="995"/>
      <c r="AL8" s="996"/>
      <c r="AM8" s="971"/>
      <c r="AN8" s="957" t="s">
        <v>496</v>
      </c>
      <c r="AO8" s="1025" t="s">
        <v>605</v>
      </c>
      <c r="AP8" s="977" t="s">
        <v>606</v>
      </c>
      <c r="AQ8" s="979" t="s">
        <v>607</v>
      </c>
      <c r="AR8" s="980"/>
      <c r="AS8" s="980"/>
      <c r="AT8" s="980"/>
      <c r="AU8" s="980"/>
      <c r="AV8" s="980"/>
      <c r="AW8" s="981"/>
      <c r="AX8" s="979" t="s">
        <v>608</v>
      </c>
      <c r="AY8" s="980"/>
      <c r="AZ8" s="981"/>
      <c r="BA8" s="1020"/>
      <c r="BB8" s="130" t="s">
        <v>609</v>
      </c>
      <c r="BC8" s="382" t="s">
        <v>610</v>
      </c>
      <c r="BD8" s="382" t="s">
        <v>611</v>
      </c>
      <c r="BE8" s="382" t="s">
        <v>612</v>
      </c>
      <c r="BF8" s="382" t="s">
        <v>609</v>
      </c>
      <c r="BG8" s="386" t="s">
        <v>610</v>
      </c>
      <c r="BH8" s="386" t="s">
        <v>611</v>
      </c>
      <c r="BI8" s="386" t="s">
        <v>613</v>
      </c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  <c r="AMM8" s="38"/>
      <c r="AMN8" s="38"/>
      <c r="AMO8" s="38"/>
      <c r="AMP8" s="38"/>
      <c r="AMQ8" s="38"/>
      <c r="AMR8" s="38"/>
      <c r="AMS8" s="38"/>
      <c r="AMT8" s="38"/>
      <c r="AMU8" s="38"/>
      <c r="AMV8" s="38"/>
      <c r="AMW8" s="38"/>
      <c r="AMX8" s="38"/>
      <c r="AMY8" s="38"/>
      <c r="AMZ8" s="38"/>
      <c r="ANA8" s="38"/>
      <c r="ANB8" s="38"/>
      <c r="ANC8" s="38"/>
      <c r="AND8" s="38"/>
      <c r="ANE8" s="38"/>
      <c r="ANF8" s="38"/>
      <c r="ANG8" s="38"/>
      <c r="ANH8" s="38"/>
      <c r="ANI8" s="38"/>
      <c r="ANJ8" s="38"/>
      <c r="ANK8" s="38"/>
      <c r="ANL8" s="38"/>
      <c r="ANM8" s="38"/>
      <c r="ANN8" s="38"/>
      <c r="ANO8" s="38"/>
      <c r="ANP8" s="38"/>
      <c r="ANQ8" s="38"/>
      <c r="ANR8" s="38"/>
      <c r="ANS8" s="38"/>
      <c r="ANT8" s="38"/>
      <c r="ANU8" s="38"/>
      <c r="ANV8" s="38"/>
      <c r="ANW8" s="38"/>
      <c r="ANX8" s="38"/>
      <c r="ANY8" s="38"/>
      <c r="ANZ8" s="38"/>
      <c r="AOA8" s="38"/>
      <c r="AOB8" s="38"/>
      <c r="AOC8" s="38"/>
      <c r="AOD8" s="38"/>
      <c r="AOE8" s="38"/>
      <c r="AOF8" s="38"/>
      <c r="AOG8" s="38"/>
      <c r="AOH8" s="38"/>
      <c r="AOI8" s="38"/>
      <c r="AOJ8" s="38"/>
      <c r="AOK8" s="38"/>
      <c r="AOL8" s="38"/>
      <c r="AOM8" s="38"/>
      <c r="AON8" s="38"/>
      <c r="AOO8" s="38"/>
      <c r="AOP8" s="38"/>
      <c r="AOQ8" s="38"/>
      <c r="AOR8" s="38"/>
      <c r="AOS8" s="38"/>
      <c r="AOT8" s="38"/>
      <c r="AOU8" s="38"/>
      <c r="AOV8" s="38"/>
      <c r="AOW8" s="38"/>
      <c r="AOX8" s="38"/>
      <c r="AOY8" s="38"/>
      <c r="AOZ8" s="38"/>
      <c r="APA8" s="38"/>
      <c r="APB8" s="38"/>
      <c r="APC8" s="38"/>
      <c r="APD8" s="38"/>
      <c r="APE8" s="38"/>
      <c r="APF8" s="38"/>
      <c r="APG8" s="38"/>
      <c r="APH8" s="38"/>
      <c r="API8" s="38"/>
      <c r="APJ8" s="38"/>
      <c r="APK8" s="38"/>
      <c r="APL8" s="38"/>
      <c r="APM8" s="38"/>
      <c r="APN8" s="38"/>
      <c r="APO8" s="38"/>
      <c r="APP8" s="38"/>
      <c r="APQ8" s="38"/>
      <c r="APR8" s="38"/>
      <c r="APS8" s="38"/>
      <c r="APT8" s="38"/>
      <c r="APU8" s="38"/>
      <c r="APV8" s="38"/>
      <c r="APW8" s="38"/>
      <c r="APX8" s="38"/>
      <c r="APY8" s="38"/>
      <c r="APZ8" s="38"/>
      <c r="AQA8" s="38"/>
      <c r="AQB8" s="38"/>
      <c r="AQC8" s="38"/>
      <c r="AQD8" s="38"/>
      <c r="AQE8" s="38"/>
      <c r="AQF8" s="38"/>
      <c r="AQG8" s="38"/>
      <c r="AQH8" s="38"/>
      <c r="AQI8" s="38"/>
      <c r="AQJ8" s="38"/>
      <c r="AQK8" s="38"/>
      <c r="AQL8" s="38"/>
      <c r="AQM8" s="38"/>
      <c r="AQN8" s="38"/>
      <c r="AQO8" s="38"/>
      <c r="AQP8" s="38"/>
      <c r="AQQ8" s="38"/>
      <c r="AQR8" s="38"/>
      <c r="AQS8" s="38"/>
      <c r="AQT8" s="38"/>
      <c r="AQU8" s="38"/>
      <c r="AQV8" s="38"/>
      <c r="AQW8" s="38"/>
      <c r="AQX8" s="38"/>
      <c r="AQY8" s="38"/>
      <c r="AQZ8" s="38"/>
      <c r="ARA8" s="38"/>
      <c r="ARB8" s="38"/>
      <c r="ARC8" s="38"/>
      <c r="ARD8" s="38"/>
      <c r="ARE8" s="38"/>
      <c r="ARF8" s="38"/>
      <c r="ARG8" s="38"/>
      <c r="ARH8" s="38"/>
      <c r="ARI8" s="38"/>
      <c r="ARJ8" s="38"/>
      <c r="ARK8" s="38"/>
      <c r="ARL8" s="38"/>
      <c r="ARM8" s="38"/>
      <c r="ARN8" s="38"/>
      <c r="ARO8" s="38"/>
      <c r="ARP8" s="38"/>
      <c r="ARQ8" s="38"/>
      <c r="ARR8" s="38"/>
      <c r="ARS8" s="38"/>
      <c r="ART8" s="38"/>
      <c r="ARU8" s="38"/>
      <c r="ARV8" s="38"/>
      <c r="ARW8" s="38"/>
      <c r="ARX8" s="38"/>
      <c r="ARY8" s="38"/>
      <c r="ARZ8" s="38"/>
      <c r="ASA8" s="38"/>
      <c r="ASB8" s="38"/>
      <c r="ASC8" s="38"/>
      <c r="ASD8" s="38"/>
      <c r="ASE8" s="38"/>
      <c r="ASF8" s="38"/>
      <c r="ASG8" s="38"/>
      <c r="ASH8" s="38"/>
      <c r="ASI8" s="38"/>
      <c r="ASJ8" s="38"/>
      <c r="ASK8" s="38"/>
      <c r="ASL8" s="38"/>
      <c r="ASM8" s="38"/>
      <c r="ASN8" s="38"/>
      <c r="ASO8" s="38"/>
      <c r="ASP8" s="38"/>
      <c r="ASQ8" s="38"/>
      <c r="ASR8" s="38"/>
      <c r="ASS8" s="38"/>
      <c r="AST8" s="38"/>
      <c r="ASU8" s="38"/>
      <c r="ASV8" s="38"/>
      <c r="ASW8" s="38"/>
      <c r="ASX8" s="38"/>
      <c r="ASY8" s="38"/>
      <c r="ASZ8" s="38"/>
      <c r="ATA8" s="38"/>
      <c r="ATB8" s="38"/>
      <c r="ATC8" s="38"/>
      <c r="ATD8" s="38"/>
      <c r="ATE8" s="38"/>
      <c r="ATF8" s="38"/>
      <c r="ATG8" s="38"/>
      <c r="ATH8" s="38"/>
      <c r="ATI8" s="38"/>
      <c r="ATJ8" s="38"/>
      <c r="ATK8" s="38"/>
      <c r="ATL8" s="38"/>
      <c r="ATM8" s="38"/>
      <c r="ATN8" s="38"/>
      <c r="ATO8" s="38"/>
      <c r="ATP8" s="38"/>
      <c r="ATQ8" s="38"/>
      <c r="ATR8" s="38"/>
      <c r="ATS8" s="38"/>
      <c r="ATT8" s="38"/>
      <c r="ATU8" s="38"/>
      <c r="ATV8" s="38"/>
      <c r="ATW8" s="38"/>
      <c r="ATX8" s="38"/>
      <c r="ATY8" s="38"/>
      <c r="ATZ8" s="38"/>
      <c r="AUA8" s="38"/>
      <c r="AUB8" s="38"/>
      <c r="AUC8" s="38"/>
      <c r="AUD8" s="38"/>
      <c r="AUE8" s="38"/>
      <c r="AUF8" s="38"/>
      <c r="AUG8" s="38"/>
      <c r="AUH8" s="38"/>
      <c r="AUI8" s="38"/>
      <c r="AUJ8" s="38"/>
      <c r="AUK8" s="38"/>
      <c r="AUL8" s="38"/>
      <c r="AUM8" s="38"/>
      <c r="AUN8" s="38"/>
      <c r="AUO8" s="38"/>
      <c r="AUP8" s="38"/>
      <c r="AUQ8" s="38"/>
      <c r="AUR8" s="38"/>
      <c r="AUS8" s="38"/>
      <c r="AUT8" s="38"/>
      <c r="AUU8" s="38"/>
      <c r="AUV8" s="38"/>
      <c r="AUW8" s="38"/>
      <c r="AUX8" s="38"/>
      <c r="AUY8" s="38"/>
      <c r="AUZ8" s="38"/>
      <c r="AVA8" s="38"/>
      <c r="AVB8" s="38"/>
      <c r="AVC8" s="38"/>
      <c r="AVD8" s="38"/>
      <c r="AVE8" s="38"/>
      <c r="AVF8" s="38"/>
      <c r="AVG8" s="38"/>
      <c r="AVH8" s="38"/>
      <c r="AVI8" s="38"/>
      <c r="AVJ8" s="38"/>
      <c r="AVK8" s="38"/>
      <c r="AVL8" s="38"/>
      <c r="AVM8" s="38"/>
      <c r="AVN8" s="38"/>
      <c r="AVO8" s="38"/>
      <c r="AVP8" s="38"/>
      <c r="AVQ8" s="38"/>
      <c r="AVR8" s="38"/>
      <c r="AVS8" s="38"/>
      <c r="AVT8" s="38"/>
      <c r="AVU8" s="38"/>
      <c r="AVV8" s="38"/>
      <c r="AVW8" s="38"/>
      <c r="AVX8" s="38"/>
      <c r="AVY8" s="38"/>
      <c r="AVZ8" s="38"/>
      <c r="AWA8" s="38"/>
      <c r="AWB8" s="38"/>
      <c r="AWC8" s="38"/>
      <c r="AWD8" s="38"/>
      <c r="AWE8" s="38"/>
      <c r="AWF8" s="38"/>
      <c r="AWG8" s="38"/>
      <c r="AWH8" s="38"/>
      <c r="AWI8" s="38"/>
      <c r="AWJ8" s="38"/>
      <c r="AWK8" s="38"/>
      <c r="AWL8" s="38"/>
      <c r="AWM8" s="38"/>
      <c r="AWN8" s="38"/>
      <c r="AWO8" s="38"/>
      <c r="AWP8" s="38"/>
      <c r="AWQ8" s="38"/>
      <c r="AWR8" s="38"/>
      <c r="AWS8" s="38"/>
      <c r="AWT8" s="38"/>
      <c r="AWU8" s="38"/>
      <c r="AWV8" s="38"/>
      <c r="AWW8" s="38"/>
      <c r="AWX8" s="38"/>
      <c r="AWY8" s="38"/>
      <c r="AWZ8" s="38"/>
      <c r="AXA8" s="38"/>
      <c r="AXB8" s="38"/>
      <c r="AXC8" s="38"/>
      <c r="AXD8" s="38"/>
      <c r="AXE8" s="38"/>
      <c r="AXF8" s="38"/>
      <c r="AXG8" s="38"/>
      <c r="AXH8" s="38"/>
      <c r="AXI8" s="38"/>
      <c r="AXJ8" s="38"/>
      <c r="AXK8" s="38"/>
      <c r="AXL8" s="38"/>
      <c r="AXM8" s="38"/>
      <c r="AXN8" s="38"/>
      <c r="AXO8" s="38"/>
      <c r="AXP8" s="38"/>
      <c r="AXQ8" s="38"/>
      <c r="AXR8" s="38"/>
      <c r="AXS8" s="38"/>
      <c r="AXT8" s="38"/>
      <c r="AXU8" s="38"/>
      <c r="AXV8" s="38"/>
      <c r="AXW8" s="38"/>
      <c r="AXX8" s="38"/>
      <c r="AXY8" s="38"/>
      <c r="AXZ8" s="38"/>
      <c r="AYA8" s="38"/>
      <c r="AYB8" s="38"/>
      <c r="AYC8" s="38"/>
      <c r="AYD8" s="38"/>
      <c r="AYE8" s="38"/>
      <c r="AYF8" s="38"/>
      <c r="AYG8" s="38"/>
      <c r="AYH8" s="38"/>
      <c r="AYI8" s="38"/>
      <c r="AYJ8" s="38"/>
      <c r="AYK8" s="38"/>
      <c r="AYL8" s="38"/>
      <c r="AYM8" s="38"/>
      <c r="AYN8" s="38"/>
      <c r="AYO8" s="38"/>
      <c r="AYP8" s="38"/>
      <c r="AYQ8" s="38"/>
      <c r="AYR8" s="38"/>
      <c r="AYS8" s="38"/>
      <c r="AYT8" s="38"/>
      <c r="AYU8" s="38"/>
      <c r="AYV8" s="38"/>
      <c r="AYW8" s="38"/>
      <c r="AYX8" s="38"/>
      <c r="AYY8" s="38"/>
      <c r="AYZ8" s="38"/>
      <c r="AZA8" s="38"/>
      <c r="AZB8" s="38"/>
      <c r="AZC8" s="38"/>
      <c r="AZD8" s="38"/>
      <c r="AZE8" s="38"/>
      <c r="AZF8" s="38"/>
      <c r="AZG8" s="38"/>
      <c r="AZH8" s="38"/>
      <c r="AZI8" s="38"/>
      <c r="AZJ8" s="38"/>
      <c r="AZK8" s="38"/>
      <c r="AZL8" s="38"/>
      <c r="AZM8" s="38"/>
      <c r="AZN8" s="38"/>
      <c r="AZO8" s="38"/>
      <c r="AZP8" s="38"/>
      <c r="AZQ8" s="38"/>
      <c r="AZR8" s="38"/>
      <c r="AZS8" s="38"/>
      <c r="AZT8" s="38"/>
      <c r="AZU8" s="38"/>
      <c r="AZV8" s="38"/>
      <c r="AZW8" s="38"/>
      <c r="AZX8" s="38"/>
      <c r="AZY8" s="38"/>
      <c r="AZZ8" s="38"/>
      <c r="BAA8" s="38"/>
      <c r="BAB8" s="38"/>
      <c r="BAC8" s="38"/>
      <c r="BAD8" s="38"/>
      <c r="BAE8" s="38"/>
      <c r="BAF8" s="38"/>
      <c r="BAG8" s="38"/>
      <c r="BAH8" s="38"/>
      <c r="BAI8" s="38"/>
      <c r="BAJ8" s="38"/>
      <c r="BAK8" s="38"/>
      <c r="BAL8" s="38"/>
      <c r="BAM8" s="38"/>
      <c r="BAN8" s="38"/>
      <c r="BAO8" s="38"/>
      <c r="BAP8" s="38"/>
      <c r="BAQ8" s="38"/>
      <c r="BAR8" s="38"/>
      <c r="BAS8" s="38"/>
      <c r="BAT8" s="38"/>
      <c r="BAU8" s="38"/>
      <c r="BAV8" s="38"/>
      <c r="BAW8" s="38"/>
      <c r="BAX8" s="38"/>
      <c r="BAY8" s="38"/>
      <c r="BAZ8" s="38"/>
      <c r="BBA8" s="38"/>
      <c r="BBB8" s="38"/>
      <c r="BBC8" s="38"/>
      <c r="BBD8" s="38"/>
      <c r="BBE8" s="38"/>
      <c r="BBF8" s="38"/>
      <c r="BBG8" s="38"/>
      <c r="BBH8" s="38"/>
      <c r="BBI8" s="38"/>
      <c r="BBJ8" s="38"/>
      <c r="BBK8" s="38"/>
      <c r="BBL8" s="38"/>
      <c r="BBM8" s="38"/>
      <c r="BBN8" s="38"/>
      <c r="BBO8" s="38"/>
      <c r="BBP8" s="38"/>
      <c r="BBQ8" s="38"/>
      <c r="BBR8" s="38"/>
      <c r="BBS8" s="38"/>
      <c r="BBT8" s="38"/>
      <c r="BBU8" s="38"/>
      <c r="BBV8" s="38"/>
      <c r="BBW8" s="38"/>
      <c r="BBX8" s="38"/>
      <c r="BBY8" s="38"/>
      <c r="BBZ8" s="38"/>
      <c r="BCA8" s="38"/>
      <c r="BCB8" s="38"/>
      <c r="BCC8" s="38"/>
      <c r="BCD8" s="38"/>
      <c r="BCE8" s="38"/>
      <c r="BCF8" s="38"/>
      <c r="BCG8" s="38"/>
      <c r="BCH8" s="38"/>
      <c r="BCI8" s="38"/>
      <c r="BCJ8" s="38"/>
      <c r="BCK8" s="38"/>
      <c r="BCL8" s="38"/>
      <c r="BCM8" s="38"/>
      <c r="BCN8" s="38"/>
      <c r="BCO8" s="38"/>
      <c r="BCP8" s="38"/>
      <c r="BCQ8" s="38"/>
      <c r="BCR8" s="38"/>
      <c r="BCS8" s="38"/>
      <c r="BCT8" s="38"/>
      <c r="BCU8" s="38"/>
      <c r="BCV8" s="38"/>
      <c r="BCW8" s="38"/>
      <c r="BCX8" s="38"/>
      <c r="BCY8" s="38"/>
      <c r="BCZ8" s="38"/>
      <c r="BDA8" s="38"/>
      <c r="BDB8" s="38"/>
      <c r="BDC8" s="38"/>
      <c r="BDD8" s="38"/>
      <c r="BDE8" s="38"/>
      <c r="BDF8" s="38"/>
      <c r="BDG8" s="38"/>
      <c r="BDH8" s="38"/>
      <c r="BDI8" s="38"/>
      <c r="BDJ8" s="38"/>
      <c r="BDK8" s="38"/>
      <c r="BDL8" s="38"/>
      <c r="BDM8" s="38"/>
      <c r="BDN8" s="38"/>
      <c r="BDO8" s="38"/>
      <c r="BDP8" s="38"/>
      <c r="BDQ8" s="38"/>
      <c r="BDR8" s="38"/>
      <c r="BDS8" s="38"/>
      <c r="BDT8" s="38"/>
      <c r="BDU8" s="38"/>
      <c r="BDV8" s="38"/>
      <c r="BDW8" s="38"/>
      <c r="BDX8" s="38"/>
      <c r="BDY8" s="38"/>
      <c r="BDZ8" s="38"/>
      <c r="BEA8" s="38"/>
      <c r="BEB8" s="38"/>
      <c r="BEC8" s="38"/>
      <c r="BED8" s="38"/>
      <c r="BEE8" s="38"/>
      <c r="BEF8" s="38"/>
      <c r="BEG8" s="38"/>
      <c r="BEH8" s="38"/>
      <c r="BEI8" s="38"/>
      <c r="BEJ8" s="38"/>
      <c r="BEK8" s="38"/>
      <c r="BEL8" s="38"/>
      <c r="BEM8" s="38"/>
      <c r="BEN8" s="38"/>
      <c r="BEO8" s="38"/>
      <c r="BEP8" s="38"/>
      <c r="BEQ8" s="38"/>
      <c r="BER8" s="38"/>
      <c r="BES8" s="38"/>
      <c r="BET8" s="38"/>
      <c r="BEU8" s="38"/>
      <c r="BEV8" s="38"/>
      <c r="BEW8" s="38"/>
      <c r="BEX8" s="38"/>
      <c r="BEY8" s="38"/>
      <c r="BEZ8" s="38"/>
      <c r="BFA8" s="38"/>
      <c r="BFB8" s="38"/>
      <c r="BFC8" s="38"/>
      <c r="BFD8" s="38"/>
      <c r="BFE8" s="38"/>
      <c r="BFF8" s="38"/>
      <c r="BFG8" s="38"/>
      <c r="BFH8" s="38"/>
      <c r="BFI8" s="38"/>
      <c r="BFJ8" s="38"/>
      <c r="BFK8" s="38"/>
      <c r="BFL8" s="38"/>
      <c r="BFM8" s="38"/>
      <c r="BFN8" s="38"/>
      <c r="BFO8" s="38"/>
      <c r="BFP8" s="38"/>
      <c r="BFQ8" s="38"/>
      <c r="BFR8" s="38"/>
      <c r="BFS8" s="38"/>
      <c r="BFT8" s="38"/>
      <c r="BFU8" s="38"/>
      <c r="BFV8" s="38"/>
      <c r="BFW8" s="38"/>
      <c r="BFX8" s="38"/>
      <c r="BFY8" s="38"/>
      <c r="BFZ8" s="38"/>
      <c r="BGA8" s="38"/>
      <c r="BGB8" s="38"/>
      <c r="BGC8" s="38"/>
      <c r="BGD8" s="38"/>
      <c r="BGE8" s="38"/>
      <c r="BGF8" s="38"/>
      <c r="BGG8" s="38"/>
      <c r="BGH8" s="38"/>
      <c r="BGI8" s="38"/>
      <c r="BGJ8" s="38"/>
      <c r="BGK8" s="38"/>
      <c r="BGL8" s="38"/>
      <c r="BGM8" s="38"/>
      <c r="BGN8" s="38"/>
      <c r="BGO8" s="38"/>
      <c r="BGP8" s="38"/>
      <c r="BGQ8" s="38"/>
      <c r="BGR8" s="38"/>
      <c r="BGS8" s="38"/>
      <c r="BGT8" s="38"/>
      <c r="BGU8" s="38"/>
      <c r="BGV8" s="38"/>
      <c r="BGW8" s="38"/>
      <c r="BGX8" s="38"/>
      <c r="BGY8" s="38"/>
      <c r="BGZ8" s="38"/>
      <c r="BHA8" s="38"/>
      <c r="BHB8" s="38"/>
      <c r="BHC8" s="38"/>
      <c r="BHD8" s="38"/>
      <c r="BHE8" s="38"/>
      <c r="BHF8" s="38"/>
      <c r="BHG8" s="38"/>
      <c r="BHH8" s="38"/>
      <c r="BHI8" s="38"/>
      <c r="BHJ8" s="38"/>
      <c r="BHK8" s="38"/>
      <c r="BHL8" s="38"/>
      <c r="BHM8" s="38"/>
      <c r="BHN8" s="38"/>
      <c r="BHO8" s="38"/>
      <c r="BHP8" s="38"/>
      <c r="BHQ8" s="38"/>
      <c r="BHR8" s="38"/>
      <c r="BHS8" s="38"/>
      <c r="BHT8" s="38"/>
      <c r="BHU8" s="38"/>
      <c r="BHV8" s="38"/>
      <c r="BHW8" s="38"/>
      <c r="BHX8" s="38"/>
      <c r="BHY8" s="38"/>
      <c r="BHZ8" s="38"/>
      <c r="BIA8" s="38"/>
      <c r="BIB8" s="38"/>
      <c r="BIC8" s="38"/>
      <c r="BID8" s="38"/>
      <c r="BIE8" s="38"/>
      <c r="BIF8" s="38"/>
      <c r="BIG8" s="38"/>
      <c r="BIH8" s="38"/>
      <c r="BII8" s="38"/>
      <c r="BIJ8" s="38"/>
      <c r="BIK8" s="38"/>
      <c r="BIL8" s="38"/>
      <c r="BIM8" s="38"/>
      <c r="BIN8" s="38"/>
      <c r="BIO8" s="38"/>
      <c r="BIP8" s="38"/>
      <c r="BIQ8" s="38"/>
      <c r="BIR8" s="38"/>
      <c r="BIS8" s="38"/>
      <c r="BIT8" s="38"/>
      <c r="BIU8" s="38"/>
      <c r="BIV8" s="38"/>
      <c r="BIW8" s="38"/>
      <c r="BIX8" s="38"/>
      <c r="BIY8" s="38"/>
      <c r="BIZ8" s="38"/>
      <c r="BJA8" s="38"/>
      <c r="BJB8" s="38"/>
      <c r="BJC8" s="38"/>
      <c r="BJD8" s="38"/>
      <c r="BJE8" s="38"/>
      <c r="BJF8" s="38"/>
      <c r="BJG8" s="38"/>
      <c r="BJH8" s="38"/>
      <c r="BJI8" s="38"/>
      <c r="BJJ8" s="38"/>
      <c r="BJK8" s="38"/>
      <c r="BJL8" s="38"/>
      <c r="BJM8" s="38"/>
      <c r="BJN8" s="38"/>
      <c r="BJO8" s="38"/>
      <c r="BJP8" s="38"/>
      <c r="BJQ8" s="38"/>
      <c r="BJR8" s="38"/>
      <c r="BJS8" s="38"/>
      <c r="BJT8" s="38"/>
      <c r="BJU8" s="38"/>
      <c r="BJV8" s="38"/>
      <c r="BJW8" s="38"/>
      <c r="BJX8" s="38"/>
      <c r="BJY8" s="38"/>
      <c r="BJZ8" s="38"/>
      <c r="BKA8" s="38"/>
      <c r="BKB8" s="38"/>
      <c r="BKC8" s="38"/>
      <c r="BKD8" s="38"/>
      <c r="BKE8" s="38"/>
      <c r="BKF8" s="38"/>
      <c r="BKG8" s="38"/>
      <c r="BKH8" s="38"/>
      <c r="BKI8" s="38"/>
      <c r="BKJ8" s="38"/>
      <c r="BKK8" s="38"/>
      <c r="BKL8" s="38"/>
      <c r="BKM8" s="38"/>
      <c r="BKN8" s="38"/>
      <c r="BKO8" s="38"/>
      <c r="BKP8" s="38"/>
      <c r="BKQ8" s="38"/>
      <c r="BKR8" s="38"/>
      <c r="BKS8" s="38"/>
      <c r="BKT8" s="38"/>
      <c r="BKU8" s="38"/>
      <c r="BKV8" s="38"/>
      <c r="BKW8" s="38"/>
      <c r="BKX8" s="38"/>
      <c r="BKY8" s="38"/>
      <c r="BKZ8" s="38"/>
      <c r="BLA8" s="38"/>
      <c r="BLB8" s="38"/>
      <c r="BLC8" s="38"/>
      <c r="BLD8" s="38"/>
      <c r="BLE8" s="38"/>
      <c r="BLF8" s="38"/>
      <c r="BLG8" s="38"/>
      <c r="BLH8" s="38"/>
      <c r="BLI8" s="38"/>
      <c r="BLJ8" s="38"/>
      <c r="BLK8" s="38"/>
      <c r="BLL8" s="38"/>
      <c r="BLM8" s="38"/>
      <c r="BLN8" s="38"/>
      <c r="BLO8" s="38"/>
      <c r="BLP8" s="38"/>
      <c r="BLQ8" s="38"/>
      <c r="BLR8" s="38"/>
      <c r="BLS8" s="38"/>
      <c r="BLT8" s="38"/>
      <c r="BLU8" s="38"/>
      <c r="BLV8" s="38"/>
      <c r="BLW8" s="38"/>
      <c r="BLX8" s="38"/>
      <c r="BLY8" s="38"/>
      <c r="BLZ8" s="38"/>
      <c r="BMA8" s="38"/>
      <c r="BMB8" s="38"/>
      <c r="BMC8" s="38"/>
      <c r="BMD8" s="38"/>
      <c r="BME8" s="38"/>
      <c r="BMF8" s="38"/>
      <c r="BMG8" s="38"/>
      <c r="BMH8" s="38"/>
      <c r="BMI8" s="38"/>
      <c r="BMJ8" s="38"/>
      <c r="BMK8" s="38"/>
      <c r="BML8" s="38"/>
      <c r="BMM8" s="38"/>
      <c r="BMN8" s="38"/>
      <c r="BMO8" s="38"/>
      <c r="BMP8" s="38"/>
      <c r="BMQ8" s="38"/>
      <c r="BMR8" s="38"/>
      <c r="BMS8" s="38"/>
      <c r="BMT8" s="38"/>
      <c r="BMU8" s="38"/>
      <c r="BMV8" s="38"/>
      <c r="BMW8" s="38"/>
      <c r="BMX8" s="38"/>
      <c r="BMY8" s="38"/>
      <c r="BMZ8" s="38"/>
      <c r="BNA8" s="38"/>
      <c r="BNB8" s="38"/>
      <c r="BNC8" s="38"/>
      <c r="BND8" s="38"/>
      <c r="BNE8" s="38"/>
      <c r="BNF8" s="38"/>
      <c r="BNG8" s="38"/>
      <c r="BNH8" s="38"/>
      <c r="BNI8" s="38"/>
      <c r="BNJ8" s="38"/>
      <c r="BNK8" s="38"/>
      <c r="BNL8" s="38"/>
      <c r="BNM8" s="38"/>
      <c r="BNN8" s="38"/>
      <c r="BNO8" s="38"/>
      <c r="BNP8" s="38"/>
      <c r="BNQ8" s="38"/>
      <c r="BNR8" s="38"/>
      <c r="BNS8" s="38"/>
      <c r="BNT8" s="38"/>
      <c r="BNU8" s="38"/>
      <c r="BNV8" s="38"/>
      <c r="BNW8" s="38"/>
      <c r="BNX8" s="38"/>
      <c r="BNY8" s="38"/>
      <c r="BNZ8" s="38"/>
      <c r="BOA8" s="38"/>
      <c r="BOB8" s="38"/>
      <c r="BOC8" s="38"/>
      <c r="BOD8" s="38"/>
      <c r="BOE8" s="38"/>
      <c r="BOF8" s="38"/>
      <c r="BOG8" s="38"/>
      <c r="BOH8" s="38"/>
      <c r="BOI8" s="38"/>
      <c r="BOJ8" s="38"/>
      <c r="BOK8" s="38"/>
      <c r="BOL8" s="38"/>
      <c r="BOM8" s="38"/>
      <c r="BON8" s="38"/>
      <c r="BOO8" s="38"/>
      <c r="BOP8" s="38"/>
      <c r="BOQ8" s="38"/>
      <c r="BOR8" s="38"/>
      <c r="BOS8" s="38"/>
      <c r="BOT8" s="38"/>
      <c r="BOU8" s="38"/>
      <c r="BOV8" s="38"/>
      <c r="BOW8" s="38"/>
      <c r="BOX8" s="38"/>
      <c r="BOY8" s="38"/>
      <c r="BOZ8" s="38"/>
      <c r="BPA8" s="38"/>
      <c r="BPB8" s="38"/>
      <c r="BPC8" s="38"/>
      <c r="BPD8" s="38"/>
      <c r="BPE8" s="38"/>
      <c r="BPF8" s="38"/>
      <c r="BPG8" s="38"/>
      <c r="BPH8" s="38"/>
      <c r="BPI8" s="38"/>
      <c r="BPJ8" s="38"/>
      <c r="BPK8" s="38"/>
      <c r="BPL8" s="38"/>
      <c r="BPM8" s="38"/>
      <c r="BPN8" s="38"/>
      <c r="BPO8" s="38"/>
      <c r="BPP8" s="38"/>
      <c r="BPQ8" s="38"/>
      <c r="BPR8" s="38"/>
      <c r="BPS8" s="38"/>
      <c r="BPT8" s="38"/>
      <c r="BPU8" s="38"/>
      <c r="BPV8" s="38"/>
      <c r="BPW8" s="38"/>
      <c r="BPX8" s="38"/>
      <c r="BPY8" s="38"/>
      <c r="BPZ8" s="38"/>
      <c r="BQA8" s="38"/>
      <c r="BQB8" s="38"/>
      <c r="BQC8" s="38"/>
      <c r="BQD8" s="38"/>
      <c r="BQE8" s="38"/>
      <c r="BQF8" s="38"/>
      <c r="BQG8" s="38"/>
      <c r="BQH8" s="38"/>
      <c r="BQI8" s="38"/>
      <c r="BQJ8" s="38"/>
      <c r="BQK8" s="38"/>
      <c r="BQL8" s="38"/>
      <c r="BQM8" s="38"/>
      <c r="BQN8" s="38"/>
      <c r="BQO8" s="38"/>
      <c r="BQP8" s="38"/>
      <c r="BQQ8" s="38"/>
      <c r="BQR8" s="38"/>
      <c r="BQS8" s="38"/>
      <c r="BQT8" s="38"/>
      <c r="BQU8" s="38"/>
    </row>
    <row r="9" spans="1:1815" s="39" customFormat="1" ht="32.25" customHeight="1" thickBot="1" x14ac:dyDescent="0.35">
      <c r="A9" s="1008"/>
      <c r="B9" s="984"/>
      <c r="C9" s="984"/>
      <c r="D9" s="984"/>
      <c r="E9" s="984"/>
      <c r="F9" s="984"/>
      <c r="G9" s="984"/>
      <c r="H9" s="968"/>
      <c r="I9" s="968"/>
      <c r="J9" s="968"/>
      <c r="K9" s="968"/>
      <c r="L9" s="968"/>
      <c r="M9" s="968"/>
      <c r="N9" s="987"/>
      <c r="O9" s="987"/>
      <c r="P9" s="984"/>
      <c r="Q9" s="1011"/>
      <c r="R9" s="987"/>
      <c r="S9" s="987"/>
      <c r="T9" s="984"/>
      <c r="U9" s="987"/>
      <c r="V9" s="990"/>
      <c r="W9" s="966"/>
      <c r="X9" s="968"/>
      <c r="Y9" s="970"/>
      <c r="Z9" s="970"/>
      <c r="AA9" s="970"/>
      <c r="AB9" s="970"/>
      <c r="AC9" s="993"/>
      <c r="AD9" s="131"/>
      <c r="AE9" s="132" t="s">
        <v>494</v>
      </c>
      <c r="AF9" s="132" t="s">
        <v>495</v>
      </c>
      <c r="AG9" s="133" t="s">
        <v>496</v>
      </c>
      <c r="AH9" s="131"/>
      <c r="AI9" s="132" t="s">
        <v>496</v>
      </c>
      <c r="AJ9" s="132" t="s">
        <v>495</v>
      </c>
      <c r="AK9" s="132" t="s">
        <v>494</v>
      </c>
      <c r="AL9" s="133"/>
      <c r="AM9" s="956"/>
      <c r="AN9" s="958"/>
      <c r="AO9" s="1026"/>
      <c r="AP9" s="978"/>
      <c r="AQ9" s="222" t="s">
        <v>614</v>
      </c>
      <c r="AR9" s="222" t="s">
        <v>615</v>
      </c>
      <c r="AS9" s="222" t="s">
        <v>616</v>
      </c>
      <c r="AT9" s="222" t="s">
        <v>617</v>
      </c>
      <c r="AU9" s="222" t="s">
        <v>618</v>
      </c>
      <c r="AV9" s="222" t="s">
        <v>619</v>
      </c>
      <c r="AW9" s="222" t="s">
        <v>620</v>
      </c>
      <c r="AX9" s="222" t="s">
        <v>621</v>
      </c>
      <c r="AY9" s="222" t="s">
        <v>622</v>
      </c>
      <c r="AZ9" s="222" t="s">
        <v>623</v>
      </c>
      <c r="BA9" s="1020"/>
      <c r="BB9" s="134" t="s">
        <v>624</v>
      </c>
      <c r="BC9" s="383" t="s">
        <v>625</v>
      </c>
      <c r="BD9" s="383" t="s">
        <v>626</v>
      </c>
      <c r="BE9" s="383" t="s">
        <v>627</v>
      </c>
      <c r="BF9" s="383" t="s">
        <v>624</v>
      </c>
      <c r="BG9" s="383" t="s">
        <v>625</v>
      </c>
      <c r="BH9" s="383" t="s">
        <v>626</v>
      </c>
      <c r="BI9" s="382" t="s">
        <v>627</v>
      </c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  <c r="AMM9" s="38"/>
      <c r="AMN9" s="38"/>
      <c r="AMO9" s="38"/>
      <c r="AMP9" s="38"/>
      <c r="AMQ9" s="38"/>
      <c r="AMR9" s="38"/>
      <c r="AMS9" s="38"/>
      <c r="AMT9" s="38"/>
      <c r="AMU9" s="38"/>
      <c r="AMV9" s="38"/>
      <c r="AMW9" s="38"/>
      <c r="AMX9" s="38"/>
      <c r="AMY9" s="38"/>
      <c r="AMZ9" s="38"/>
      <c r="ANA9" s="38"/>
      <c r="ANB9" s="38"/>
      <c r="ANC9" s="38"/>
      <c r="AND9" s="38"/>
      <c r="ANE9" s="38"/>
      <c r="ANF9" s="38"/>
      <c r="ANG9" s="38"/>
      <c r="ANH9" s="38"/>
      <c r="ANI9" s="38"/>
      <c r="ANJ9" s="38"/>
      <c r="ANK9" s="38"/>
      <c r="ANL9" s="38"/>
      <c r="ANM9" s="38"/>
      <c r="ANN9" s="38"/>
      <c r="ANO9" s="38"/>
      <c r="ANP9" s="38"/>
      <c r="ANQ9" s="38"/>
      <c r="ANR9" s="38"/>
      <c r="ANS9" s="38"/>
      <c r="ANT9" s="38"/>
      <c r="ANU9" s="38"/>
      <c r="ANV9" s="38"/>
      <c r="ANW9" s="38"/>
      <c r="ANX9" s="38"/>
      <c r="ANY9" s="38"/>
      <c r="ANZ9" s="38"/>
      <c r="AOA9" s="38"/>
      <c r="AOB9" s="38"/>
      <c r="AOC9" s="38"/>
      <c r="AOD9" s="38"/>
      <c r="AOE9" s="38"/>
      <c r="AOF9" s="38"/>
      <c r="AOG9" s="38"/>
      <c r="AOH9" s="38"/>
      <c r="AOI9" s="38"/>
      <c r="AOJ9" s="38"/>
      <c r="AOK9" s="38"/>
      <c r="AOL9" s="38"/>
      <c r="AOM9" s="38"/>
      <c r="AON9" s="38"/>
      <c r="AOO9" s="38"/>
      <c r="AOP9" s="38"/>
      <c r="AOQ9" s="38"/>
      <c r="AOR9" s="38"/>
      <c r="AOS9" s="38"/>
      <c r="AOT9" s="38"/>
      <c r="AOU9" s="38"/>
      <c r="AOV9" s="38"/>
      <c r="AOW9" s="38"/>
      <c r="AOX9" s="38"/>
      <c r="AOY9" s="38"/>
      <c r="AOZ9" s="38"/>
      <c r="APA9" s="38"/>
      <c r="APB9" s="38"/>
      <c r="APC9" s="38"/>
      <c r="APD9" s="38"/>
      <c r="APE9" s="38"/>
      <c r="APF9" s="38"/>
      <c r="APG9" s="38"/>
      <c r="APH9" s="38"/>
      <c r="API9" s="38"/>
      <c r="APJ9" s="38"/>
      <c r="APK9" s="38"/>
      <c r="APL9" s="38"/>
      <c r="APM9" s="38"/>
      <c r="APN9" s="38"/>
      <c r="APO9" s="38"/>
      <c r="APP9" s="38"/>
      <c r="APQ9" s="38"/>
      <c r="APR9" s="38"/>
      <c r="APS9" s="38"/>
      <c r="APT9" s="38"/>
      <c r="APU9" s="38"/>
      <c r="APV9" s="38"/>
      <c r="APW9" s="38"/>
      <c r="APX9" s="38"/>
      <c r="APY9" s="38"/>
      <c r="APZ9" s="38"/>
      <c r="AQA9" s="38"/>
      <c r="AQB9" s="38"/>
      <c r="AQC9" s="38"/>
      <c r="AQD9" s="38"/>
      <c r="AQE9" s="38"/>
      <c r="AQF9" s="38"/>
      <c r="AQG9" s="38"/>
      <c r="AQH9" s="38"/>
      <c r="AQI9" s="38"/>
      <c r="AQJ9" s="38"/>
      <c r="AQK9" s="38"/>
      <c r="AQL9" s="38"/>
      <c r="AQM9" s="38"/>
      <c r="AQN9" s="38"/>
      <c r="AQO9" s="38"/>
      <c r="AQP9" s="38"/>
      <c r="AQQ9" s="38"/>
      <c r="AQR9" s="38"/>
      <c r="AQS9" s="38"/>
      <c r="AQT9" s="38"/>
      <c r="AQU9" s="38"/>
      <c r="AQV9" s="38"/>
      <c r="AQW9" s="38"/>
      <c r="AQX9" s="38"/>
      <c r="AQY9" s="38"/>
      <c r="AQZ9" s="38"/>
      <c r="ARA9" s="38"/>
      <c r="ARB9" s="38"/>
      <c r="ARC9" s="38"/>
      <c r="ARD9" s="38"/>
      <c r="ARE9" s="38"/>
      <c r="ARF9" s="38"/>
      <c r="ARG9" s="38"/>
      <c r="ARH9" s="38"/>
      <c r="ARI9" s="38"/>
      <c r="ARJ9" s="38"/>
      <c r="ARK9" s="38"/>
      <c r="ARL9" s="38"/>
      <c r="ARM9" s="38"/>
      <c r="ARN9" s="38"/>
      <c r="ARO9" s="38"/>
      <c r="ARP9" s="38"/>
      <c r="ARQ9" s="38"/>
      <c r="ARR9" s="38"/>
      <c r="ARS9" s="38"/>
      <c r="ART9" s="38"/>
      <c r="ARU9" s="38"/>
      <c r="ARV9" s="38"/>
      <c r="ARW9" s="38"/>
      <c r="ARX9" s="38"/>
      <c r="ARY9" s="38"/>
      <c r="ARZ9" s="38"/>
      <c r="ASA9" s="38"/>
      <c r="ASB9" s="38"/>
      <c r="ASC9" s="38"/>
      <c r="ASD9" s="38"/>
      <c r="ASE9" s="38"/>
      <c r="ASF9" s="38"/>
      <c r="ASG9" s="38"/>
      <c r="ASH9" s="38"/>
      <c r="ASI9" s="38"/>
      <c r="ASJ9" s="38"/>
      <c r="ASK9" s="38"/>
      <c r="ASL9" s="38"/>
      <c r="ASM9" s="38"/>
      <c r="ASN9" s="38"/>
      <c r="ASO9" s="38"/>
      <c r="ASP9" s="38"/>
      <c r="ASQ9" s="38"/>
      <c r="ASR9" s="38"/>
      <c r="ASS9" s="38"/>
      <c r="AST9" s="38"/>
      <c r="ASU9" s="38"/>
      <c r="ASV9" s="38"/>
      <c r="ASW9" s="38"/>
      <c r="ASX9" s="38"/>
      <c r="ASY9" s="38"/>
      <c r="ASZ9" s="38"/>
      <c r="ATA9" s="38"/>
      <c r="ATB9" s="38"/>
      <c r="ATC9" s="38"/>
      <c r="ATD9" s="38"/>
      <c r="ATE9" s="38"/>
      <c r="ATF9" s="38"/>
      <c r="ATG9" s="38"/>
      <c r="ATH9" s="38"/>
      <c r="ATI9" s="38"/>
      <c r="ATJ9" s="38"/>
      <c r="ATK9" s="38"/>
      <c r="ATL9" s="38"/>
      <c r="ATM9" s="38"/>
      <c r="ATN9" s="38"/>
      <c r="ATO9" s="38"/>
      <c r="ATP9" s="38"/>
      <c r="ATQ9" s="38"/>
      <c r="ATR9" s="38"/>
      <c r="ATS9" s="38"/>
      <c r="ATT9" s="38"/>
      <c r="ATU9" s="38"/>
      <c r="ATV9" s="38"/>
      <c r="ATW9" s="38"/>
      <c r="ATX9" s="38"/>
      <c r="ATY9" s="38"/>
      <c r="ATZ9" s="38"/>
      <c r="AUA9" s="38"/>
      <c r="AUB9" s="38"/>
      <c r="AUC9" s="38"/>
      <c r="AUD9" s="38"/>
      <c r="AUE9" s="38"/>
      <c r="AUF9" s="38"/>
      <c r="AUG9" s="38"/>
      <c r="AUH9" s="38"/>
      <c r="AUI9" s="38"/>
      <c r="AUJ9" s="38"/>
      <c r="AUK9" s="38"/>
      <c r="AUL9" s="38"/>
      <c r="AUM9" s="38"/>
      <c r="AUN9" s="38"/>
      <c r="AUO9" s="38"/>
      <c r="AUP9" s="38"/>
      <c r="AUQ9" s="38"/>
      <c r="AUR9" s="38"/>
      <c r="AUS9" s="38"/>
      <c r="AUT9" s="38"/>
      <c r="AUU9" s="38"/>
      <c r="AUV9" s="38"/>
      <c r="AUW9" s="38"/>
      <c r="AUX9" s="38"/>
      <c r="AUY9" s="38"/>
      <c r="AUZ9" s="38"/>
      <c r="AVA9" s="38"/>
      <c r="AVB9" s="38"/>
      <c r="AVC9" s="38"/>
      <c r="AVD9" s="38"/>
      <c r="AVE9" s="38"/>
      <c r="AVF9" s="38"/>
      <c r="AVG9" s="38"/>
      <c r="AVH9" s="38"/>
      <c r="AVI9" s="38"/>
      <c r="AVJ9" s="38"/>
      <c r="AVK9" s="38"/>
      <c r="AVL9" s="38"/>
      <c r="AVM9" s="38"/>
      <c r="AVN9" s="38"/>
      <c r="AVO9" s="38"/>
      <c r="AVP9" s="38"/>
      <c r="AVQ9" s="38"/>
      <c r="AVR9" s="38"/>
      <c r="AVS9" s="38"/>
      <c r="AVT9" s="38"/>
      <c r="AVU9" s="38"/>
      <c r="AVV9" s="38"/>
      <c r="AVW9" s="38"/>
      <c r="AVX9" s="38"/>
      <c r="AVY9" s="38"/>
      <c r="AVZ9" s="38"/>
      <c r="AWA9" s="38"/>
      <c r="AWB9" s="38"/>
      <c r="AWC9" s="38"/>
      <c r="AWD9" s="38"/>
      <c r="AWE9" s="38"/>
      <c r="AWF9" s="38"/>
      <c r="AWG9" s="38"/>
      <c r="AWH9" s="38"/>
      <c r="AWI9" s="38"/>
      <c r="AWJ9" s="38"/>
      <c r="AWK9" s="38"/>
      <c r="AWL9" s="38"/>
      <c r="AWM9" s="38"/>
      <c r="AWN9" s="38"/>
      <c r="AWO9" s="38"/>
      <c r="AWP9" s="38"/>
      <c r="AWQ9" s="38"/>
      <c r="AWR9" s="38"/>
      <c r="AWS9" s="38"/>
      <c r="AWT9" s="38"/>
      <c r="AWU9" s="38"/>
      <c r="AWV9" s="38"/>
      <c r="AWW9" s="38"/>
      <c r="AWX9" s="38"/>
      <c r="AWY9" s="38"/>
      <c r="AWZ9" s="38"/>
      <c r="AXA9" s="38"/>
      <c r="AXB9" s="38"/>
      <c r="AXC9" s="38"/>
      <c r="AXD9" s="38"/>
      <c r="AXE9" s="38"/>
      <c r="AXF9" s="38"/>
      <c r="AXG9" s="38"/>
      <c r="AXH9" s="38"/>
      <c r="AXI9" s="38"/>
      <c r="AXJ9" s="38"/>
      <c r="AXK9" s="38"/>
      <c r="AXL9" s="38"/>
      <c r="AXM9" s="38"/>
      <c r="AXN9" s="38"/>
      <c r="AXO9" s="38"/>
      <c r="AXP9" s="38"/>
      <c r="AXQ9" s="38"/>
      <c r="AXR9" s="38"/>
      <c r="AXS9" s="38"/>
      <c r="AXT9" s="38"/>
      <c r="AXU9" s="38"/>
      <c r="AXV9" s="38"/>
      <c r="AXW9" s="38"/>
      <c r="AXX9" s="38"/>
      <c r="AXY9" s="38"/>
      <c r="AXZ9" s="38"/>
      <c r="AYA9" s="38"/>
      <c r="AYB9" s="38"/>
      <c r="AYC9" s="38"/>
      <c r="AYD9" s="38"/>
      <c r="AYE9" s="38"/>
      <c r="AYF9" s="38"/>
      <c r="AYG9" s="38"/>
      <c r="AYH9" s="38"/>
      <c r="AYI9" s="38"/>
      <c r="AYJ9" s="38"/>
      <c r="AYK9" s="38"/>
      <c r="AYL9" s="38"/>
      <c r="AYM9" s="38"/>
      <c r="AYN9" s="38"/>
      <c r="AYO9" s="38"/>
      <c r="AYP9" s="38"/>
      <c r="AYQ9" s="38"/>
      <c r="AYR9" s="38"/>
      <c r="AYS9" s="38"/>
      <c r="AYT9" s="38"/>
      <c r="AYU9" s="38"/>
      <c r="AYV9" s="38"/>
      <c r="AYW9" s="38"/>
      <c r="AYX9" s="38"/>
      <c r="AYY9" s="38"/>
      <c r="AYZ9" s="38"/>
      <c r="AZA9" s="38"/>
      <c r="AZB9" s="38"/>
      <c r="AZC9" s="38"/>
      <c r="AZD9" s="38"/>
      <c r="AZE9" s="38"/>
      <c r="AZF9" s="38"/>
      <c r="AZG9" s="38"/>
      <c r="AZH9" s="38"/>
      <c r="AZI9" s="38"/>
      <c r="AZJ9" s="38"/>
      <c r="AZK9" s="38"/>
      <c r="AZL9" s="38"/>
      <c r="AZM9" s="38"/>
      <c r="AZN9" s="38"/>
      <c r="AZO9" s="38"/>
      <c r="AZP9" s="38"/>
      <c r="AZQ9" s="38"/>
      <c r="AZR9" s="38"/>
      <c r="AZS9" s="38"/>
      <c r="AZT9" s="38"/>
      <c r="AZU9" s="38"/>
      <c r="AZV9" s="38"/>
      <c r="AZW9" s="38"/>
      <c r="AZX9" s="38"/>
      <c r="AZY9" s="38"/>
      <c r="AZZ9" s="38"/>
      <c r="BAA9" s="38"/>
      <c r="BAB9" s="38"/>
      <c r="BAC9" s="38"/>
      <c r="BAD9" s="38"/>
      <c r="BAE9" s="38"/>
      <c r="BAF9" s="38"/>
      <c r="BAG9" s="38"/>
      <c r="BAH9" s="38"/>
      <c r="BAI9" s="38"/>
      <c r="BAJ9" s="38"/>
      <c r="BAK9" s="38"/>
      <c r="BAL9" s="38"/>
      <c r="BAM9" s="38"/>
      <c r="BAN9" s="38"/>
      <c r="BAO9" s="38"/>
      <c r="BAP9" s="38"/>
      <c r="BAQ9" s="38"/>
      <c r="BAR9" s="38"/>
      <c r="BAS9" s="38"/>
      <c r="BAT9" s="38"/>
      <c r="BAU9" s="38"/>
      <c r="BAV9" s="38"/>
      <c r="BAW9" s="38"/>
      <c r="BAX9" s="38"/>
      <c r="BAY9" s="38"/>
      <c r="BAZ9" s="38"/>
      <c r="BBA9" s="38"/>
      <c r="BBB9" s="38"/>
      <c r="BBC9" s="38"/>
      <c r="BBD9" s="38"/>
      <c r="BBE9" s="38"/>
      <c r="BBF9" s="38"/>
      <c r="BBG9" s="38"/>
      <c r="BBH9" s="38"/>
      <c r="BBI9" s="38"/>
      <c r="BBJ9" s="38"/>
      <c r="BBK9" s="38"/>
      <c r="BBL9" s="38"/>
      <c r="BBM9" s="38"/>
      <c r="BBN9" s="38"/>
      <c r="BBO9" s="38"/>
      <c r="BBP9" s="38"/>
      <c r="BBQ9" s="38"/>
      <c r="BBR9" s="38"/>
      <c r="BBS9" s="38"/>
      <c r="BBT9" s="38"/>
      <c r="BBU9" s="38"/>
      <c r="BBV9" s="38"/>
      <c r="BBW9" s="38"/>
      <c r="BBX9" s="38"/>
      <c r="BBY9" s="38"/>
      <c r="BBZ9" s="38"/>
      <c r="BCA9" s="38"/>
      <c r="BCB9" s="38"/>
      <c r="BCC9" s="38"/>
      <c r="BCD9" s="38"/>
      <c r="BCE9" s="38"/>
      <c r="BCF9" s="38"/>
      <c r="BCG9" s="38"/>
      <c r="BCH9" s="38"/>
      <c r="BCI9" s="38"/>
      <c r="BCJ9" s="38"/>
      <c r="BCK9" s="38"/>
      <c r="BCL9" s="38"/>
      <c r="BCM9" s="38"/>
      <c r="BCN9" s="38"/>
      <c r="BCO9" s="38"/>
      <c r="BCP9" s="38"/>
      <c r="BCQ9" s="38"/>
      <c r="BCR9" s="38"/>
      <c r="BCS9" s="38"/>
      <c r="BCT9" s="38"/>
      <c r="BCU9" s="38"/>
      <c r="BCV9" s="38"/>
      <c r="BCW9" s="38"/>
      <c r="BCX9" s="38"/>
      <c r="BCY9" s="38"/>
      <c r="BCZ9" s="38"/>
      <c r="BDA9" s="38"/>
      <c r="BDB9" s="38"/>
      <c r="BDC9" s="38"/>
      <c r="BDD9" s="38"/>
      <c r="BDE9" s="38"/>
      <c r="BDF9" s="38"/>
      <c r="BDG9" s="38"/>
      <c r="BDH9" s="38"/>
      <c r="BDI9" s="38"/>
      <c r="BDJ9" s="38"/>
      <c r="BDK9" s="38"/>
      <c r="BDL9" s="38"/>
      <c r="BDM9" s="38"/>
      <c r="BDN9" s="38"/>
      <c r="BDO9" s="38"/>
      <c r="BDP9" s="38"/>
      <c r="BDQ9" s="38"/>
      <c r="BDR9" s="38"/>
      <c r="BDS9" s="38"/>
      <c r="BDT9" s="38"/>
      <c r="BDU9" s="38"/>
      <c r="BDV9" s="38"/>
      <c r="BDW9" s="38"/>
      <c r="BDX9" s="38"/>
      <c r="BDY9" s="38"/>
      <c r="BDZ9" s="38"/>
      <c r="BEA9" s="38"/>
      <c r="BEB9" s="38"/>
      <c r="BEC9" s="38"/>
      <c r="BED9" s="38"/>
      <c r="BEE9" s="38"/>
      <c r="BEF9" s="38"/>
      <c r="BEG9" s="38"/>
      <c r="BEH9" s="38"/>
      <c r="BEI9" s="38"/>
      <c r="BEJ9" s="38"/>
      <c r="BEK9" s="38"/>
      <c r="BEL9" s="38"/>
      <c r="BEM9" s="38"/>
      <c r="BEN9" s="38"/>
      <c r="BEO9" s="38"/>
      <c r="BEP9" s="38"/>
      <c r="BEQ9" s="38"/>
      <c r="BER9" s="38"/>
      <c r="BES9" s="38"/>
      <c r="BET9" s="38"/>
      <c r="BEU9" s="38"/>
      <c r="BEV9" s="38"/>
      <c r="BEW9" s="38"/>
      <c r="BEX9" s="38"/>
      <c r="BEY9" s="38"/>
      <c r="BEZ9" s="38"/>
      <c r="BFA9" s="38"/>
      <c r="BFB9" s="38"/>
      <c r="BFC9" s="38"/>
      <c r="BFD9" s="38"/>
      <c r="BFE9" s="38"/>
      <c r="BFF9" s="38"/>
      <c r="BFG9" s="38"/>
      <c r="BFH9" s="38"/>
      <c r="BFI9" s="38"/>
      <c r="BFJ9" s="38"/>
      <c r="BFK9" s="38"/>
      <c r="BFL9" s="38"/>
      <c r="BFM9" s="38"/>
      <c r="BFN9" s="38"/>
      <c r="BFO9" s="38"/>
      <c r="BFP9" s="38"/>
      <c r="BFQ9" s="38"/>
      <c r="BFR9" s="38"/>
      <c r="BFS9" s="38"/>
      <c r="BFT9" s="38"/>
      <c r="BFU9" s="38"/>
      <c r="BFV9" s="38"/>
      <c r="BFW9" s="38"/>
      <c r="BFX9" s="38"/>
      <c r="BFY9" s="38"/>
      <c r="BFZ9" s="38"/>
      <c r="BGA9" s="38"/>
      <c r="BGB9" s="38"/>
      <c r="BGC9" s="38"/>
      <c r="BGD9" s="38"/>
      <c r="BGE9" s="38"/>
      <c r="BGF9" s="38"/>
      <c r="BGG9" s="38"/>
      <c r="BGH9" s="38"/>
      <c r="BGI9" s="38"/>
      <c r="BGJ9" s="38"/>
      <c r="BGK9" s="38"/>
      <c r="BGL9" s="38"/>
      <c r="BGM9" s="38"/>
      <c r="BGN9" s="38"/>
      <c r="BGO9" s="38"/>
      <c r="BGP9" s="38"/>
      <c r="BGQ9" s="38"/>
      <c r="BGR9" s="38"/>
      <c r="BGS9" s="38"/>
      <c r="BGT9" s="38"/>
      <c r="BGU9" s="38"/>
      <c r="BGV9" s="38"/>
      <c r="BGW9" s="38"/>
      <c r="BGX9" s="38"/>
      <c r="BGY9" s="38"/>
      <c r="BGZ9" s="38"/>
      <c r="BHA9" s="38"/>
      <c r="BHB9" s="38"/>
      <c r="BHC9" s="38"/>
      <c r="BHD9" s="38"/>
      <c r="BHE9" s="38"/>
      <c r="BHF9" s="38"/>
      <c r="BHG9" s="38"/>
      <c r="BHH9" s="38"/>
      <c r="BHI9" s="38"/>
      <c r="BHJ9" s="38"/>
      <c r="BHK9" s="38"/>
      <c r="BHL9" s="38"/>
      <c r="BHM9" s="38"/>
      <c r="BHN9" s="38"/>
      <c r="BHO9" s="38"/>
      <c r="BHP9" s="38"/>
      <c r="BHQ9" s="38"/>
      <c r="BHR9" s="38"/>
      <c r="BHS9" s="38"/>
      <c r="BHT9" s="38"/>
      <c r="BHU9" s="38"/>
      <c r="BHV9" s="38"/>
      <c r="BHW9" s="38"/>
      <c r="BHX9" s="38"/>
      <c r="BHY9" s="38"/>
      <c r="BHZ9" s="38"/>
      <c r="BIA9" s="38"/>
      <c r="BIB9" s="38"/>
      <c r="BIC9" s="38"/>
      <c r="BID9" s="38"/>
      <c r="BIE9" s="38"/>
      <c r="BIF9" s="38"/>
      <c r="BIG9" s="38"/>
      <c r="BIH9" s="38"/>
      <c r="BII9" s="38"/>
      <c r="BIJ9" s="38"/>
      <c r="BIK9" s="38"/>
      <c r="BIL9" s="38"/>
      <c r="BIM9" s="38"/>
      <c r="BIN9" s="38"/>
      <c r="BIO9" s="38"/>
      <c r="BIP9" s="38"/>
      <c r="BIQ9" s="38"/>
      <c r="BIR9" s="38"/>
      <c r="BIS9" s="38"/>
      <c r="BIT9" s="38"/>
      <c r="BIU9" s="38"/>
      <c r="BIV9" s="38"/>
      <c r="BIW9" s="38"/>
      <c r="BIX9" s="38"/>
      <c r="BIY9" s="38"/>
      <c r="BIZ9" s="38"/>
      <c r="BJA9" s="38"/>
      <c r="BJB9" s="38"/>
      <c r="BJC9" s="38"/>
      <c r="BJD9" s="38"/>
      <c r="BJE9" s="38"/>
      <c r="BJF9" s="38"/>
      <c r="BJG9" s="38"/>
      <c r="BJH9" s="38"/>
      <c r="BJI9" s="38"/>
      <c r="BJJ9" s="38"/>
      <c r="BJK9" s="38"/>
      <c r="BJL9" s="38"/>
      <c r="BJM9" s="38"/>
      <c r="BJN9" s="38"/>
      <c r="BJO9" s="38"/>
      <c r="BJP9" s="38"/>
      <c r="BJQ9" s="38"/>
      <c r="BJR9" s="38"/>
      <c r="BJS9" s="38"/>
      <c r="BJT9" s="38"/>
      <c r="BJU9" s="38"/>
      <c r="BJV9" s="38"/>
      <c r="BJW9" s="38"/>
      <c r="BJX9" s="38"/>
      <c r="BJY9" s="38"/>
      <c r="BJZ9" s="38"/>
      <c r="BKA9" s="38"/>
      <c r="BKB9" s="38"/>
      <c r="BKC9" s="38"/>
      <c r="BKD9" s="38"/>
      <c r="BKE9" s="38"/>
      <c r="BKF9" s="38"/>
      <c r="BKG9" s="38"/>
      <c r="BKH9" s="38"/>
      <c r="BKI9" s="38"/>
      <c r="BKJ9" s="38"/>
      <c r="BKK9" s="38"/>
      <c r="BKL9" s="38"/>
      <c r="BKM9" s="38"/>
      <c r="BKN9" s="38"/>
      <c r="BKO9" s="38"/>
      <c r="BKP9" s="38"/>
      <c r="BKQ9" s="38"/>
      <c r="BKR9" s="38"/>
      <c r="BKS9" s="38"/>
      <c r="BKT9" s="38"/>
      <c r="BKU9" s="38"/>
      <c r="BKV9" s="38"/>
      <c r="BKW9" s="38"/>
      <c r="BKX9" s="38"/>
      <c r="BKY9" s="38"/>
      <c r="BKZ9" s="38"/>
      <c r="BLA9" s="38"/>
      <c r="BLB9" s="38"/>
      <c r="BLC9" s="38"/>
      <c r="BLD9" s="38"/>
      <c r="BLE9" s="38"/>
      <c r="BLF9" s="38"/>
      <c r="BLG9" s="38"/>
      <c r="BLH9" s="38"/>
      <c r="BLI9" s="38"/>
      <c r="BLJ9" s="38"/>
      <c r="BLK9" s="38"/>
      <c r="BLL9" s="38"/>
      <c r="BLM9" s="38"/>
      <c r="BLN9" s="38"/>
      <c r="BLO9" s="38"/>
      <c r="BLP9" s="38"/>
      <c r="BLQ9" s="38"/>
      <c r="BLR9" s="38"/>
      <c r="BLS9" s="38"/>
      <c r="BLT9" s="38"/>
      <c r="BLU9" s="38"/>
      <c r="BLV9" s="38"/>
      <c r="BLW9" s="38"/>
      <c r="BLX9" s="38"/>
      <c r="BLY9" s="38"/>
      <c r="BLZ9" s="38"/>
      <c r="BMA9" s="38"/>
      <c r="BMB9" s="38"/>
      <c r="BMC9" s="38"/>
      <c r="BMD9" s="38"/>
      <c r="BME9" s="38"/>
      <c r="BMF9" s="38"/>
      <c r="BMG9" s="38"/>
      <c r="BMH9" s="38"/>
      <c r="BMI9" s="38"/>
      <c r="BMJ9" s="38"/>
      <c r="BMK9" s="38"/>
      <c r="BML9" s="38"/>
      <c r="BMM9" s="38"/>
      <c r="BMN9" s="38"/>
      <c r="BMO9" s="38"/>
      <c r="BMP9" s="38"/>
      <c r="BMQ9" s="38"/>
      <c r="BMR9" s="38"/>
      <c r="BMS9" s="38"/>
      <c r="BMT9" s="38"/>
      <c r="BMU9" s="38"/>
      <c r="BMV9" s="38"/>
      <c r="BMW9" s="38"/>
      <c r="BMX9" s="38"/>
      <c r="BMY9" s="38"/>
      <c r="BMZ9" s="38"/>
      <c r="BNA9" s="38"/>
      <c r="BNB9" s="38"/>
      <c r="BNC9" s="38"/>
      <c r="BND9" s="38"/>
      <c r="BNE9" s="38"/>
      <c r="BNF9" s="38"/>
      <c r="BNG9" s="38"/>
      <c r="BNH9" s="38"/>
      <c r="BNI9" s="38"/>
      <c r="BNJ9" s="38"/>
      <c r="BNK9" s="38"/>
      <c r="BNL9" s="38"/>
      <c r="BNM9" s="38"/>
      <c r="BNN9" s="38"/>
      <c r="BNO9" s="38"/>
      <c r="BNP9" s="38"/>
      <c r="BNQ9" s="38"/>
      <c r="BNR9" s="38"/>
      <c r="BNS9" s="38"/>
      <c r="BNT9" s="38"/>
      <c r="BNU9" s="38"/>
      <c r="BNV9" s="38"/>
      <c r="BNW9" s="38"/>
      <c r="BNX9" s="38"/>
      <c r="BNY9" s="38"/>
      <c r="BNZ9" s="38"/>
      <c r="BOA9" s="38"/>
      <c r="BOB9" s="38"/>
      <c r="BOC9" s="38"/>
      <c r="BOD9" s="38"/>
      <c r="BOE9" s="38"/>
      <c r="BOF9" s="38"/>
      <c r="BOG9" s="38"/>
      <c r="BOH9" s="38"/>
      <c r="BOI9" s="38"/>
      <c r="BOJ9" s="38"/>
      <c r="BOK9" s="38"/>
      <c r="BOL9" s="38"/>
      <c r="BOM9" s="38"/>
      <c r="BON9" s="38"/>
      <c r="BOO9" s="38"/>
      <c r="BOP9" s="38"/>
      <c r="BOQ9" s="38"/>
      <c r="BOR9" s="38"/>
      <c r="BOS9" s="38"/>
      <c r="BOT9" s="38"/>
      <c r="BOU9" s="38"/>
      <c r="BOV9" s="38"/>
      <c r="BOW9" s="38"/>
      <c r="BOX9" s="38"/>
      <c r="BOY9" s="38"/>
      <c r="BOZ9" s="38"/>
      <c r="BPA9" s="38"/>
      <c r="BPB9" s="38"/>
      <c r="BPC9" s="38"/>
      <c r="BPD9" s="38"/>
      <c r="BPE9" s="38"/>
      <c r="BPF9" s="38"/>
      <c r="BPG9" s="38"/>
      <c r="BPH9" s="38"/>
      <c r="BPI9" s="38"/>
      <c r="BPJ9" s="38"/>
      <c r="BPK9" s="38"/>
      <c r="BPL9" s="38"/>
      <c r="BPM9" s="38"/>
      <c r="BPN9" s="38"/>
      <c r="BPO9" s="38"/>
      <c r="BPP9" s="38"/>
      <c r="BPQ9" s="38"/>
      <c r="BPR9" s="38"/>
      <c r="BPS9" s="38"/>
      <c r="BPT9" s="38"/>
      <c r="BPU9" s="38"/>
      <c r="BPV9" s="38"/>
      <c r="BPW9" s="38"/>
      <c r="BPX9" s="38"/>
      <c r="BPY9" s="38"/>
      <c r="BPZ9" s="38"/>
      <c r="BQA9" s="38"/>
      <c r="BQB9" s="38"/>
      <c r="BQC9" s="38"/>
      <c r="BQD9" s="38"/>
      <c r="BQE9" s="38"/>
      <c r="BQF9" s="38"/>
      <c r="BQG9" s="38"/>
      <c r="BQH9" s="38"/>
      <c r="BQI9" s="38"/>
      <c r="BQJ9" s="38"/>
      <c r="BQK9" s="38"/>
      <c r="BQL9" s="38"/>
      <c r="BQM9" s="38"/>
      <c r="BQN9" s="38"/>
      <c r="BQO9" s="38"/>
      <c r="BQP9" s="38"/>
      <c r="BQQ9" s="38"/>
      <c r="BQR9" s="38"/>
      <c r="BQS9" s="38"/>
      <c r="BQT9" s="38"/>
      <c r="BQU9" s="38"/>
    </row>
    <row r="10" spans="1:1815" s="8" customFormat="1" ht="40.35" customHeight="1" x14ac:dyDescent="0.3">
      <c r="A10" s="9">
        <v>1</v>
      </c>
      <c r="B10" s="2" t="s">
        <v>1466</v>
      </c>
      <c r="C10" s="205" t="s">
        <v>1470</v>
      </c>
      <c r="D10" s="11"/>
      <c r="E10" s="372" t="s">
        <v>1471</v>
      </c>
      <c r="F10" s="3" t="s">
        <v>1439</v>
      </c>
      <c r="G10" s="381"/>
      <c r="H10" s="194" t="s">
        <v>13</v>
      </c>
      <c r="I10" s="194" t="s">
        <v>1467</v>
      </c>
      <c r="J10" s="194" t="s">
        <v>1468</v>
      </c>
      <c r="K10" s="194" t="s">
        <v>110</v>
      </c>
      <c r="L10" s="194" t="s">
        <v>22</v>
      </c>
      <c r="M10" s="194" t="s">
        <v>1469</v>
      </c>
      <c r="N10" s="366" t="s">
        <v>1472</v>
      </c>
      <c r="O10" s="50" t="s">
        <v>498</v>
      </c>
      <c r="P10" s="50" t="s">
        <v>1473</v>
      </c>
      <c r="Q10" s="243"/>
      <c r="R10" s="50" t="s">
        <v>499</v>
      </c>
      <c r="S10" s="50" t="s">
        <v>560</v>
      </c>
      <c r="T10" s="50" t="s">
        <v>500</v>
      </c>
      <c r="U10" s="50" t="s">
        <v>524</v>
      </c>
      <c r="V10" s="52" t="s">
        <v>653</v>
      </c>
      <c r="W10" s="50" t="s">
        <v>503</v>
      </c>
      <c r="X10" s="365" t="s">
        <v>527</v>
      </c>
      <c r="Y10" s="46" t="s">
        <v>1474</v>
      </c>
      <c r="Z10" s="365" t="s">
        <v>1475</v>
      </c>
      <c r="AA10" s="181" t="s">
        <v>1476</v>
      </c>
      <c r="AB10" s="365" t="s">
        <v>538</v>
      </c>
      <c r="AC10" s="365" t="s">
        <v>563</v>
      </c>
      <c r="AD10" s="55">
        <v>26715</v>
      </c>
      <c r="AE10" s="48">
        <f t="shared" ref="AE10:AE12" si="0">DAY(AD10)</f>
        <v>20</v>
      </c>
      <c r="AF10" s="48">
        <f t="shared" ref="AF10:AF12" si="1">MONTH(AD10)</f>
        <v>2</v>
      </c>
      <c r="AG10" s="48">
        <f t="shared" ref="AG10:AG12" si="2">YEAR(AD10)</f>
        <v>1973</v>
      </c>
      <c r="AH10" s="49">
        <f t="shared" ref="AH10:AH12" si="3">EDATE(AD10,12*60)</f>
        <v>48630</v>
      </c>
      <c r="AI10" s="48">
        <f t="shared" ref="AI10:AI14" ca="1" si="4">DATEDIF($A$4,AH10, "Y" )</f>
        <v>7</v>
      </c>
      <c r="AJ10" s="48">
        <f t="shared" ref="AJ10:AJ14" ca="1" si="5">DATEDIF($A$4,AH10, "YM" )</f>
        <v>2</v>
      </c>
      <c r="AK10" s="48">
        <f t="shared" ref="AK10:AK14" ca="1" si="6">DATEDIF($A$4,AH10, "MD" )</f>
        <v>9</v>
      </c>
      <c r="AL10" s="48" t="str">
        <f t="shared" ref="AL10:AL14" ca="1" si="7">CONCATENATE(AI10,"year","/",AJ10,"months","/",AK10,"Days")</f>
        <v>7year/2months/9Days</v>
      </c>
      <c r="AM10" s="126"/>
      <c r="AN10" s="50">
        <v>2020</v>
      </c>
      <c r="AO10" s="78">
        <v>3</v>
      </c>
      <c r="AP10" s="78">
        <v>1357</v>
      </c>
      <c r="AQ10" s="78">
        <v>1094</v>
      </c>
      <c r="AR10" s="78" t="s">
        <v>498</v>
      </c>
      <c r="AS10" s="78" t="s">
        <v>498</v>
      </c>
      <c r="AT10" s="78">
        <v>263</v>
      </c>
      <c r="AU10" s="74">
        <f>AT10/AP10*100</f>
        <v>19.380987472365511</v>
      </c>
      <c r="AV10" s="78" t="s">
        <v>498</v>
      </c>
      <c r="AW10" s="78" t="s">
        <v>498</v>
      </c>
      <c r="AX10" s="78">
        <v>1357</v>
      </c>
      <c r="AY10" s="78"/>
      <c r="AZ10" s="78"/>
      <c r="BA10" s="76">
        <v>44987</v>
      </c>
      <c r="BB10" s="50"/>
      <c r="BC10" s="50"/>
      <c r="BD10" s="50"/>
      <c r="BE10" s="50"/>
      <c r="BF10" s="77"/>
      <c r="BG10" s="77"/>
      <c r="BH10" s="77"/>
      <c r="BI10" s="7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27"/>
      <c r="JD10" s="27"/>
      <c r="JE10" s="27"/>
      <c r="JF10" s="27"/>
      <c r="JG10" s="27"/>
      <c r="JH10" s="27"/>
      <c r="JI10" s="27"/>
      <c r="JJ10" s="27"/>
      <c r="JK10" s="27"/>
      <c r="JL10" s="27"/>
      <c r="JM10" s="27"/>
      <c r="JN10" s="27"/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27"/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  <c r="MM10" s="27"/>
      <c r="MN10" s="27"/>
      <c r="MO10" s="27"/>
      <c r="MP10" s="27"/>
      <c r="MQ10" s="27"/>
      <c r="MR10" s="27"/>
      <c r="MS10" s="27"/>
      <c r="MT10" s="27"/>
      <c r="MU10" s="27"/>
      <c r="MV10" s="27"/>
      <c r="MW10" s="27"/>
      <c r="MX10" s="27"/>
      <c r="MY10" s="27"/>
      <c r="MZ10" s="27"/>
      <c r="NA10" s="27"/>
      <c r="NB10" s="27"/>
      <c r="NC10" s="27"/>
      <c r="ND10" s="27"/>
      <c r="NE10" s="27"/>
      <c r="NF10" s="27"/>
      <c r="NG10" s="27"/>
      <c r="NH10" s="27"/>
      <c r="NI10" s="27"/>
      <c r="NJ10" s="27"/>
      <c r="NK10" s="27"/>
      <c r="NL10" s="27"/>
      <c r="NM10" s="27"/>
      <c r="NN10" s="27"/>
      <c r="NO10" s="27"/>
      <c r="NP10" s="27"/>
      <c r="NQ10" s="27"/>
      <c r="NR10" s="27"/>
      <c r="NS10" s="27"/>
      <c r="NT10" s="27"/>
      <c r="NU10" s="27"/>
      <c r="NV10" s="27"/>
      <c r="NW10" s="27"/>
      <c r="NX10" s="27"/>
      <c r="NY10" s="27"/>
      <c r="NZ10" s="27"/>
      <c r="OA10" s="27"/>
      <c r="OB10" s="27"/>
      <c r="OC10" s="27"/>
      <c r="OD10" s="27"/>
      <c r="OE10" s="27"/>
      <c r="OF10" s="27"/>
      <c r="OG10" s="27"/>
      <c r="OH10" s="27"/>
      <c r="OI10" s="27"/>
      <c r="OJ10" s="27"/>
      <c r="OK10" s="27"/>
      <c r="OL10" s="27"/>
      <c r="OM10" s="27"/>
      <c r="ON10" s="27"/>
      <c r="OO10" s="27"/>
      <c r="OP10" s="27"/>
      <c r="OQ10" s="27"/>
      <c r="OR10" s="27"/>
      <c r="OS10" s="27"/>
      <c r="OT10" s="27"/>
      <c r="OU10" s="27"/>
      <c r="OV10" s="27"/>
      <c r="OW10" s="27"/>
      <c r="OX10" s="27"/>
      <c r="OY10" s="27"/>
      <c r="OZ10" s="27"/>
      <c r="PA10" s="27"/>
      <c r="PB10" s="27"/>
      <c r="PC10" s="27"/>
      <c r="PD10" s="27"/>
      <c r="PE10" s="27"/>
      <c r="PF10" s="27"/>
      <c r="PG10" s="27"/>
      <c r="PH10" s="27"/>
      <c r="PI10" s="27"/>
      <c r="PJ10" s="27"/>
      <c r="PK10" s="27"/>
      <c r="PL10" s="27"/>
      <c r="PM10" s="27"/>
      <c r="PN10" s="27"/>
      <c r="PO10" s="27"/>
      <c r="PP10" s="27"/>
      <c r="PQ10" s="27"/>
      <c r="PR10" s="27"/>
      <c r="PS10" s="27"/>
      <c r="PT10" s="27"/>
      <c r="PU10" s="27"/>
      <c r="PV10" s="27"/>
      <c r="PW10" s="27"/>
      <c r="PX10" s="27"/>
      <c r="PY10" s="27"/>
      <c r="PZ10" s="27"/>
      <c r="QA10" s="27"/>
      <c r="QB10" s="27"/>
      <c r="QC10" s="27"/>
      <c r="QD10" s="27"/>
      <c r="QE10" s="27"/>
      <c r="QF10" s="27"/>
      <c r="QG10" s="27"/>
      <c r="QH10" s="27"/>
      <c r="QI10" s="27"/>
      <c r="QJ10" s="27"/>
      <c r="QK10" s="27"/>
      <c r="QL10" s="27"/>
      <c r="QM10" s="27"/>
      <c r="QN10" s="27"/>
      <c r="QO10" s="27"/>
      <c r="QP10" s="27"/>
      <c r="QQ10" s="27"/>
      <c r="QR10" s="27"/>
      <c r="QS10" s="27"/>
      <c r="QT10" s="27"/>
      <c r="QU10" s="27"/>
      <c r="QV10" s="27"/>
      <c r="QW10" s="27"/>
      <c r="QX10" s="27"/>
      <c r="QY10" s="27"/>
      <c r="QZ10" s="27"/>
      <c r="RA10" s="27"/>
      <c r="RB10" s="27"/>
      <c r="RC10" s="27"/>
      <c r="RD10" s="27"/>
      <c r="RE10" s="27"/>
      <c r="RF10" s="27"/>
      <c r="RG10" s="27"/>
      <c r="RH10" s="27"/>
      <c r="RI10" s="27"/>
      <c r="RJ10" s="27"/>
      <c r="RK10" s="27"/>
      <c r="RL10" s="27"/>
      <c r="RM10" s="27"/>
      <c r="RN10" s="27"/>
      <c r="RO10" s="27"/>
      <c r="RP10" s="27"/>
      <c r="RQ10" s="27"/>
      <c r="RR10" s="27"/>
      <c r="RS10" s="27"/>
      <c r="RT10" s="27"/>
      <c r="RU10" s="27"/>
      <c r="RV10" s="27"/>
      <c r="RW10" s="27"/>
      <c r="RX10" s="27"/>
      <c r="RY10" s="27"/>
      <c r="RZ10" s="27"/>
      <c r="SA10" s="27"/>
      <c r="SB10" s="27"/>
      <c r="SC10" s="27"/>
      <c r="SD10" s="27"/>
      <c r="SE10" s="27"/>
      <c r="SF10" s="27"/>
      <c r="SG10" s="27"/>
      <c r="SH10" s="27"/>
      <c r="SI10" s="27"/>
      <c r="SJ10" s="27"/>
      <c r="SK10" s="27"/>
      <c r="SL10" s="27"/>
      <c r="SM10" s="27"/>
      <c r="SN10" s="27"/>
      <c r="SO10" s="27"/>
      <c r="SP10" s="27"/>
      <c r="SQ10" s="27"/>
      <c r="SR10" s="27"/>
      <c r="SS10" s="27"/>
      <c r="ST10" s="27"/>
      <c r="SU10" s="27"/>
      <c r="SV10" s="27"/>
      <c r="SW10" s="27"/>
      <c r="SX10" s="27"/>
      <c r="SY10" s="27"/>
      <c r="SZ10" s="27"/>
      <c r="TA10" s="27"/>
      <c r="TB10" s="27"/>
      <c r="TC10" s="27"/>
      <c r="TD10" s="27"/>
      <c r="TE10" s="27"/>
      <c r="TF10" s="27"/>
      <c r="TG10" s="27"/>
      <c r="TH10" s="27"/>
      <c r="TI10" s="27"/>
      <c r="TJ10" s="27"/>
      <c r="TK10" s="27"/>
      <c r="TL10" s="27"/>
      <c r="TM10" s="27"/>
      <c r="TN10" s="27"/>
      <c r="TO10" s="27"/>
      <c r="TP10" s="27"/>
      <c r="TQ10" s="27"/>
      <c r="TR10" s="27"/>
      <c r="TS10" s="27"/>
      <c r="TT10" s="27"/>
      <c r="TU10" s="27"/>
      <c r="TV10" s="27"/>
      <c r="TW10" s="27"/>
      <c r="TX10" s="27"/>
      <c r="TY10" s="27"/>
      <c r="TZ10" s="27"/>
      <c r="UA10" s="27"/>
      <c r="UB10" s="27"/>
      <c r="UC10" s="27"/>
      <c r="UD10" s="27"/>
      <c r="UE10" s="27"/>
      <c r="UF10" s="27"/>
      <c r="UG10" s="27"/>
      <c r="UH10" s="27"/>
      <c r="UI10" s="27"/>
      <c r="UJ10" s="27"/>
      <c r="UK10" s="27"/>
      <c r="UL10" s="27"/>
      <c r="UM10" s="27"/>
      <c r="UN10" s="27"/>
      <c r="UO10" s="27"/>
      <c r="UP10" s="27"/>
      <c r="UQ10" s="27"/>
      <c r="UR10" s="27"/>
      <c r="US10" s="27"/>
      <c r="UT10" s="27"/>
      <c r="UU10" s="27"/>
      <c r="UV10" s="27"/>
      <c r="UW10" s="27"/>
      <c r="UX10" s="27"/>
      <c r="UY10" s="27"/>
      <c r="UZ10" s="27"/>
      <c r="VA10" s="27"/>
      <c r="VB10" s="27"/>
      <c r="VC10" s="27"/>
      <c r="VD10" s="27"/>
      <c r="VE10" s="27"/>
      <c r="VF10" s="27"/>
      <c r="VG10" s="27"/>
      <c r="VH10" s="27"/>
      <c r="VI10" s="27"/>
      <c r="VJ10" s="27"/>
      <c r="VK10" s="27"/>
      <c r="VL10" s="27"/>
      <c r="VM10" s="27"/>
      <c r="VN10" s="27"/>
      <c r="VO10" s="27"/>
      <c r="VP10" s="27"/>
      <c r="VQ10" s="27"/>
      <c r="VR10" s="27"/>
      <c r="VS10" s="27"/>
      <c r="VT10" s="27"/>
      <c r="VU10" s="27"/>
      <c r="VV10" s="27"/>
      <c r="VW10" s="27"/>
      <c r="VX10" s="27"/>
      <c r="VY10" s="27"/>
      <c r="VZ10" s="27"/>
      <c r="WA10" s="27"/>
      <c r="WB10" s="27"/>
      <c r="WC10" s="27"/>
      <c r="WD10" s="27"/>
      <c r="WE10" s="27"/>
      <c r="WF10" s="27"/>
      <c r="WG10" s="27"/>
      <c r="WH10" s="27"/>
      <c r="WI10" s="27"/>
      <c r="WJ10" s="27"/>
      <c r="WK10" s="27"/>
      <c r="WL10" s="27"/>
      <c r="WM10" s="27"/>
      <c r="WN10" s="27"/>
      <c r="WO10" s="27"/>
      <c r="WP10" s="27"/>
      <c r="WQ10" s="27"/>
      <c r="WR10" s="27"/>
      <c r="WS10" s="27"/>
      <c r="WT10" s="27"/>
      <c r="WU10" s="27"/>
      <c r="WV10" s="27"/>
      <c r="WW10" s="27"/>
      <c r="WX10" s="27"/>
      <c r="WY10" s="27"/>
      <c r="WZ10" s="27"/>
      <c r="XA10" s="27"/>
      <c r="XB10" s="27"/>
      <c r="XC10" s="27"/>
      <c r="XD10" s="27"/>
      <c r="XE10" s="27"/>
      <c r="XF10" s="27"/>
      <c r="XG10" s="27"/>
      <c r="XH10" s="27"/>
      <c r="XI10" s="27"/>
      <c r="XJ10" s="27"/>
      <c r="XK10" s="27"/>
      <c r="XL10" s="27"/>
      <c r="XM10" s="27"/>
      <c r="XN10" s="27"/>
      <c r="XO10" s="27"/>
      <c r="XP10" s="27"/>
      <c r="XQ10" s="27"/>
      <c r="XR10" s="27"/>
      <c r="XS10" s="27"/>
      <c r="XT10" s="27"/>
      <c r="XU10" s="27"/>
      <c r="XV10" s="27"/>
      <c r="XW10" s="27"/>
      <c r="XX10" s="27"/>
      <c r="XY10" s="27"/>
      <c r="XZ10" s="27"/>
      <c r="YA10" s="27"/>
      <c r="YB10" s="27"/>
      <c r="YC10" s="27"/>
      <c r="YD10" s="27"/>
      <c r="YE10" s="27"/>
      <c r="YF10" s="27"/>
      <c r="YG10" s="27"/>
      <c r="YH10" s="27"/>
      <c r="YI10" s="27"/>
      <c r="YJ10" s="27"/>
      <c r="YK10" s="27"/>
      <c r="YL10" s="27"/>
      <c r="YM10" s="27"/>
      <c r="YN10" s="27"/>
      <c r="YO10" s="27"/>
      <c r="YP10" s="27"/>
      <c r="YQ10" s="27"/>
      <c r="YR10" s="27"/>
      <c r="YS10" s="27"/>
      <c r="YT10" s="27"/>
      <c r="YU10" s="27"/>
      <c r="YV10" s="27"/>
      <c r="YW10" s="27"/>
      <c r="YX10" s="27"/>
      <c r="YY10" s="27"/>
      <c r="YZ10" s="27"/>
      <c r="ZA10" s="27"/>
      <c r="ZB10" s="27"/>
      <c r="ZC10" s="27"/>
      <c r="ZD10" s="27"/>
      <c r="ZE10" s="27"/>
      <c r="ZF10" s="27"/>
      <c r="ZG10" s="27"/>
      <c r="ZH10" s="27"/>
      <c r="ZI10" s="27"/>
      <c r="ZJ10" s="27"/>
      <c r="ZK10" s="27"/>
      <c r="ZL10" s="27"/>
      <c r="ZM10" s="27"/>
      <c r="ZN10" s="27"/>
      <c r="ZO10" s="27"/>
      <c r="ZP10" s="27"/>
      <c r="ZQ10" s="27"/>
      <c r="ZR10" s="27"/>
      <c r="ZS10" s="27"/>
      <c r="ZT10" s="27"/>
      <c r="ZU10" s="27"/>
      <c r="ZV10" s="27"/>
      <c r="ZW10" s="27"/>
      <c r="ZX10" s="27"/>
      <c r="ZY10" s="27"/>
      <c r="ZZ10" s="27"/>
      <c r="AAA10" s="27"/>
      <c r="AAB10" s="27"/>
      <c r="AAC10" s="27"/>
      <c r="AAD10" s="27"/>
      <c r="AAE10" s="27"/>
      <c r="AAF10" s="27"/>
      <c r="AAG10" s="27"/>
      <c r="AAH10" s="27"/>
      <c r="AAI10" s="27"/>
      <c r="AAJ10" s="27"/>
      <c r="AAK10" s="27"/>
      <c r="AAL10" s="27"/>
      <c r="AAM10" s="27"/>
      <c r="AAN10" s="27"/>
      <c r="AAO10" s="27"/>
      <c r="AAP10" s="27"/>
      <c r="AAQ10" s="27"/>
      <c r="AAR10" s="27"/>
      <c r="AAS10" s="27"/>
      <c r="AAT10" s="27"/>
      <c r="AAU10" s="27"/>
      <c r="AAV10" s="27"/>
      <c r="AAW10" s="27"/>
      <c r="AAX10" s="27"/>
      <c r="AAY10" s="27"/>
      <c r="AAZ10" s="27"/>
      <c r="ABA10" s="27"/>
      <c r="ABB10" s="27"/>
      <c r="ABC10" s="27"/>
      <c r="ABD10" s="27"/>
      <c r="ABE10" s="27"/>
      <c r="ABF10" s="27"/>
      <c r="ABG10" s="27"/>
      <c r="ABH10" s="27"/>
      <c r="ABI10" s="27"/>
      <c r="ABJ10" s="27"/>
      <c r="ABK10" s="27"/>
      <c r="ABL10" s="27"/>
      <c r="ABM10" s="27"/>
      <c r="ABN10" s="27"/>
      <c r="ABO10" s="27"/>
      <c r="ABP10" s="27"/>
      <c r="ABQ10" s="27"/>
      <c r="ABR10" s="27"/>
      <c r="ABS10" s="27"/>
      <c r="ABT10" s="27"/>
      <c r="ABU10" s="27"/>
      <c r="ABV10" s="27"/>
      <c r="ABW10" s="27"/>
      <c r="ABX10" s="27"/>
      <c r="ABY10" s="27"/>
      <c r="ABZ10" s="27"/>
      <c r="ACA10" s="27"/>
      <c r="ACB10" s="27"/>
      <c r="ACC10" s="27"/>
      <c r="ACD10" s="27"/>
      <c r="ACE10" s="27"/>
      <c r="ACF10" s="27"/>
      <c r="ACG10" s="27"/>
      <c r="ACH10" s="27"/>
      <c r="ACI10" s="27"/>
      <c r="ACJ10" s="27"/>
      <c r="ACK10" s="27"/>
      <c r="ACL10" s="27"/>
      <c r="ACM10" s="27"/>
      <c r="ACN10" s="27"/>
      <c r="ACO10" s="27"/>
      <c r="ACP10" s="27"/>
      <c r="ACQ10" s="27"/>
      <c r="ACR10" s="27"/>
      <c r="ACS10" s="27"/>
      <c r="ACT10" s="27"/>
      <c r="ACU10" s="27"/>
      <c r="ACV10" s="27"/>
      <c r="ACW10" s="27"/>
      <c r="ACX10" s="27"/>
      <c r="ACY10" s="27"/>
      <c r="ACZ10" s="27"/>
      <c r="ADA10" s="27"/>
      <c r="ADB10" s="27"/>
      <c r="ADC10" s="27"/>
      <c r="ADD10" s="27"/>
      <c r="ADE10" s="27"/>
      <c r="ADF10" s="27"/>
      <c r="ADG10" s="27"/>
      <c r="ADH10" s="27"/>
      <c r="ADI10" s="27"/>
      <c r="ADJ10" s="27"/>
      <c r="ADK10" s="27"/>
      <c r="ADL10" s="27"/>
      <c r="ADM10" s="27"/>
      <c r="ADN10" s="27"/>
      <c r="ADO10" s="27"/>
      <c r="ADP10" s="27"/>
      <c r="ADQ10" s="27"/>
      <c r="ADR10" s="27"/>
      <c r="ADS10" s="27"/>
      <c r="ADT10" s="27"/>
      <c r="ADU10" s="27"/>
      <c r="ADV10" s="27"/>
      <c r="ADW10" s="27"/>
      <c r="ADX10" s="27"/>
      <c r="ADY10" s="27"/>
      <c r="ADZ10" s="27"/>
      <c r="AEA10" s="27"/>
      <c r="AEB10" s="27"/>
      <c r="AEC10" s="27"/>
      <c r="AED10" s="27"/>
      <c r="AEE10" s="27"/>
      <c r="AEF10" s="27"/>
      <c r="AEG10" s="27"/>
      <c r="AEH10" s="27"/>
      <c r="AEI10" s="27"/>
      <c r="AEJ10" s="27"/>
      <c r="AEK10" s="27"/>
      <c r="AEL10" s="27"/>
      <c r="AEM10" s="27"/>
      <c r="AEN10" s="27"/>
      <c r="AEO10" s="27"/>
      <c r="AEP10" s="27"/>
      <c r="AEQ10" s="27"/>
      <c r="AER10" s="27"/>
      <c r="AES10" s="27"/>
      <c r="AET10" s="27"/>
      <c r="AEU10" s="27"/>
      <c r="AEV10" s="27"/>
      <c r="AEW10" s="27"/>
      <c r="AEX10" s="27"/>
      <c r="AEY10" s="27"/>
      <c r="AEZ10" s="27"/>
      <c r="AFA10" s="27"/>
      <c r="AFB10" s="27"/>
      <c r="AFC10" s="27"/>
      <c r="AFD10" s="27"/>
      <c r="AFE10" s="27"/>
      <c r="AFF10" s="27"/>
      <c r="AFG10" s="27"/>
      <c r="AFH10" s="27"/>
      <c r="AFI10" s="27"/>
      <c r="AFJ10" s="27"/>
      <c r="AFK10" s="27"/>
      <c r="AFL10" s="27"/>
      <c r="AFM10" s="27"/>
      <c r="AFN10" s="27"/>
      <c r="AFO10" s="27"/>
      <c r="AFP10" s="27"/>
      <c r="AFQ10" s="27"/>
      <c r="AFR10" s="27"/>
      <c r="AFS10" s="27"/>
      <c r="AFT10" s="27"/>
      <c r="AFU10" s="27"/>
      <c r="AFV10" s="27"/>
      <c r="AFW10" s="27"/>
      <c r="AFX10" s="27"/>
      <c r="AFY10" s="27"/>
      <c r="AFZ10" s="27"/>
      <c r="AGA10" s="27"/>
      <c r="AGB10" s="27"/>
      <c r="AGC10" s="27"/>
      <c r="AGD10" s="27"/>
      <c r="AGE10" s="27"/>
      <c r="AGF10" s="27"/>
      <c r="AGG10" s="27"/>
      <c r="AGH10" s="27"/>
      <c r="AGI10" s="27"/>
      <c r="AGJ10" s="27"/>
      <c r="AGK10" s="27"/>
      <c r="AGL10" s="27"/>
      <c r="AGM10" s="27"/>
      <c r="AGN10" s="27"/>
      <c r="AGO10" s="27"/>
      <c r="AGP10" s="27"/>
      <c r="AGQ10" s="27"/>
      <c r="AGR10" s="27"/>
      <c r="AGS10" s="27"/>
      <c r="AGT10" s="27"/>
      <c r="AGU10" s="27"/>
      <c r="AGV10" s="27"/>
      <c r="AGW10" s="27"/>
      <c r="AGX10" s="27"/>
      <c r="AGY10" s="27"/>
      <c r="AGZ10" s="27"/>
      <c r="AHA10" s="27"/>
      <c r="AHB10" s="27"/>
      <c r="AHC10" s="27"/>
      <c r="AHD10" s="27"/>
      <c r="AHE10" s="27"/>
      <c r="AHF10" s="27"/>
      <c r="AHG10" s="27"/>
      <c r="AHH10" s="27"/>
      <c r="AHI10" s="27"/>
      <c r="AHJ10" s="27"/>
      <c r="AHK10" s="27"/>
      <c r="AHL10" s="27"/>
      <c r="AHM10" s="27"/>
      <c r="AHN10" s="27"/>
      <c r="AHO10" s="27"/>
      <c r="AHP10" s="27"/>
      <c r="AHQ10" s="27"/>
      <c r="AHR10" s="27"/>
      <c r="AHS10" s="27"/>
      <c r="AHT10" s="27"/>
      <c r="AHU10" s="27"/>
      <c r="AHV10" s="27"/>
      <c r="AHW10" s="27"/>
      <c r="AHX10" s="27"/>
      <c r="AHY10" s="27"/>
      <c r="AHZ10" s="27"/>
      <c r="AIA10" s="27"/>
      <c r="AIB10" s="27"/>
      <c r="AIC10" s="27"/>
      <c r="AID10" s="27"/>
      <c r="AIE10" s="27"/>
      <c r="AIF10" s="27"/>
      <c r="AIG10" s="27"/>
      <c r="AIH10" s="27"/>
      <c r="AII10" s="27"/>
      <c r="AIJ10" s="27"/>
      <c r="AIK10" s="27"/>
      <c r="AIL10" s="27"/>
      <c r="AIM10" s="27"/>
      <c r="AIN10" s="27"/>
      <c r="AIO10" s="27"/>
      <c r="AIP10" s="27"/>
      <c r="AIQ10" s="27"/>
      <c r="AIR10" s="27"/>
      <c r="AIS10" s="27"/>
      <c r="AIT10" s="27"/>
      <c r="AIU10" s="27"/>
      <c r="AIV10" s="27"/>
      <c r="AIW10" s="27"/>
      <c r="AIX10" s="27"/>
      <c r="AIY10" s="27"/>
      <c r="AIZ10" s="27"/>
      <c r="AJA10" s="27"/>
      <c r="AJB10" s="27"/>
      <c r="AJC10" s="27"/>
      <c r="AJD10" s="27"/>
      <c r="AJE10" s="27"/>
      <c r="AJF10" s="27"/>
      <c r="AJG10" s="27"/>
      <c r="AJH10" s="27"/>
      <c r="AJI10" s="27"/>
      <c r="AJJ10" s="27"/>
      <c r="AJK10" s="27"/>
      <c r="AJL10" s="27"/>
      <c r="AJM10" s="27"/>
      <c r="AJN10" s="27"/>
      <c r="AJO10" s="27"/>
      <c r="AJP10" s="27"/>
      <c r="AJQ10" s="27"/>
      <c r="AJR10" s="27"/>
      <c r="AJS10" s="27"/>
      <c r="AJT10" s="27"/>
      <c r="AJU10" s="27"/>
      <c r="AJV10" s="27"/>
      <c r="AJW10" s="27"/>
      <c r="AJX10" s="27"/>
      <c r="AJY10" s="27"/>
      <c r="AJZ10" s="27"/>
      <c r="AKA10" s="27"/>
      <c r="AKB10" s="27"/>
      <c r="AKC10" s="27"/>
      <c r="AKD10" s="27"/>
      <c r="AKE10" s="27"/>
      <c r="AKF10" s="27"/>
      <c r="AKG10" s="27"/>
      <c r="AKH10" s="27"/>
      <c r="AKI10" s="27"/>
      <c r="AKJ10" s="27"/>
      <c r="AKK10" s="27"/>
      <c r="AKL10" s="27"/>
      <c r="AKM10" s="27"/>
      <c r="AKN10" s="27"/>
      <c r="AKO10" s="27"/>
      <c r="AKP10" s="27"/>
      <c r="AKQ10" s="27"/>
      <c r="AKR10" s="27"/>
      <c r="AKS10" s="27"/>
      <c r="AKT10" s="27"/>
      <c r="AKU10" s="27"/>
      <c r="AKV10" s="27"/>
      <c r="AKW10" s="27"/>
      <c r="AKX10" s="27"/>
      <c r="AKY10" s="27"/>
      <c r="AKZ10" s="27"/>
      <c r="ALA10" s="27"/>
      <c r="ALB10" s="27"/>
      <c r="ALC10" s="27"/>
      <c r="ALD10" s="27"/>
      <c r="ALE10" s="27"/>
      <c r="ALF10" s="27"/>
      <c r="ALG10" s="27"/>
      <c r="ALH10" s="27"/>
      <c r="ALI10" s="27"/>
      <c r="ALJ10" s="27"/>
      <c r="ALK10" s="27"/>
      <c r="ALL10" s="27"/>
      <c r="ALM10" s="27"/>
      <c r="ALN10" s="27"/>
      <c r="ALO10" s="27"/>
      <c r="ALP10" s="27"/>
      <c r="ALQ10" s="27"/>
      <c r="ALR10" s="27"/>
      <c r="ALS10" s="27"/>
      <c r="ALT10" s="27"/>
      <c r="ALU10" s="27"/>
      <c r="ALV10" s="27"/>
      <c r="ALW10" s="27"/>
      <c r="ALX10" s="27"/>
      <c r="ALY10" s="27"/>
      <c r="ALZ10" s="27"/>
      <c r="AMA10" s="27"/>
      <c r="AMB10" s="27"/>
      <c r="AMC10" s="27"/>
      <c r="AMD10" s="27"/>
      <c r="AME10" s="27"/>
      <c r="AMF10" s="27"/>
      <c r="AMG10" s="27"/>
      <c r="AMH10" s="27"/>
      <c r="AMI10" s="27"/>
      <c r="AMJ10" s="27"/>
      <c r="AMK10" s="27"/>
      <c r="AML10" s="27"/>
      <c r="AMM10" s="27"/>
      <c r="AMN10" s="27"/>
      <c r="AMO10" s="27"/>
      <c r="AMP10" s="27"/>
      <c r="AMQ10" s="27"/>
      <c r="AMR10" s="27"/>
      <c r="AMS10" s="27"/>
      <c r="AMT10" s="27"/>
      <c r="AMU10" s="27"/>
      <c r="AMV10" s="27"/>
      <c r="AMW10" s="27"/>
      <c r="AMX10" s="27"/>
      <c r="AMY10" s="27"/>
      <c r="AMZ10" s="27"/>
      <c r="ANA10" s="27"/>
      <c r="ANB10" s="27"/>
      <c r="ANC10" s="27"/>
      <c r="AND10" s="27"/>
      <c r="ANE10" s="27"/>
      <c r="ANF10" s="27"/>
      <c r="ANG10" s="27"/>
      <c r="ANH10" s="27"/>
      <c r="ANI10" s="27"/>
      <c r="ANJ10" s="27"/>
      <c r="ANK10" s="27"/>
      <c r="ANL10" s="27"/>
      <c r="ANM10" s="27"/>
      <c r="ANN10" s="27"/>
      <c r="ANO10" s="27"/>
      <c r="ANP10" s="27"/>
      <c r="ANQ10" s="27"/>
      <c r="ANR10" s="27"/>
      <c r="ANS10" s="27"/>
      <c r="ANT10" s="27"/>
      <c r="ANU10" s="27"/>
      <c r="ANV10" s="27"/>
      <c r="ANW10" s="27"/>
      <c r="ANX10" s="27"/>
      <c r="ANY10" s="27"/>
      <c r="ANZ10" s="27"/>
      <c r="AOA10" s="27"/>
      <c r="AOB10" s="27"/>
      <c r="AOC10" s="27"/>
      <c r="AOD10" s="27"/>
      <c r="AOE10" s="27"/>
      <c r="AOF10" s="27"/>
      <c r="AOG10" s="27"/>
      <c r="AOH10" s="27"/>
      <c r="AOI10" s="27"/>
      <c r="AOJ10" s="27"/>
      <c r="AOK10" s="27"/>
      <c r="AOL10" s="27"/>
      <c r="AOM10" s="27"/>
      <c r="AON10" s="27"/>
      <c r="AOO10" s="27"/>
      <c r="AOP10" s="27"/>
      <c r="AOQ10" s="27"/>
      <c r="AOR10" s="27"/>
      <c r="AOS10" s="27"/>
      <c r="AOT10" s="27"/>
      <c r="AOU10" s="27"/>
      <c r="AOV10" s="27"/>
      <c r="AOW10" s="27"/>
      <c r="AOX10" s="27"/>
      <c r="AOY10" s="27"/>
      <c r="AOZ10" s="27"/>
      <c r="APA10" s="27"/>
      <c r="APB10" s="27"/>
      <c r="APC10" s="27"/>
      <c r="APD10" s="27"/>
      <c r="APE10" s="27"/>
      <c r="APF10" s="27"/>
      <c r="APG10" s="27"/>
      <c r="APH10" s="27"/>
      <c r="API10" s="27"/>
      <c r="APJ10" s="27"/>
      <c r="APK10" s="27"/>
      <c r="APL10" s="27"/>
      <c r="APM10" s="27"/>
      <c r="APN10" s="27"/>
      <c r="APO10" s="27"/>
      <c r="APP10" s="27"/>
      <c r="APQ10" s="27"/>
      <c r="APR10" s="27"/>
      <c r="APS10" s="27"/>
      <c r="APT10" s="27"/>
      <c r="APU10" s="27"/>
      <c r="APV10" s="27"/>
      <c r="APW10" s="27"/>
      <c r="APX10" s="27"/>
      <c r="APY10" s="27"/>
      <c r="APZ10" s="27"/>
      <c r="AQA10" s="27"/>
      <c r="AQB10" s="27"/>
      <c r="AQC10" s="27"/>
      <c r="AQD10" s="27"/>
      <c r="AQE10" s="27"/>
      <c r="AQF10" s="27"/>
      <c r="AQG10" s="27"/>
      <c r="AQH10" s="27"/>
      <c r="AQI10" s="27"/>
      <c r="AQJ10" s="27"/>
      <c r="AQK10" s="27"/>
      <c r="AQL10" s="27"/>
      <c r="AQM10" s="27"/>
      <c r="AQN10" s="27"/>
      <c r="AQO10" s="27"/>
      <c r="AQP10" s="27"/>
      <c r="AQQ10" s="27"/>
      <c r="AQR10" s="27"/>
      <c r="AQS10" s="27"/>
      <c r="AQT10" s="27"/>
      <c r="AQU10" s="27"/>
      <c r="AQV10" s="27"/>
      <c r="AQW10" s="27"/>
      <c r="AQX10" s="27"/>
      <c r="AQY10" s="27"/>
      <c r="AQZ10" s="27"/>
      <c r="ARA10" s="27"/>
      <c r="ARB10" s="27"/>
      <c r="ARC10" s="27"/>
      <c r="ARD10" s="27"/>
      <c r="ARE10" s="27"/>
      <c r="ARF10" s="27"/>
      <c r="ARG10" s="27"/>
      <c r="ARH10" s="27"/>
      <c r="ARI10" s="27"/>
      <c r="ARJ10" s="27"/>
      <c r="ARK10" s="27"/>
      <c r="ARL10" s="27"/>
      <c r="ARM10" s="27"/>
      <c r="ARN10" s="27"/>
      <c r="ARO10" s="27"/>
      <c r="ARP10" s="27"/>
      <c r="ARQ10" s="27"/>
      <c r="ARR10" s="27"/>
      <c r="ARS10" s="27"/>
      <c r="ART10" s="27"/>
      <c r="ARU10" s="27"/>
      <c r="ARV10" s="27"/>
      <c r="ARW10" s="27"/>
      <c r="ARX10" s="27"/>
      <c r="ARY10" s="27"/>
      <c r="ARZ10" s="27"/>
      <c r="ASA10" s="27"/>
      <c r="ASB10" s="27"/>
      <c r="ASC10" s="27"/>
      <c r="ASD10" s="27"/>
      <c r="ASE10" s="27"/>
      <c r="ASF10" s="27"/>
      <c r="ASG10" s="27"/>
      <c r="ASH10" s="27"/>
      <c r="ASI10" s="27"/>
      <c r="ASJ10" s="27"/>
      <c r="ASK10" s="27"/>
      <c r="ASL10" s="27"/>
      <c r="ASM10" s="27"/>
      <c r="ASN10" s="27"/>
      <c r="ASO10" s="27"/>
      <c r="ASP10" s="27"/>
      <c r="ASQ10" s="27"/>
      <c r="ASR10" s="27"/>
      <c r="ASS10" s="27"/>
      <c r="AST10" s="27"/>
      <c r="ASU10" s="27"/>
      <c r="ASV10" s="27"/>
      <c r="ASW10" s="27"/>
      <c r="ASX10" s="27"/>
      <c r="ASY10" s="27"/>
      <c r="ASZ10" s="27"/>
      <c r="ATA10" s="27"/>
      <c r="ATB10" s="27"/>
      <c r="ATC10" s="27"/>
      <c r="ATD10" s="27"/>
      <c r="ATE10" s="27"/>
      <c r="ATF10" s="27"/>
      <c r="ATG10" s="27"/>
      <c r="ATH10" s="27"/>
      <c r="ATI10" s="27"/>
      <c r="ATJ10" s="27"/>
      <c r="ATK10" s="27"/>
      <c r="ATL10" s="27"/>
      <c r="ATM10" s="27"/>
      <c r="ATN10" s="27"/>
      <c r="ATO10" s="27"/>
      <c r="ATP10" s="27"/>
      <c r="ATQ10" s="27"/>
      <c r="ATR10" s="27"/>
      <c r="ATS10" s="27"/>
      <c r="ATT10" s="27"/>
      <c r="ATU10" s="27"/>
      <c r="ATV10" s="27"/>
      <c r="ATW10" s="27"/>
      <c r="ATX10" s="27"/>
      <c r="ATY10" s="27"/>
      <c r="ATZ10" s="27"/>
      <c r="AUA10" s="27"/>
      <c r="AUB10" s="27"/>
      <c r="AUC10" s="27"/>
      <c r="AUD10" s="27"/>
      <c r="AUE10" s="27"/>
      <c r="AUF10" s="27"/>
      <c r="AUG10" s="27"/>
      <c r="AUH10" s="27"/>
      <c r="AUI10" s="27"/>
      <c r="AUJ10" s="27"/>
      <c r="AUK10" s="27"/>
      <c r="AUL10" s="27"/>
      <c r="AUM10" s="27"/>
      <c r="AUN10" s="27"/>
      <c r="AUO10" s="27"/>
      <c r="AUP10" s="27"/>
      <c r="AUQ10" s="27"/>
      <c r="AUR10" s="27"/>
      <c r="AUS10" s="27"/>
      <c r="AUT10" s="27"/>
      <c r="AUU10" s="27"/>
      <c r="AUV10" s="27"/>
      <c r="AUW10" s="27"/>
      <c r="AUX10" s="27"/>
      <c r="AUY10" s="27"/>
      <c r="AUZ10" s="27"/>
      <c r="AVA10" s="27"/>
      <c r="AVB10" s="27"/>
      <c r="AVC10" s="27"/>
      <c r="AVD10" s="27"/>
      <c r="AVE10" s="27"/>
      <c r="AVF10" s="27"/>
      <c r="AVG10" s="27"/>
      <c r="AVH10" s="27"/>
      <c r="AVI10" s="27"/>
      <c r="AVJ10" s="27"/>
      <c r="AVK10" s="27"/>
      <c r="AVL10" s="27"/>
      <c r="AVM10" s="27"/>
      <c r="AVN10" s="27"/>
      <c r="AVO10" s="27"/>
      <c r="AVP10" s="27"/>
      <c r="AVQ10" s="27"/>
      <c r="AVR10" s="27"/>
      <c r="AVS10" s="27"/>
      <c r="AVT10" s="27"/>
      <c r="AVU10" s="27"/>
      <c r="AVV10" s="27"/>
      <c r="AVW10" s="27"/>
      <c r="AVX10" s="27"/>
      <c r="AVY10" s="27"/>
      <c r="AVZ10" s="27"/>
      <c r="AWA10" s="27"/>
      <c r="AWB10" s="27"/>
      <c r="AWC10" s="27"/>
      <c r="AWD10" s="27"/>
      <c r="AWE10" s="27"/>
      <c r="AWF10" s="27"/>
      <c r="AWG10" s="27"/>
      <c r="AWH10" s="27"/>
      <c r="AWI10" s="27"/>
      <c r="AWJ10" s="27"/>
      <c r="AWK10" s="27"/>
      <c r="AWL10" s="27"/>
      <c r="AWM10" s="27"/>
      <c r="AWN10" s="27"/>
      <c r="AWO10" s="27"/>
      <c r="AWP10" s="27"/>
      <c r="AWQ10" s="27"/>
      <c r="AWR10" s="27"/>
      <c r="AWS10" s="27"/>
      <c r="AWT10" s="27"/>
      <c r="AWU10" s="27"/>
      <c r="AWV10" s="27"/>
      <c r="AWW10" s="27"/>
      <c r="AWX10" s="27"/>
      <c r="AWY10" s="27"/>
      <c r="AWZ10" s="27"/>
      <c r="AXA10" s="27"/>
      <c r="AXB10" s="27"/>
      <c r="AXC10" s="27"/>
      <c r="AXD10" s="27"/>
      <c r="AXE10" s="27"/>
      <c r="AXF10" s="27"/>
      <c r="AXG10" s="27"/>
      <c r="AXH10" s="27"/>
      <c r="AXI10" s="27"/>
      <c r="AXJ10" s="27"/>
      <c r="AXK10" s="27"/>
      <c r="AXL10" s="27"/>
      <c r="AXM10" s="27"/>
      <c r="AXN10" s="27"/>
      <c r="AXO10" s="27"/>
      <c r="AXP10" s="27"/>
      <c r="AXQ10" s="27"/>
      <c r="AXR10" s="27"/>
      <c r="AXS10" s="27"/>
      <c r="AXT10" s="27"/>
      <c r="AXU10" s="27"/>
      <c r="AXV10" s="27"/>
      <c r="AXW10" s="27"/>
      <c r="AXX10" s="27"/>
      <c r="AXY10" s="27"/>
      <c r="AXZ10" s="27"/>
      <c r="AYA10" s="27"/>
      <c r="AYB10" s="27"/>
      <c r="AYC10" s="27"/>
      <c r="AYD10" s="27"/>
      <c r="AYE10" s="27"/>
      <c r="AYF10" s="27"/>
      <c r="AYG10" s="27"/>
      <c r="AYH10" s="27"/>
      <c r="AYI10" s="27"/>
      <c r="AYJ10" s="27"/>
      <c r="AYK10" s="27"/>
      <c r="AYL10" s="27"/>
      <c r="AYM10" s="27"/>
      <c r="AYN10" s="27"/>
      <c r="AYO10" s="27"/>
      <c r="AYP10" s="27"/>
      <c r="AYQ10" s="27"/>
      <c r="AYR10" s="27"/>
      <c r="AYS10" s="27"/>
      <c r="AYT10" s="27"/>
      <c r="AYU10" s="27"/>
      <c r="AYV10" s="27"/>
      <c r="AYW10" s="27"/>
      <c r="AYX10" s="27"/>
      <c r="AYY10" s="27"/>
      <c r="AYZ10" s="27"/>
      <c r="AZA10" s="27"/>
      <c r="AZB10" s="27"/>
      <c r="AZC10" s="27"/>
      <c r="AZD10" s="27"/>
      <c r="AZE10" s="27"/>
      <c r="AZF10" s="27"/>
      <c r="AZG10" s="27"/>
      <c r="AZH10" s="27"/>
      <c r="AZI10" s="27"/>
      <c r="AZJ10" s="27"/>
      <c r="AZK10" s="27"/>
      <c r="AZL10" s="27"/>
      <c r="AZM10" s="27"/>
      <c r="AZN10" s="27"/>
      <c r="AZO10" s="27"/>
      <c r="AZP10" s="27"/>
      <c r="AZQ10" s="27"/>
      <c r="AZR10" s="27"/>
      <c r="AZS10" s="27"/>
      <c r="AZT10" s="27"/>
      <c r="AZU10" s="27"/>
      <c r="AZV10" s="27"/>
      <c r="AZW10" s="27"/>
      <c r="AZX10" s="27"/>
      <c r="AZY10" s="27"/>
      <c r="AZZ10" s="27"/>
      <c r="BAA10" s="27"/>
      <c r="BAB10" s="27"/>
      <c r="BAC10" s="27"/>
      <c r="BAD10" s="27"/>
      <c r="BAE10" s="27"/>
      <c r="BAF10" s="27"/>
      <c r="BAG10" s="27"/>
      <c r="BAH10" s="27"/>
      <c r="BAI10" s="27"/>
      <c r="BAJ10" s="27"/>
      <c r="BAK10" s="27"/>
      <c r="BAL10" s="27"/>
      <c r="BAM10" s="27"/>
      <c r="BAN10" s="27"/>
      <c r="BAO10" s="27"/>
      <c r="BAP10" s="27"/>
      <c r="BAQ10" s="27"/>
      <c r="BAR10" s="27"/>
      <c r="BAS10" s="27"/>
      <c r="BAT10" s="27"/>
      <c r="BAU10" s="27"/>
      <c r="BAV10" s="27"/>
      <c r="BAW10" s="27"/>
      <c r="BAX10" s="27"/>
      <c r="BAY10" s="27"/>
      <c r="BAZ10" s="27"/>
      <c r="BBA10" s="27"/>
      <c r="BBB10" s="27"/>
      <c r="BBC10" s="27"/>
      <c r="BBD10" s="27"/>
      <c r="BBE10" s="27"/>
      <c r="BBF10" s="27"/>
      <c r="BBG10" s="27"/>
      <c r="BBH10" s="27"/>
      <c r="BBI10" s="27"/>
      <c r="BBJ10" s="27"/>
      <c r="BBK10" s="27"/>
      <c r="BBL10" s="27"/>
      <c r="BBM10" s="27"/>
      <c r="BBN10" s="27"/>
      <c r="BBO10" s="27"/>
      <c r="BBP10" s="27"/>
      <c r="BBQ10" s="27"/>
      <c r="BBR10" s="27"/>
      <c r="BBS10" s="27"/>
      <c r="BBT10" s="27"/>
      <c r="BBU10" s="27"/>
      <c r="BBV10" s="27"/>
      <c r="BBW10" s="27"/>
      <c r="BBX10" s="27"/>
      <c r="BBY10" s="27"/>
      <c r="BBZ10" s="27"/>
      <c r="BCA10" s="27"/>
      <c r="BCB10" s="27"/>
      <c r="BCC10" s="27"/>
      <c r="BCD10" s="27"/>
      <c r="BCE10" s="27"/>
      <c r="BCF10" s="27"/>
      <c r="BCG10" s="27"/>
      <c r="BCH10" s="27"/>
      <c r="BCI10" s="27"/>
      <c r="BCJ10" s="27"/>
      <c r="BCK10" s="27"/>
      <c r="BCL10" s="27"/>
      <c r="BCM10" s="27"/>
      <c r="BCN10" s="27"/>
      <c r="BCO10" s="27"/>
      <c r="BCP10" s="27"/>
      <c r="BCQ10" s="27"/>
      <c r="BCR10" s="27"/>
      <c r="BCS10" s="27"/>
      <c r="BCT10" s="27"/>
      <c r="BCU10" s="27"/>
      <c r="BCV10" s="27"/>
      <c r="BCW10" s="27"/>
      <c r="BCX10" s="27"/>
      <c r="BCY10" s="27"/>
      <c r="BCZ10" s="27"/>
      <c r="BDA10" s="27"/>
      <c r="BDB10" s="27"/>
      <c r="BDC10" s="27"/>
      <c r="BDD10" s="27"/>
      <c r="BDE10" s="27"/>
      <c r="BDF10" s="27"/>
      <c r="BDG10" s="27"/>
      <c r="BDH10" s="27"/>
      <c r="BDI10" s="27"/>
      <c r="BDJ10" s="27"/>
      <c r="BDK10" s="27"/>
      <c r="BDL10" s="27"/>
      <c r="BDM10" s="27"/>
      <c r="BDN10" s="27"/>
      <c r="BDO10" s="27"/>
      <c r="BDP10" s="27"/>
      <c r="BDQ10" s="27"/>
      <c r="BDR10" s="27"/>
      <c r="BDS10" s="27"/>
      <c r="BDT10" s="27"/>
      <c r="BDU10" s="27"/>
      <c r="BDV10" s="27"/>
      <c r="BDW10" s="27"/>
      <c r="BDX10" s="27"/>
      <c r="BDY10" s="27"/>
      <c r="BDZ10" s="27"/>
      <c r="BEA10" s="27"/>
      <c r="BEB10" s="27"/>
      <c r="BEC10" s="27"/>
      <c r="BED10" s="27"/>
      <c r="BEE10" s="27"/>
      <c r="BEF10" s="27"/>
      <c r="BEG10" s="27"/>
      <c r="BEH10" s="27"/>
      <c r="BEI10" s="27"/>
      <c r="BEJ10" s="27"/>
      <c r="BEK10" s="27"/>
      <c r="BEL10" s="27"/>
      <c r="BEM10" s="27"/>
      <c r="BEN10" s="27"/>
      <c r="BEO10" s="27"/>
      <c r="BEP10" s="27"/>
      <c r="BEQ10" s="27"/>
      <c r="BER10" s="27"/>
      <c r="BES10" s="27"/>
      <c r="BET10" s="27"/>
      <c r="BEU10" s="27"/>
      <c r="BEV10" s="27"/>
      <c r="BEW10" s="27"/>
      <c r="BEX10" s="27"/>
      <c r="BEY10" s="27"/>
      <c r="BEZ10" s="27"/>
      <c r="BFA10" s="27"/>
      <c r="BFB10" s="27"/>
      <c r="BFC10" s="27"/>
      <c r="BFD10" s="27"/>
      <c r="BFE10" s="27"/>
      <c r="BFF10" s="27"/>
      <c r="BFG10" s="27"/>
      <c r="BFH10" s="27"/>
      <c r="BFI10" s="27"/>
      <c r="BFJ10" s="27"/>
      <c r="BFK10" s="27"/>
      <c r="BFL10" s="27"/>
      <c r="BFM10" s="27"/>
      <c r="BFN10" s="27"/>
      <c r="BFO10" s="27"/>
      <c r="BFP10" s="27"/>
      <c r="BFQ10" s="27"/>
      <c r="BFR10" s="27"/>
      <c r="BFS10" s="27"/>
      <c r="BFT10" s="27"/>
      <c r="BFU10" s="27"/>
      <c r="BFV10" s="27"/>
      <c r="BFW10" s="27"/>
      <c r="BFX10" s="27"/>
      <c r="BFY10" s="27"/>
      <c r="BFZ10" s="27"/>
      <c r="BGA10" s="27"/>
      <c r="BGB10" s="27"/>
      <c r="BGC10" s="27"/>
      <c r="BGD10" s="27"/>
      <c r="BGE10" s="27"/>
      <c r="BGF10" s="27"/>
      <c r="BGG10" s="27"/>
      <c r="BGH10" s="27"/>
      <c r="BGI10" s="27"/>
      <c r="BGJ10" s="27"/>
      <c r="BGK10" s="27"/>
      <c r="BGL10" s="27"/>
      <c r="BGM10" s="27"/>
      <c r="BGN10" s="27"/>
      <c r="BGO10" s="27"/>
      <c r="BGP10" s="27"/>
      <c r="BGQ10" s="27"/>
      <c r="BGR10" s="27"/>
      <c r="BGS10" s="27"/>
      <c r="BGT10" s="27"/>
      <c r="BGU10" s="27"/>
      <c r="BGV10" s="27"/>
      <c r="BGW10" s="27"/>
      <c r="BGX10" s="27"/>
      <c r="BGY10" s="27"/>
      <c r="BGZ10" s="27"/>
      <c r="BHA10" s="27"/>
      <c r="BHB10" s="27"/>
      <c r="BHC10" s="27"/>
      <c r="BHD10" s="27"/>
      <c r="BHE10" s="27"/>
      <c r="BHF10" s="27"/>
      <c r="BHG10" s="27"/>
      <c r="BHH10" s="27"/>
      <c r="BHI10" s="27"/>
      <c r="BHJ10" s="27"/>
      <c r="BHK10" s="27"/>
      <c r="BHL10" s="27"/>
      <c r="BHM10" s="27"/>
      <c r="BHN10" s="27"/>
      <c r="BHO10" s="27"/>
      <c r="BHP10" s="27"/>
      <c r="BHQ10" s="27"/>
      <c r="BHR10" s="27"/>
      <c r="BHS10" s="27"/>
      <c r="BHT10" s="27"/>
      <c r="BHU10" s="27"/>
      <c r="BHV10" s="27"/>
      <c r="BHW10" s="27"/>
      <c r="BHX10" s="27"/>
      <c r="BHY10" s="27"/>
      <c r="BHZ10" s="27"/>
      <c r="BIA10" s="27"/>
      <c r="BIB10" s="27"/>
      <c r="BIC10" s="27"/>
      <c r="BID10" s="27"/>
      <c r="BIE10" s="27"/>
      <c r="BIF10" s="27"/>
      <c r="BIG10" s="27"/>
      <c r="BIH10" s="27"/>
      <c r="BII10" s="27"/>
      <c r="BIJ10" s="27"/>
      <c r="BIK10" s="27"/>
      <c r="BIL10" s="27"/>
      <c r="BIM10" s="27"/>
      <c r="BIN10" s="27"/>
      <c r="BIO10" s="27"/>
      <c r="BIP10" s="27"/>
      <c r="BIQ10" s="27"/>
      <c r="BIR10" s="27"/>
      <c r="BIS10" s="27"/>
      <c r="BIT10" s="27"/>
      <c r="BIU10" s="27"/>
      <c r="BIV10" s="27"/>
      <c r="BIW10" s="27"/>
      <c r="BIX10" s="27"/>
      <c r="BIY10" s="27"/>
      <c r="BIZ10" s="27"/>
      <c r="BJA10" s="27"/>
      <c r="BJB10" s="27"/>
      <c r="BJC10" s="27"/>
      <c r="BJD10" s="27"/>
      <c r="BJE10" s="27"/>
      <c r="BJF10" s="27"/>
      <c r="BJG10" s="27"/>
      <c r="BJH10" s="27"/>
      <c r="BJI10" s="27"/>
      <c r="BJJ10" s="27"/>
      <c r="BJK10" s="27"/>
      <c r="BJL10" s="27"/>
      <c r="BJM10" s="27"/>
      <c r="BJN10" s="27"/>
      <c r="BJO10" s="27"/>
      <c r="BJP10" s="27"/>
      <c r="BJQ10" s="27"/>
      <c r="BJR10" s="27"/>
      <c r="BJS10" s="27"/>
      <c r="BJT10" s="27"/>
      <c r="BJU10" s="27"/>
      <c r="BJV10" s="27"/>
      <c r="BJW10" s="27"/>
      <c r="BJX10" s="27"/>
      <c r="BJY10" s="27"/>
      <c r="BJZ10" s="27"/>
      <c r="BKA10" s="27"/>
      <c r="BKB10" s="27"/>
      <c r="BKC10" s="27"/>
      <c r="BKD10" s="27"/>
      <c r="BKE10" s="27"/>
      <c r="BKF10" s="27"/>
      <c r="BKG10" s="27"/>
      <c r="BKH10" s="27"/>
      <c r="BKI10" s="27"/>
      <c r="BKJ10" s="27"/>
      <c r="BKK10" s="27"/>
      <c r="BKL10" s="27"/>
      <c r="BKM10" s="27"/>
      <c r="BKN10" s="27"/>
      <c r="BKO10" s="27"/>
      <c r="BKP10" s="27"/>
      <c r="BKQ10" s="27"/>
      <c r="BKR10" s="27"/>
      <c r="BKS10" s="27"/>
      <c r="BKT10" s="27"/>
      <c r="BKU10" s="27"/>
      <c r="BKV10" s="27"/>
      <c r="BKW10" s="27"/>
      <c r="BKX10" s="27"/>
      <c r="BKY10" s="27"/>
      <c r="BKZ10" s="27"/>
      <c r="BLA10" s="27"/>
      <c r="BLB10" s="27"/>
      <c r="BLC10" s="27"/>
      <c r="BLD10" s="27"/>
      <c r="BLE10" s="27"/>
      <c r="BLF10" s="27"/>
      <c r="BLG10" s="27"/>
      <c r="BLH10" s="27"/>
      <c r="BLI10" s="27"/>
      <c r="BLJ10" s="27"/>
      <c r="BLK10" s="27"/>
      <c r="BLL10" s="27"/>
      <c r="BLM10" s="27"/>
      <c r="BLN10" s="27"/>
      <c r="BLO10" s="27"/>
      <c r="BLP10" s="27"/>
      <c r="BLQ10" s="27"/>
      <c r="BLR10" s="27"/>
      <c r="BLS10" s="27"/>
      <c r="BLT10" s="27"/>
      <c r="BLU10" s="27"/>
      <c r="BLV10" s="27"/>
      <c r="BLW10" s="27"/>
      <c r="BLX10" s="27"/>
      <c r="BLY10" s="27"/>
      <c r="BLZ10" s="27"/>
      <c r="BMA10" s="27"/>
      <c r="BMB10" s="27"/>
      <c r="BMC10" s="27"/>
      <c r="BMD10" s="27"/>
      <c r="BME10" s="27"/>
      <c r="BMF10" s="27"/>
      <c r="BMG10" s="27"/>
      <c r="BMH10" s="27"/>
      <c r="BMI10" s="27"/>
      <c r="BMJ10" s="27"/>
      <c r="BMK10" s="27"/>
      <c r="BML10" s="27"/>
      <c r="BMM10" s="27"/>
      <c r="BMN10" s="27"/>
      <c r="BMO10" s="27"/>
      <c r="BMP10" s="27"/>
      <c r="BMQ10" s="27"/>
      <c r="BMR10" s="27"/>
      <c r="BMS10" s="27"/>
      <c r="BMT10" s="27"/>
      <c r="BMU10" s="27"/>
      <c r="BMV10" s="27"/>
      <c r="BMW10" s="27"/>
      <c r="BMX10" s="27"/>
      <c r="BMY10" s="27"/>
      <c r="BMZ10" s="27"/>
      <c r="BNA10" s="27"/>
      <c r="BNB10" s="27"/>
      <c r="BNC10" s="27"/>
      <c r="BND10" s="27"/>
      <c r="BNE10" s="27"/>
      <c r="BNF10" s="27"/>
      <c r="BNG10" s="27"/>
      <c r="BNH10" s="27"/>
      <c r="BNI10" s="27"/>
      <c r="BNJ10" s="27"/>
      <c r="BNK10" s="27"/>
      <c r="BNL10" s="27"/>
      <c r="BNM10" s="27"/>
      <c r="BNN10" s="27"/>
      <c r="BNO10" s="27"/>
      <c r="BNP10" s="27"/>
      <c r="BNQ10" s="27"/>
      <c r="BNR10" s="27"/>
      <c r="BNS10" s="27"/>
      <c r="BNT10" s="27"/>
      <c r="BNU10" s="27"/>
      <c r="BNV10" s="27"/>
      <c r="BNW10" s="27"/>
      <c r="BNX10" s="27"/>
      <c r="BNY10" s="27"/>
      <c r="BNZ10" s="27"/>
      <c r="BOA10" s="27"/>
      <c r="BOB10" s="27"/>
      <c r="BOC10" s="27"/>
      <c r="BOD10" s="27"/>
      <c r="BOE10" s="27"/>
      <c r="BOF10" s="27"/>
      <c r="BOG10" s="27"/>
      <c r="BOH10" s="27"/>
      <c r="BOI10" s="27"/>
      <c r="BOJ10" s="27"/>
      <c r="BOK10" s="27"/>
      <c r="BOL10" s="27"/>
      <c r="BOM10" s="27"/>
      <c r="BON10" s="27"/>
      <c r="BOO10" s="27"/>
      <c r="BOP10" s="27"/>
      <c r="BOQ10" s="27"/>
      <c r="BOR10" s="27"/>
      <c r="BOS10" s="27"/>
      <c r="BOT10" s="27"/>
      <c r="BOU10" s="27"/>
      <c r="BOV10" s="27"/>
      <c r="BOW10" s="27"/>
      <c r="BOX10" s="27"/>
      <c r="BOY10" s="27"/>
      <c r="BOZ10" s="27"/>
      <c r="BPA10" s="27"/>
      <c r="BPB10" s="27"/>
      <c r="BPC10" s="27"/>
      <c r="BPD10" s="27"/>
      <c r="BPE10" s="27"/>
      <c r="BPF10" s="27"/>
      <c r="BPG10" s="27"/>
      <c r="BPH10" s="27"/>
      <c r="BPI10" s="27"/>
      <c r="BPJ10" s="27"/>
      <c r="BPK10" s="27"/>
      <c r="BPL10" s="27"/>
      <c r="BPM10" s="27"/>
      <c r="BPN10" s="27"/>
      <c r="BPO10" s="27"/>
      <c r="BPP10" s="27"/>
      <c r="BPQ10" s="27"/>
      <c r="BPR10" s="27"/>
      <c r="BPS10" s="27"/>
      <c r="BPT10" s="27"/>
      <c r="BPU10" s="27"/>
      <c r="BPV10" s="27"/>
      <c r="BPW10" s="27"/>
      <c r="BPX10" s="27"/>
      <c r="BPY10" s="27"/>
      <c r="BPZ10" s="27"/>
      <c r="BQA10" s="27"/>
      <c r="BQB10" s="27"/>
      <c r="BQC10" s="27"/>
      <c r="BQD10" s="27"/>
      <c r="BQE10" s="27"/>
      <c r="BQF10" s="27"/>
      <c r="BQG10" s="27"/>
      <c r="BQH10" s="27"/>
      <c r="BQI10" s="27"/>
      <c r="BQJ10" s="27"/>
      <c r="BQK10" s="27"/>
      <c r="BQL10" s="27"/>
      <c r="BQM10" s="27"/>
      <c r="BQN10" s="27"/>
      <c r="BQO10" s="27"/>
      <c r="BQP10" s="27"/>
      <c r="BQQ10" s="27"/>
      <c r="BQR10" s="27"/>
      <c r="BQS10" s="27"/>
      <c r="BQT10" s="27"/>
      <c r="BQU10" s="27"/>
    </row>
    <row r="11" spans="1:1815" s="8" customFormat="1" ht="40.35" customHeight="1" x14ac:dyDescent="0.3">
      <c r="A11" s="9">
        <v>2</v>
      </c>
      <c r="B11" s="2" t="s">
        <v>1456</v>
      </c>
      <c r="C11" s="101" t="s">
        <v>1457</v>
      </c>
      <c r="D11" s="11"/>
      <c r="E11" s="60" t="s">
        <v>241</v>
      </c>
      <c r="F11" s="3" t="s">
        <v>1439</v>
      </c>
      <c r="G11" s="381"/>
      <c r="H11" s="194" t="s">
        <v>110</v>
      </c>
      <c r="I11" s="194" t="s">
        <v>1458</v>
      </c>
      <c r="J11" s="194" t="s">
        <v>1458</v>
      </c>
      <c r="K11" s="194" t="s">
        <v>110</v>
      </c>
      <c r="L11" s="263" t="s">
        <v>1459</v>
      </c>
      <c r="M11" s="194" t="s">
        <v>401</v>
      </c>
      <c r="N11" s="50" t="s">
        <v>1460</v>
      </c>
      <c r="O11" s="50" t="s">
        <v>1460</v>
      </c>
      <c r="P11" s="51" t="s">
        <v>1461</v>
      </c>
      <c r="Q11" s="244"/>
      <c r="R11" s="50" t="s">
        <v>499</v>
      </c>
      <c r="S11" s="50" t="s">
        <v>560</v>
      </c>
      <c r="T11" s="50" t="s">
        <v>500</v>
      </c>
      <c r="U11" s="50" t="s">
        <v>524</v>
      </c>
      <c r="V11" s="52" t="s">
        <v>763</v>
      </c>
      <c r="W11" s="60" t="s">
        <v>526</v>
      </c>
      <c r="X11" s="50" t="s">
        <v>1046</v>
      </c>
      <c r="Y11" s="70" t="s">
        <v>1462</v>
      </c>
      <c r="Z11" s="50" t="s">
        <v>1463</v>
      </c>
      <c r="AA11" s="60" t="s">
        <v>1464</v>
      </c>
      <c r="AB11" s="50" t="s">
        <v>593</v>
      </c>
      <c r="AC11" s="50" t="s">
        <v>1048</v>
      </c>
      <c r="AD11" s="55">
        <v>26760</v>
      </c>
      <c r="AE11" s="48">
        <f t="shared" si="0"/>
        <v>6</v>
      </c>
      <c r="AF11" s="48">
        <f t="shared" si="1"/>
        <v>4</v>
      </c>
      <c r="AG11" s="48">
        <f t="shared" si="2"/>
        <v>1973</v>
      </c>
      <c r="AH11" s="49">
        <f t="shared" si="3"/>
        <v>48675</v>
      </c>
      <c r="AI11" s="48">
        <f t="shared" ca="1" si="4"/>
        <v>7</v>
      </c>
      <c r="AJ11" s="48">
        <f t="shared" ca="1" si="5"/>
        <v>3</v>
      </c>
      <c r="AK11" s="48">
        <f t="shared" ca="1" si="6"/>
        <v>26</v>
      </c>
      <c r="AL11" s="48" t="str">
        <f t="shared" ca="1" si="7"/>
        <v>7year/3months/26Days</v>
      </c>
      <c r="AM11" s="384"/>
      <c r="AN11" s="50">
        <v>2020</v>
      </c>
      <c r="AO11" s="96" t="s">
        <v>1465</v>
      </c>
      <c r="AP11" s="78">
        <v>1047</v>
      </c>
      <c r="AQ11" s="78">
        <v>454</v>
      </c>
      <c r="AR11" s="78">
        <v>14</v>
      </c>
      <c r="AS11" s="78">
        <v>15</v>
      </c>
      <c r="AT11" s="78">
        <v>516</v>
      </c>
      <c r="AU11" s="74">
        <f t="shared" ref="AU11" si="8">AT11/AP11*100</f>
        <v>49.283667621776509</v>
      </c>
      <c r="AV11" s="78">
        <v>48</v>
      </c>
      <c r="AW11" s="78" t="s">
        <v>498</v>
      </c>
      <c r="AX11" s="78">
        <v>1047</v>
      </c>
      <c r="AY11" s="78"/>
      <c r="AZ11" s="95"/>
      <c r="BA11" s="76">
        <v>44636</v>
      </c>
      <c r="BB11" s="50"/>
      <c r="BC11" s="50"/>
      <c r="BD11" s="50"/>
      <c r="BE11" s="50"/>
      <c r="BF11" s="77"/>
      <c r="BG11" s="77"/>
      <c r="BH11" s="77"/>
      <c r="BI11" s="7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27"/>
      <c r="JD11" s="27"/>
      <c r="JE11" s="27"/>
      <c r="JF11" s="27"/>
      <c r="JG11" s="27"/>
      <c r="JH11" s="27"/>
      <c r="JI11" s="27"/>
      <c r="JJ11" s="27"/>
      <c r="JK11" s="27"/>
      <c r="JL11" s="27"/>
      <c r="JM11" s="27"/>
      <c r="JN11" s="27"/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27"/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27"/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  <c r="MM11" s="27"/>
      <c r="MN11" s="27"/>
      <c r="MO11" s="27"/>
      <c r="MP11" s="27"/>
      <c r="MQ11" s="27"/>
      <c r="MR11" s="27"/>
      <c r="MS11" s="27"/>
      <c r="MT11" s="27"/>
      <c r="MU11" s="27"/>
      <c r="MV11" s="27"/>
      <c r="MW11" s="27"/>
      <c r="MX11" s="27"/>
      <c r="MY11" s="27"/>
      <c r="MZ11" s="27"/>
      <c r="NA11" s="27"/>
      <c r="NB11" s="27"/>
      <c r="NC11" s="27"/>
      <c r="ND11" s="27"/>
      <c r="NE11" s="27"/>
      <c r="NF11" s="27"/>
      <c r="NG11" s="27"/>
      <c r="NH11" s="27"/>
      <c r="NI11" s="27"/>
      <c r="NJ11" s="27"/>
      <c r="NK11" s="27"/>
      <c r="NL11" s="27"/>
      <c r="NM11" s="27"/>
      <c r="NN11" s="27"/>
      <c r="NO11" s="27"/>
      <c r="NP11" s="27"/>
      <c r="NQ11" s="27"/>
      <c r="NR11" s="27"/>
      <c r="NS11" s="27"/>
      <c r="NT11" s="27"/>
      <c r="NU11" s="27"/>
      <c r="NV11" s="27"/>
      <c r="NW11" s="27"/>
      <c r="NX11" s="27"/>
      <c r="NY11" s="27"/>
      <c r="NZ11" s="27"/>
      <c r="OA11" s="27"/>
      <c r="OB11" s="27"/>
      <c r="OC11" s="27"/>
      <c r="OD11" s="27"/>
      <c r="OE11" s="27"/>
      <c r="OF11" s="27"/>
      <c r="OG11" s="27"/>
      <c r="OH11" s="27"/>
      <c r="OI11" s="27"/>
      <c r="OJ11" s="27"/>
      <c r="OK11" s="27"/>
      <c r="OL11" s="27"/>
      <c r="OM11" s="27"/>
      <c r="ON11" s="27"/>
      <c r="OO11" s="27"/>
      <c r="OP11" s="27"/>
      <c r="OQ11" s="27"/>
      <c r="OR11" s="27"/>
      <c r="OS11" s="27"/>
      <c r="OT11" s="27"/>
      <c r="OU11" s="27"/>
      <c r="OV11" s="27"/>
      <c r="OW11" s="27"/>
      <c r="OX11" s="27"/>
      <c r="OY11" s="27"/>
      <c r="OZ11" s="27"/>
      <c r="PA11" s="27"/>
      <c r="PB11" s="27"/>
      <c r="PC11" s="27"/>
      <c r="PD11" s="27"/>
      <c r="PE11" s="27"/>
      <c r="PF11" s="27"/>
      <c r="PG11" s="27"/>
      <c r="PH11" s="27"/>
      <c r="PI11" s="27"/>
      <c r="PJ11" s="27"/>
      <c r="PK11" s="27"/>
      <c r="PL11" s="27"/>
      <c r="PM11" s="27"/>
      <c r="PN11" s="27"/>
      <c r="PO11" s="27"/>
      <c r="PP11" s="27"/>
      <c r="PQ11" s="27"/>
      <c r="PR11" s="27"/>
      <c r="PS11" s="27"/>
      <c r="PT11" s="27"/>
      <c r="PU11" s="27"/>
      <c r="PV11" s="27"/>
      <c r="PW11" s="27"/>
      <c r="PX11" s="27"/>
      <c r="PY11" s="27"/>
      <c r="PZ11" s="27"/>
      <c r="QA11" s="27"/>
      <c r="QB11" s="27"/>
      <c r="QC11" s="27"/>
      <c r="QD11" s="27"/>
      <c r="QE11" s="27"/>
      <c r="QF11" s="27"/>
      <c r="QG11" s="27"/>
      <c r="QH11" s="27"/>
      <c r="QI11" s="27"/>
      <c r="QJ11" s="27"/>
      <c r="QK11" s="27"/>
      <c r="QL11" s="27"/>
      <c r="QM11" s="27"/>
      <c r="QN11" s="27"/>
      <c r="QO11" s="27"/>
      <c r="QP11" s="27"/>
      <c r="QQ11" s="27"/>
      <c r="QR11" s="27"/>
      <c r="QS11" s="27"/>
      <c r="QT11" s="27"/>
      <c r="QU11" s="27"/>
      <c r="QV11" s="27"/>
      <c r="QW11" s="27"/>
      <c r="QX11" s="27"/>
      <c r="QY11" s="27"/>
      <c r="QZ11" s="27"/>
      <c r="RA11" s="27"/>
      <c r="RB11" s="27"/>
      <c r="RC11" s="27"/>
      <c r="RD11" s="27"/>
      <c r="RE11" s="27"/>
      <c r="RF11" s="27"/>
      <c r="RG11" s="27"/>
      <c r="RH11" s="27"/>
      <c r="RI11" s="27"/>
      <c r="RJ11" s="27"/>
      <c r="RK11" s="27"/>
      <c r="RL11" s="27"/>
      <c r="RM11" s="27"/>
      <c r="RN11" s="27"/>
      <c r="RO11" s="27"/>
      <c r="RP11" s="27"/>
      <c r="RQ11" s="27"/>
      <c r="RR11" s="27"/>
      <c r="RS11" s="27"/>
      <c r="RT11" s="27"/>
      <c r="RU11" s="27"/>
      <c r="RV11" s="27"/>
      <c r="RW11" s="27"/>
      <c r="RX11" s="27"/>
      <c r="RY11" s="27"/>
      <c r="RZ11" s="27"/>
      <c r="SA11" s="27"/>
      <c r="SB11" s="27"/>
      <c r="SC11" s="27"/>
      <c r="SD11" s="27"/>
      <c r="SE11" s="27"/>
      <c r="SF11" s="27"/>
      <c r="SG11" s="27"/>
      <c r="SH11" s="27"/>
      <c r="SI11" s="27"/>
      <c r="SJ11" s="27"/>
      <c r="SK11" s="27"/>
      <c r="SL11" s="27"/>
      <c r="SM11" s="27"/>
      <c r="SN11" s="27"/>
      <c r="SO11" s="27"/>
      <c r="SP11" s="27"/>
      <c r="SQ11" s="27"/>
      <c r="SR11" s="27"/>
      <c r="SS11" s="27"/>
      <c r="ST11" s="27"/>
      <c r="SU11" s="27"/>
      <c r="SV11" s="27"/>
      <c r="SW11" s="27"/>
      <c r="SX11" s="27"/>
      <c r="SY11" s="27"/>
      <c r="SZ11" s="27"/>
      <c r="TA11" s="27"/>
      <c r="TB11" s="27"/>
      <c r="TC11" s="27"/>
      <c r="TD11" s="27"/>
      <c r="TE11" s="27"/>
      <c r="TF11" s="27"/>
      <c r="TG11" s="27"/>
      <c r="TH11" s="27"/>
      <c r="TI11" s="27"/>
      <c r="TJ11" s="27"/>
      <c r="TK11" s="27"/>
      <c r="TL11" s="27"/>
      <c r="TM11" s="27"/>
      <c r="TN11" s="27"/>
      <c r="TO11" s="27"/>
      <c r="TP11" s="27"/>
      <c r="TQ11" s="27"/>
      <c r="TR11" s="27"/>
      <c r="TS11" s="27"/>
      <c r="TT11" s="27"/>
      <c r="TU11" s="27"/>
      <c r="TV11" s="27"/>
      <c r="TW11" s="27"/>
      <c r="TX11" s="27"/>
      <c r="TY11" s="27"/>
      <c r="TZ11" s="27"/>
      <c r="UA11" s="27"/>
      <c r="UB11" s="27"/>
      <c r="UC11" s="27"/>
      <c r="UD11" s="27"/>
      <c r="UE11" s="27"/>
      <c r="UF11" s="27"/>
      <c r="UG11" s="27"/>
      <c r="UH11" s="27"/>
      <c r="UI11" s="27"/>
      <c r="UJ11" s="27"/>
      <c r="UK11" s="27"/>
      <c r="UL11" s="27"/>
      <c r="UM11" s="27"/>
      <c r="UN11" s="27"/>
      <c r="UO11" s="27"/>
      <c r="UP11" s="27"/>
      <c r="UQ11" s="27"/>
      <c r="UR11" s="27"/>
      <c r="US11" s="27"/>
      <c r="UT11" s="27"/>
      <c r="UU11" s="27"/>
      <c r="UV11" s="27"/>
      <c r="UW11" s="27"/>
      <c r="UX11" s="27"/>
      <c r="UY11" s="27"/>
      <c r="UZ11" s="27"/>
      <c r="VA11" s="27"/>
      <c r="VB11" s="27"/>
      <c r="VC11" s="27"/>
      <c r="VD11" s="27"/>
      <c r="VE11" s="27"/>
      <c r="VF11" s="27"/>
      <c r="VG11" s="27"/>
      <c r="VH11" s="27"/>
      <c r="VI11" s="27"/>
      <c r="VJ11" s="27"/>
      <c r="VK11" s="27"/>
      <c r="VL11" s="27"/>
      <c r="VM11" s="27"/>
      <c r="VN11" s="27"/>
      <c r="VO11" s="27"/>
      <c r="VP11" s="27"/>
      <c r="VQ11" s="27"/>
      <c r="VR11" s="27"/>
      <c r="VS11" s="27"/>
      <c r="VT11" s="27"/>
      <c r="VU11" s="27"/>
      <c r="VV11" s="27"/>
      <c r="VW11" s="27"/>
      <c r="VX11" s="27"/>
      <c r="VY11" s="27"/>
      <c r="VZ11" s="27"/>
      <c r="WA11" s="27"/>
      <c r="WB11" s="27"/>
      <c r="WC11" s="27"/>
      <c r="WD11" s="27"/>
      <c r="WE11" s="27"/>
      <c r="WF11" s="27"/>
      <c r="WG11" s="27"/>
      <c r="WH11" s="27"/>
      <c r="WI11" s="27"/>
      <c r="WJ11" s="27"/>
      <c r="WK11" s="27"/>
      <c r="WL11" s="27"/>
      <c r="WM11" s="27"/>
      <c r="WN11" s="27"/>
      <c r="WO11" s="27"/>
      <c r="WP11" s="27"/>
      <c r="WQ11" s="27"/>
      <c r="WR11" s="27"/>
      <c r="WS11" s="27"/>
      <c r="WT11" s="27"/>
      <c r="WU11" s="27"/>
      <c r="WV11" s="27"/>
      <c r="WW11" s="27"/>
      <c r="WX11" s="27"/>
      <c r="WY11" s="27"/>
      <c r="WZ11" s="27"/>
      <c r="XA11" s="27"/>
      <c r="XB11" s="27"/>
      <c r="XC11" s="27"/>
      <c r="XD11" s="27"/>
      <c r="XE11" s="27"/>
      <c r="XF11" s="27"/>
      <c r="XG11" s="27"/>
      <c r="XH11" s="27"/>
      <c r="XI11" s="27"/>
      <c r="XJ11" s="27"/>
      <c r="XK11" s="27"/>
      <c r="XL11" s="27"/>
      <c r="XM11" s="27"/>
      <c r="XN11" s="27"/>
      <c r="XO11" s="27"/>
      <c r="XP11" s="27"/>
      <c r="XQ11" s="27"/>
      <c r="XR11" s="27"/>
      <c r="XS11" s="27"/>
      <c r="XT11" s="27"/>
      <c r="XU11" s="27"/>
      <c r="XV11" s="27"/>
      <c r="XW11" s="27"/>
      <c r="XX11" s="27"/>
      <c r="XY11" s="27"/>
      <c r="XZ11" s="27"/>
      <c r="YA11" s="27"/>
      <c r="YB11" s="27"/>
      <c r="YC11" s="27"/>
      <c r="YD11" s="27"/>
      <c r="YE11" s="27"/>
      <c r="YF11" s="27"/>
      <c r="YG11" s="27"/>
      <c r="YH11" s="27"/>
      <c r="YI11" s="27"/>
      <c r="YJ11" s="27"/>
      <c r="YK11" s="27"/>
      <c r="YL11" s="27"/>
      <c r="YM11" s="27"/>
      <c r="YN11" s="27"/>
      <c r="YO11" s="27"/>
      <c r="YP11" s="27"/>
      <c r="YQ11" s="27"/>
      <c r="YR11" s="27"/>
      <c r="YS11" s="27"/>
      <c r="YT11" s="27"/>
      <c r="YU11" s="27"/>
      <c r="YV11" s="27"/>
      <c r="YW11" s="27"/>
      <c r="YX11" s="27"/>
      <c r="YY11" s="27"/>
      <c r="YZ11" s="27"/>
      <c r="ZA11" s="27"/>
      <c r="ZB11" s="27"/>
      <c r="ZC11" s="27"/>
      <c r="ZD11" s="27"/>
      <c r="ZE11" s="27"/>
      <c r="ZF11" s="27"/>
      <c r="ZG11" s="27"/>
      <c r="ZH11" s="27"/>
      <c r="ZI11" s="27"/>
      <c r="ZJ11" s="27"/>
      <c r="ZK11" s="27"/>
      <c r="ZL11" s="27"/>
      <c r="ZM11" s="27"/>
      <c r="ZN11" s="27"/>
      <c r="ZO11" s="27"/>
      <c r="ZP11" s="27"/>
      <c r="ZQ11" s="27"/>
      <c r="ZR11" s="27"/>
      <c r="ZS11" s="27"/>
      <c r="ZT11" s="27"/>
      <c r="ZU11" s="27"/>
      <c r="ZV11" s="27"/>
      <c r="ZW11" s="27"/>
      <c r="ZX11" s="27"/>
      <c r="ZY11" s="27"/>
      <c r="ZZ11" s="27"/>
      <c r="AAA11" s="27"/>
      <c r="AAB11" s="27"/>
      <c r="AAC11" s="27"/>
      <c r="AAD11" s="27"/>
      <c r="AAE11" s="27"/>
      <c r="AAF11" s="27"/>
      <c r="AAG11" s="27"/>
      <c r="AAH11" s="27"/>
      <c r="AAI11" s="27"/>
      <c r="AAJ11" s="27"/>
      <c r="AAK11" s="27"/>
      <c r="AAL11" s="27"/>
      <c r="AAM11" s="27"/>
      <c r="AAN11" s="27"/>
      <c r="AAO11" s="27"/>
      <c r="AAP11" s="27"/>
      <c r="AAQ11" s="27"/>
      <c r="AAR11" s="27"/>
      <c r="AAS11" s="27"/>
      <c r="AAT11" s="27"/>
      <c r="AAU11" s="27"/>
      <c r="AAV11" s="27"/>
      <c r="AAW11" s="27"/>
      <c r="AAX11" s="27"/>
      <c r="AAY11" s="27"/>
      <c r="AAZ11" s="27"/>
      <c r="ABA11" s="27"/>
      <c r="ABB11" s="27"/>
      <c r="ABC11" s="27"/>
      <c r="ABD11" s="27"/>
      <c r="ABE11" s="27"/>
      <c r="ABF11" s="27"/>
      <c r="ABG11" s="27"/>
      <c r="ABH11" s="27"/>
      <c r="ABI11" s="27"/>
      <c r="ABJ11" s="27"/>
      <c r="ABK11" s="27"/>
      <c r="ABL11" s="27"/>
      <c r="ABM11" s="27"/>
      <c r="ABN11" s="27"/>
      <c r="ABO11" s="27"/>
      <c r="ABP11" s="27"/>
      <c r="ABQ11" s="27"/>
      <c r="ABR11" s="27"/>
      <c r="ABS11" s="27"/>
      <c r="ABT11" s="27"/>
      <c r="ABU11" s="27"/>
      <c r="ABV11" s="27"/>
      <c r="ABW11" s="27"/>
      <c r="ABX11" s="27"/>
      <c r="ABY11" s="27"/>
      <c r="ABZ11" s="27"/>
      <c r="ACA11" s="27"/>
      <c r="ACB11" s="27"/>
      <c r="ACC11" s="27"/>
      <c r="ACD11" s="27"/>
      <c r="ACE11" s="27"/>
      <c r="ACF11" s="27"/>
      <c r="ACG11" s="27"/>
      <c r="ACH11" s="27"/>
      <c r="ACI11" s="27"/>
      <c r="ACJ11" s="27"/>
      <c r="ACK11" s="27"/>
      <c r="ACL11" s="27"/>
      <c r="ACM11" s="27"/>
      <c r="ACN11" s="27"/>
      <c r="ACO11" s="27"/>
      <c r="ACP11" s="27"/>
      <c r="ACQ11" s="27"/>
      <c r="ACR11" s="27"/>
      <c r="ACS11" s="27"/>
      <c r="ACT11" s="27"/>
      <c r="ACU11" s="27"/>
      <c r="ACV11" s="27"/>
      <c r="ACW11" s="27"/>
      <c r="ACX11" s="27"/>
      <c r="ACY11" s="27"/>
      <c r="ACZ11" s="27"/>
      <c r="ADA11" s="27"/>
      <c r="ADB11" s="27"/>
      <c r="ADC11" s="27"/>
      <c r="ADD11" s="27"/>
      <c r="ADE11" s="27"/>
      <c r="ADF11" s="27"/>
      <c r="ADG11" s="27"/>
      <c r="ADH11" s="27"/>
      <c r="ADI11" s="27"/>
      <c r="ADJ11" s="27"/>
      <c r="ADK11" s="27"/>
      <c r="ADL11" s="27"/>
      <c r="ADM11" s="27"/>
      <c r="ADN11" s="27"/>
      <c r="ADO11" s="27"/>
      <c r="ADP11" s="27"/>
      <c r="ADQ11" s="27"/>
      <c r="ADR11" s="27"/>
      <c r="ADS11" s="27"/>
      <c r="ADT11" s="27"/>
      <c r="ADU11" s="27"/>
      <c r="ADV11" s="27"/>
      <c r="ADW11" s="27"/>
      <c r="ADX11" s="27"/>
      <c r="ADY11" s="27"/>
      <c r="ADZ11" s="27"/>
      <c r="AEA11" s="27"/>
      <c r="AEB11" s="27"/>
      <c r="AEC11" s="27"/>
      <c r="AED11" s="27"/>
      <c r="AEE11" s="27"/>
      <c r="AEF11" s="27"/>
      <c r="AEG11" s="27"/>
      <c r="AEH11" s="27"/>
      <c r="AEI11" s="27"/>
      <c r="AEJ11" s="27"/>
      <c r="AEK11" s="27"/>
      <c r="AEL11" s="27"/>
      <c r="AEM11" s="27"/>
      <c r="AEN11" s="27"/>
      <c r="AEO11" s="27"/>
      <c r="AEP11" s="27"/>
      <c r="AEQ11" s="27"/>
      <c r="AER11" s="27"/>
      <c r="AES11" s="27"/>
      <c r="AET11" s="27"/>
      <c r="AEU11" s="27"/>
      <c r="AEV11" s="27"/>
      <c r="AEW11" s="27"/>
      <c r="AEX11" s="27"/>
      <c r="AEY11" s="27"/>
      <c r="AEZ11" s="27"/>
      <c r="AFA11" s="27"/>
      <c r="AFB11" s="27"/>
      <c r="AFC11" s="27"/>
      <c r="AFD11" s="27"/>
      <c r="AFE11" s="27"/>
      <c r="AFF11" s="27"/>
      <c r="AFG11" s="27"/>
      <c r="AFH11" s="27"/>
      <c r="AFI11" s="27"/>
      <c r="AFJ11" s="27"/>
      <c r="AFK11" s="27"/>
      <c r="AFL11" s="27"/>
      <c r="AFM11" s="27"/>
      <c r="AFN11" s="27"/>
      <c r="AFO11" s="27"/>
      <c r="AFP11" s="27"/>
      <c r="AFQ11" s="27"/>
      <c r="AFR11" s="27"/>
      <c r="AFS11" s="27"/>
      <c r="AFT11" s="27"/>
      <c r="AFU11" s="27"/>
      <c r="AFV11" s="27"/>
      <c r="AFW11" s="27"/>
      <c r="AFX11" s="27"/>
      <c r="AFY11" s="27"/>
      <c r="AFZ11" s="27"/>
      <c r="AGA11" s="27"/>
      <c r="AGB11" s="27"/>
      <c r="AGC11" s="27"/>
      <c r="AGD11" s="27"/>
      <c r="AGE11" s="27"/>
      <c r="AGF11" s="27"/>
      <c r="AGG11" s="27"/>
      <c r="AGH11" s="27"/>
      <c r="AGI11" s="27"/>
      <c r="AGJ11" s="27"/>
      <c r="AGK11" s="27"/>
      <c r="AGL11" s="27"/>
      <c r="AGM11" s="27"/>
      <c r="AGN11" s="27"/>
      <c r="AGO11" s="27"/>
      <c r="AGP11" s="27"/>
      <c r="AGQ11" s="27"/>
      <c r="AGR11" s="27"/>
      <c r="AGS11" s="27"/>
      <c r="AGT11" s="27"/>
      <c r="AGU11" s="27"/>
      <c r="AGV11" s="27"/>
      <c r="AGW11" s="27"/>
      <c r="AGX11" s="27"/>
      <c r="AGY11" s="27"/>
      <c r="AGZ11" s="27"/>
      <c r="AHA11" s="27"/>
      <c r="AHB11" s="27"/>
      <c r="AHC11" s="27"/>
      <c r="AHD11" s="27"/>
      <c r="AHE11" s="27"/>
      <c r="AHF11" s="27"/>
      <c r="AHG11" s="27"/>
      <c r="AHH11" s="27"/>
      <c r="AHI11" s="27"/>
      <c r="AHJ11" s="27"/>
      <c r="AHK11" s="27"/>
      <c r="AHL11" s="27"/>
      <c r="AHM11" s="27"/>
      <c r="AHN11" s="27"/>
      <c r="AHO11" s="27"/>
      <c r="AHP11" s="27"/>
      <c r="AHQ11" s="27"/>
      <c r="AHR11" s="27"/>
      <c r="AHS11" s="27"/>
      <c r="AHT11" s="27"/>
      <c r="AHU11" s="27"/>
      <c r="AHV11" s="27"/>
      <c r="AHW11" s="27"/>
      <c r="AHX11" s="27"/>
      <c r="AHY11" s="27"/>
      <c r="AHZ11" s="27"/>
      <c r="AIA11" s="27"/>
      <c r="AIB11" s="27"/>
      <c r="AIC11" s="27"/>
      <c r="AID11" s="27"/>
      <c r="AIE11" s="27"/>
      <c r="AIF11" s="27"/>
      <c r="AIG11" s="27"/>
      <c r="AIH11" s="27"/>
      <c r="AII11" s="27"/>
      <c r="AIJ11" s="27"/>
      <c r="AIK11" s="27"/>
      <c r="AIL11" s="27"/>
      <c r="AIM11" s="27"/>
      <c r="AIN11" s="27"/>
      <c r="AIO11" s="27"/>
      <c r="AIP11" s="27"/>
      <c r="AIQ11" s="27"/>
      <c r="AIR11" s="27"/>
      <c r="AIS11" s="27"/>
      <c r="AIT11" s="27"/>
      <c r="AIU11" s="27"/>
      <c r="AIV11" s="27"/>
      <c r="AIW11" s="27"/>
      <c r="AIX11" s="27"/>
      <c r="AIY11" s="27"/>
      <c r="AIZ11" s="27"/>
      <c r="AJA11" s="27"/>
      <c r="AJB11" s="27"/>
      <c r="AJC11" s="27"/>
      <c r="AJD11" s="27"/>
      <c r="AJE11" s="27"/>
      <c r="AJF11" s="27"/>
      <c r="AJG11" s="27"/>
      <c r="AJH11" s="27"/>
      <c r="AJI11" s="27"/>
      <c r="AJJ11" s="27"/>
      <c r="AJK11" s="27"/>
      <c r="AJL11" s="27"/>
      <c r="AJM11" s="27"/>
      <c r="AJN11" s="27"/>
      <c r="AJO11" s="27"/>
      <c r="AJP11" s="27"/>
      <c r="AJQ11" s="27"/>
      <c r="AJR11" s="27"/>
      <c r="AJS11" s="27"/>
      <c r="AJT11" s="27"/>
      <c r="AJU11" s="27"/>
      <c r="AJV11" s="27"/>
      <c r="AJW11" s="27"/>
      <c r="AJX11" s="27"/>
      <c r="AJY11" s="27"/>
      <c r="AJZ11" s="27"/>
      <c r="AKA11" s="27"/>
      <c r="AKB11" s="27"/>
      <c r="AKC11" s="27"/>
      <c r="AKD11" s="27"/>
      <c r="AKE11" s="27"/>
      <c r="AKF11" s="27"/>
      <c r="AKG11" s="27"/>
      <c r="AKH11" s="27"/>
      <c r="AKI11" s="27"/>
      <c r="AKJ11" s="27"/>
      <c r="AKK11" s="27"/>
      <c r="AKL11" s="27"/>
      <c r="AKM11" s="27"/>
      <c r="AKN11" s="27"/>
      <c r="AKO11" s="27"/>
      <c r="AKP11" s="27"/>
      <c r="AKQ11" s="27"/>
      <c r="AKR11" s="27"/>
      <c r="AKS11" s="27"/>
      <c r="AKT11" s="27"/>
      <c r="AKU11" s="27"/>
      <c r="AKV11" s="27"/>
      <c r="AKW11" s="27"/>
      <c r="AKX11" s="27"/>
      <c r="AKY11" s="27"/>
      <c r="AKZ11" s="27"/>
      <c r="ALA11" s="27"/>
      <c r="ALB11" s="27"/>
      <c r="ALC11" s="27"/>
      <c r="ALD11" s="27"/>
      <c r="ALE11" s="27"/>
      <c r="ALF11" s="27"/>
      <c r="ALG11" s="27"/>
      <c r="ALH11" s="27"/>
      <c r="ALI11" s="27"/>
      <c r="ALJ11" s="27"/>
      <c r="ALK11" s="27"/>
      <c r="ALL11" s="27"/>
      <c r="ALM11" s="27"/>
      <c r="ALN11" s="27"/>
      <c r="ALO11" s="27"/>
      <c r="ALP11" s="27"/>
      <c r="ALQ11" s="27"/>
      <c r="ALR11" s="27"/>
      <c r="ALS11" s="27"/>
      <c r="ALT11" s="27"/>
      <c r="ALU11" s="27"/>
      <c r="ALV11" s="27"/>
      <c r="ALW11" s="27"/>
      <c r="ALX11" s="27"/>
      <c r="ALY11" s="27"/>
      <c r="ALZ11" s="27"/>
      <c r="AMA11" s="27"/>
      <c r="AMB11" s="27"/>
      <c r="AMC11" s="27"/>
      <c r="AMD11" s="27"/>
      <c r="AME11" s="27"/>
      <c r="AMF11" s="27"/>
      <c r="AMG11" s="27"/>
      <c r="AMH11" s="27"/>
      <c r="AMI11" s="27"/>
      <c r="AMJ11" s="27"/>
      <c r="AMK11" s="27"/>
      <c r="AML11" s="27"/>
      <c r="AMM11" s="27"/>
      <c r="AMN11" s="27"/>
      <c r="AMO11" s="27"/>
      <c r="AMP11" s="27"/>
      <c r="AMQ11" s="27"/>
      <c r="AMR11" s="27"/>
      <c r="AMS11" s="27"/>
      <c r="AMT11" s="27"/>
      <c r="AMU11" s="27"/>
      <c r="AMV11" s="27"/>
      <c r="AMW11" s="27"/>
      <c r="AMX11" s="27"/>
      <c r="AMY11" s="27"/>
      <c r="AMZ11" s="27"/>
      <c r="ANA11" s="27"/>
      <c r="ANB11" s="27"/>
      <c r="ANC11" s="27"/>
      <c r="AND11" s="27"/>
      <c r="ANE11" s="27"/>
      <c r="ANF11" s="27"/>
      <c r="ANG11" s="27"/>
      <c r="ANH11" s="27"/>
      <c r="ANI11" s="27"/>
      <c r="ANJ11" s="27"/>
      <c r="ANK11" s="27"/>
      <c r="ANL11" s="27"/>
      <c r="ANM11" s="27"/>
      <c r="ANN11" s="27"/>
      <c r="ANO11" s="27"/>
      <c r="ANP11" s="27"/>
      <c r="ANQ11" s="27"/>
      <c r="ANR11" s="27"/>
      <c r="ANS11" s="27"/>
      <c r="ANT11" s="27"/>
      <c r="ANU11" s="27"/>
      <c r="ANV11" s="27"/>
      <c r="ANW11" s="27"/>
      <c r="ANX11" s="27"/>
      <c r="ANY11" s="27"/>
      <c r="ANZ11" s="27"/>
      <c r="AOA11" s="27"/>
      <c r="AOB11" s="27"/>
      <c r="AOC11" s="27"/>
      <c r="AOD11" s="27"/>
      <c r="AOE11" s="27"/>
      <c r="AOF11" s="27"/>
      <c r="AOG11" s="27"/>
      <c r="AOH11" s="27"/>
      <c r="AOI11" s="27"/>
      <c r="AOJ11" s="27"/>
      <c r="AOK11" s="27"/>
      <c r="AOL11" s="27"/>
      <c r="AOM11" s="27"/>
      <c r="AON11" s="27"/>
      <c r="AOO11" s="27"/>
      <c r="AOP11" s="27"/>
      <c r="AOQ11" s="27"/>
      <c r="AOR11" s="27"/>
      <c r="AOS11" s="27"/>
      <c r="AOT11" s="27"/>
      <c r="AOU11" s="27"/>
      <c r="AOV11" s="27"/>
      <c r="AOW11" s="27"/>
      <c r="AOX11" s="27"/>
      <c r="AOY11" s="27"/>
      <c r="AOZ11" s="27"/>
      <c r="APA11" s="27"/>
      <c r="APB11" s="27"/>
      <c r="APC11" s="27"/>
      <c r="APD11" s="27"/>
      <c r="APE11" s="27"/>
      <c r="APF11" s="27"/>
      <c r="APG11" s="27"/>
      <c r="APH11" s="27"/>
      <c r="API11" s="27"/>
      <c r="APJ11" s="27"/>
      <c r="APK11" s="27"/>
      <c r="APL11" s="27"/>
      <c r="APM11" s="27"/>
      <c r="APN11" s="27"/>
      <c r="APO11" s="27"/>
      <c r="APP11" s="27"/>
      <c r="APQ11" s="27"/>
      <c r="APR11" s="27"/>
      <c r="APS11" s="27"/>
      <c r="APT11" s="27"/>
      <c r="APU11" s="27"/>
      <c r="APV11" s="27"/>
      <c r="APW11" s="27"/>
      <c r="APX11" s="27"/>
      <c r="APY11" s="27"/>
      <c r="APZ11" s="27"/>
      <c r="AQA11" s="27"/>
      <c r="AQB11" s="27"/>
      <c r="AQC11" s="27"/>
      <c r="AQD11" s="27"/>
      <c r="AQE11" s="27"/>
      <c r="AQF11" s="27"/>
      <c r="AQG11" s="27"/>
      <c r="AQH11" s="27"/>
      <c r="AQI11" s="27"/>
      <c r="AQJ11" s="27"/>
      <c r="AQK11" s="27"/>
      <c r="AQL11" s="27"/>
      <c r="AQM11" s="27"/>
      <c r="AQN11" s="27"/>
      <c r="AQO11" s="27"/>
      <c r="AQP11" s="27"/>
      <c r="AQQ11" s="27"/>
      <c r="AQR11" s="27"/>
      <c r="AQS11" s="27"/>
      <c r="AQT11" s="27"/>
      <c r="AQU11" s="27"/>
      <c r="AQV11" s="27"/>
      <c r="AQW11" s="27"/>
      <c r="AQX11" s="27"/>
      <c r="AQY11" s="27"/>
      <c r="AQZ11" s="27"/>
      <c r="ARA11" s="27"/>
      <c r="ARB11" s="27"/>
      <c r="ARC11" s="27"/>
      <c r="ARD11" s="27"/>
      <c r="ARE11" s="27"/>
      <c r="ARF11" s="27"/>
      <c r="ARG11" s="27"/>
      <c r="ARH11" s="27"/>
      <c r="ARI11" s="27"/>
      <c r="ARJ11" s="27"/>
      <c r="ARK11" s="27"/>
      <c r="ARL11" s="27"/>
      <c r="ARM11" s="27"/>
      <c r="ARN11" s="27"/>
      <c r="ARO11" s="27"/>
      <c r="ARP11" s="27"/>
      <c r="ARQ11" s="27"/>
      <c r="ARR11" s="27"/>
      <c r="ARS11" s="27"/>
      <c r="ART11" s="27"/>
      <c r="ARU11" s="27"/>
      <c r="ARV11" s="27"/>
      <c r="ARW11" s="27"/>
      <c r="ARX11" s="27"/>
      <c r="ARY11" s="27"/>
      <c r="ARZ11" s="27"/>
      <c r="ASA11" s="27"/>
      <c r="ASB11" s="27"/>
      <c r="ASC11" s="27"/>
      <c r="ASD11" s="27"/>
      <c r="ASE11" s="27"/>
      <c r="ASF11" s="27"/>
      <c r="ASG11" s="27"/>
      <c r="ASH11" s="27"/>
      <c r="ASI11" s="27"/>
      <c r="ASJ11" s="27"/>
      <c r="ASK11" s="27"/>
      <c r="ASL11" s="27"/>
      <c r="ASM11" s="27"/>
      <c r="ASN11" s="27"/>
      <c r="ASO11" s="27"/>
      <c r="ASP11" s="27"/>
      <c r="ASQ11" s="27"/>
      <c r="ASR11" s="27"/>
      <c r="ASS11" s="27"/>
      <c r="AST11" s="27"/>
      <c r="ASU11" s="27"/>
      <c r="ASV11" s="27"/>
      <c r="ASW11" s="27"/>
      <c r="ASX11" s="27"/>
      <c r="ASY11" s="27"/>
      <c r="ASZ11" s="27"/>
      <c r="ATA11" s="27"/>
      <c r="ATB11" s="27"/>
      <c r="ATC11" s="27"/>
      <c r="ATD11" s="27"/>
      <c r="ATE11" s="27"/>
      <c r="ATF11" s="27"/>
      <c r="ATG11" s="27"/>
      <c r="ATH11" s="27"/>
      <c r="ATI11" s="27"/>
      <c r="ATJ11" s="27"/>
      <c r="ATK11" s="27"/>
      <c r="ATL11" s="27"/>
      <c r="ATM11" s="27"/>
      <c r="ATN11" s="27"/>
      <c r="ATO11" s="27"/>
      <c r="ATP11" s="27"/>
      <c r="ATQ11" s="27"/>
      <c r="ATR11" s="27"/>
      <c r="ATS11" s="27"/>
      <c r="ATT11" s="27"/>
      <c r="ATU11" s="27"/>
      <c r="ATV11" s="27"/>
      <c r="ATW11" s="27"/>
      <c r="ATX11" s="27"/>
      <c r="ATY11" s="27"/>
      <c r="ATZ11" s="27"/>
      <c r="AUA11" s="27"/>
      <c r="AUB11" s="27"/>
      <c r="AUC11" s="27"/>
      <c r="AUD11" s="27"/>
      <c r="AUE11" s="27"/>
      <c r="AUF11" s="27"/>
      <c r="AUG11" s="27"/>
      <c r="AUH11" s="27"/>
      <c r="AUI11" s="27"/>
      <c r="AUJ11" s="27"/>
      <c r="AUK11" s="27"/>
      <c r="AUL11" s="27"/>
      <c r="AUM11" s="27"/>
      <c r="AUN11" s="27"/>
      <c r="AUO11" s="27"/>
      <c r="AUP11" s="27"/>
      <c r="AUQ11" s="27"/>
      <c r="AUR11" s="27"/>
      <c r="AUS11" s="27"/>
      <c r="AUT11" s="27"/>
      <c r="AUU11" s="27"/>
      <c r="AUV11" s="27"/>
      <c r="AUW11" s="27"/>
      <c r="AUX11" s="27"/>
      <c r="AUY11" s="27"/>
      <c r="AUZ11" s="27"/>
      <c r="AVA11" s="27"/>
      <c r="AVB11" s="27"/>
      <c r="AVC11" s="27"/>
      <c r="AVD11" s="27"/>
      <c r="AVE11" s="27"/>
      <c r="AVF11" s="27"/>
      <c r="AVG11" s="27"/>
      <c r="AVH11" s="27"/>
      <c r="AVI11" s="27"/>
      <c r="AVJ11" s="27"/>
      <c r="AVK11" s="27"/>
      <c r="AVL11" s="27"/>
      <c r="AVM11" s="27"/>
      <c r="AVN11" s="27"/>
      <c r="AVO11" s="27"/>
      <c r="AVP11" s="27"/>
      <c r="AVQ11" s="27"/>
      <c r="AVR11" s="27"/>
      <c r="AVS11" s="27"/>
      <c r="AVT11" s="27"/>
      <c r="AVU11" s="27"/>
      <c r="AVV11" s="27"/>
      <c r="AVW11" s="27"/>
      <c r="AVX11" s="27"/>
      <c r="AVY11" s="27"/>
      <c r="AVZ11" s="27"/>
      <c r="AWA11" s="27"/>
      <c r="AWB11" s="27"/>
      <c r="AWC11" s="27"/>
      <c r="AWD11" s="27"/>
      <c r="AWE11" s="27"/>
      <c r="AWF11" s="27"/>
      <c r="AWG11" s="27"/>
      <c r="AWH11" s="27"/>
      <c r="AWI11" s="27"/>
      <c r="AWJ11" s="27"/>
      <c r="AWK11" s="27"/>
      <c r="AWL11" s="27"/>
      <c r="AWM11" s="27"/>
      <c r="AWN11" s="27"/>
      <c r="AWO11" s="27"/>
      <c r="AWP11" s="27"/>
      <c r="AWQ11" s="27"/>
      <c r="AWR11" s="27"/>
      <c r="AWS11" s="27"/>
      <c r="AWT11" s="27"/>
      <c r="AWU11" s="27"/>
      <c r="AWV11" s="27"/>
      <c r="AWW11" s="27"/>
      <c r="AWX11" s="27"/>
      <c r="AWY11" s="27"/>
      <c r="AWZ11" s="27"/>
      <c r="AXA11" s="27"/>
      <c r="AXB11" s="27"/>
      <c r="AXC11" s="27"/>
      <c r="AXD11" s="27"/>
      <c r="AXE11" s="27"/>
      <c r="AXF11" s="27"/>
      <c r="AXG11" s="27"/>
      <c r="AXH11" s="27"/>
      <c r="AXI11" s="27"/>
      <c r="AXJ11" s="27"/>
      <c r="AXK11" s="27"/>
      <c r="AXL11" s="27"/>
      <c r="AXM11" s="27"/>
      <c r="AXN11" s="27"/>
      <c r="AXO11" s="27"/>
      <c r="AXP11" s="27"/>
      <c r="AXQ11" s="27"/>
      <c r="AXR11" s="27"/>
      <c r="AXS11" s="27"/>
      <c r="AXT11" s="27"/>
      <c r="AXU11" s="27"/>
      <c r="AXV11" s="27"/>
      <c r="AXW11" s="27"/>
      <c r="AXX11" s="27"/>
      <c r="AXY11" s="27"/>
      <c r="AXZ11" s="27"/>
      <c r="AYA11" s="27"/>
      <c r="AYB11" s="27"/>
      <c r="AYC11" s="27"/>
      <c r="AYD11" s="27"/>
      <c r="AYE11" s="27"/>
      <c r="AYF11" s="27"/>
      <c r="AYG11" s="27"/>
      <c r="AYH11" s="27"/>
      <c r="AYI11" s="27"/>
      <c r="AYJ11" s="27"/>
      <c r="AYK11" s="27"/>
      <c r="AYL11" s="27"/>
      <c r="AYM11" s="27"/>
      <c r="AYN11" s="27"/>
      <c r="AYO11" s="27"/>
      <c r="AYP11" s="27"/>
      <c r="AYQ11" s="27"/>
      <c r="AYR11" s="27"/>
      <c r="AYS11" s="27"/>
      <c r="AYT11" s="27"/>
      <c r="AYU11" s="27"/>
      <c r="AYV11" s="27"/>
      <c r="AYW11" s="27"/>
      <c r="AYX11" s="27"/>
      <c r="AYY11" s="27"/>
      <c r="AYZ11" s="27"/>
      <c r="AZA11" s="27"/>
      <c r="AZB11" s="27"/>
      <c r="AZC11" s="27"/>
      <c r="AZD11" s="27"/>
      <c r="AZE11" s="27"/>
      <c r="AZF11" s="27"/>
      <c r="AZG11" s="27"/>
      <c r="AZH11" s="27"/>
      <c r="AZI11" s="27"/>
      <c r="AZJ11" s="27"/>
      <c r="AZK11" s="27"/>
      <c r="AZL11" s="27"/>
      <c r="AZM11" s="27"/>
      <c r="AZN11" s="27"/>
      <c r="AZO11" s="27"/>
      <c r="AZP11" s="27"/>
      <c r="AZQ11" s="27"/>
      <c r="AZR11" s="27"/>
      <c r="AZS11" s="27"/>
      <c r="AZT11" s="27"/>
      <c r="AZU11" s="27"/>
      <c r="AZV11" s="27"/>
      <c r="AZW11" s="27"/>
      <c r="AZX11" s="27"/>
      <c r="AZY11" s="27"/>
      <c r="AZZ11" s="27"/>
      <c r="BAA11" s="27"/>
      <c r="BAB11" s="27"/>
      <c r="BAC11" s="27"/>
      <c r="BAD11" s="27"/>
      <c r="BAE11" s="27"/>
      <c r="BAF11" s="27"/>
      <c r="BAG11" s="27"/>
      <c r="BAH11" s="27"/>
      <c r="BAI11" s="27"/>
      <c r="BAJ11" s="27"/>
      <c r="BAK11" s="27"/>
      <c r="BAL11" s="27"/>
      <c r="BAM11" s="27"/>
      <c r="BAN11" s="27"/>
      <c r="BAO11" s="27"/>
      <c r="BAP11" s="27"/>
      <c r="BAQ11" s="27"/>
      <c r="BAR11" s="27"/>
      <c r="BAS11" s="27"/>
      <c r="BAT11" s="27"/>
      <c r="BAU11" s="27"/>
      <c r="BAV11" s="27"/>
      <c r="BAW11" s="27"/>
      <c r="BAX11" s="27"/>
      <c r="BAY11" s="27"/>
      <c r="BAZ11" s="27"/>
      <c r="BBA11" s="27"/>
      <c r="BBB11" s="27"/>
      <c r="BBC11" s="27"/>
      <c r="BBD11" s="27"/>
      <c r="BBE11" s="27"/>
      <c r="BBF11" s="27"/>
      <c r="BBG11" s="27"/>
      <c r="BBH11" s="27"/>
      <c r="BBI11" s="27"/>
      <c r="BBJ11" s="27"/>
      <c r="BBK11" s="27"/>
      <c r="BBL11" s="27"/>
      <c r="BBM11" s="27"/>
      <c r="BBN11" s="27"/>
      <c r="BBO11" s="27"/>
      <c r="BBP11" s="27"/>
      <c r="BBQ11" s="27"/>
      <c r="BBR11" s="27"/>
      <c r="BBS11" s="27"/>
      <c r="BBT11" s="27"/>
      <c r="BBU11" s="27"/>
      <c r="BBV11" s="27"/>
      <c r="BBW11" s="27"/>
      <c r="BBX11" s="27"/>
      <c r="BBY11" s="27"/>
      <c r="BBZ11" s="27"/>
      <c r="BCA11" s="27"/>
      <c r="BCB11" s="27"/>
      <c r="BCC11" s="27"/>
      <c r="BCD11" s="27"/>
      <c r="BCE11" s="27"/>
      <c r="BCF11" s="27"/>
      <c r="BCG11" s="27"/>
      <c r="BCH11" s="27"/>
      <c r="BCI11" s="27"/>
      <c r="BCJ11" s="27"/>
      <c r="BCK11" s="27"/>
      <c r="BCL11" s="27"/>
      <c r="BCM11" s="27"/>
      <c r="BCN11" s="27"/>
      <c r="BCO11" s="27"/>
      <c r="BCP11" s="27"/>
      <c r="BCQ11" s="27"/>
      <c r="BCR11" s="27"/>
      <c r="BCS11" s="27"/>
      <c r="BCT11" s="27"/>
      <c r="BCU11" s="27"/>
      <c r="BCV11" s="27"/>
      <c r="BCW11" s="27"/>
      <c r="BCX11" s="27"/>
      <c r="BCY11" s="27"/>
      <c r="BCZ11" s="27"/>
      <c r="BDA11" s="27"/>
      <c r="BDB11" s="27"/>
      <c r="BDC11" s="27"/>
      <c r="BDD11" s="27"/>
      <c r="BDE11" s="27"/>
      <c r="BDF11" s="27"/>
      <c r="BDG11" s="27"/>
      <c r="BDH11" s="27"/>
      <c r="BDI11" s="27"/>
      <c r="BDJ11" s="27"/>
      <c r="BDK11" s="27"/>
      <c r="BDL11" s="27"/>
      <c r="BDM11" s="27"/>
      <c r="BDN11" s="27"/>
      <c r="BDO11" s="27"/>
      <c r="BDP11" s="27"/>
      <c r="BDQ11" s="27"/>
      <c r="BDR11" s="27"/>
      <c r="BDS11" s="27"/>
      <c r="BDT11" s="27"/>
      <c r="BDU11" s="27"/>
      <c r="BDV11" s="27"/>
      <c r="BDW11" s="27"/>
      <c r="BDX11" s="27"/>
      <c r="BDY11" s="27"/>
      <c r="BDZ11" s="27"/>
      <c r="BEA11" s="27"/>
      <c r="BEB11" s="27"/>
      <c r="BEC11" s="27"/>
      <c r="BED11" s="27"/>
      <c r="BEE11" s="27"/>
      <c r="BEF11" s="27"/>
      <c r="BEG11" s="27"/>
      <c r="BEH11" s="27"/>
      <c r="BEI11" s="27"/>
      <c r="BEJ11" s="27"/>
      <c r="BEK11" s="27"/>
      <c r="BEL11" s="27"/>
      <c r="BEM11" s="27"/>
      <c r="BEN11" s="27"/>
      <c r="BEO11" s="27"/>
      <c r="BEP11" s="27"/>
      <c r="BEQ11" s="27"/>
      <c r="BER11" s="27"/>
      <c r="BES11" s="27"/>
      <c r="BET11" s="27"/>
      <c r="BEU11" s="27"/>
      <c r="BEV11" s="27"/>
      <c r="BEW11" s="27"/>
      <c r="BEX11" s="27"/>
      <c r="BEY11" s="27"/>
      <c r="BEZ11" s="27"/>
      <c r="BFA11" s="27"/>
      <c r="BFB11" s="27"/>
      <c r="BFC11" s="27"/>
      <c r="BFD11" s="27"/>
      <c r="BFE11" s="27"/>
      <c r="BFF11" s="27"/>
      <c r="BFG11" s="27"/>
      <c r="BFH11" s="27"/>
      <c r="BFI11" s="27"/>
      <c r="BFJ11" s="27"/>
      <c r="BFK11" s="27"/>
      <c r="BFL11" s="27"/>
      <c r="BFM11" s="27"/>
      <c r="BFN11" s="27"/>
      <c r="BFO11" s="27"/>
      <c r="BFP11" s="27"/>
      <c r="BFQ11" s="27"/>
      <c r="BFR11" s="27"/>
      <c r="BFS11" s="27"/>
      <c r="BFT11" s="27"/>
      <c r="BFU11" s="27"/>
      <c r="BFV11" s="27"/>
      <c r="BFW11" s="27"/>
      <c r="BFX11" s="27"/>
      <c r="BFY11" s="27"/>
      <c r="BFZ11" s="27"/>
      <c r="BGA11" s="27"/>
      <c r="BGB11" s="27"/>
      <c r="BGC11" s="27"/>
      <c r="BGD11" s="27"/>
      <c r="BGE11" s="27"/>
      <c r="BGF11" s="27"/>
      <c r="BGG11" s="27"/>
      <c r="BGH11" s="27"/>
      <c r="BGI11" s="27"/>
      <c r="BGJ11" s="27"/>
      <c r="BGK11" s="27"/>
      <c r="BGL11" s="27"/>
      <c r="BGM11" s="27"/>
      <c r="BGN11" s="27"/>
      <c r="BGO11" s="27"/>
      <c r="BGP11" s="27"/>
      <c r="BGQ11" s="27"/>
      <c r="BGR11" s="27"/>
      <c r="BGS11" s="27"/>
      <c r="BGT11" s="27"/>
      <c r="BGU11" s="27"/>
      <c r="BGV11" s="27"/>
      <c r="BGW11" s="27"/>
      <c r="BGX11" s="27"/>
      <c r="BGY11" s="27"/>
      <c r="BGZ11" s="27"/>
      <c r="BHA11" s="27"/>
      <c r="BHB11" s="27"/>
      <c r="BHC11" s="27"/>
      <c r="BHD11" s="27"/>
      <c r="BHE11" s="27"/>
      <c r="BHF11" s="27"/>
      <c r="BHG11" s="27"/>
      <c r="BHH11" s="27"/>
      <c r="BHI11" s="27"/>
      <c r="BHJ11" s="27"/>
      <c r="BHK11" s="27"/>
      <c r="BHL11" s="27"/>
      <c r="BHM11" s="27"/>
      <c r="BHN11" s="27"/>
      <c r="BHO11" s="27"/>
      <c r="BHP11" s="27"/>
      <c r="BHQ11" s="27"/>
      <c r="BHR11" s="27"/>
      <c r="BHS11" s="27"/>
      <c r="BHT11" s="27"/>
      <c r="BHU11" s="27"/>
      <c r="BHV11" s="27"/>
      <c r="BHW11" s="27"/>
      <c r="BHX11" s="27"/>
      <c r="BHY11" s="27"/>
      <c r="BHZ11" s="27"/>
      <c r="BIA11" s="27"/>
      <c r="BIB11" s="27"/>
      <c r="BIC11" s="27"/>
      <c r="BID11" s="27"/>
      <c r="BIE11" s="27"/>
      <c r="BIF11" s="27"/>
      <c r="BIG11" s="27"/>
      <c r="BIH11" s="27"/>
      <c r="BII11" s="27"/>
      <c r="BIJ11" s="27"/>
      <c r="BIK11" s="27"/>
      <c r="BIL11" s="27"/>
      <c r="BIM11" s="27"/>
      <c r="BIN11" s="27"/>
      <c r="BIO11" s="27"/>
      <c r="BIP11" s="27"/>
      <c r="BIQ11" s="27"/>
      <c r="BIR11" s="27"/>
      <c r="BIS11" s="27"/>
      <c r="BIT11" s="27"/>
      <c r="BIU11" s="27"/>
      <c r="BIV11" s="27"/>
      <c r="BIW11" s="27"/>
      <c r="BIX11" s="27"/>
      <c r="BIY11" s="27"/>
      <c r="BIZ11" s="27"/>
      <c r="BJA11" s="27"/>
      <c r="BJB11" s="27"/>
      <c r="BJC11" s="27"/>
      <c r="BJD11" s="27"/>
      <c r="BJE11" s="27"/>
      <c r="BJF11" s="27"/>
      <c r="BJG11" s="27"/>
      <c r="BJH11" s="27"/>
      <c r="BJI11" s="27"/>
      <c r="BJJ11" s="27"/>
      <c r="BJK11" s="27"/>
      <c r="BJL11" s="27"/>
      <c r="BJM11" s="27"/>
      <c r="BJN11" s="27"/>
      <c r="BJO11" s="27"/>
      <c r="BJP11" s="27"/>
      <c r="BJQ11" s="27"/>
      <c r="BJR11" s="27"/>
      <c r="BJS11" s="27"/>
      <c r="BJT11" s="27"/>
      <c r="BJU11" s="27"/>
      <c r="BJV11" s="27"/>
      <c r="BJW11" s="27"/>
      <c r="BJX11" s="27"/>
      <c r="BJY11" s="27"/>
      <c r="BJZ11" s="27"/>
      <c r="BKA11" s="27"/>
      <c r="BKB11" s="27"/>
      <c r="BKC11" s="27"/>
      <c r="BKD11" s="27"/>
      <c r="BKE11" s="27"/>
      <c r="BKF11" s="27"/>
      <c r="BKG11" s="27"/>
      <c r="BKH11" s="27"/>
      <c r="BKI11" s="27"/>
      <c r="BKJ11" s="27"/>
      <c r="BKK11" s="27"/>
      <c r="BKL11" s="27"/>
      <c r="BKM11" s="27"/>
      <c r="BKN11" s="27"/>
      <c r="BKO11" s="27"/>
      <c r="BKP11" s="27"/>
      <c r="BKQ11" s="27"/>
      <c r="BKR11" s="27"/>
      <c r="BKS11" s="27"/>
      <c r="BKT11" s="27"/>
      <c r="BKU11" s="27"/>
      <c r="BKV11" s="27"/>
      <c r="BKW11" s="27"/>
      <c r="BKX11" s="27"/>
      <c r="BKY11" s="27"/>
      <c r="BKZ11" s="27"/>
      <c r="BLA11" s="27"/>
      <c r="BLB11" s="27"/>
      <c r="BLC11" s="27"/>
      <c r="BLD11" s="27"/>
      <c r="BLE11" s="27"/>
      <c r="BLF11" s="27"/>
      <c r="BLG11" s="27"/>
      <c r="BLH11" s="27"/>
      <c r="BLI11" s="27"/>
      <c r="BLJ11" s="27"/>
      <c r="BLK11" s="27"/>
      <c r="BLL11" s="27"/>
      <c r="BLM11" s="27"/>
      <c r="BLN11" s="27"/>
      <c r="BLO11" s="27"/>
      <c r="BLP11" s="27"/>
      <c r="BLQ11" s="27"/>
      <c r="BLR11" s="27"/>
      <c r="BLS11" s="27"/>
      <c r="BLT11" s="27"/>
      <c r="BLU11" s="27"/>
      <c r="BLV11" s="27"/>
      <c r="BLW11" s="27"/>
      <c r="BLX11" s="27"/>
      <c r="BLY11" s="27"/>
      <c r="BLZ11" s="27"/>
      <c r="BMA11" s="27"/>
      <c r="BMB11" s="27"/>
      <c r="BMC11" s="27"/>
      <c r="BMD11" s="27"/>
      <c r="BME11" s="27"/>
      <c r="BMF11" s="27"/>
      <c r="BMG11" s="27"/>
      <c r="BMH11" s="27"/>
      <c r="BMI11" s="27"/>
      <c r="BMJ11" s="27"/>
      <c r="BMK11" s="27"/>
      <c r="BML11" s="27"/>
      <c r="BMM11" s="27"/>
      <c r="BMN11" s="27"/>
      <c r="BMO11" s="27"/>
      <c r="BMP11" s="27"/>
      <c r="BMQ11" s="27"/>
      <c r="BMR11" s="27"/>
      <c r="BMS11" s="27"/>
      <c r="BMT11" s="27"/>
      <c r="BMU11" s="27"/>
      <c r="BMV11" s="27"/>
      <c r="BMW11" s="27"/>
      <c r="BMX11" s="27"/>
      <c r="BMY11" s="27"/>
      <c r="BMZ11" s="27"/>
      <c r="BNA11" s="27"/>
      <c r="BNB11" s="27"/>
      <c r="BNC11" s="27"/>
      <c r="BND11" s="27"/>
      <c r="BNE11" s="27"/>
      <c r="BNF11" s="27"/>
      <c r="BNG11" s="27"/>
      <c r="BNH11" s="27"/>
      <c r="BNI11" s="27"/>
      <c r="BNJ11" s="27"/>
      <c r="BNK11" s="27"/>
      <c r="BNL11" s="27"/>
      <c r="BNM11" s="27"/>
      <c r="BNN11" s="27"/>
      <c r="BNO11" s="27"/>
      <c r="BNP11" s="27"/>
      <c r="BNQ11" s="27"/>
      <c r="BNR11" s="27"/>
      <c r="BNS11" s="27"/>
      <c r="BNT11" s="27"/>
      <c r="BNU11" s="27"/>
      <c r="BNV11" s="27"/>
      <c r="BNW11" s="27"/>
      <c r="BNX11" s="27"/>
      <c r="BNY11" s="27"/>
      <c r="BNZ11" s="27"/>
      <c r="BOA11" s="27"/>
      <c r="BOB11" s="27"/>
      <c r="BOC11" s="27"/>
      <c r="BOD11" s="27"/>
      <c r="BOE11" s="27"/>
      <c r="BOF11" s="27"/>
      <c r="BOG11" s="27"/>
      <c r="BOH11" s="27"/>
      <c r="BOI11" s="27"/>
      <c r="BOJ11" s="27"/>
      <c r="BOK11" s="27"/>
      <c r="BOL11" s="27"/>
      <c r="BOM11" s="27"/>
      <c r="BON11" s="27"/>
      <c r="BOO11" s="27"/>
      <c r="BOP11" s="27"/>
      <c r="BOQ11" s="27"/>
      <c r="BOR11" s="27"/>
      <c r="BOS11" s="27"/>
      <c r="BOT11" s="27"/>
      <c r="BOU11" s="27"/>
      <c r="BOV11" s="27"/>
      <c r="BOW11" s="27"/>
      <c r="BOX11" s="27"/>
      <c r="BOY11" s="27"/>
      <c r="BOZ11" s="27"/>
      <c r="BPA11" s="27"/>
      <c r="BPB11" s="27"/>
      <c r="BPC11" s="27"/>
      <c r="BPD11" s="27"/>
      <c r="BPE11" s="27"/>
      <c r="BPF11" s="27"/>
      <c r="BPG11" s="27"/>
      <c r="BPH11" s="27"/>
      <c r="BPI11" s="27"/>
      <c r="BPJ11" s="27"/>
      <c r="BPK11" s="27"/>
      <c r="BPL11" s="27"/>
      <c r="BPM11" s="27"/>
      <c r="BPN11" s="27"/>
      <c r="BPO11" s="27"/>
      <c r="BPP11" s="27"/>
      <c r="BPQ11" s="27"/>
      <c r="BPR11" s="27"/>
      <c r="BPS11" s="27"/>
      <c r="BPT11" s="27"/>
      <c r="BPU11" s="27"/>
      <c r="BPV11" s="27"/>
      <c r="BPW11" s="27"/>
      <c r="BPX11" s="27"/>
      <c r="BPY11" s="27"/>
      <c r="BPZ11" s="27"/>
      <c r="BQA11" s="27"/>
      <c r="BQB11" s="27"/>
      <c r="BQC11" s="27"/>
      <c r="BQD11" s="27"/>
      <c r="BQE11" s="27"/>
      <c r="BQF11" s="27"/>
      <c r="BQG11" s="27"/>
      <c r="BQH11" s="27"/>
      <c r="BQI11" s="27"/>
      <c r="BQJ11" s="27"/>
      <c r="BQK11" s="27"/>
      <c r="BQL11" s="27"/>
      <c r="BQM11" s="27"/>
      <c r="BQN11" s="27"/>
      <c r="BQO11" s="27"/>
      <c r="BQP11" s="27"/>
      <c r="BQQ11" s="27"/>
      <c r="BQR11" s="27"/>
      <c r="BQS11" s="27"/>
      <c r="BQT11" s="27"/>
      <c r="BQU11" s="27"/>
    </row>
    <row r="12" spans="1:1815" s="8" customFormat="1" ht="40.35" customHeight="1" x14ac:dyDescent="0.3">
      <c r="A12" s="9">
        <v>3</v>
      </c>
      <c r="B12" s="195" t="s">
        <v>1432</v>
      </c>
      <c r="C12" s="193" t="s">
        <v>1433</v>
      </c>
      <c r="D12" s="11"/>
      <c r="E12" s="60" t="s">
        <v>1440</v>
      </c>
      <c r="F12" s="197" t="s">
        <v>1439</v>
      </c>
      <c r="G12" s="381"/>
      <c r="H12" s="194" t="s">
        <v>30</v>
      </c>
      <c r="I12" s="194" t="s">
        <v>30</v>
      </c>
      <c r="J12" s="194" t="s">
        <v>1431</v>
      </c>
      <c r="K12" s="194" t="s">
        <v>29</v>
      </c>
      <c r="L12" s="194" t="s">
        <v>30</v>
      </c>
      <c r="M12" s="194" t="s">
        <v>30</v>
      </c>
      <c r="N12" s="60" t="s">
        <v>1499</v>
      </c>
      <c r="O12" s="50" t="s">
        <v>1434</v>
      </c>
      <c r="P12" s="51" t="s">
        <v>1435</v>
      </c>
      <c r="Q12" s="244" t="s">
        <v>1500</v>
      </c>
      <c r="R12" s="50" t="s">
        <v>499</v>
      </c>
      <c r="S12" s="50" t="s">
        <v>557</v>
      </c>
      <c r="T12" s="50" t="s">
        <v>500</v>
      </c>
      <c r="U12" s="50" t="s">
        <v>588</v>
      </c>
      <c r="V12" s="97" t="s">
        <v>561</v>
      </c>
      <c r="W12" s="60" t="s">
        <v>503</v>
      </c>
      <c r="X12" s="50" t="s">
        <v>1046</v>
      </c>
      <c r="Y12" s="70" t="s">
        <v>1436</v>
      </c>
      <c r="Z12" s="50" t="s">
        <v>1437</v>
      </c>
      <c r="AA12" s="196" t="s">
        <v>1047</v>
      </c>
      <c r="AB12" s="78" t="s">
        <v>1438</v>
      </c>
      <c r="AC12" s="50" t="s">
        <v>1048</v>
      </c>
      <c r="AD12" s="55">
        <v>27886</v>
      </c>
      <c r="AE12" s="48">
        <f t="shared" si="0"/>
        <v>6</v>
      </c>
      <c r="AF12" s="48">
        <f t="shared" si="1"/>
        <v>5</v>
      </c>
      <c r="AG12" s="48">
        <f t="shared" si="2"/>
        <v>1976</v>
      </c>
      <c r="AH12" s="49">
        <f t="shared" si="3"/>
        <v>49801</v>
      </c>
      <c r="AI12" s="48">
        <f t="shared" ca="1" si="4"/>
        <v>10</v>
      </c>
      <c r="AJ12" s="48">
        <f t="shared" ca="1" si="5"/>
        <v>4</v>
      </c>
      <c r="AK12" s="48">
        <f t="shared" ca="1" si="6"/>
        <v>25</v>
      </c>
      <c r="AL12" s="48" t="str">
        <f t="shared" ca="1" si="7"/>
        <v>10year/4months/25Days</v>
      </c>
      <c r="AM12" s="384"/>
      <c r="AN12" s="50">
        <v>2022</v>
      </c>
      <c r="AO12" s="107" t="s">
        <v>1321</v>
      </c>
      <c r="AP12" s="78">
        <v>2002</v>
      </c>
      <c r="AQ12" s="78">
        <v>112</v>
      </c>
      <c r="AR12" s="78">
        <v>3</v>
      </c>
      <c r="AS12" s="78">
        <v>6</v>
      </c>
      <c r="AT12" s="78">
        <v>1881</v>
      </c>
      <c r="AU12" s="74">
        <f>AT12/AP12*100</f>
        <v>93.956043956043956</v>
      </c>
      <c r="AV12" s="78" t="s">
        <v>498</v>
      </c>
      <c r="AW12" s="78">
        <v>1</v>
      </c>
      <c r="AX12" s="78">
        <v>1973</v>
      </c>
      <c r="AY12" s="78" t="s">
        <v>498</v>
      </c>
      <c r="AZ12" s="78">
        <v>29</v>
      </c>
      <c r="BA12" s="76">
        <v>44844</v>
      </c>
      <c r="BB12" s="50"/>
      <c r="BC12" s="50"/>
      <c r="BD12" s="50"/>
      <c r="BE12" s="50"/>
      <c r="BF12" s="75"/>
      <c r="BG12" s="75"/>
      <c r="BH12" s="75"/>
      <c r="BI12" s="75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27"/>
      <c r="AIR12" s="27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  <c r="ALK12" s="27"/>
      <c r="ALL12" s="27"/>
      <c r="ALM12" s="27"/>
      <c r="ALN12" s="27"/>
      <c r="ALO12" s="27"/>
      <c r="ALP12" s="27"/>
      <c r="ALQ12" s="27"/>
      <c r="ALR12" s="27"/>
      <c r="ALS12" s="27"/>
      <c r="ALT12" s="27"/>
      <c r="ALU12" s="27"/>
      <c r="ALV12" s="27"/>
      <c r="ALW12" s="27"/>
      <c r="ALX12" s="27"/>
      <c r="ALY12" s="27"/>
      <c r="ALZ12" s="27"/>
      <c r="AMA12" s="27"/>
      <c r="AMB12" s="27"/>
      <c r="AMC12" s="27"/>
      <c r="AMD12" s="27"/>
      <c r="AME12" s="27"/>
      <c r="AMF12" s="27"/>
      <c r="AMG12" s="27"/>
      <c r="AMH12" s="27"/>
      <c r="AMI12" s="27"/>
      <c r="AMJ12" s="27"/>
      <c r="AMK12" s="27"/>
      <c r="AML12" s="27"/>
      <c r="AMM12" s="27"/>
      <c r="AMN12" s="27"/>
      <c r="AMO12" s="27"/>
      <c r="AMP12" s="27"/>
      <c r="AMQ12" s="27"/>
      <c r="AMR12" s="27"/>
      <c r="AMS12" s="27"/>
      <c r="AMT12" s="27"/>
      <c r="AMU12" s="27"/>
      <c r="AMV12" s="27"/>
      <c r="AMW12" s="27"/>
      <c r="AMX12" s="27"/>
      <c r="AMY12" s="27"/>
      <c r="AMZ12" s="27"/>
      <c r="ANA12" s="27"/>
      <c r="ANB12" s="27"/>
      <c r="ANC12" s="27"/>
      <c r="AND12" s="27"/>
      <c r="ANE12" s="27"/>
      <c r="ANF12" s="27"/>
      <c r="ANG12" s="27"/>
      <c r="ANH12" s="27"/>
      <c r="ANI12" s="27"/>
      <c r="ANJ12" s="27"/>
      <c r="ANK12" s="27"/>
      <c r="ANL12" s="27"/>
      <c r="ANM12" s="27"/>
      <c r="ANN12" s="27"/>
      <c r="ANO12" s="27"/>
      <c r="ANP12" s="27"/>
      <c r="ANQ12" s="27"/>
      <c r="ANR12" s="27"/>
      <c r="ANS12" s="27"/>
      <c r="ANT12" s="27"/>
      <c r="ANU12" s="27"/>
      <c r="ANV12" s="27"/>
      <c r="ANW12" s="27"/>
      <c r="ANX12" s="27"/>
      <c r="ANY12" s="27"/>
      <c r="ANZ12" s="27"/>
      <c r="AOA12" s="27"/>
      <c r="AOB12" s="27"/>
      <c r="AOC12" s="27"/>
      <c r="AOD12" s="27"/>
      <c r="AOE12" s="27"/>
      <c r="AOF12" s="27"/>
      <c r="AOG12" s="27"/>
      <c r="AOH12" s="27"/>
      <c r="AOI12" s="27"/>
      <c r="AOJ12" s="27"/>
      <c r="AOK12" s="27"/>
      <c r="AOL12" s="27"/>
      <c r="AOM12" s="27"/>
      <c r="AON12" s="27"/>
      <c r="AOO12" s="27"/>
      <c r="AOP12" s="27"/>
      <c r="AOQ12" s="27"/>
      <c r="AOR12" s="27"/>
      <c r="AOS12" s="27"/>
      <c r="AOT12" s="27"/>
      <c r="AOU12" s="27"/>
      <c r="AOV12" s="27"/>
      <c r="AOW12" s="27"/>
      <c r="AOX12" s="27"/>
      <c r="AOY12" s="27"/>
      <c r="AOZ12" s="27"/>
      <c r="APA12" s="27"/>
      <c r="APB12" s="27"/>
      <c r="APC12" s="27"/>
      <c r="APD12" s="27"/>
      <c r="APE12" s="27"/>
      <c r="APF12" s="27"/>
      <c r="APG12" s="27"/>
      <c r="APH12" s="27"/>
      <c r="API12" s="27"/>
      <c r="APJ12" s="27"/>
      <c r="APK12" s="27"/>
      <c r="APL12" s="27"/>
      <c r="APM12" s="27"/>
      <c r="APN12" s="27"/>
      <c r="APO12" s="27"/>
      <c r="APP12" s="27"/>
      <c r="APQ12" s="27"/>
      <c r="APR12" s="27"/>
      <c r="APS12" s="27"/>
      <c r="APT12" s="27"/>
      <c r="APU12" s="27"/>
      <c r="APV12" s="27"/>
      <c r="APW12" s="27"/>
      <c r="APX12" s="27"/>
      <c r="APY12" s="27"/>
      <c r="APZ12" s="27"/>
      <c r="AQA12" s="27"/>
      <c r="AQB12" s="27"/>
      <c r="AQC12" s="27"/>
      <c r="AQD12" s="27"/>
      <c r="AQE12" s="27"/>
      <c r="AQF12" s="27"/>
      <c r="AQG12" s="27"/>
      <c r="AQH12" s="27"/>
      <c r="AQI12" s="27"/>
      <c r="AQJ12" s="27"/>
      <c r="AQK12" s="27"/>
      <c r="AQL12" s="27"/>
      <c r="AQM12" s="27"/>
      <c r="AQN12" s="27"/>
      <c r="AQO12" s="27"/>
      <c r="AQP12" s="27"/>
      <c r="AQQ12" s="27"/>
      <c r="AQR12" s="27"/>
      <c r="AQS12" s="27"/>
      <c r="AQT12" s="27"/>
      <c r="AQU12" s="27"/>
      <c r="AQV12" s="27"/>
      <c r="AQW12" s="27"/>
      <c r="AQX12" s="27"/>
      <c r="AQY12" s="27"/>
      <c r="AQZ12" s="27"/>
      <c r="ARA12" s="27"/>
      <c r="ARB12" s="27"/>
      <c r="ARC12" s="27"/>
      <c r="ARD12" s="27"/>
      <c r="ARE12" s="27"/>
      <c r="ARF12" s="27"/>
      <c r="ARG12" s="27"/>
      <c r="ARH12" s="27"/>
      <c r="ARI12" s="27"/>
      <c r="ARJ12" s="27"/>
      <c r="ARK12" s="27"/>
      <c r="ARL12" s="27"/>
      <c r="ARM12" s="27"/>
      <c r="ARN12" s="27"/>
      <c r="ARO12" s="27"/>
      <c r="ARP12" s="27"/>
      <c r="ARQ12" s="27"/>
      <c r="ARR12" s="27"/>
      <c r="ARS12" s="27"/>
      <c r="ART12" s="27"/>
      <c r="ARU12" s="27"/>
      <c r="ARV12" s="27"/>
      <c r="ARW12" s="27"/>
      <c r="ARX12" s="27"/>
      <c r="ARY12" s="27"/>
      <c r="ARZ12" s="27"/>
      <c r="ASA12" s="27"/>
      <c r="ASB12" s="27"/>
      <c r="ASC12" s="27"/>
      <c r="ASD12" s="27"/>
      <c r="ASE12" s="27"/>
      <c r="ASF12" s="27"/>
      <c r="ASG12" s="27"/>
      <c r="ASH12" s="27"/>
      <c r="ASI12" s="27"/>
      <c r="ASJ12" s="27"/>
      <c r="ASK12" s="27"/>
      <c r="ASL12" s="27"/>
      <c r="ASM12" s="27"/>
      <c r="ASN12" s="27"/>
      <c r="ASO12" s="27"/>
      <c r="ASP12" s="27"/>
      <c r="ASQ12" s="27"/>
      <c r="ASR12" s="27"/>
      <c r="ASS12" s="27"/>
      <c r="AST12" s="27"/>
      <c r="ASU12" s="27"/>
      <c r="ASV12" s="27"/>
      <c r="ASW12" s="27"/>
      <c r="ASX12" s="27"/>
      <c r="ASY12" s="27"/>
      <c r="ASZ12" s="27"/>
      <c r="ATA12" s="27"/>
      <c r="ATB12" s="27"/>
      <c r="ATC12" s="27"/>
      <c r="ATD12" s="27"/>
      <c r="ATE12" s="27"/>
      <c r="ATF12" s="27"/>
      <c r="ATG12" s="27"/>
      <c r="ATH12" s="27"/>
      <c r="ATI12" s="27"/>
      <c r="ATJ12" s="27"/>
      <c r="ATK12" s="27"/>
      <c r="ATL12" s="27"/>
      <c r="ATM12" s="27"/>
      <c r="ATN12" s="27"/>
      <c r="ATO12" s="27"/>
      <c r="ATP12" s="27"/>
      <c r="ATQ12" s="27"/>
      <c r="ATR12" s="27"/>
      <c r="ATS12" s="27"/>
      <c r="ATT12" s="27"/>
      <c r="ATU12" s="27"/>
      <c r="ATV12" s="27"/>
      <c r="ATW12" s="27"/>
      <c r="ATX12" s="27"/>
      <c r="ATY12" s="27"/>
      <c r="ATZ12" s="27"/>
      <c r="AUA12" s="27"/>
      <c r="AUB12" s="27"/>
      <c r="AUC12" s="27"/>
      <c r="AUD12" s="27"/>
      <c r="AUE12" s="27"/>
      <c r="AUF12" s="27"/>
      <c r="AUG12" s="27"/>
      <c r="AUH12" s="27"/>
      <c r="AUI12" s="27"/>
      <c r="AUJ12" s="27"/>
      <c r="AUK12" s="27"/>
      <c r="AUL12" s="27"/>
      <c r="AUM12" s="27"/>
      <c r="AUN12" s="27"/>
      <c r="AUO12" s="27"/>
      <c r="AUP12" s="27"/>
      <c r="AUQ12" s="27"/>
      <c r="AUR12" s="27"/>
      <c r="AUS12" s="27"/>
      <c r="AUT12" s="27"/>
      <c r="AUU12" s="27"/>
      <c r="AUV12" s="27"/>
      <c r="AUW12" s="27"/>
      <c r="AUX12" s="27"/>
      <c r="AUY12" s="27"/>
      <c r="AUZ12" s="27"/>
      <c r="AVA12" s="27"/>
      <c r="AVB12" s="27"/>
      <c r="AVC12" s="27"/>
      <c r="AVD12" s="27"/>
      <c r="AVE12" s="27"/>
      <c r="AVF12" s="27"/>
      <c r="AVG12" s="27"/>
      <c r="AVH12" s="27"/>
      <c r="AVI12" s="27"/>
      <c r="AVJ12" s="27"/>
      <c r="AVK12" s="27"/>
      <c r="AVL12" s="27"/>
      <c r="AVM12" s="27"/>
      <c r="AVN12" s="27"/>
      <c r="AVO12" s="27"/>
      <c r="AVP12" s="27"/>
      <c r="AVQ12" s="27"/>
      <c r="AVR12" s="27"/>
      <c r="AVS12" s="27"/>
      <c r="AVT12" s="27"/>
      <c r="AVU12" s="27"/>
      <c r="AVV12" s="27"/>
      <c r="AVW12" s="27"/>
      <c r="AVX12" s="27"/>
      <c r="AVY12" s="27"/>
      <c r="AVZ12" s="27"/>
      <c r="AWA12" s="27"/>
      <c r="AWB12" s="27"/>
      <c r="AWC12" s="27"/>
      <c r="AWD12" s="27"/>
      <c r="AWE12" s="27"/>
      <c r="AWF12" s="27"/>
      <c r="AWG12" s="27"/>
      <c r="AWH12" s="27"/>
      <c r="AWI12" s="27"/>
      <c r="AWJ12" s="27"/>
      <c r="AWK12" s="27"/>
      <c r="AWL12" s="27"/>
      <c r="AWM12" s="27"/>
      <c r="AWN12" s="27"/>
      <c r="AWO12" s="27"/>
      <c r="AWP12" s="27"/>
      <c r="AWQ12" s="27"/>
      <c r="AWR12" s="27"/>
      <c r="AWS12" s="27"/>
      <c r="AWT12" s="27"/>
      <c r="AWU12" s="27"/>
      <c r="AWV12" s="27"/>
      <c r="AWW12" s="27"/>
      <c r="AWX12" s="27"/>
      <c r="AWY12" s="27"/>
      <c r="AWZ12" s="27"/>
      <c r="AXA12" s="27"/>
      <c r="AXB12" s="27"/>
      <c r="AXC12" s="27"/>
      <c r="AXD12" s="27"/>
      <c r="AXE12" s="27"/>
      <c r="AXF12" s="27"/>
      <c r="AXG12" s="27"/>
      <c r="AXH12" s="27"/>
      <c r="AXI12" s="27"/>
      <c r="AXJ12" s="27"/>
      <c r="AXK12" s="27"/>
      <c r="AXL12" s="27"/>
      <c r="AXM12" s="27"/>
      <c r="AXN12" s="27"/>
      <c r="AXO12" s="27"/>
      <c r="AXP12" s="27"/>
      <c r="AXQ12" s="27"/>
      <c r="AXR12" s="27"/>
      <c r="AXS12" s="27"/>
      <c r="AXT12" s="27"/>
      <c r="AXU12" s="27"/>
      <c r="AXV12" s="27"/>
      <c r="AXW12" s="27"/>
      <c r="AXX12" s="27"/>
      <c r="AXY12" s="27"/>
      <c r="AXZ12" s="27"/>
      <c r="AYA12" s="27"/>
      <c r="AYB12" s="27"/>
      <c r="AYC12" s="27"/>
      <c r="AYD12" s="27"/>
      <c r="AYE12" s="27"/>
      <c r="AYF12" s="27"/>
      <c r="AYG12" s="27"/>
      <c r="AYH12" s="27"/>
      <c r="AYI12" s="27"/>
      <c r="AYJ12" s="27"/>
      <c r="AYK12" s="27"/>
      <c r="AYL12" s="27"/>
      <c r="AYM12" s="27"/>
      <c r="AYN12" s="27"/>
      <c r="AYO12" s="27"/>
      <c r="AYP12" s="27"/>
      <c r="AYQ12" s="27"/>
      <c r="AYR12" s="27"/>
      <c r="AYS12" s="27"/>
      <c r="AYT12" s="27"/>
      <c r="AYU12" s="27"/>
      <c r="AYV12" s="27"/>
      <c r="AYW12" s="27"/>
      <c r="AYX12" s="27"/>
      <c r="AYY12" s="27"/>
      <c r="AYZ12" s="27"/>
      <c r="AZA12" s="27"/>
      <c r="AZB12" s="27"/>
      <c r="AZC12" s="27"/>
      <c r="AZD12" s="27"/>
      <c r="AZE12" s="27"/>
      <c r="AZF12" s="27"/>
      <c r="AZG12" s="27"/>
      <c r="AZH12" s="27"/>
      <c r="AZI12" s="27"/>
      <c r="AZJ12" s="27"/>
      <c r="AZK12" s="27"/>
      <c r="AZL12" s="27"/>
      <c r="AZM12" s="27"/>
      <c r="AZN12" s="27"/>
      <c r="AZO12" s="27"/>
      <c r="AZP12" s="27"/>
      <c r="AZQ12" s="27"/>
      <c r="AZR12" s="27"/>
      <c r="AZS12" s="27"/>
      <c r="AZT12" s="27"/>
      <c r="AZU12" s="27"/>
      <c r="AZV12" s="27"/>
      <c r="AZW12" s="27"/>
      <c r="AZX12" s="27"/>
      <c r="AZY12" s="27"/>
      <c r="AZZ12" s="27"/>
      <c r="BAA12" s="27"/>
      <c r="BAB12" s="27"/>
      <c r="BAC12" s="27"/>
      <c r="BAD12" s="27"/>
      <c r="BAE12" s="27"/>
      <c r="BAF12" s="27"/>
      <c r="BAG12" s="27"/>
      <c r="BAH12" s="27"/>
      <c r="BAI12" s="27"/>
      <c r="BAJ12" s="27"/>
      <c r="BAK12" s="27"/>
      <c r="BAL12" s="27"/>
      <c r="BAM12" s="27"/>
      <c r="BAN12" s="27"/>
      <c r="BAO12" s="27"/>
      <c r="BAP12" s="27"/>
      <c r="BAQ12" s="27"/>
      <c r="BAR12" s="27"/>
      <c r="BAS12" s="27"/>
      <c r="BAT12" s="27"/>
      <c r="BAU12" s="27"/>
      <c r="BAV12" s="27"/>
      <c r="BAW12" s="27"/>
      <c r="BAX12" s="27"/>
      <c r="BAY12" s="27"/>
      <c r="BAZ12" s="27"/>
      <c r="BBA12" s="27"/>
      <c r="BBB12" s="27"/>
      <c r="BBC12" s="27"/>
      <c r="BBD12" s="27"/>
      <c r="BBE12" s="27"/>
      <c r="BBF12" s="27"/>
      <c r="BBG12" s="27"/>
      <c r="BBH12" s="27"/>
      <c r="BBI12" s="27"/>
      <c r="BBJ12" s="27"/>
      <c r="BBK12" s="27"/>
      <c r="BBL12" s="27"/>
      <c r="BBM12" s="27"/>
      <c r="BBN12" s="27"/>
      <c r="BBO12" s="27"/>
      <c r="BBP12" s="27"/>
      <c r="BBQ12" s="27"/>
      <c r="BBR12" s="27"/>
      <c r="BBS12" s="27"/>
      <c r="BBT12" s="27"/>
      <c r="BBU12" s="27"/>
      <c r="BBV12" s="27"/>
      <c r="BBW12" s="27"/>
      <c r="BBX12" s="27"/>
      <c r="BBY12" s="27"/>
      <c r="BBZ12" s="27"/>
      <c r="BCA12" s="27"/>
      <c r="BCB12" s="27"/>
      <c r="BCC12" s="27"/>
      <c r="BCD12" s="27"/>
      <c r="BCE12" s="27"/>
      <c r="BCF12" s="27"/>
      <c r="BCG12" s="27"/>
      <c r="BCH12" s="27"/>
      <c r="BCI12" s="27"/>
      <c r="BCJ12" s="27"/>
      <c r="BCK12" s="27"/>
      <c r="BCL12" s="27"/>
      <c r="BCM12" s="27"/>
      <c r="BCN12" s="27"/>
      <c r="BCO12" s="27"/>
      <c r="BCP12" s="27"/>
      <c r="BCQ12" s="27"/>
      <c r="BCR12" s="27"/>
      <c r="BCS12" s="27"/>
      <c r="BCT12" s="27"/>
      <c r="BCU12" s="27"/>
      <c r="BCV12" s="27"/>
      <c r="BCW12" s="27"/>
      <c r="BCX12" s="27"/>
      <c r="BCY12" s="27"/>
      <c r="BCZ12" s="27"/>
      <c r="BDA12" s="27"/>
      <c r="BDB12" s="27"/>
      <c r="BDC12" s="27"/>
      <c r="BDD12" s="27"/>
      <c r="BDE12" s="27"/>
      <c r="BDF12" s="27"/>
      <c r="BDG12" s="27"/>
      <c r="BDH12" s="27"/>
      <c r="BDI12" s="27"/>
      <c r="BDJ12" s="27"/>
      <c r="BDK12" s="27"/>
      <c r="BDL12" s="27"/>
      <c r="BDM12" s="27"/>
      <c r="BDN12" s="27"/>
      <c r="BDO12" s="27"/>
      <c r="BDP12" s="27"/>
      <c r="BDQ12" s="27"/>
      <c r="BDR12" s="27"/>
      <c r="BDS12" s="27"/>
      <c r="BDT12" s="27"/>
      <c r="BDU12" s="27"/>
      <c r="BDV12" s="27"/>
      <c r="BDW12" s="27"/>
      <c r="BDX12" s="27"/>
      <c r="BDY12" s="27"/>
      <c r="BDZ12" s="27"/>
      <c r="BEA12" s="27"/>
      <c r="BEB12" s="27"/>
      <c r="BEC12" s="27"/>
      <c r="BED12" s="27"/>
      <c r="BEE12" s="27"/>
      <c r="BEF12" s="27"/>
      <c r="BEG12" s="27"/>
      <c r="BEH12" s="27"/>
      <c r="BEI12" s="27"/>
      <c r="BEJ12" s="27"/>
      <c r="BEK12" s="27"/>
      <c r="BEL12" s="27"/>
      <c r="BEM12" s="27"/>
      <c r="BEN12" s="27"/>
      <c r="BEO12" s="27"/>
      <c r="BEP12" s="27"/>
      <c r="BEQ12" s="27"/>
      <c r="BER12" s="27"/>
      <c r="BES12" s="27"/>
      <c r="BET12" s="27"/>
      <c r="BEU12" s="27"/>
      <c r="BEV12" s="27"/>
      <c r="BEW12" s="27"/>
      <c r="BEX12" s="27"/>
      <c r="BEY12" s="27"/>
      <c r="BEZ12" s="27"/>
      <c r="BFA12" s="27"/>
      <c r="BFB12" s="27"/>
      <c r="BFC12" s="27"/>
      <c r="BFD12" s="27"/>
      <c r="BFE12" s="27"/>
      <c r="BFF12" s="27"/>
      <c r="BFG12" s="27"/>
      <c r="BFH12" s="27"/>
      <c r="BFI12" s="27"/>
      <c r="BFJ12" s="27"/>
      <c r="BFK12" s="27"/>
      <c r="BFL12" s="27"/>
      <c r="BFM12" s="27"/>
      <c r="BFN12" s="27"/>
      <c r="BFO12" s="27"/>
      <c r="BFP12" s="27"/>
      <c r="BFQ12" s="27"/>
      <c r="BFR12" s="27"/>
      <c r="BFS12" s="27"/>
      <c r="BFT12" s="27"/>
      <c r="BFU12" s="27"/>
      <c r="BFV12" s="27"/>
      <c r="BFW12" s="27"/>
      <c r="BFX12" s="27"/>
      <c r="BFY12" s="27"/>
      <c r="BFZ12" s="27"/>
      <c r="BGA12" s="27"/>
      <c r="BGB12" s="27"/>
      <c r="BGC12" s="27"/>
      <c r="BGD12" s="27"/>
      <c r="BGE12" s="27"/>
      <c r="BGF12" s="27"/>
      <c r="BGG12" s="27"/>
      <c r="BGH12" s="27"/>
      <c r="BGI12" s="27"/>
      <c r="BGJ12" s="27"/>
      <c r="BGK12" s="27"/>
      <c r="BGL12" s="27"/>
      <c r="BGM12" s="27"/>
      <c r="BGN12" s="27"/>
      <c r="BGO12" s="27"/>
      <c r="BGP12" s="27"/>
      <c r="BGQ12" s="27"/>
      <c r="BGR12" s="27"/>
      <c r="BGS12" s="27"/>
      <c r="BGT12" s="27"/>
      <c r="BGU12" s="27"/>
      <c r="BGV12" s="27"/>
      <c r="BGW12" s="27"/>
      <c r="BGX12" s="27"/>
      <c r="BGY12" s="27"/>
      <c r="BGZ12" s="27"/>
      <c r="BHA12" s="27"/>
      <c r="BHB12" s="27"/>
      <c r="BHC12" s="27"/>
      <c r="BHD12" s="27"/>
      <c r="BHE12" s="27"/>
      <c r="BHF12" s="27"/>
      <c r="BHG12" s="27"/>
      <c r="BHH12" s="27"/>
      <c r="BHI12" s="27"/>
      <c r="BHJ12" s="27"/>
      <c r="BHK12" s="27"/>
      <c r="BHL12" s="27"/>
      <c r="BHM12" s="27"/>
      <c r="BHN12" s="27"/>
      <c r="BHO12" s="27"/>
      <c r="BHP12" s="27"/>
      <c r="BHQ12" s="27"/>
      <c r="BHR12" s="27"/>
      <c r="BHS12" s="27"/>
      <c r="BHT12" s="27"/>
      <c r="BHU12" s="27"/>
      <c r="BHV12" s="27"/>
      <c r="BHW12" s="27"/>
      <c r="BHX12" s="27"/>
      <c r="BHY12" s="27"/>
      <c r="BHZ12" s="27"/>
      <c r="BIA12" s="27"/>
      <c r="BIB12" s="27"/>
      <c r="BIC12" s="27"/>
      <c r="BID12" s="27"/>
      <c r="BIE12" s="27"/>
      <c r="BIF12" s="27"/>
      <c r="BIG12" s="27"/>
      <c r="BIH12" s="27"/>
      <c r="BII12" s="27"/>
      <c r="BIJ12" s="27"/>
      <c r="BIK12" s="27"/>
      <c r="BIL12" s="27"/>
      <c r="BIM12" s="27"/>
      <c r="BIN12" s="27"/>
      <c r="BIO12" s="27"/>
      <c r="BIP12" s="27"/>
      <c r="BIQ12" s="27"/>
      <c r="BIR12" s="27"/>
      <c r="BIS12" s="27"/>
      <c r="BIT12" s="27"/>
      <c r="BIU12" s="27"/>
      <c r="BIV12" s="27"/>
      <c r="BIW12" s="27"/>
      <c r="BIX12" s="27"/>
      <c r="BIY12" s="27"/>
      <c r="BIZ12" s="27"/>
      <c r="BJA12" s="27"/>
      <c r="BJB12" s="27"/>
      <c r="BJC12" s="27"/>
      <c r="BJD12" s="27"/>
      <c r="BJE12" s="27"/>
      <c r="BJF12" s="27"/>
      <c r="BJG12" s="27"/>
      <c r="BJH12" s="27"/>
      <c r="BJI12" s="27"/>
      <c r="BJJ12" s="27"/>
      <c r="BJK12" s="27"/>
      <c r="BJL12" s="27"/>
      <c r="BJM12" s="27"/>
      <c r="BJN12" s="27"/>
      <c r="BJO12" s="27"/>
      <c r="BJP12" s="27"/>
      <c r="BJQ12" s="27"/>
      <c r="BJR12" s="27"/>
      <c r="BJS12" s="27"/>
      <c r="BJT12" s="27"/>
      <c r="BJU12" s="27"/>
      <c r="BJV12" s="27"/>
      <c r="BJW12" s="27"/>
      <c r="BJX12" s="27"/>
      <c r="BJY12" s="27"/>
      <c r="BJZ12" s="27"/>
      <c r="BKA12" s="27"/>
      <c r="BKB12" s="27"/>
      <c r="BKC12" s="27"/>
      <c r="BKD12" s="27"/>
      <c r="BKE12" s="27"/>
      <c r="BKF12" s="27"/>
      <c r="BKG12" s="27"/>
      <c r="BKH12" s="27"/>
      <c r="BKI12" s="27"/>
      <c r="BKJ12" s="27"/>
      <c r="BKK12" s="27"/>
      <c r="BKL12" s="27"/>
      <c r="BKM12" s="27"/>
      <c r="BKN12" s="27"/>
      <c r="BKO12" s="27"/>
      <c r="BKP12" s="27"/>
      <c r="BKQ12" s="27"/>
      <c r="BKR12" s="27"/>
      <c r="BKS12" s="27"/>
      <c r="BKT12" s="27"/>
      <c r="BKU12" s="27"/>
      <c r="BKV12" s="27"/>
      <c r="BKW12" s="27"/>
      <c r="BKX12" s="27"/>
      <c r="BKY12" s="27"/>
      <c r="BKZ12" s="27"/>
      <c r="BLA12" s="27"/>
      <c r="BLB12" s="27"/>
      <c r="BLC12" s="27"/>
      <c r="BLD12" s="27"/>
      <c r="BLE12" s="27"/>
      <c r="BLF12" s="27"/>
      <c r="BLG12" s="27"/>
      <c r="BLH12" s="27"/>
      <c r="BLI12" s="27"/>
      <c r="BLJ12" s="27"/>
      <c r="BLK12" s="27"/>
      <c r="BLL12" s="27"/>
      <c r="BLM12" s="27"/>
      <c r="BLN12" s="27"/>
      <c r="BLO12" s="27"/>
      <c r="BLP12" s="27"/>
      <c r="BLQ12" s="27"/>
      <c r="BLR12" s="27"/>
      <c r="BLS12" s="27"/>
      <c r="BLT12" s="27"/>
      <c r="BLU12" s="27"/>
      <c r="BLV12" s="27"/>
      <c r="BLW12" s="27"/>
      <c r="BLX12" s="27"/>
      <c r="BLY12" s="27"/>
      <c r="BLZ12" s="27"/>
      <c r="BMA12" s="27"/>
      <c r="BMB12" s="27"/>
      <c r="BMC12" s="27"/>
      <c r="BMD12" s="27"/>
      <c r="BME12" s="27"/>
      <c r="BMF12" s="27"/>
      <c r="BMG12" s="27"/>
      <c r="BMH12" s="27"/>
      <c r="BMI12" s="27"/>
      <c r="BMJ12" s="27"/>
      <c r="BMK12" s="27"/>
      <c r="BML12" s="27"/>
      <c r="BMM12" s="27"/>
      <c r="BMN12" s="27"/>
      <c r="BMO12" s="27"/>
      <c r="BMP12" s="27"/>
      <c r="BMQ12" s="27"/>
      <c r="BMR12" s="27"/>
      <c r="BMS12" s="27"/>
      <c r="BMT12" s="27"/>
      <c r="BMU12" s="27"/>
      <c r="BMV12" s="27"/>
      <c r="BMW12" s="27"/>
      <c r="BMX12" s="27"/>
      <c r="BMY12" s="27"/>
      <c r="BMZ12" s="27"/>
      <c r="BNA12" s="27"/>
      <c r="BNB12" s="27"/>
      <c r="BNC12" s="27"/>
      <c r="BND12" s="27"/>
      <c r="BNE12" s="27"/>
      <c r="BNF12" s="27"/>
      <c r="BNG12" s="27"/>
      <c r="BNH12" s="27"/>
      <c r="BNI12" s="27"/>
      <c r="BNJ12" s="27"/>
      <c r="BNK12" s="27"/>
      <c r="BNL12" s="27"/>
      <c r="BNM12" s="27"/>
      <c r="BNN12" s="27"/>
      <c r="BNO12" s="27"/>
      <c r="BNP12" s="27"/>
      <c r="BNQ12" s="27"/>
      <c r="BNR12" s="27"/>
      <c r="BNS12" s="27"/>
      <c r="BNT12" s="27"/>
      <c r="BNU12" s="27"/>
      <c r="BNV12" s="27"/>
      <c r="BNW12" s="27"/>
      <c r="BNX12" s="27"/>
      <c r="BNY12" s="27"/>
      <c r="BNZ12" s="27"/>
      <c r="BOA12" s="27"/>
      <c r="BOB12" s="27"/>
      <c r="BOC12" s="27"/>
      <c r="BOD12" s="27"/>
      <c r="BOE12" s="27"/>
      <c r="BOF12" s="27"/>
      <c r="BOG12" s="27"/>
      <c r="BOH12" s="27"/>
      <c r="BOI12" s="27"/>
      <c r="BOJ12" s="27"/>
      <c r="BOK12" s="27"/>
      <c r="BOL12" s="27"/>
      <c r="BOM12" s="27"/>
      <c r="BON12" s="27"/>
      <c r="BOO12" s="27"/>
      <c r="BOP12" s="27"/>
      <c r="BOQ12" s="27"/>
      <c r="BOR12" s="27"/>
      <c r="BOS12" s="27"/>
      <c r="BOT12" s="27"/>
      <c r="BOU12" s="27"/>
      <c r="BOV12" s="27"/>
      <c r="BOW12" s="27"/>
      <c r="BOX12" s="27"/>
      <c r="BOY12" s="27"/>
      <c r="BOZ12" s="27"/>
      <c r="BPA12" s="27"/>
      <c r="BPB12" s="27"/>
      <c r="BPC12" s="27"/>
      <c r="BPD12" s="27"/>
      <c r="BPE12" s="27"/>
      <c r="BPF12" s="27"/>
      <c r="BPG12" s="27"/>
      <c r="BPH12" s="27"/>
      <c r="BPI12" s="27"/>
      <c r="BPJ12" s="27"/>
      <c r="BPK12" s="27"/>
      <c r="BPL12" s="27"/>
      <c r="BPM12" s="27"/>
      <c r="BPN12" s="27"/>
      <c r="BPO12" s="27"/>
      <c r="BPP12" s="27"/>
      <c r="BPQ12" s="27"/>
      <c r="BPR12" s="27"/>
      <c r="BPS12" s="27"/>
      <c r="BPT12" s="27"/>
      <c r="BPU12" s="27"/>
      <c r="BPV12" s="27"/>
      <c r="BPW12" s="27"/>
      <c r="BPX12" s="27"/>
      <c r="BPY12" s="27"/>
      <c r="BPZ12" s="27"/>
      <c r="BQA12" s="27"/>
      <c r="BQB12" s="27"/>
      <c r="BQC12" s="27"/>
      <c r="BQD12" s="27"/>
      <c r="BQE12" s="27"/>
      <c r="BQF12" s="27"/>
      <c r="BQG12" s="27"/>
      <c r="BQH12" s="27"/>
      <c r="BQI12" s="27"/>
      <c r="BQJ12" s="27"/>
      <c r="BQK12" s="27"/>
      <c r="BQL12" s="27"/>
      <c r="BQM12" s="27"/>
      <c r="BQN12" s="27"/>
      <c r="BQO12" s="27"/>
      <c r="BQP12" s="27"/>
      <c r="BQQ12" s="27"/>
      <c r="BQR12" s="27"/>
      <c r="BQS12" s="27"/>
      <c r="BQT12" s="27"/>
      <c r="BQU12" s="27"/>
    </row>
    <row r="13" spans="1:1815" s="8" customFormat="1" ht="40.35" customHeight="1" x14ac:dyDescent="0.3">
      <c r="A13" s="9">
        <v>4</v>
      </c>
      <c r="B13" s="192" t="s">
        <v>1441</v>
      </c>
      <c r="C13" s="13" t="s">
        <v>1442</v>
      </c>
      <c r="D13" s="13"/>
      <c r="E13" s="7" t="s">
        <v>1323</v>
      </c>
      <c r="F13" s="3" t="s">
        <v>1439</v>
      </c>
      <c r="G13" s="381"/>
      <c r="H13" s="198" t="s">
        <v>69</v>
      </c>
      <c r="I13" s="9" t="s">
        <v>80</v>
      </c>
      <c r="J13" s="9" t="s">
        <v>69</v>
      </c>
      <c r="K13" s="9" t="s">
        <v>29</v>
      </c>
      <c r="L13" s="9" t="s">
        <v>30</v>
      </c>
      <c r="M13" s="9" t="s">
        <v>69</v>
      </c>
      <c r="N13" s="50" t="s">
        <v>1443</v>
      </c>
      <c r="O13" s="50"/>
      <c r="P13" s="50"/>
      <c r="Q13" s="243"/>
      <c r="R13" s="50" t="s">
        <v>556</v>
      </c>
      <c r="S13" s="50" t="s">
        <v>557</v>
      </c>
      <c r="T13" s="50" t="s">
        <v>558</v>
      </c>
      <c r="U13" s="50" t="s">
        <v>671</v>
      </c>
      <c r="V13" s="97" t="s">
        <v>667</v>
      </c>
      <c r="W13" s="60" t="s">
        <v>503</v>
      </c>
      <c r="X13" s="50" t="s">
        <v>1046</v>
      </c>
      <c r="Y13" s="70" t="s">
        <v>1444</v>
      </c>
      <c r="Z13" s="60" t="s">
        <v>1445</v>
      </c>
      <c r="AA13" s="60" t="s">
        <v>1446</v>
      </c>
      <c r="AB13" s="78" t="s">
        <v>709</v>
      </c>
      <c r="AC13" s="50" t="s">
        <v>1048</v>
      </c>
      <c r="AD13" s="55">
        <v>24855</v>
      </c>
      <c r="AE13" s="48">
        <f>DAY(AD13)</f>
        <v>18</v>
      </c>
      <c r="AF13" s="48">
        <f>MONTH(AD13)</f>
        <v>1</v>
      </c>
      <c r="AG13" s="48">
        <f>YEAR(AD13)</f>
        <v>1968</v>
      </c>
      <c r="AH13" s="49">
        <f>EDATE(AD13,12*60)</f>
        <v>46770</v>
      </c>
      <c r="AI13" s="48">
        <f t="shared" ca="1" si="4"/>
        <v>2</v>
      </c>
      <c r="AJ13" s="48">
        <f t="shared" ca="1" si="5"/>
        <v>1</v>
      </c>
      <c r="AK13" s="48">
        <f t="shared" ca="1" si="6"/>
        <v>7</v>
      </c>
      <c r="AL13" s="48" t="str">
        <f t="shared" ca="1" si="7"/>
        <v>2year/1months/7Days</v>
      </c>
      <c r="AM13" s="119"/>
      <c r="AN13" s="78">
        <v>2016</v>
      </c>
      <c r="AO13" s="107" t="s">
        <v>819</v>
      </c>
      <c r="AP13" s="78">
        <v>1905</v>
      </c>
      <c r="AQ13" s="78">
        <v>314</v>
      </c>
      <c r="AR13" s="78" t="s">
        <v>498</v>
      </c>
      <c r="AS13" s="78">
        <v>5</v>
      </c>
      <c r="AT13" s="78">
        <v>1585</v>
      </c>
      <c r="AU13" s="74">
        <f t="shared" ref="AU13:AU14" si="9">AT13/AP13*100</f>
        <v>83.202099737532805</v>
      </c>
      <c r="AV13" s="78" t="s">
        <v>498</v>
      </c>
      <c r="AW13" s="78" t="s">
        <v>498</v>
      </c>
      <c r="AX13" s="78">
        <v>1847</v>
      </c>
      <c r="AY13" s="78"/>
      <c r="AZ13" s="78">
        <v>58</v>
      </c>
      <c r="BA13" s="76">
        <v>44644</v>
      </c>
      <c r="BB13" s="1017" t="s">
        <v>1846</v>
      </c>
      <c r="BC13" s="1018"/>
      <c r="BD13" s="1018"/>
      <c r="BE13" s="1019"/>
      <c r="BF13" s="77"/>
      <c r="BG13" s="77"/>
      <c r="BH13" s="77"/>
      <c r="BI13" s="7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7"/>
      <c r="NH13" s="27"/>
      <c r="NI13" s="27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  <c r="OV13" s="27"/>
      <c r="OW13" s="27"/>
      <c r="OX13" s="27"/>
      <c r="OY13" s="27"/>
      <c r="OZ13" s="27"/>
      <c r="PA13" s="27"/>
      <c r="PB13" s="27"/>
      <c r="PC13" s="27"/>
      <c r="PD13" s="27"/>
      <c r="PE13" s="27"/>
      <c r="PF13" s="27"/>
      <c r="PG13" s="27"/>
      <c r="PH13" s="27"/>
      <c r="PI13" s="27"/>
      <c r="PJ13" s="27"/>
      <c r="PK13" s="27"/>
      <c r="PL13" s="27"/>
      <c r="PM13" s="27"/>
      <c r="PN13" s="27"/>
      <c r="PO13" s="27"/>
      <c r="PP13" s="27"/>
      <c r="PQ13" s="27"/>
      <c r="PR13" s="27"/>
      <c r="PS13" s="27"/>
      <c r="PT13" s="27"/>
      <c r="PU13" s="27"/>
      <c r="PV13" s="27"/>
      <c r="PW13" s="27"/>
      <c r="PX13" s="27"/>
      <c r="PY13" s="27"/>
      <c r="PZ13" s="27"/>
      <c r="QA13" s="27"/>
      <c r="QB13" s="27"/>
      <c r="QC13" s="27"/>
      <c r="QD13" s="27"/>
      <c r="QE13" s="27"/>
      <c r="QF13" s="27"/>
      <c r="QG13" s="27"/>
      <c r="QH13" s="27"/>
      <c r="QI13" s="27"/>
      <c r="QJ13" s="27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27"/>
      <c r="QV13" s="27"/>
      <c r="QW13" s="27"/>
      <c r="QX13" s="27"/>
      <c r="QY13" s="27"/>
      <c r="QZ13" s="27"/>
      <c r="RA13" s="27"/>
      <c r="RB13" s="27"/>
      <c r="RC13" s="27"/>
      <c r="RD13" s="27"/>
      <c r="RE13" s="27"/>
      <c r="RF13" s="27"/>
      <c r="RG13" s="27"/>
      <c r="RH13" s="27"/>
      <c r="RI13" s="27"/>
      <c r="RJ13" s="27"/>
      <c r="RK13" s="27"/>
      <c r="RL13" s="27"/>
      <c r="RM13" s="27"/>
      <c r="RN13" s="27"/>
      <c r="RO13" s="27"/>
      <c r="RP13" s="27"/>
      <c r="RQ13" s="27"/>
      <c r="RR13" s="27"/>
      <c r="RS13" s="27"/>
      <c r="RT13" s="27"/>
      <c r="RU13" s="27"/>
      <c r="RV13" s="27"/>
      <c r="RW13" s="27"/>
      <c r="RX13" s="27"/>
      <c r="RY13" s="27"/>
      <c r="RZ13" s="27"/>
      <c r="SA13" s="27"/>
      <c r="SB13" s="27"/>
      <c r="SC13" s="27"/>
      <c r="SD13" s="27"/>
      <c r="SE13" s="27"/>
      <c r="SF13" s="27"/>
      <c r="SG13" s="27"/>
      <c r="SH13" s="27"/>
      <c r="SI13" s="27"/>
      <c r="SJ13" s="27"/>
      <c r="SK13" s="27"/>
      <c r="SL13" s="27"/>
      <c r="SM13" s="27"/>
      <c r="SN13" s="27"/>
      <c r="SO13" s="27"/>
      <c r="SP13" s="27"/>
      <c r="SQ13" s="27"/>
      <c r="SR13" s="27"/>
      <c r="SS13" s="27"/>
      <c r="ST13" s="27"/>
      <c r="SU13" s="27"/>
      <c r="SV13" s="27"/>
      <c r="SW13" s="27"/>
      <c r="SX13" s="27"/>
      <c r="SY13" s="27"/>
      <c r="SZ13" s="27"/>
      <c r="TA13" s="27"/>
      <c r="TB13" s="27"/>
      <c r="TC13" s="27"/>
      <c r="TD13" s="27"/>
      <c r="TE13" s="27"/>
      <c r="TF13" s="27"/>
      <c r="TG13" s="27"/>
      <c r="TH13" s="27"/>
      <c r="TI13" s="27"/>
      <c r="TJ13" s="27"/>
      <c r="TK13" s="27"/>
      <c r="TL13" s="27"/>
      <c r="TM13" s="27"/>
      <c r="TN13" s="27"/>
      <c r="TO13" s="27"/>
      <c r="TP13" s="27"/>
      <c r="TQ13" s="27"/>
      <c r="TR13" s="27"/>
      <c r="TS13" s="27"/>
      <c r="TT13" s="27"/>
      <c r="TU13" s="27"/>
      <c r="TV13" s="27"/>
      <c r="TW13" s="27"/>
      <c r="TX13" s="27"/>
      <c r="TY13" s="27"/>
      <c r="TZ13" s="27"/>
      <c r="UA13" s="27"/>
      <c r="UB13" s="27"/>
      <c r="UC13" s="27"/>
      <c r="UD13" s="27"/>
      <c r="UE13" s="27"/>
      <c r="UF13" s="27"/>
      <c r="UG13" s="27"/>
      <c r="UH13" s="27"/>
      <c r="UI13" s="27"/>
      <c r="UJ13" s="27"/>
      <c r="UK13" s="27"/>
      <c r="UL13" s="27"/>
      <c r="UM13" s="27"/>
      <c r="UN13" s="27"/>
      <c r="UO13" s="27"/>
      <c r="UP13" s="27"/>
      <c r="UQ13" s="27"/>
      <c r="UR13" s="27"/>
      <c r="US13" s="27"/>
      <c r="UT13" s="27"/>
      <c r="UU13" s="27"/>
      <c r="UV13" s="27"/>
      <c r="UW13" s="27"/>
      <c r="UX13" s="27"/>
      <c r="UY13" s="27"/>
      <c r="UZ13" s="27"/>
      <c r="VA13" s="27"/>
      <c r="VB13" s="27"/>
      <c r="VC13" s="27"/>
      <c r="VD13" s="27"/>
      <c r="VE13" s="27"/>
      <c r="VF13" s="27"/>
      <c r="VG13" s="27"/>
      <c r="VH13" s="27"/>
      <c r="VI13" s="27"/>
      <c r="VJ13" s="27"/>
      <c r="VK13" s="27"/>
      <c r="VL13" s="27"/>
      <c r="VM13" s="27"/>
      <c r="VN13" s="27"/>
      <c r="VO13" s="27"/>
      <c r="VP13" s="27"/>
      <c r="VQ13" s="27"/>
      <c r="VR13" s="27"/>
      <c r="VS13" s="27"/>
      <c r="VT13" s="27"/>
      <c r="VU13" s="27"/>
      <c r="VV13" s="27"/>
      <c r="VW13" s="27"/>
      <c r="VX13" s="27"/>
      <c r="VY13" s="27"/>
      <c r="VZ13" s="27"/>
      <c r="WA13" s="27"/>
      <c r="WB13" s="27"/>
      <c r="WC13" s="27"/>
      <c r="WD13" s="27"/>
      <c r="WE13" s="27"/>
      <c r="WF13" s="27"/>
      <c r="WG13" s="27"/>
      <c r="WH13" s="27"/>
      <c r="WI13" s="27"/>
      <c r="WJ13" s="27"/>
      <c r="WK13" s="27"/>
      <c r="WL13" s="27"/>
      <c r="WM13" s="27"/>
      <c r="WN13" s="27"/>
      <c r="WO13" s="27"/>
      <c r="WP13" s="27"/>
      <c r="WQ13" s="27"/>
      <c r="WR13" s="27"/>
      <c r="WS13" s="27"/>
      <c r="WT13" s="27"/>
      <c r="WU13" s="27"/>
      <c r="WV13" s="27"/>
      <c r="WW13" s="27"/>
      <c r="WX13" s="27"/>
      <c r="WY13" s="27"/>
      <c r="WZ13" s="27"/>
      <c r="XA13" s="27"/>
      <c r="XB13" s="27"/>
      <c r="XC13" s="27"/>
      <c r="XD13" s="27"/>
      <c r="XE13" s="27"/>
      <c r="XF13" s="27"/>
      <c r="XG13" s="27"/>
      <c r="XH13" s="27"/>
      <c r="XI13" s="27"/>
      <c r="XJ13" s="27"/>
      <c r="XK13" s="27"/>
      <c r="XL13" s="27"/>
      <c r="XM13" s="27"/>
      <c r="XN13" s="27"/>
      <c r="XO13" s="27"/>
      <c r="XP13" s="27"/>
      <c r="XQ13" s="27"/>
      <c r="XR13" s="27"/>
      <c r="XS13" s="27"/>
      <c r="XT13" s="27"/>
      <c r="XU13" s="27"/>
      <c r="XV13" s="27"/>
      <c r="XW13" s="27"/>
      <c r="XX13" s="27"/>
      <c r="XY13" s="27"/>
      <c r="XZ13" s="27"/>
      <c r="YA13" s="27"/>
      <c r="YB13" s="27"/>
      <c r="YC13" s="27"/>
      <c r="YD13" s="27"/>
      <c r="YE13" s="27"/>
      <c r="YF13" s="27"/>
      <c r="YG13" s="27"/>
      <c r="YH13" s="27"/>
      <c r="YI13" s="27"/>
      <c r="YJ13" s="27"/>
      <c r="YK13" s="27"/>
      <c r="YL13" s="27"/>
      <c r="YM13" s="27"/>
      <c r="YN13" s="27"/>
      <c r="YO13" s="27"/>
      <c r="YP13" s="27"/>
      <c r="YQ13" s="27"/>
      <c r="YR13" s="27"/>
      <c r="YS13" s="27"/>
      <c r="YT13" s="27"/>
      <c r="YU13" s="27"/>
      <c r="YV13" s="27"/>
      <c r="YW13" s="27"/>
      <c r="YX13" s="27"/>
      <c r="YY13" s="27"/>
      <c r="YZ13" s="27"/>
      <c r="ZA13" s="27"/>
      <c r="ZB13" s="27"/>
      <c r="ZC13" s="27"/>
      <c r="ZD13" s="27"/>
      <c r="ZE13" s="27"/>
      <c r="ZF13" s="27"/>
      <c r="ZG13" s="27"/>
      <c r="ZH13" s="27"/>
      <c r="ZI13" s="27"/>
      <c r="ZJ13" s="27"/>
      <c r="ZK13" s="27"/>
      <c r="ZL13" s="27"/>
      <c r="ZM13" s="27"/>
      <c r="ZN13" s="27"/>
      <c r="ZO13" s="27"/>
      <c r="ZP13" s="27"/>
      <c r="ZQ13" s="27"/>
      <c r="ZR13" s="27"/>
      <c r="ZS13" s="27"/>
      <c r="ZT13" s="27"/>
      <c r="ZU13" s="27"/>
      <c r="ZV13" s="27"/>
      <c r="ZW13" s="27"/>
      <c r="ZX13" s="27"/>
      <c r="ZY13" s="27"/>
      <c r="ZZ13" s="27"/>
      <c r="AAA13" s="27"/>
      <c r="AAB13" s="27"/>
      <c r="AAC13" s="27"/>
      <c r="AAD13" s="27"/>
      <c r="AAE13" s="27"/>
      <c r="AAF13" s="27"/>
      <c r="AAG13" s="27"/>
      <c r="AAH13" s="27"/>
      <c r="AAI13" s="27"/>
      <c r="AAJ13" s="27"/>
      <c r="AAK13" s="27"/>
      <c r="AAL13" s="27"/>
      <c r="AAM13" s="27"/>
      <c r="AAN13" s="27"/>
      <c r="AAO13" s="27"/>
      <c r="AAP13" s="27"/>
      <c r="AAQ13" s="27"/>
      <c r="AAR13" s="27"/>
      <c r="AAS13" s="27"/>
      <c r="AAT13" s="27"/>
      <c r="AAU13" s="27"/>
      <c r="AAV13" s="27"/>
      <c r="AAW13" s="27"/>
      <c r="AAX13" s="27"/>
      <c r="AAY13" s="27"/>
      <c r="AAZ13" s="27"/>
      <c r="ABA13" s="27"/>
      <c r="ABB13" s="27"/>
      <c r="ABC13" s="27"/>
      <c r="ABD13" s="27"/>
      <c r="ABE13" s="27"/>
      <c r="ABF13" s="27"/>
      <c r="ABG13" s="27"/>
      <c r="ABH13" s="27"/>
      <c r="ABI13" s="27"/>
      <c r="ABJ13" s="27"/>
      <c r="ABK13" s="27"/>
      <c r="ABL13" s="27"/>
      <c r="ABM13" s="27"/>
      <c r="ABN13" s="27"/>
      <c r="ABO13" s="27"/>
      <c r="ABP13" s="27"/>
      <c r="ABQ13" s="27"/>
      <c r="ABR13" s="27"/>
      <c r="ABS13" s="27"/>
      <c r="ABT13" s="27"/>
      <c r="ABU13" s="27"/>
      <c r="ABV13" s="27"/>
      <c r="ABW13" s="27"/>
      <c r="ABX13" s="27"/>
      <c r="ABY13" s="27"/>
      <c r="ABZ13" s="27"/>
      <c r="ACA13" s="27"/>
      <c r="ACB13" s="27"/>
      <c r="ACC13" s="27"/>
      <c r="ACD13" s="27"/>
      <c r="ACE13" s="27"/>
      <c r="ACF13" s="27"/>
      <c r="ACG13" s="27"/>
      <c r="ACH13" s="27"/>
      <c r="ACI13" s="27"/>
      <c r="ACJ13" s="27"/>
      <c r="ACK13" s="27"/>
      <c r="ACL13" s="27"/>
      <c r="ACM13" s="27"/>
      <c r="ACN13" s="27"/>
      <c r="ACO13" s="27"/>
      <c r="ACP13" s="27"/>
      <c r="ACQ13" s="27"/>
      <c r="ACR13" s="27"/>
      <c r="ACS13" s="27"/>
      <c r="ACT13" s="27"/>
      <c r="ACU13" s="27"/>
      <c r="ACV13" s="27"/>
      <c r="ACW13" s="27"/>
      <c r="ACX13" s="27"/>
      <c r="ACY13" s="27"/>
      <c r="ACZ13" s="27"/>
      <c r="ADA13" s="27"/>
      <c r="ADB13" s="27"/>
      <c r="ADC13" s="27"/>
      <c r="ADD13" s="27"/>
      <c r="ADE13" s="27"/>
      <c r="ADF13" s="27"/>
      <c r="ADG13" s="27"/>
      <c r="ADH13" s="27"/>
      <c r="ADI13" s="27"/>
      <c r="ADJ13" s="27"/>
      <c r="ADK13" s="27"/>
      <c r="ADL13" s="27"/>
      <c r="ADM13" s="27"/>
      <c r="ADN13" s="27"/>
      <c r="ADO13" s="27"/>
      <c r="ADP13" s="27"/>
      <c r="ADQ13" s="27"/>
      <c r="ADR13" s="27"/>
      <c r="ADS13" s="27"/>
      <c r="ADT13" s="27"/>
      <c r="ADU13" s="27"/>
      <c r="ADV13" s="27"/>
      <c r="ADW13" s="27"/>
      <c r="ADX13" s="27"/>
      <c r="ADY13" s="27"/>
      <c r="ADZ13" s="27"/>
      <c r="AEA13" s="27"/>
      <c r="AEB13" s="27"/>
      <c r="AEC13" s="27"/>
      <c r="AED13" s="27"/>
      <c r="AEE13" s="27"/>
      <c r="AEF13" s="27"/>
      <c r="AEG13" s="27"/>
      <c r="AEH13" s="27"/>
      <c r="AEI13" s="27"/>
      <c r="AEJ13" s="27"/>
      <c r="AEK13" s="27"/>
      <c r="AEL13" s="27"/>
      <c r="AEM13" s="27"/>
      <c r="AEN13" s="27"/>
      <c r="AEO13" s="27"/>
      <c r="AEP13" s="27"/>
      <c r="AEQ13" s="27"/>
      <c r="AER13" s="27"/>
      <c r="AES13" s="27"/>
      <c r="AET13" s="27"/>
      <c r="AEU13" s="27"/>
      <c r="AEV13" s="27"/>
      <c r="AEW13" s="27"/>
      <c r="AEX13" s="27"/>
      <c r="AEY13" s="27"/>
      <c r="AEZ13" s="27"/>
      <c r="AFA13" s="27"/>
      <c r="AFB13" s="27"/>
      <c r="AFC13" s="27"/>
      <c r="AFD13" s="27"/>
      <c r="AFE13" s="27"/>
      <c r="AFF13" s="27"/>
      <c r="AFG13" s="27"/>
      <c r="AFH13" s="27"/>
      <c r="AFI13" s="27"/>
      <c r="AFJ13" s="27"/>
      <c r="AFK13" s="27"/>
      <c r="AFL13" s="27"/>
      <c r="AFM13" s="27"/>
      <c r="AFN13" s="27"/>
      <c r="AFO13" s="27"/>
      <c r="AFP13" s="27"/>
      <c r="AFQ13" s="27"/>
      <c r="AFR13" s="27"/>
      <c r="AFS13" s="27"/>
      <c r="AFT13" s="27"/>
      <c r="AFU13" s="27"/>
      <c r="AFV13" s="27"/>
      <c r="AFW13" s="27"/>
      <c r="AFX13" s="27"/>
      <c r="AFY13" s="27"/>
      <c r="AFZ13" s="27"/>
      <c r="AGA13" s="27"/>
      <c r="AGB13" s="27"/>
      <c r="AGC13" s="27"/>
      <c r="AGD13" s="27"/>
      <c r="AGE13" s="27"/>
      <c r="AGF13" s="27"/>
      <c r="AGG13" s="27"/>
      <c r="AGH13" s="27"/>
      <c r="AGI13" s="27"/>
      <c r="AGJ13" s="27"/>
      <c r="AGK13" s="27"/>
      <c r="AGL13" s="27"/>
      <c r="AGM13" s="27"/>
      <c r="AGN13" s="27"/>
      <c r="AGO13" s="27"/>
      <c r="AGP13" s="27"/>
      <c r="AGQ13" s="27"/>
      <c r="AGR13" s="27"/>
      <c r="AGS13" s="27"/>
      <c r="AGT13" s="27"/>
      <c r="AGU13" s="27"/>
      <c r="AGV13" s="27"/>
      <c r="AGW13" s="27"/>
      <c r="AGX13" s="27"/>
      <c r="AGY13" s="27"/>
      <c r="AGZ13" s="27"/>
      <c r="AHA13" s="27"/>
      <c r="AHB13" s="27"/>
      <c r="AHC13" s="27"/>
      <c r="AHD13" s="27"/>
      <c r="AHE13" s="27"/>
      <c r="AHF13" s="27"/>
      <c r="AHG13" s="27"/>
      <c r="AHH13" s="27"/>
      <c r="AHI13" s="27"/>
      <c r="AHJ13" s="27"/>
      <c r="AHK13" s="27"/>
      <c r="AHL13" s="27"/>
      <c r="AHM13" s="27"/>
      <c r="AHN13" s="27"/>
      <c r="AHO13" s="27"/>
      <c r="AHP13" s="27"/>
      <c r="AHQ13" s="27"/>
      <c r="AHR13" s="27"/>
      <c r="AHS13" s="27"/>
      <c r="AHT13" s="27"/>
      <c r="AHU13" s="27"/>
      <c r="AHV13" s="27"/>
      <c r="AHW13" s="27"/>
      <c r="AHX13" s="27"/>
      <c r="AHY13" s="27"/>
      <c r="AHZ13" s="27"/>
      <c r="AIA13" s="27"/>
      <c r="AIB13" s="27"/>
      <c r="AIC13" s="27"/>
      <c r="AID13" s="27"/>
      <c r="AIE13" s="27"/>
      <c r="AIF13" s="27"/>
      <c r="AIG13" s="27"/>
      <c r="AIH13" s="27"/>
      <c r="AII13" s="27"/>
      <c r="AIJ13" s="27"/>
      <c r="AIK13" s="27"/>
      <c r="AIL13" s="27"/>
      <c r="AIM13" s="27"/>
      <c r="AIN13" s="27"/>
      <c r="AIO13" s="27"/>
      <c r="AIP13" s="27"/>
      <c r="AIQ13" s="27"/>
      <c r="AIR13" s="27"/>
      <c r="AIS13" s="27"/>
      <c r="AIT13" s="27"/>
      <c r="AIU13" s="27"/>
      <c r="AIV13" s="27"/>
      <c r="AIW13" s="27"/>
      <c r="AIX13" s="27"/>
      <c r="AIY13" s="27"/>
      <c r="AIZ13" s="27"/>
      <c r="AJA13" s="27"/>
      <c r="AJB13" s="27"/>
      <c r="AJC13" s="27"/>
      <c r="AJD13" s="27"/>
      <c r="AJE13" s="27"/>
      <c r="AJF13" s="27"/>
      <c r="AJG13" s="27"/>
      <c r="AJH13" s="27"/>
      <c r="AJI13" s="27"/>
      <c r="AJJ13" s="27"/>
      <c r="AJK13" s="27"/>
      <c r="AJL13" s="27"/>
      <c r="AJM13" s="27"/>
      <c r="AJN13" s="27"/>
      <c r="AJO13" s="27"/>
      <c r="AJP13" s="27"/>
      <c r="AJQ13" s="27"/>
      <c r="AJR13" s="27"/>
      <c r="AJS13" s="27"/>
      <c r="AJT13" s="27"/>
      <c r="AJU13" s="27"/>
      <c r="AJV13" s="27"/>
      <c r="AJW13" s="27"/>
      <c r="AJX13" s="27"/>
      <c r="AJY13" s="27"/>
      <c r="AJZ13" s="27"/>
      <c r="AKA13" s="27"/>
      <c r="AKB13" s="27"/>
      <c r="AKC13" s="27"/>
      <c r="AKD13" s="27"/>
      <c r="AKE13" s="27"/>
      <c r="AKF13" s="27"/>
      <c r="AKG13" s="27"/>
      <c r="AKH13" s="27"/>
      <c r="AKI13" s="27"/>
      <c r="AKJ13" s="27"/>
      <c r="AKK13" s="27"/>
      <c r="AKL13" s="27"/>
      <c r="AKM13" s="27"/>
      <c r="AKN13" s="27"/>
      <c r="AKO13" s="27"/>
      <c r="AKP13" s="27"/>
      <c r="AKQ13" s="27"/>
      <c r="AKR13" s="27"/>
      <c r="AKS13" s="27"/>
      <c r="AKT13" s="27"/>
      <c r="AKU13" s="27"/>
      <c r="AKV13" s="27"/>
      <c r="AKW13" s="27"/>
      <c r="AKX13" s="27"/>
      <c r="AKY13" s="27"/>
      <c r="AKZ13" s="27"/>
      <c r="ALA13" s="27"/>
      <c r="ALB13" s="27"/>
      <c r="ALC13" s="27"/>
      <c r="ALD13" s="27"/>
      <c r="ALE13" s="27"/>
      <c r="ALF13" s="27"/>
      <c r="ALG13" s="27"/>
      <c r="ALH13" s="27"/>
      <c r="ALI13" s="27"/>
      <c r="ALJ13" s="27"/>
      <c r="ALK13" s="27"/>
      <c r="ALL13" s="27"/>
      <c r="ALM13" s="27"/>
      <c r="ALN13" s="27"/>
      <c r="ALO13" s="27"/>
      <c r="ALP13" s="27"/>
      <c r="ALQ13" s="27"/>
      <c r="ALR13" s="27"/>
      <c r="ALS13" s="27"/>
      <c r="ALT13" s="27"/>
      <c r="ALU13" s="27"/>
      <c r="ALV13" s="27"/>
      <c r="ALW13" s="27"/>
      <c r="ALX13" s="27"/>
      <c r="ALY13" s="27"/>
      <c r="ALZ13" s="27"/>
      <c r="AMA13" s="27"/>
      <c r="AMB13" s="27"/>
      <c r="AMC13" s="27"/>
      <c r="AMD13" s="27"/>
      <c r="AME13" s="27"/>
      <c r="AMF13" s="27"/>
      <c r="AMG13" s="27"/>
      <c r="AMH13" s="27"/>
      <c r="AMI13" s="27"/>
      <c r="AMJ13" s="27"/>
      <c r="AMK13" s="27"/>
      <c r="AML13" s="27"/>
      <c r="AMM13" s="27"/>
      <c r="AMN13" s="27"/>
      <c r="AMO13" s="27"/>
      <c r="AMP13" s="27"/>
      <c r="AMQ13" s="27"/>
      <c r="AMR13" s="27"/>
      <c r="AMS13" s="27"/>
      <c r="AMT13" s="27"/>
      <c r="AMU13" s="27"/>
      <c r="AMV13" s="27"/>
      <c r="AMW13" s="27"/>
      <c r="AMX13" s="27"/>
      <c r="AMY13" s="27"/>
      <c r="AMZ13" s="27"/>
      <c r="ANA13" s="27"/>
      <c r="ANB13" s="27"/>
      <c r="ANC13" s="27"/>
      <c r="AND13" s="27"/>
      <c r="ANE13" s="27"/>
      <c r="ANF13" s="27"/>
      <c r="ANG13" s="27"/>
      <c r="ANH13" s="27"/>
      <c r="ANI13" s="27"/>
      <c r="ANJ13" s="27"/>
      <c r="ANK13" s="27"/>
      <c r="ANL13" s="27"/>
      <c r="ANM13" s="27"/>
      <c r="ANN13" s="27"/>
      <c r="ANO13" s="27"/>
      <c r="ANP13" s="27"/>
      <c r="ANQ13" s="27"/>
      <c r="ANR13" s="27"/>
      <c r="ANS13" s="27"/>
      <c r="ANT13" s="27"/>
      <c r="ANU13" s="27"/>
      <c r="ANV13" s="27"/>
      <c r="ANW13" s="27"/>
      <c r="ANX13" s="27"/>
      <c r="ANY13" s="27"/>
      <c r="ANZ13" s="27"/>
      <c r="AOA13" s="27"/>
      <c r="AOB13" s="27"/>
      <c r="AOC13" s="27"/>
      <c r="AOD13" s="27"/>
      <c r="AOE13" s="27"/>
      <c r="AOF13" s="27"/>
      <c r="AOG13" s="27"/>
      <c r="AOH13" s="27"/>
      <c r="AOI13" s="27"/>
      <c r="AOJ13" s="27"/>
      <c r="AOK13" s="27"/>
      <c r="AOL13" s="27"/>
      <c r="AOM13" s="27"/>
      <c r="AON13" s="27"/>
      <c r="AOO13" s="27"/>
      <c r="AOP13" s="27"/>
      <c r="AOQ13" s="27"/>
      <c r="AOR13" s="27"/>
      <c r="AOS13" s="27"/>
      <c r="AOT13" s="27"/>
      <c r="AOU13" s="27"/>
      <c r="AOV13" s="27"/>
      <c r="AOW13" s="27"/>
      <c r="AOX13" s="27"/>
      <c r="AOY13" s="27"/>
      <c r="AOZ13" s="27"/>
      <c r="APA13" s="27"/>
      <c r="APB13" s="27"/>
      <c r="APC13" s="27"/>
      <c r="APD13" s="27"/>
      <c r="APE13" s="27"/>
      <c r="APF13" s="27"/>
      <c r="APG13" s="27"/>
      <c r="APH13" s="27"/>
      <c r="API13" s="27"/>
      <c r="APJ13" s="27"/>
      <c r="APK13" s="27"/>
      <c r="APL13" s="27"/>
      <c r="APM13" s="27"/>
      <c r="APN13" s="27"/>
      <c r="APO13" s="27"/>
      <c r="APP13" s="27"/>
      <c r="APQ13" s="27"/>
      <c r="APR13" s="27"/>
      <c r="APS13" s="27"/>
      <c r="APT13" s="27"/>
      <c r="APU13" s="27"/>
      <c r="APV13" s="27"/>
      <c r="APW13" s="27"/>
      <c r="APX13" s="27"/>
      <c r="APY13" s="27"/>
      <c r="APZ13" s="27"/>
      <c r="AQA13" s="27"/>
      <c r="AQB13" s="27"/>
      <c r="AQC13" s="27"/>
      <c r="AQD13" s="27"/>
      <c r="AQE13" s="27"/>
      <c r="AQF13" s="27"/>
      <c r="AQG13" s="27"/>
      <c r="AQH13" s="27"/>
      <c r="AQI13" s="27"/>
      <c r="AQJ13" s="27"/>
      <c r="AQK13" s="27"/>
      <c r="AQL13" s="27"/>
      <c r="AQM13" s="27"/>
      <c r="AQN13" s="27"/>
      <c r="AQO13" s="27"/>
      <c r="AQP13" s="27"/>
      <c r="AQQ13" s="27"/>
      <c r="AQR13" s="27"/>
      <c r="AQS13" s="27"/>
      <c r="AQT13" s="27"/>
      <c r="AQU13" s="27"/>
      <c r="AQV13" s="27"/>
      <c r="AQW13" s="27"/>
      <c r="AQX13" s="27"/>
      <c r="AQY13" s="27"/>
      <c r="AQZ13" s="27"/>
      <c r="ARA13" s="27"/>
      <c r="ARB13" s="27"/>
      <c r="ARC13" s="27"/>
      <c r="ARD13" s="27"/>
      <c r="ARE13" s="27"/>
      <c r="ARF13" s="27"/>
      <c r="ARG13" s="27"/>
      <c r="ARH13" s="27"/>
      <c r="ARI13" s="27"/>
      <c r="ARJ13" s="27"/>
      <c r="ARK13" s="27"/>
      <c r="ARL13" s="27"/>
      <c r="ARM13" s="27"/>
      <c r="ARN13" s="27"/>
      <c r="ARO13" s="27"/>
      <c r="ARP13" s="27"/>
      <c r="ARQ13" s="27"/>
      <c r="ARR13" s="27"/>
      <c r="ARS13" s="27"/>
      <c r="ART13" s="27"/>
      <c r="ARU13" s="27"/>
      <c r="ARV13" s="27"/>
      <c r="ARW13" s="27"/>
      <c r="ARX13" s="27"/>
      <c r="ARY13" s="27"/>
      <c r="ARZ13" s="27"/>
      <c r="ASA13" s="27"/>
      <c r="ASB13" s="27"/>
      <c r="ASC13" s="27"/>
      <c r="ASD13" s="27"/>
      <c r="ASE13" s="27"/>
      <c r="ASF13" s="27"/>
      <c r="ASG13" s="27"/>
      <c r="ASH13" s="27"/>
      <c r="ASI13" s="27"/>
      <c r="ASJ13" s="27"/>
      <c r="ASK13" s="27"/>
      <c r="ASL13" s="27"/>
      <c r="ASM13" s="27"/>
      <c r="ASN13" s="27"/>
      <c r="ASO13" s="27"/>
      <c r="ASP13" s="27"/>
      <c r="ASQ13" s="27"/>
      <c r="ASR13" s="27"/>
      <c r="ASS13" s="27"/>
      <c r="AST13" s="27"/>
      <c r="ASU13" s="27"/>
      <c r="ASV13" s="27"/>
      <c r="ASW13" s="27"/>
      <c r="ASX13" s="27"/>
      <c r="ASY13" s="27"/>
      <c r="ASZ13" s="27"/>
      <c r="ATA13" s="27"/>
      <c r="ATB13" s="27"/>
      <c r="ATC13" s="27"/>
      <c r="ATD13" s="27"/>
      <c r="ATE13" s="27"/>
      <c r="ATF13" s="27"/>
      <c r="ATG13" s="27"/>
      <c r="ATH13" s="27"/>
      <c r="ATI13" s="27"/>
      <c r="ATJ13" s="27"/>
      <c r="ATK13" s="27"/>
      <c r="ATL13" s="27"/>
      <c r="ATM13" s="27"/>
      <c r="ATN13" s="27"/>
      <c r="ATO13" s="27"/>
      <c r="ATP13" s="27"/>
      <c r="ATQ13" s="27"/>
      <c r="ATR13" s="27"/>
      <c r="ATS13" s="27"/>
      <c r="ATT13" s="27"/>
      <c r="ATU13" s="27"/>
      <c r="ATV13" s="27"/>
      <c r="ATW13" s="27"/>
      <c r="ATX13" s="27"/>
      <c r="ATY13" s="27"/>
      <c r="ATZ13" s="27"/>
      <c r="AUA13" s="27"/>
      <c r="AUB13" s="27"/>
      <c r="AUC13" s="27"/>
      <c r="AUD13" s="27"/>
      <c r="AUE13" s="27"/>
      <c r="AUF13" s="27"/>
      <c r="AUG13" s="27"/>
      <c r="AUH13" s="27"/>
      <c r="AUI13" s="27"/>
      <c r="AUJ13" s="27"/>
      <c r="AUK13" s="27"/>
      <c r="AUL13" s="27"/>
      <c r="AUM13" s="27"/>
      <c r="AUN13" s="27"/>
      <c r="AUO13" s="27"/>
      <c r="AUP13" s="27"/>
      <c r="AUQ13" s="27"/>
      <c r="AUR13" s="27"/>
      <c r="AUS13" s="27"/>
      <c r="AUT13" s="27"/>
      <c r="AUU13" s="27"/>
      <c r="AUV13" s="27"/>
      <c r="AUW13" s="27"/>
      <c r="AUX13" s="27"/>
      <c r="AUY13" s="27"/>
      <c r="AUZ13" s="27"/>
      <c r="AVA13" s="27"/>
      <c r="AVB13" s="27"/>
      <c r="AVC13" s="27"/>
      <c r="AVD13" s="27"/>
      <c r="AVE13" s="27"/>
      <c r="AVF13" s="27"/>
      <c r="AVG13" s="27"/>
      <c r="AVH13" s="27"/>
      <c r="AVI13" s="27"/>
      <c r="AVJ13" s="27"/>
      <c r="AVK13" s="27"/>
      <c r="AVL13" s="27"/>
      <c r="AVM13" s="27"/>
      <c r="AVN13" s="27"/>
      <c r="AVO13" s="27"/>
      <c r="AVP13" s="27"/>
      <c r="AVQ13" s="27"/>
      <c r="AVR13" s="27"/>
      <c r="AVS13" s="27"/>
      <c r="AVT13" s="27"/>
      <c r="AVU13" s="27"/>
      <c r="AVV13" s="27"/>
      <c r="AVW13" s="27"/>
      <c r="AVX13" s="27"/>
      <c r="AVY13" s="27"/>
      <c r="AVZ13" s="27"/>
      <c r="AWA13" s="27"/>
      <c r="AWB13" s="27"/>
      <c r="AWC13" s="27"/>
      <c r="AWD13" s="27"/>
      <c r="AWE13" s="27"/>
      <c r="AWF13" s="27"/>
      <c r="AWG13" s="27"/>
      <c r="AWH13" s="27"/>
      <c r="AWI13" s="27"/>
      <c r="AWJ13" s="27"/>
      <c r="AWK13" s="27"/>
      <c r="AWL13" s="27"/>
      <c r="AWM13" s="27"/>
      <c r="AWN13" s="27"/>
      <c r="AWO13" s="27"/>
      <c r="AWP13" s="27"/>
      <c r="AWQ13" s="27"/>
      <c r="AWR13" s="27"/>
      <c r="AWS13" s="27"/>
      <c r="AWT13" s="27"/>
      <c r="AWU13" s="27"/>
      <c r="AWV13" s="27"/>
      <c r="AWW13" s="27"/>
      <c r="AWX13" s="27"/>
      <c r="AWY13" s="27"/>
      <c r="AWZ13" s="27"/>
      <c r="AXA13" s="27"/>
      <c r="AXB13" s="27"/>
      <c r="AXC13" s="27"/>
      <c r="AXD13" s="27"/>
      <c r="AXE13" s="27"/>
      <c r="AXF13" s="27"/>
      <c r="AXG13" s="27"/>
      <c r="AXH13" s="27"/>
      <c r="AXI13" s="27"/>
      <c r="AXJ13" s="27"/>
      <c r="AXK13" s="27"/>
      <c r="AXL13" s="27"/>
      <c r="AXM13" s="27"/>
      <c r="AXN13" s="27"/>
      <c r="AXO13" s="27"/>
      <c r="AXP13" s="27"/>
      <c r="AXQ13" s="27"/>
      <c r="AXR13" s="27"/>
      <c r="AXS13" s="27"/>
      <c r="AXT13" s="27"/>
      <c r="AXU13" s="27"/>
      <c r="AXV13" s="27"/>
      <c r="AXW13" s="27"/>
      <c r="AXX13" s="27"/>
      <c r="AXY13" s="27"/>
      <c r="AXZ13" s="27"/>
      <c r="AYA13" s="27"/>
      <c r="AYB13" s="27"/>
      <c r="AYC13" s="27"/>
      <c r="AYD13" s="27"/>
      <c r="AYE13" s="27"/>
      <c r="AYF13" s="27"/>
      <c r="AYG13" s="27"/>
      <c r="AYH13" s="27"/>
      <c r="AYI13" s="27"/>
      <c r="AYJ13" s="27"/>
      <c r="AYK13" s="27"/>
      <c r="AYL13" s="27"/>
      <c r="AYM13" s="27"/>
      <c r="AYN13" s="27"/>
      <c r="AYO13" s="27"/>
      <c r="AYP13" s="27"/>
      <c r="AYQ13" s="27"/>
      <c r="AYR13" s="27"/>
      <c r="AYS13" s="27"/>
      <c r="AYT13" s="27"/>
      <c r="AYU13" s="27"/>
      <c r="AYV13" s="27"/>
      <c r="AYW13" s="27"/>
      <c r="AYX13" s="27"/>
      <c r="AYY13" s="27"/>
      <c r="AYZ13" s="27"/>
      <c r="AZA13" s="27"/>
      <c r="AZB13" s="27"/>
      <c r="AZC13" s="27"/>
      <c r="AZD13" s="27"/>
      <c r="AZE13" s="27"/>
      <c r="AZF13" s="27"/>
      <c r="AZG13" s="27"/>
      <c r="AZH13" s="27"/>
      <c r="AZI13" s="27"/>
      <c r="AZJ13" s="27"/>
      <c r="AZK13" s="27"/>
      <c r="AZL13" s="27"/>
      <c r="AZM13" s="27"/>
      <c r="AZN13" s="27"/>
      <c r="AZO13" s="27"/>
      <c r="AZP13" s="27"/>
      <c r="AZQ13" s="27"/>
      <c r="AZR13" s="27"/>
      <c r="AZS13" s="27"/>
      <c r="AZT13" s="27"/>
      <c r="AZU13" s="27"/>
      <c r="AZV13" s="27"/>
      <c r="AZW13" s="27"/>
      <c r="AZX13" s="27"/>
      <c r="AZY13" s="27"/>
      <c r="AZZ13" s="27"/>
      <c r="BAA13" s="27"/>
      <c r="BAB13" s="27"/>
      <c r="BAC13" s="27"/>
      <c r="BAD13" s="27"/>
      <c r="BAE13" s="27"/>
      <c r="BAF13" s="27"/>
      <c r="BAG13" s="27"/>
      <c r="BAH13" s="27"/>
      <c r="BAI13" s="27"/>
      <c r="BAJ13" s="27"/>
      <c r="BAK13" s="27"/>
      <c r="BAL13" s="27"/>
      <c r="BAM13" s="27"/>
      <c r="BAN13" s="27"/>
      <c r="BAO13" s="27"/>
      <c r="BAP13" s="27"/>
      <c r="BAQ13" s="27"/>
      <c r="BAR13" s="27"/>
      <c r="BAS13" s="27"/>
      <c r="BAT13" s="27"/>
      <c r="BAU13" s="27"/>
      <c r="BAV13" s="27"/>
      <c r="BAW13" s="27"/>
      <c r="BAX13" s="27"/>
      <c r="BAY13" s="27"/>
      <c r="BAZ13" s="27"/>
      <c r="BBA13" s="27"/>
      <c r="BBB13" s="27"/>
      <c r="BBC13" s="27"/>
      <c r="BBD13" s="27"/>
      <c r="BBE13" s="27"/>
      <c r="BBF13" s="27"/>
      <c r="BBG13" s="27"/>
      <c r="BBH13" s="27"/>
      <c r="BBI13" s="27"/>
      <c r="BBJ13" s="27"/>
      <c r="BBK13" s="27"/>
      <c r="BBL13" s="27"/>
      <c r="BBM13" s="27"/>
      <c r="BBN13" s="27"/>
      <c r="BBO13" s="27"/>
      <c r="BBP13" s="27"/>
      <c r="BBQ13" s="27"/>
      <c r="BBR13" s="27"/>
      <c r="BBS13" s="27"/>
      <c r="BBT13" s="27"/>
      <c r="BBU13" s="27"/>
      <c r="BBV13" s="27"/>
      <c r="BBW13" s="27"/>
      <c r="BBX13" s="27"/>
      <c r="BBY13" s="27"/>
      <c r="BBZ13" s="27"/>
      <c r="BCA13" s="27"/>
      <c r="BCB13" s="27"/>
      <c r="BCC13" s="27"/>
      <c r="BCD13" s="27"/>
      <c r="BCE13" s="27"/>
      <c r="BCF13" s="27"/>
      <c r="BCG13" s="27"/>
      <c r="BCH13" s="27"/>
      <c r="BCI13" s="27"/>
      <c r="BCJ13" s="27"/>
      <c r="BCK13" s="27"/>
      <c r="BCL13" s="27"/>
      <c r="BCM13" s="27"/>
      <c r="BCN13" s="27"/>
      <c r="BCO13" s="27"/>
      <c r="BCP13" s="27"/>
      <c r="BCQ13" s="27"/>
      <c r="BCR13" s="27"/>
      <c r="BCS13" s="27"/>
      <c r="BCT13" s="27"/>
      <c r="BCU13" s="27"/>
      <c r="BCV13" s="27"/>
      <c r="BCW13" s="27"/>
      <c r="BCX13" s="27"/>
      <c r="BCY13" s="27"/>
      <c r="BCZ13" s="27"/>
      <c r="BDA13" s="27"/>
      <c r="BDB13" s="27"/>
      <c r="BDC13" s="27"/>
      <c r="BDD13" s="27"/>
      <c r="BDE13" s="27"/>
      <c r="BDF13" s="27"/>
      <c r="BDG13" s="27"/>
      <c r="BDH13" s="27"/>
      <c r="BDI13" s="27"/>
      <c r="BDJ13" s="27"/>
      <c r="BDK13" s="27"/>
      <c r="BDL13" s="27"/>
      <c r="BDM13" s="27"/>
      <c r="BDN13" s="27"/>
      <c r="BDO13" s="27"/>
      <c r="BDP13" s="27"/>
      <c r="BDQ13" s="27"/>
      <c r="BDR13" s="27"/>
      <c r="BDS13" s="27"/>
      <c r="BDT13" s="27"/>
      <c r="BDU13" s="27"/>
      <c r="BDV13" s="27"/>
      <c r="BDW13" s="27"/>
      <c r="BDX13" s="27"/>
      <c r="BDY13" s="27"/>
      <c r="BDZ13" s="27"/>
      <c r="BEA13" s="27"/>
      <c r="BEB13" s="27"/>
      <c r="BEC13" s="27"/>
      <c r="BED13" s="27"/>
      <c r="BEE13" s="27"/>
      <c r="BEF13" s="27"/>
      <c r="BEG13" s="27"/>
      <c r="BEH13" s="27"/>
      <c r="BEI13" s="27"/>
      <c r="BEJ13" s="27"/>
      <c r="BEK13" s="27"/>
      <c r="BEL13" s="27"/>
      <c r="BEM13" s="27"/>
      <c r="BEN13" s="27"/>
      <c r="BEO13" s="27"/>
      <c r="BEP13" s="27"/>
      <c r="BEQ13" s="27"/>
      <c r="BER13" s="27"/>
      <c r="BES13" s="27"/>
      <c r="BET13" s="27"/>
      <c r="BEU13" s="27"/>
      <c r="BEV13" s="27"/>
      <c r="BEW13" s="27"/>
      <c r="BEX13" s="27"/>
      <c r="BEY13" s="27"/>
      <c r="BEZ13" s="27"/>
      <c r="BFA13" s="27"/>
      <c r="BFB13" s="27"/>
      <c r="BFC13" s="27"/>
      <c r="BFD13" s="27"/>
      <c r="BFE13" s="27"/>
      <c r="BFF13" s="27"/>
      <c r="BFG13" s="27"/>
      <c r="BFH13" s="27"/>
      <c r="BFI13" s="27"/>
      <c r="BFJ13" s="27"/>
      <c r="BFK13" s="27"/>
      <c r="BFL13" s="27"/>
      <c r="BFM13" s="27"/>
      <c r="BFN13" s="27"/>
      <c r="BFO13" s="27"/>
      <c r="BFP13" s="27"/>
      <c r="BFQ13" s="27"/>
      <c r="BFR13" s="27"/>
      <c r="BFS13" s="27"/>
      <c r="BFT13" s="27"/>
      <c r="BFU13" s="27"/>
      <c r="BFV13" s="27"/>
      <c r="BFW13" s="27"/>
      <c r="BFX13" s="27"/>
      <c r="BFY13" s="27"/>
      <c r="BFZ13" s="27"/>
      <c r="BGA13" s="27"/>
      <c r="BGB13" s="27"/>
      <c r="BGC13" s="27"/>
      <c r="BGD13" s="27"/>
      <c r="BGE13" s="27"/>
      <c r="BGF13" s="27"/>
      <c r="BGG13" s="27"/>
      <c r="BGH13" s="27"/>
      <c r="BGI13" s="27"/>
      <c r="BGJ13" s="27"/>
      <c r="BGK13" s="27"/>
      <c r="BGL13" s="27"/>
      <c r="BGM13" s="27"/>
      <c r="BGN13" s="27"/>
      <c r="BGO13" s="27"/>
      <c r="BGP13" s="27"/>
      <c r="BGQ13" s="27"/>
      <c r="BGR13" s="27"/>
      <c r="BGS13" s="27"/>
      <c r="BGT13" s="27"/>
      <c r="BGU13" s="27"/>
      <c r="BGV13" s="27"/>
      <c r="BGW13" s="27"/>
      <c r="BGX13" s="27"/>
      <c r="BGY13" s="27"/>
      <c r="BGZ13" s="27"/>
      <c r="BHA13" s="27"/>
      <c r="BHB13" s="27"/>
      <c r="BHC13" s="27"/>
      <c r="BHD13" s="27"/>
      <c r="BHE13" s="27"/>
      <c r="BHF13" s="27"/>
      <c r="BHG13" s="27"/>
      <c r="BHH13" s="27"/>
      <c r="BHI13" s="27"/>
      <c r="BHJ13" s="27"/>
      <c r="BHK13" s="27"/>
      <c r="BHL13" s="27"/>
      <c r="BHM13" s="27"/>
      <c r="BHN13" s="27"/>
      <c r="BHO13" s="27"/>
      <c r="BHP13" s="27"/>
      <c r="BHQ13" s="27"/>
      <c r="BHR13" s="27"/>
      <c r="BHS13" s="27"/>
      <c r="BHT13" s="27"/>
      <c r="BHU13" s="27"/>
      <c r="BHV13" s="27"/>
      <c r="BHW13" s="27"/>
      <c r="BHX13" s="27"/>
      <c r="BHY13" s="27"/>
      <c r="BHZ13" s="27"/>
      <c r="BIA13" s="27"/>
      <c r="BIB13" s="27"/>
      <c r="BIC13" s="27"/>
      <c r="BID13" s="27"/>
      <c r="BIE13" s="27"/>
      <c r="BIF13" s="27"/>
      <c r="BIG13" s="27"/>
      <c r="BIH13" s="27"/>
      <c r="BII13" s="27"/>
      <c r="BIJ13" s="27"/>
      <c r="BIK13" s="27"/>
      <c r="BIL13" s="27"/>
      <c r="BIM13" s="27"/>
      <c r="BIN13" s="27"/>
      <c r="BIO13" s="27"/>
      <c r="BIP13" s="27"/>
      <c r="BIQ13" s="27"/>
      <c r="BIR13" s="27"/>
      <c r="BIS13" s="27"/>
      <c r="BIT13" s="27"/>
      <c r="BIU13" s="27"/>
      <c r="BIV13" s="27"/>
      <c r="BIW13" s="27"/>
      <c r="BIX13" s="27"/>
      <c r="BIY13" s="27"/>
      <c r="BIZ13" s="27"/>
      <c r="BJA13" s="27"/>
      <c r="BJB13" s="27"/>
      <c r="BJC13" s="27"/>
      <c r="BJD13" s="27"/>
      <c r="BJE13" s="27"/>
      <c r="BJF13" s="27"/>
      <c r="BJG13" s="27"/>
      <c r="BJH13" s="27"/>
      <c r="BJI13" s="27"/>
      <c r="BJJ13" s="27"/>
      <c r="BJK13" s="27"/>
      <c r="BJL13" s="27"/>
      <c r="BJM13" s="27"/>
      <c r="BJN13" s="27"/>
      <c r="BJO13" s="27"/>
      <c r="BJP13" s="27"/>
      <c r="BJQ13" s="27"/>
      <c r="BJR13" s="27"/>
      <c r="BJS13" s="27"/>
      <c r="BJT13" s="27"/>
      <c r="BJU13" s="27"/>
      <c r="BJV13" s="27"/>
      <c r="BJW13" s="27"/>
      <c r="BJX13" s="27"/>
      <c r="BJY13" s="27"/>
      <c r="BJZ13" s="27"/>
      <c r="BKA13" s="27"/>
      <c r="BKB13" s="27"/>
      <c r="BKC13" s="27"/>
      <c r="BKD13" s="27"/>
      <c r="BKE13" s="27"/>
      <c r="BKF13" s="27"/>
      <c r="BKG13" s="27"/>
      <c r="BKH13" s="27"/>
      <c r="BKI13" s="27"/>
      <c r="BKJ13" s="27"/>
      <c r="BKK13" s="27"/>
      <c r="BKL13" s="27"/>
      <c r="BKM13" s="27"/>
      <c r="BKN13" s="27"/>
      <c r="BKO13" s="27"/>
      <c r="BKP13" s="27"/>
      <c r="BKQ13" s="27"/>
      <c r="BKR13" s="27"/>
      <c r="BKS13" s="27"/>
      <c r="BKT13" s="27"/>
      <c r="BKU13" s="27"/>
      <c r="BKV13" s="27"/>
      <c r="BKW13" s="27"/>
      <c r="BKX13" s="27"/>
      <c r="BKY13" s="27"/>
      <c r="BKZ13" s="27"/>
      <c r="BLA13" s="27"/>
      <c r="BLB13" s="27"/>
      <c r="BLC13" s="27"/>
      <c r="BLD13" s="27"/>
      <c r="BLE13" s="27"/>
      <c r="BLF13" s="27"/>
      <c r="BLG13" s="27"/>
      <c r="BLH13" s="27"/>
      <c r="BLI13" s="27"/>
      <c r="BLJ13" s="27"/>
      <c r="BLK13" s="27"/>
      <c r="BLL13" s="27"/>
      <c r="BLM13" s="27"/>
      <c r="BLN13" s="27"/>
      <c r="BLO13" s="27"/>
      <c r="BLP13" s="27"/>
      <c r="BLQ13" s="27"/>
      <c r="BLR13" s="27"/>
      <c r="BLS13" s="27"/>
      <c r="BLT13" s="27"/>
      <c r="BLU13" s="27"/>
      <c r="BLV13" s="27"/>
      <c r="BLW13" s="27"/>
      <c r="BLX13" s="27"/>
      <c r="BLY13" s="27"/>
      <c r="BLZ13" s="27"/>
      <c r="BMA13" s="27"/>
      <c r="BMB13" s="27"/>
      <c r="BMC13" s="27"/>
      <c r="BMD13" s="27"/>
      <c r="BME13" s="27"/>
      <c r="BMF13" s="27"/>
      <c r="BMG13" s="27"/>
      <c r="BMH13" s="27"/>
      <c r="BMI13" s="27"/>
      <c r="BMJ13" s="27"/>
      <c r="BMK13" s="27"/>
      <c r="BML13" s="27"/>
      <c r="BMM13" s="27"/>
      <c r="BMN13" s="27"/>
      <c r="BMO13" s="27"/>
      <c r="BMP13" s="27"/>
      <c r="BMQ13" s="27"/>
      <c r="BMR13" s="27"/>
      <c r="BMS13" s="27"/>
      <c r="BMT13" s="27"/>
      <c r="BMU13" s="27"/>
      <c r="BMV13" s="27"/>
      <c r="BMW13" s="27"/>
      <c r="BMX13" s="27"/>
      <c r="BMY13" s="27"/>
      <c r="BMZ13" s="27"/>
      <c r="BNA13" s="27"/>
      <c r="BNB13" s="27"/>
      <c r="BNC13" s="27"/>
      <c r="BND13" s="27"/>
      <c r="BNE13" s="27"/>
      <c r="BNF13" s="27"/>
      <c r="BNG13" s="27"/>
      <c r="BNH13" s="27"/>
      <c r="BNI13" s="27"/>
      <c r="BNJ13" s="27"/>
      <c r="BNK13" s="27"/>
      <c r="BNL13" s="27"/>
      <c r="BNM13" s="27"/>
      <c r="BNN13" s="27"/>
      <c r="BNO13" s="27"/>
      <c r="BNP13" s="27"/>
      <c r="BNQ13" s="27"/>
      <c r="BNR13" s="27"/>
      <c r="BNS13" s="27"/>
      <c r="BNT13" s="27"/>
      <c r="BNU13" s="27"/>
      <c r="BNV13" s="27"/>
      <c r="BNW13" s="27"/>
      <c r="BNX13" s="27"/>
      <c r="BNY13" s="27"/>
      <c r="BNZ13" s="27"/>
      <c r="BOA13" s="27"/>
      <c r="BOB13" s="27"/>
      <c r="BOC13" s="27"/>
      <c r="BOD13" s="27"/>
      <c r="BOE13" s="27"/>
      <c r="BOF13" s="27"/>
      <c r="BOG13" s="27"/>
      <c r="BOH13" s="27"/>
      <c r="BOI13" s="27"/>
      <c r="BOJ13" s="27"/>
      <c r="BOK13" s="27"/>
      <c r="BOL13" s="27"/>
      <c r="BOM13" s="27"/>
      <c r="BON13" s="27"/>
      <c r="BOO13" s="27"/>
      <c r="BOP13" s="27"/>
      <c r="BOQ13" s="27"/>
      <c r="BOR13" s="27"/>
      <c r="BOS13" s="27"/>
      <c r="BOT13" s="27"/>
      <c r="BOU13" s="27"/>
      <c r="BOV13" s="27"/>
      <c r="BOW13" s="27"/>
      <c r="BOX13" s="27"/>
      <c r="BOY13" s="27"/>
      <c r="BOZ13" s="27"/>
      <c r="BPA13" s="27"/>
      <c r="BPB13" s="27"/>
      <c r="BPC13" s="27"/>
      <c r="BPD13" s="27"/>
      <c r="BPE13" s="27"/>
      <c r="BPF13" s="27"/>
      <c r="BPG13" s="27"/>
      <c r="BPH13" s="27"/>
      <c r="BPI13" s="27"/>
      <c r="BPJ13" s="27"/>
      <c r="BPK13" s="27"/>
      <c r="BPL13" s="27"/>
      <c r="BPM13" s="27"/>
      <c r="BPN13" s="27"/>
      <c r="BPO13" s="27"/>
      <c r="BPP13" s="27"/>
      <c r="BPQ13" s="27"/>
      <c r="BPR13" s="27"/>
      <c r="BPS13" s="27"/>
      <c r="BPT13" s="27"/>
      <c r="BPU13" s="27"/>
      <c r="BPV13" s="27"/>
      <c r="BPW13" s="27"/>
      <c r="BPX13" s="27"/>
      <c r="BPY13" s="27"/>
      <c r="BPZ13" s="27"/>
      <c r="BQA13" s="27"/>
      <c r="BQB13" s="27"/>
      <c r="BQC13" s="27"/>
      <c r="BQD13" s="27"/>
      <c r="BQE13" s="27"/>
      <c r="BQF13" s="27"/>
      <c r="BQG13" s="27"/>
      <c r="BQH13" s="27"/>
      <c r="BQI13" s="27"/>
      <c r="BQJ13" s="27"/>
      <c r="BQK13" s="27"/>
      <c r="BQL13" s="27"/>
      <c r="BQM13" s="27"/>
      <c r="BQN13" s="27"/>
      <c r="BQO13" s="27"/>
      <c r="BQP13" s="27"/>
      <c r="BQQ13" s="27"/>
      <c r="BQR13" s="27"/>
      <c r="BQS13" s="27"/>
      <c r="BQT13" s="27"/>
      <c r="BQU13" s="27"/>
    </row>
    <row r="14" spans="1:1815" s="203" customFormat="1" ht="40.35" customHeight="1" x14ac:dyDescent="0.3">
      <c r="A14" s="22">
        <v>5</v>
      </c>
      <c r="B14" s="195" t="s">
        <v>1447</v>
      </c>
      <c r="C14" s="113" t="s">
        <v>1448</v>
      </c>
      <c r="D14" s="201"/>
      <c r="E14" s="199" t="s">
        <v>1449</v>
      </c>
      <c r="F14" s="204" t="s">
        <v>1439</v>
      </c>
      <c r="G14" s="22"/>
      <c r="H14" s="202" t="s">
        <v>69</v>
      </c>
      <c r="I14" s="202" t="s">
        <v>125</v>
      </c>
      <c r="J14" s="202" t="s">
        <v>125</v>
      </c>
      <c r="K14" s="202" t="s">
        <v>29</v>
      </c>
      <c r="L14" s="202" t="s">
        <v>99</v>
      </c>
      <c r="M14" s="202" t="s">
        <v>125</v>
      </c>
      <c r="N14" s="50" t="s">
        <v>1450</v>
      </c>
      <c r="O14" s="50" t="s">
        <v>1508</v>
      </c>
      <c r="P14" s="51" t="s">
        <v>1451</v>
      </c>
      <c r="Q14" s="244" t="s">
        <v>1509</v>
      </c>
      <c r="R14" s="50" t="s">
        <v>556</v>
      </c>
      <c r="S14" s="50" t="s">
        <v>557</v>
      </c>
      <c r="T14" s="50" t="s">
        <v>573</v>
      </c>
      <c r="U14" s="50" t="s">
        <v>671</v>
      </c>
      <c r="V14" s="52" t="s">
        <v>561</v>
      </c>
      <c r="W14" s="50" t="s">
        <v>503</v>
      </c>
      <c r="X14" s="50" t="s">
        <v>567</v>
      </c>
      <c r="Y14" s="53" t="s">
        <v>1452</v>
      </c>
      <c r="Z14" s="70" t="s">
        <v>1453</v>
      </c>
      <c r="AA14" s="53" t="s">
        <v>1454</v>
      </c>
      <c r="AB14" s="50" t="s">
        <v>1455</v>
      </c>
      <c r="AC14" s="50" t="s">
        <v>710</v>
      </c>
      <c r="AD14" s="55">
        <v>24453</v>
      </c>
      <c r="AE14" s="169">
        <f t="shared" ref="AE14" si="10">DAY(AD14)</f>
        <v>12</v>
      </c>
      <c r="AF14" s="169">
        <f t="shared" ref="AF14" si="11">MONTH(AD14)</f>
        <v>12</v>
      </c>
      <c r="AG14" s="169">
        <f t="shared" ref="AG14" si="12">YEAR(AD14)</f>
        <v>1966</v>
      </c>
      <c r="AH14" s="170">
        <f t="shared" ref="AH14" si="13">EDATE(AD14,12*60)</f>
        <v>46368</v>
      </c>
      <c r="AI14" s="169">
        <f t="shared" ca="1" si="4"/>
        <v>1</v>
      </c>
      <c r="AJ14" s="169">
        <f t="shared" ca="1" si="5"/>
        <v>0</v>
      </c>
      <c r="AK14" s="169">
        <f t="shared" ca="1" si="6"/>
        <v>1</v>
      </c>
      <c r="AL14" s="169" t="str">
        <f t="shared" ca="1" si="7"/>
        <v>1year/0months/1Days</v>
      </c>
      <c r="AM14" s="50"/>
      <c r="AN14" s="50">
        <v>2022</v>
      </c>
      <c r="AO14" s="107" t="s">
        <v>1510</v>
      </c>
      <c r="AP14" s="78">
        <v>2480</v>
      </c>
      <c r="AQ14" s="78">
        <v>494</v>
      </c>
      <c r="AR14" s="78">
        <v>273</v>
      </c>
      <c r="AS14" s="78">
        <v>127</v>
      </c>
      <c r="AT14" s="78">
        <v>1519</v>
      </c>
      <c r="AU14" s="86">
        <f t="shared" si="9"/>
        <v>61.250000000000007</v>
      </c>
      <c r="AV14" s="78">
        <v>61</v>
      </c>
      <c r="AW14" s="78" t="s">
        <v>498</v>
      </c>
      <c r="AX14" s="78">
        <v>1950</v>
      </c>
      <c r="AY14" s="78">
        <v>382</v>
      </c>
      <c r="AZ14" s="78">
        <v>148</v>
      </c>
      <c r="BA14" s="76">
        <v>44839</v>
      </c>
      <c r="BB14" s="50"/>
      <c r="BC14" s="50"/>
      <c r="BD14" s="50"/>
      <c r="BE14" s="50"/>
      <c r="BF14" s="75"/>
      <c r="BG14" s="75"/>
      <c r="BH14" s="75"/>
      <c r="BI14" s="75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8"/>
      <c r="HM14" s="28"/>
      <c r="HN14" s="28"/>
      <c r="HO14" s="28"/>
      <c r="HP14" s="28"/>
      <c r="HQ14" s="28"/>
      <c r="HR14" s="28"/>
      <c r="HS14" s="28"/>
      <c r="HT14" s="28"/>
      <c r="HU14" s="28"/>
      <c r="HV14" s="28"/>
      <c r="HW14" s="28"/>
      <c r="HX14" s="28"/>
      <c r="HY14" s="28"/>
      <c r="HZ14" s="28"/>
      <c r="IA14" s="28"/>
      <c r="IB14" s="28"/>
      <c r="IC14" s="28"/>
      <c r="ID14" s="28"/>
      <c r="IE14" s="28"/>
      <c r="IF14" s="28"/>
      <c r="IG14" s="28"/>
      <c r="IH14" s="28"/>
      <c r="II14" s="28"/>
      <c r="IJ14" s="28"/>
      <c r="IK14" s="28"/>
      <c r="IL14" s="28"/>
      <c r="IM14" s="28"/>
      <c r="IN14" s="28"/>
      <c r="IO14" s="28"/>
      <c r="IP14" s="28"/>
      <c r="IQ14" s="28"/>
      <c r="IR14" s="28"/>
      <c r="IS14" s="28"/>
      <c r="IT14" s="28"/>
      <c r="IU14" s="28"/>
      <c r="IV14" s="28"/>
      <c r="IW14" s="28"/>
      <c r="IX14" s="28"/>
      <c r="IY14" s="28"/>
      <c r="IZ14" s="28"/>
      <c r="JA14" s="28"/>
      <c r="JB14" s="28"/>
      <c r="JC14" s="28"/>
      <c r="JD14" s="28"/>
      <c r="JE14" s="28"/>
      <c r="JF14" s="28"/>
      <c r="JG14" s="28"/>
      <c r="JH14" s="28"/>
      <c r="JI14" s="28"/>
      <c r="JJ14" s="28"/>
      <c r="JK14" s="28"/>
      <c r="JL14" s="28"/>
      <c r="JM14" s="28"/>
      <c r="JN14" s="28"/>
      <c r="JO14" s="28"/>
      <c r="JP14" s="28"/>
      <c r="JQ14" s="28"/>
      <c r="JR14" s="28"/>
      <c r="JS14" s="28"/>
      <c r="JT14" s="28"/>
      <c r="JU14" s="28"/>
      <c r="JV14" s="28"/>
      <c r="JW14" s="28"/>
      <c r="JX14" s="28"/>
      <c r="JY14" s="28"/>
      <c r="JZ14" s="28"/>
      <c r="KA14" s="28"/>
      <c r="KB14" s="28"/>
      <c r="KC14" s="28"/>
      <c r="KD14" s="28"/>
      <c r="KE14" s="28"/>
      <c r="KF14" s="28"/>
      <c r="KG14" s="28"/>
      <c r="KH14" s="28"/>
      <c r="KI14" s="28"/>
      <c r="KJ14" s="28"/>
      <c r="KK14" s="28"/>
      <c r="KL14" s="28"/>
      <c r="KM14" s="28"/>
      <c r="KN14" s="28"/>
      <c r="KO14" s="28"/>
      <c r="KP14" s="28"/>
      <c r="KQ14" s="28"/>
      <c r="KR14" s="28"/>
      <c r="KS14" s="28"/>
      <c r="KT14" s="28"/>
      <c r="KU14" s="28"/>
      <c r="KV14" s="28"/>
      <c r="KW14" s="28"/>
      <c r="KX14" s="28"/>
      <c r="KY14" s="28"/>
      <c r="KZ14" s="28"/>
      <c r="LA14" s="28"/>
      <c r="LB14" s="28"/>
      <c r="LC14" s="28"/>
      <c r="LD14" s="28"/>
      <c r="LE14" s="28"/>
      <c r="LF14" s="28"/>
      <c r="LG14" s="28"/>
      <c r="LH14" s="28"/>
      <c r="LI14" s="28"/>
      <c r="LJ14" s="28"/>
      <c r="LK14" s="28"/>
      <c r="LL14" s="28"/>
      <c r="LM14" s="28"/>
      <c r="LN14" s="28"/>
      <c r="LO14" s="28"/>
      <c r="LP14" s="28"/>
      <c r="LQ14" s="28"/>
      <c r="LR14" s="28"/>
      <c r="LS14" s="28"/>
      <c r="LT14" s="28"/>
      <c r="LU14" s="28"/>
      <c r="LV14" s="28"/>
      <c r="LW14" s="28"/>
      <c r="LX14" s="28"/>
      <c r="LY14" s="28"/>
      <c r="LZ14" s="28"/>
      <c r="MA14" s="28"/>
      <c r="MB14" s="28"/>
      <c r="MC14" s="28"/>
      <c r="MD14" s="28"/>
      <c r="ME14" s="28"/>
      <c r="MF14" s="28"/>
      <c r="MG14" s="28"/>
      <c r="MH14" s="28"/>
      <c r="MI14" s="28"/>
      <c r="MJ14" s="28"/>
      <c r="MK14" s="28"/>
      <c r="ML14" s="28"/>
      <c r="MM14" s="28"/>
      <c r="MN14" s="28"/>
      <c r="MO14" s="28"/>
      <c r="MP14" s="28"/>
      <c r="MQ14" s="28"/>
      <c r="MR14" s="28"/>
      <c r="MS14" s="28"/>
      <c r="MT14" s="28"/>
      <c r="MU14" s="28"/>
      <c r="MV14" s="28"/>
      <c r="MW14" s="28"/>
      <c r="MX14" s="28"/>
      <c r="MY14" s="28"/>
      <c r="MZ14" s="28"/>
      <c r="NA14" s="28"/>
      <c r="NB14" s="28"/>
      <c r="NC14" s="28"/>
      <c r="ND14" s="28"/>
      <c r="NE14" s="28"/>
      <c r="NF14" s="28"/>
      <c r="NG14" s="28"/>
      <c r="NH14" s="28"/>
      <c r="NI14" s="28"/>
      <c r="NJ14" s="28"/>
      <c r="NK14" s="28"/>
      <c r="NL14" s="28"/>
      <c r="NM14" s="28"/>
      <c r="NN14" s="28"/>
      <c r="NO14" s="28"/>
      <c r="NP14" s="28"/>
      <c r="NQ14" s="28"/>
      <c r="NR14" s="28"/>
      <c r="NS14" s="28"/>
      <c r="NT14" s="28"/>
      <c r="NU14" s="28"/>
      <c r="NV14" s="28"/>
      <c r="NW14" s="28"/>
      <c r="NX14" s="28"/>
      <c r="NY14" s="28"/>
      <c r="NZ14" s="28"/>
      <c r="OA14" s="28"/>
      <c r="OB14" s="28"/>
      <c r="OC14" s="28"/>
      <c r="OD14" s="28"/>
      <c r="OE14" s="28"/>
      <c r="OF14" s="28"/>
      <c r="OG14" s="28"/>
      <c r="OH14" s="28"/>
      <c r="OI14" s="28"/>
      <c r="OJ14" s="28"/>
      <c r="OK14" s="28"/>
      <c r="OL14" s="28"/>
      <c r="OM14" s="28"/>
      <c r="ON14" s="28"/>
      <c r="OO14" s="28"/>
      <c r="OP14" s="28"/>
      <c r="OQ14" s="28"/>
      <c r="OR14" s="28"/>
      <c r="OS14" s="28"/>
      <c r="OT14" s="28"/>
      <c r="OU14" s="28"/>
      <c r="OV14" s="28"/>
      <c r="OW14" s="28"/>
      <c r="OX14" s="28"/>
      <c r="OY14" s="28"/>
      <c r="OZ14" s="28"/>
      <c r="PA14" s="28"/>
      <c r="PB14" s="28"/>
      <c r="PC14" s="28"/>
      <c r="PD14" s="28"/>
      <c r="PE14" s="28"/>
      <c r="PF14" s="28"/>
      <c r="PG14" s="28"/>
      <c r="PH14" s="28"/>
      <c r="PI14" s="28"/>
      <c r="PJ14" s="28"/>
      <c r="PK14" s="28"/>
      <c r="PL14" s="28"/>
      <c r="PM14" s="28"/>
      <c r="PN14" s="28"/>
      <c r="PO14" s="28"/>
      <c r="PP14" s="28"/>
      <c r="PQ14" s="28"/>
      <c r="PR14" s="28"/>
      <c r="PS14" s="28"/>
      <c r="PT14" s="28"/>
      <c r="PU14" s="28"/>
      <c r="PV14" s="28"/>
      <c r="PW14" s="28"/>
      <c r="PX14" s="28"/>
      <c r="PY14" s="28"/>
      <c r="PZ14" s="28"/>
      <c r="QA14" s="28"/>
      <c r="QB14" s="28"/>
      <c r="QC14" s="28"/>
      <c r="QD14" s="28"/>
      <c r="QE14" s="28"/>
      <c r="QF14" s="28"/>
      <c r="QG14" s="28"/>
      <c r="QH14" s="28"/>
      <c r="QI14" s="28"/>
      <c r="QJ14" s="28"/>
      <c r="QK14" s="28"/>
      <c r="QL14" s="28"/>
      <c r="QM14" s="28"/>
      <c r="QN14" s="28"/>
      <c r="QO14" s="28"/>
      <c r="QP14" s="28"/>
      <c r="QQ14" s="28"/>
      <c r="QR14" s="28"/>
      <c r="QS14" s="28"/>
      <c r="QT14" s="28"/>
      <c r="QU14" s="28"/>
      <c r="QV14" s="28"/>
      <c r="QW14" s="28"/>
      <c r="QX14" s="28"/>
      <c r="QY14" s="28"/>
      <c r="QZ14" s="28"/>
      <c r="RA14" s="28"/>
      <c r="RB14" s="28"/>
      <c r="RC14" s="28"/>
      <c r="RD14" s="28"/>
      <c r="RE14" s="28"/>
      <c r="RF14" s="28"/>
      <c r="RG14" s="28"/>
      <c r="RH14" s="28"/>
      <c r="RI14" s="28"/>
      <c r="RJ14" s="28"/>
      <c r="RK14" s="28"/>
      <c r="RL14" s="28"/>
      <c r="RM14" s="28"/>
      <c r="RN14" s="28"/>
      <c r="RO14" s="28"/>
      <c r="RP14" s="28"/>
      <c r="RQ14" s="28"/>
      <c r="RR14" s="28"/>
      <c r="RS14" s="28"/>
      <c r="RT14" s="28"/>
      <c r="RU14" s="28"/>
      <c r="RV14" s="28"/>
      <c r="RW14" s="28"/>
      <c r="RX14" s="28"/>
      <c r="RY14" s="28"/>
      <c r="RZ14" s="28"/>
      <c r="SA14" s="28"/>
      <c r="SB14" s="28"/>
      <c r="SC14" s="28"/>
      <c r="SD14" s="28"/>
      <c r="SE14" s="28"/>
      <c r="SF14" s="28"/>
      <c r="SG14" s="28"/>
      <c r="SH14" s="28"/>
      <c r="SI14" s="28"/>
      <c r="SJ14" s="28"/>
      <c r="SK14" s="28"/>
      <c r="SL14" s="28"/>
      <c r="SM14" s="28"/>
      <c r="SN14" s="28"/>
      <c r="SO14" s="28"/>
      <c r="SP14" s="28"/>
      <c r="SQ14" s="28"/>
      <c r="SR14" s="28"/>
      <c r="SS14" s="28"/>
      <c r="ST14" s="28"/>
      <c r="SU14" s="28"/>
      <c r="SV14" s="28"/>
      <c r="SW14" s="28"/>
      <c r="SX14" s="28"/>
      <c r="SY14" s="28"/>
      <c r="SZ14" s="28"/>
      <c r="TA14" s="28"/>
      <c r="TB14" s="28"/>
      <c r="TC14" s="28"/>
      <c r="TD14" s="28"/>
      <c r="TE14" s="28"/>
      <c r="TF14" s="28"/>
      <c r="TG14" s="28"/>
      <c r="TH14" s="28"/>
      <c r="TI14" s="28"/>
      <c r="TJ14" s="28"/>
      <c r="TK14" s="28"/>
      <c r="TL14" s="28"/>
      <c r="TM14" s="28"/>
      <c r="TN14" s="28"/>
      <c r="TO14" s="28"/>
      <c r="TP14" s="28"/>
      <c r="TQ14" s="28"/>
      <c r="TR14" s="28"/>
      <c r="TS14" s="28"/>
      <c r="TT14" s="28"/>
      <c r="TU14" s="28"/>
      <c r="TV14" s="28"/>
      <c r="TW14" s="28"/>
      <c r="TX14" s="28"/>
      <c r="TY14" s="28"/>
      <c r="TZ14" s="28"/>
      <c r="UA14" s="28"/>
      <c r="UB14" s="28"/>
      <c r="UC14" s="28"/>
      <c r="UD14" s="28"/>
      <c r="UE14" s="28"/>
      <c r="UF14" s="28"/>
      <c r="UG14" s="28"/>
      <c r="UH14" s="28"/>
      <c r="UI14" s="28"/>
      <c r="UJ14" s="28"/>
      <c r="UK14" s="28"/>
      <c r="UL14" s="28"/>
      <c r="UM14" s="28"/>
      <c r="UN14" s="28"/>
      <c r="UO14" s="28"/>
      <c r="UP14" s="28"/>
      <c r="UQ14" s="28"/>
      <c r="UR14" s="28"/>
      <c r="US14" s="28"/>
      <c r="UT14" s="28"/>
      <c r="UU14" s="28"/>
      <c r="UV14" s="28"/>
      <c r="UW14" s="28"/>
      <c r="UX14" s="28"/>
      <c r="UY14" s="28"/>
      <c r="UZ14" s="28"/>
      <c r="VA14" s="28"/>
      <c r="VB14" s="28"/>
      <c r="VC14" s="28"/>
      <c r="VD14" s="28"/>
      <c r="VE14" s="28"/>
      <c r="VF14" s="28"/>
      <c r="VG14" s="28"/>
      <c r="VH14" s="28"/>
      <c r="VI14" s="28"/>
      <c r="VJ14" s="28"/>
      <c r="VK14" s="28"/>
      <c r="VL14" s="28"/>
      <c r="VM14" s="28"/>
      <c r="VN14" s="28"/>
      <c r="VO14" s="28"/>
      <c r="VP14" s="28"/>
      <c r="VQ14" s="28"/>
      <c r="VR14" s="28"/>
      <c r="VS14" s="28"/>
      <c r="VT14" s="28"/>
      <c r="VU14" s="28"/>
      <c r="VV14" s="28"/>
      <c r="VW14" s="28"/>
      <c r="VX14" s="28"/>
      <c r="VY14" s="28"/>
      <c r="VZ14" s="28"/>
      <c r="WA14" s="28"/>
      <c r="WB14" s="28"/>
      <c r="WC14" s="28"/>
      <c r="WD14" s="28"/>
      <c r="WE14" s="28"/>
      <c r="WF14" s="28"/>
      <c r="WG14" s="28"/>
      <c r="WH14" s="28"/>
      <c r="WI14" s="28"/>
      <c r="WJ14" s="28"/>
      <c r="WK14" s="28"/>
      <c r="WL14" s="28"/>
      <c r="WM14" s="28"/>
      <c r="WN14" s="28"/>
      <c r="WO14" s="28"/>
      <c r="WP14" s="28"/>
      <c r="WQ14" s="28"/>
      <c r="WR14" s="28"/>
      <c r="WS14" s="28"/>
      <c r="WT14" s="28"/>
      <c r="WU14" s="28"/>
      <c r="WV14" s="28"/>
      <c r="WW14" s="28"/>
      <c r="WX14" s="28"/>
      <c r="WY14" s="28"/>
      <c r="WZ14" s="28"/>
      <c r="XA14" s="28"/>
      <c r="XB14" s="28"/>
      <c r="XC14" s="28"/>
      <c r="XD14" s="28"/>
      <c r="XE14" s="28"/>
      <c r="XF14" s="28"/>
      <c r="XG14" s="28"/>
      <c r="XH14" s="28"/>
      <c r="XI14" s="28"/>
      <c r="XJ14" s="28"/>
      <c r="XK14" s="28"/>
      <c r="XL14" s="28"/>
      <c r="XM14" s="28"/>
      <c r="XN14" s="28"/>
      <c r="XO14" s="28"/>
      <c r="XP14" s="28"/>
      <c r="XQ14" s="28"/>
      <c r="XR14" s="28"/>
      <c r="XS14" s="28"/>
      <c r="XT14" s="28"/>
      <c r="XU14" s="28"/>
      <c r="XV14" s="28"/>
      <c r="XW14" s="28"/>
      <c r="XX14" s="28"/>
      <c r="XY14" s="28"/>
      <c r="XZ14" s="28"/>
      <c r="YA14" s="28"/>
      <c r="YB14" s="28"/>
      <c r="YC14" s="28"/>
      <c r="YD14" s="28"/>
      <c r="YE14" s="28"/>
      <c r="YF14" s="28"/>
      <c r="YG14" s="28"/>
      <c r="YH14" s="28"/>
      <c r="YI14" s="28"/>
      <c r="YJ14" s="28"/>
      <c r="YK14" s="28"/>
      <c r="YL14" s="28"/>
      <c r="YM14" s="28"/>
      <c r="YN14" s="28"/>
      <c r="YO14" s="28"/>
      <c r="YP14" s="28"/>
      <c r="YQ14" s="28"/>
      <c r="YR14" s="28"/>
      <c r="YS14" s="28"/>
      <c r="YT14" s="28"/>
      <c r="YU14" s="28"/>
      <c r="YV14" s="28"/>
      <c r="YW14" s="28"/>
      <c r="YX14" s="28"/>
      <c r="YY14" s="28"/>
      <c r="YZ14" s="28"/>
      <c r="ZA14" s="28"/>
      <c r="ZB14" s="28"/>
      <c r="ZC14" s="28"/>
      <c r="ZD14" s="28"/>
      <c r="ZE14" s="28"/>
      <c r="ZF14" s="28"/>
      <c r="ZG14" s="28"/>
      <c r="ZH14" s="28"/>
      <c r="ZI14" s="28"/>
      <c r="ZJ14" s="28"/>
      <c r="ZK14" s="28"/>
      <c r="ZL14" s="28"/>
      <c r="ZM14" s="28"/>
      <c r="ZN14" s="28"/>
      <c r="ZO14" s="28"/>
      <c r="ZP14" s="28"/>
      <c r="ZQ14" s="28"/>
      <c r="ZR14" s="28"/>
      <c r="ZS14" s="28"/>
      <c r="ZT14" s="28"/>
      <c r="ZU14" s="28"/>
      <c r="ZV14" s="28"/>
      <c r="ZW14" s="28"/>
      <c r="ZX14" s="28"/>
      <c r="ZY14" s="28"/>
      <c r="ZZ14" s="28"/>
      <c r="AAA14" s="28"/>
      <c r="AAB14" s="28"/>
      <c r="AAC14" s="28"/>
      <c r="AAD14" s="28"/>
      <c r="AAE14" s="28"/>
      <c r="AAF14" s="28"/>
      <c r="AAG14" s="28"/>
      <c r="AAH14" s="28"/>
      <c r="AAI14" s="28"/>
      <c r="AAJ14" s="28"/>
      <c r="AAK14" s="28"/>
      <c r="AAL14" s="28"/>
      <c r="AAM14" s="28"/>
      <c r="AAN14" s="28"/>
      <c r="AAO14" s="28"/>
      <c r="AAP14" s="28"/>
      <c r="AAQ14" s="28"/>
      <c r="AAR14" s="28"/>
      <c r="AAS14" s="28"/>
      <c r="AAT14" s="28"/>
      <c r="AAU14" s="28"/>
      <c r="AAV14" s="28"/>
      <c r="AAW14" s="28"/>
      <c r="AAX14" s="28"/>
      <c r="AAY14" s="28"/>
      <c r="AAZ14" s="28"/>
      <c r="ABA14" s="28"/>
      <c r="ABB14" s="28"/>
      <c r="ABC14" s="28"/>
      <c r="ABD14" s="28"/>
      <c r="ABE14" s="28"/>
      <c r="ABF14" s="28"/>
      <c r="ABG14" s="28"/>
      <c r="ABH14" s="28"/>
      <c r="ABI14" s="28"/>
      <c r="ABJ14" s="28"/>
      <c r="ABK14" s="28"/>
      <c r="ABL14" s="28"/>
      <c r="ABM14" s="28"/>
      <c r="ABN14" s="28"/>
      <c r="ABO14" s="28"/>
      <c r="ABP14" s="28"/>
      <c r="ABQ14" s="28"/>
      <c r="ABR14" s="28"/>
      <c r="ABS14" s="28"/>
      <c r="ABT14" s="28"/>
      <c r="ABU14" s="28"/>
      <c r="ABV14" s="28"/>
      <c r="ABW14" s="28"/>
      <c r="ABX14" s="28"/>
      <c r="ABY14" s="28"/>
      <c r="ABZ14" s="28"/>
      <c r="ACA14" s="28"/>
      <c r="ACB14" s="28"/>
      <c r="ACC14" s="28"/>
      <c r="ACD14" s="28"/>
      <c r="ACE14" s="28"/>
      <c r="ACF14" s="28"/>
      <c r="ACG14" s="28"/>
      <c r="ACH14" s="28"/>
      <c r="ACI14" s="28"/>
      <c r="ACJ14" s="28"/>
      <c r="ACK14" s="28"/>
      <c r="ACL14" s="28"/>
      <c r="ACM14" s="28"/>
      <c r="ACN14" s="28"/>
      <c r="ACO14" s="28"/>
      <c r="ACP14" s="28"/>
      <c r="ACQ14" s="28"/>
      <c r="ACR14" s="28"/>
      <c r="ACS14" s="28"/>
      <c r="ACT14" s="28"/>
      <c r="ACU14" s="28"/>
      <c r="ACV14" s="28"/>
      <c r="ACW14" s="28"/>
      <c r="ACX14" s="28"/>
      <c r="ACY14" s="28"/>
      <c r="ACZ14" s="28"/>
      <c r="ADA14" s="28"/>
      <c r="ADB14" s="28"/>
      <c r="ADC14" s="28"/>
      <c r="ADD14" s="28"/>
      <c r="ADE14" s="28"/>
      <c r="ADF14" s="28"/>
      <c r="ADG14" s="28"/>
      <c r="ADH14" s="28"/>
      <c r="ADI14" s="28"/>
      <c r="ADJ14" s="28"/>
      <c r="ADK14" s="28"/>
      <c r="ADL14" s="28"/>
      <c r="ADM14" s="28"/>
      <c r="ADN14" s="28"/>
      <c r="ADO14" s="28"/>
      <c r="ADP14" s="28"/>
      <c r="ADQ14" s="28"/>
      <c r="ADR14" s="28"/>
      <c r="ADS14" s="28"/>
      <c r="ADT14" s="28"/>
      <c r="ADU14" s="28"/>
      <c r="ADV14" s="28"/>
      <c r="ADW14" s="28"/>
      <c r="ADX14" s="28"/>
      <c r="ADY14" s="28"/>
      <c r="ADZ14" s="28"/>
      <c r="AEA14" s="28"/>
      <c r="AEB14" s="28"/>
      <c r="AEC14" s="28"/>
      <c r="AED14" s="28"/>
      <c r="AEE14" s="28"/>
      <c r="AEF14" s="28"/>
      <c r="AEG14" s="28"/>
      <c r="AEH14" s="28"/>
      <c r="AEI14" s="28"/>
      <c r="AEJ14" s="28"/>
      <c r="AEK14" s="28"/>
      <c r="AEL14" s="28"/>
      <c r="AEM14" s="28"/>
      <c r="AEN14" s="28"/>
      <c r="AEO14" s="28"/>
      <c r="AEP14" s="28"/>
      <c r="AEQ14" s="28"/>
      <c r="AER14" s="28"/>
      <c r="AES14" s="28"/>
      <c r="AET14" s="28"/>
      <c r="AEU14" s="28"/>
      <c r="AEV14" s="28"/>
      <c r="AEW14" s="28"/>
      <c r="AEX14" s="28"/>
      <c r="AEY14" s="28"/>
      <c r="AEZ14" s="28"/>
      <c r="AFA14" s="28"/>
      <c r="AFB14" s="28"/>
      <c r="AFC14" s="28"/>
      <c r="AFD14" s="28"/>
      <c r="AFE14" s="28"/>
      <c r="AFF14" s="28"/>
      <c r="AFG14" s="28"/>
      <c r="AFH14" s="28"/>
      <c r="AFI14" s="28"/>
      <c r="AFJ14" s="28"/>
      <c r="AFK14" s="28"/>
      <c r="AFL14" s="28"/>
      <c r="AFM14" s="28"/>
      <c r="AFN14" s="28"/>
      <c r="AFO14" s="28"/>
      <c r="AFP14" s="28"/>
      <c r="AFQ14" s="28"/>
      <c r="AFR14" s="28"/>
      <c r="AFS14" s="28"/>
      <c r="AFT14" s="28"/>
      <c r="AFU14" s="28"/>
      <c r="AFV14" s="28"/>
      <c r="AFW14" s="28"/>
      <c r="AFX14" s="28"/>
      <c r="AFY14" s="28"/>
      <c r="AFZ14" s="28"/>
      <c r="AGA14" s="28"/>
      <c r="AGB14" s="28"/>
      <c r="AGC14" s="28"/>
      <c r="AGD14" s="28"/>
      <c r="AGE14" s="28"/>
      <c r="AGF14" s="28"/>
      <c r="AGG14" s="28"/>
      <c r="AGH14" s="28"/>
      <c r="AGI14" s="28"/>
      <c r="AGJ14" s="28"/>
      <c r="AGK14" s="28"/>
      <c r="AGL14" s="28"/>
      <c r="AGM14" s="28"/>
      <c r="AGN14" s="28"/>
      <c r="AGO14" s="28"/>
      <c r="AGP14" s="28"/>
      <c r="AGQ14" s="28"/>
      <c r="AGR14" s="28"/>
      <c r="AGS14" s="28"/>
      <c r="AGT14" s="28"/>
      <c r="AGU14" s="28"/>
      <c r="AGV14" s="28"/>
      <c r="AGW14" s="28"/>
      <c r="AGX14" s="28"/>
      <c r="AGY14" s="28"/>
      <c r="AGZ14" s="28"/>
      <c r="AHA14" s="28"/>
      <c r="AHB14" s="28"/>
      <c r="AHC14" s="28"/>
      <c r="AHD14" s="28"/>
      <c r="AHE14" s="28"/>
      <c r="AHF14" s="28"/>
      <c r="AHG14" s="28"/>
      <c r="AHH14" s="28"/>
      <c r="AHI14" s="28"/>
      <c r="AHJ14" s="28"/>
      <c r="AHK14" s="28"/>
      <c r="AHL14" s="28"/>
      <c r="AHM14" s="28"/>
      <c r="AHN14" s="28"/>
      <c r="AHO14" s="28"/>
      <c r="AHP14" s="28"/>
      <c r="AHQ14" s="28"/>
      <c r="AHR14" s="28"/>
      <c r="AHS14" s="28"/>
      <c r="AHT14" s="28"/>
      <c r="AHU14" s="28"/>
      <c r="AHV14" s="28"/>
      <c r="AHW14" s="28"/>
      <c r="AHX14" s="28"/>
      <c r="AHY14" s="28"/>
      <c r="AHZ14" s="28"/>
      <c r="AIA14" s="28"/>
      <c r="AIB14" s="28"/>
      <c r="AIC14" s="28"/>
      <c r="AID14" s="28"/>
      <c r="AIE14" s="28"/>
      <c r="AIF14" s="28"/>
      <c r="AIG14" s="28"/>
      <c r="AIH14" s="28"/>
      <c r="AII14" s="28"/>
      <c r="AIJ14" s="28"/>
      <c r="AIK14" s="28"/>
      <c r="AIL14" s="28"/>
      <c r="AIM14" s="28"/>
      <c r="AIN14" s="28"/>
      <c r="AIO14" s="28"/>
      <c r="AIP14" s="28"/>
      <c r="AIQ14" s="28"/>
      <c r="AIR14" s="28"/>
      <c r="AIS14" s="28"/>
      <c r="AIT14" s="28"/>
      <c r="AIU14" s="28"/>
      <c r="AIV14" s="28"/>
      <c r="AIW14" s="28"/>
      <c r="AIX14" s="28"/>
      <c r="AIY14" s="28"/>
      <c r="AIZ14" s="28"/>
      <c r="AJA14" s="28"/>
      <c r="AJB14" s="28"/>
      <c r="AJC14" s="28"/>
      <c r="AJD14" s="28"/>
      <c r="AJE14" s="28"/>
      <c r="AJF14" s="28"/>
      <c r="AJG14" s="28"/>
      <c r="AJH14" s="28"/>
      <c r="AJI14" s="28"/>
      <c r="AJJ14" s="28"/>
      <c r="AJK14" s="28"/>
      <c r="AJL14" s="28"/>
      <c r="AJM14" s="28"/>
      <c r="AJN14" s="28"/>
      <c r="AJO14" s="28"/>
      <c r="AJP14" s="28"/>
      <c r="AJQ14" s="28"/>
      <c r="AJR14" s="28"/>
      <c r="AJS14" s="28"/>
      <c r="AJT14" s="28"/>
      <c r="AJU14" s="28"/>
      <c r="AJV14" s="28"/>
      <c r="AJW14" s="28"/>
      <c r="AJX14" s="28"/>
      <c r="AJY14" s="28"/>
      <c r="AJZ14" s="28"/>
      <c r="AKA14" s="28"/>
      <c r="AKB14" s="28"/>
      <c r="AKC14" s="28"/>
      <c r="AKD14" s="28"/>
      <c r="AKE14" s="28"/>
      <c r="AKF14" s="28"/>
      <c r="AKG14" s="28"/>
      <c r="AKH14" s="28"/>
      <c r="AKI14" s="28"/>
      <c r="AKJ14" s="28"/>
      <c r="AKK14" s="28"/>
      <c r="AKL14" s="28"/>
      <c r="AKM14" s="28"/>
      <c r="AKN14" s="28"/>
      <c r="AKO14" s="28"/>
      <c r="AKP14" s="28"/>
      <c r="AKQ14" s="28"/>
      <c r="AKR14" s="28"/>
      <c r="AKS14" s="28"/>
      <c r="AKT14" s="28"/>
      <c r="AKU14" s="28"/>
      <c r="AKV14" s="28"/>
      <c r="AKW14" s="28"/>
      <c r="AKX14" s="28"/>
      <c r="AKY14" s="28"/>
      <c r="AKZ14" s="28"/>
      <c r="ALA14" s="28"/>
      <c r="ALB14" s="28"/>
      <c r="ALC14" s="28"/>
      <c r="ALD14" s="28"/>
      <c r="ALE14" s="28"/>
      <c r="ALF14" s="28"/>
      <c r="ALG14" s="28"/>
      <c r="ALH14" s="28"/>
      <c r="ALI14" s="28"/>
      <c r="ALJ14" s="28"/>
      <c r="ALK14" s="28"/>
      <c r="ALL14" s="28"/>
      <c r="ALM14" s="28"/>
      <c r="ALN14" s="28"/>
      <c r="ALO14" s="28"/>
      <c r="ALP14" s="28"/>
      <c r="ALQ14" s="28"/>
      <c r="ALR14" s="28"/>
      <c r="ALS14" s="28"/>
      <c r="ALT14" s="28"/>
      <c r="ALU14" s="28"/>
      <c r="ALV14" s="28"/>
      <c r="ALW14" s="28"/>
      <c r="ALX14" s="28"/>
      <c r="ALY14" s="28"/>
      <c r="ALZ14" s="28"/>
      <c r="AMA14" s="28"/>
      <c r="AMB14" s="28"/>
      <c r="AMC14" s="28"/>
      <c r="AMD14" s="28"/>
      <c r="AME14" s="28"/>
      <c r="AMF14" s="28"/>
      <c r="AMG14" s="28"/>
      <c r="AMH14" s="28"/>
      <c r="AMI14" s="28"/>
      <c r="AMJ14" s="28"/>
      <c r="AMK14" s="28"/>
      <c r="AML14" s="28"/>
      <c r="AMM14" s="28"/>
      <c r="AMN14" s="28"/>
      <c r="AMO14" s="28"/>
      <c r="AMP14" s="28"/>
      <c r="AMQ14" s="28"/>
      <c r="AMR14" s="28"/>
      <c r="AMS14" s="28"/>
      <c r="AMT14" s="28"/>
      <c r="AMU14" s="28"/>
      <c r="AMV14" s="28"/>
      <c r="AMW14" s="28"/>
      <c r="AMX14" s="28"/>
      <c r="AMY14" s="28"/>
      <c r="AMZ14" s="28"/>
      <c r="ANA14" s="28"/>
      <c r="ANB14" s="28"/>
      <c r="ANC14" s="28"/>
      <c r="AND14" s="28"/>
      <c r="ANE14" s="28"/>
      <c r="ANF14" s="28"/>
      <c r="ANG14" s="28"/>
      <c r="ANH14" s="28"/>
      <c r="ANI14" s="28"/>
      <c r="ANJ14" s="28"/>
      <c r="ANK14" s="28"/>
      <c r="ANL14" s="28"/>
      <c r="ANM14" s="28"/>
      <c r="ANN14" s="28"/>
      <c r="ANO14" s="28"/>
      <c r="ANP14" s="28"/>
      <c r="ANQ14" s="28"/>
      <c r="ANR14" s="28"/>
      <c r="ANS14" s="28"/>
      <c r="ANT14" s="28"/>
      <c r="ANU14" s="28"/>
      <c r="ANV14" s="28"/>
      <c r="ANW14" s="28"/>
      <c r="ANX14" s="28"/>
      <c r="ANY14" s="28"/>
      <c r="ANZ14" s="28"/>
      <c r="AOA14" s="28"/>
      <c r="AOB14" s="28"/>
      <c r="AOC14" s="28"/>
      <c r="AOD14" s="28"/>
      <c r="AOE14" s="28"/>
      <c r="AOF14" s="28"/>
      <c r="AOG14" s="28"/>
      <c r="AOH14" s="28"/>
      <c r="AOI14" s="28"/>
      <c r="AOJ14" s="28"/>
      <c r="AOK14" s="28"/>
      <c r="AOL14" s="28"/>
      <c r="AOM14" s="28"/>
      <c r="AON14" s="28"/>
      <c r="AOO14" s="28"/>
      <c r="AOP14" s="28"/>
      <c r="AOQ14" s="28"/>
      <c r="AOR14" s="28"/>
      <c r="AOS14" s="28"/>
      <c r="AOT14" s="28"/>
      <c r="AOU14" s="28"/>
      <c r="AOV14" s="28"/>
      <c r="AOW14" s="28"/>
      <c r="AOX14" s="28"/>
      <c r="AOY14" s="28"/>
      <c r="AOZ14" s="28"/>
      <c r="APA14" s="28"/>
      <c r="APB14" s="28"/>
      <c r="APC14" s="28"/>
      <c r="APD14" s="28"/>
      <c r="APE14" s="28"/>
      <c r="APF14" s="28"/>
      <c r="APG14" s="28"/>
      <c r="APH14" s="28"/>
      <c r="API14" s="28"/>
      <c r="APJ14" s="28"/>
      <c r="APK14" s="28"/>
      <c r="APL14" s="28"/>
      <c r="APM14" s="28"/>
      <c r="APN14" s="28"/>
      <c r="APO14" s="28"/>
      <c r="APP14" s="28"/>
      <c r="APQ14" s="28"/>
      <c r="APR14" s="28"/>
      <c r="APS14" s="28"/>
      <c r="APT14" s="28"/>
      <c r="APU14" s="28"/>
      <c r="APV14" s="28"/>
      <c r="APW14" s="28"/>
      <c r="APX14" s="28"/>
      <c r="APY14" s="28"/>
      <c r="APZ14" s="28"/>
      <c r="AQA14" s="28"/>
      <c r="AQB14" s="28"/>
      <c r="AQC14" s="28"/>
      <c r="AQD14" s="28"/>
      <c r="AQE14" s="28"/>
      <c r="AQF14" s="28"/>
      <c r="AQG14" s="28"/>
      <c r="AQH14" s="28"/>
      <c r="AQI14" s="28"/>
      <c r="AQJ14" s="28"/>
      <c r="AQK14" s="28"/>
      <c r="AQL14" s="28"/>
      <c r="AQM14" s="28"/>
      <c r="AQN14" s="28"/>
      <c r="AQO14" s="28"/>
      <c r="AQP14" s="28"/>
      <c r="AQQ14" s="28"/>
      <c r="AQR14" s="28"/>
      <c r="AQS14" s="28"/>
      <c r="AQT14" s="28"/>
      <c r="AQU14" s="28"/>
      <c r="AQV14" s="28"/>
      <c r="AQW14" s="28"/>
      <c r="AQX14" s="28"/>
      <c r="AQY14" s="28"/>
      <c r="AQZ14" s="28"/>
      <c r="ARA14" s="28"/>
      <c r="ARB14" s="28"/>
      <c r="ARC14" s="28"/>
      <c r="ARD14" s="28"/>
      <c r="ARE14" s="28"/>
      <c r="ARF14" s="28"/>
      <c r="ARG14" s="28"/>
      <c r="ARH14" s="28"/>
      <c r="ARI14" s="28"/>
      <c r="ARJ14" s="28"/>
      <c r="ARK14" s="28"/>
      <c r="ARL14" s="28"/>
      <c r="ARM14" s="28"/>
      <c r="ARN14" s="28"/>
      <c r="ARO14" s="28"/>
      <c r="ARP14" s="28"/>
      <c r="ARQ14" s="28"/>
      <c r="ARR14" s="28"/>
      <c r="ARS14" s="28"/>
      <c r="ART14" s="28"/>
      <c r="ARU14" s="28"/>
      <c r="ARV14" s="28"/>
      <c r="ARW14" s="28"/>
      <c r="ARX14" s="28"/>
      <c r="ARY14" s="28"/>
      <c r="ARZ14" s="28"/>
      <c r="ASA14" s="28"/>
      <c r="ASB14" s="28"/>
      <c r="ASC14" s="28"/>
      <c r="ASD14" s="28"/>
      <c r="ASE14" s="28"/>
      <c r="ASF14" s="28"/>
      <c r="ASG14" s="28"/>
      <c r="ASH14" s="28"/>
      <c r="ASI14" s="28"/>
      <c r="ASJ14" s="28"/>
      <c r="ASK14" s="28"/>
      <c r="ASL14" s="28"/>
      <c r="ASM14" s="28"/>
      <c r="ASN14" s="28"/>
      <c r="ASO14" s="28"/>
      <c r="ASP14" s="28"/>
      <c r="ASQ14" s="28"/>
      <c r="ASR14" s="28"/>
      <c r="ASS14" s="28"/>
      <c r="AST14" s="28"/>
      <c r="ASU14" s="28"/>
      <c r="ASV14" s="28"/>
      <c r="ASW14" s="28"/>
      <c r="ASX14" s="28"/>
      <c r="ASY14" s="28"/>
      <c r="ASZ14" s="28"/>
      <c r="ATA14" s="28"/>
      <c r="ATB14" s="28"/>
      <c r="ATC14" s="28"/>
      <c r="ATD14" s="28"/>
      <c r="ATE14" s="28"/>
      <c r="ATF14" s="28"/>
      <c r="ATG14" s="28"/>
      <c r="ATH14" s="28"/>
      <c r="ATI14" s="28"/>
      <c r="ATJ14" s="28"/>
      <c r="ATK14" s="28"/>
      <c r="ATL14" s="28"/>
      <c r="ATM14" s="28"/>
      <c r="ATN14" s="28"/>
      <c r="ATO14" s="28"/>
      <c r="ATP14" s="28"/>
      <c r="ATQ14" s="28"/>
      <c r="ATR14" s="28"/>
      <c r="ATS14" s="28"/>
      <c r="ATT14" s="28"/>
      <c r="ATU14" s="28"/>
      <c r="ATV14" s="28"/>
      <c r="ATW14" s="28"/>
      <c r="ATX14" s="28"/>
      <c r="ATY14" s="28"/>
      <c r="ATZ14" s="28"/>
      <c r="AUA14" s="28"/>
      <c r="AUB14" s="28"/>
      <c r="AUC14" s="28"/>
      <c r="AUD14" s="28"/>
      <c r="AUE14" s="28"/>
      <c r="AUF14" s="28"/>
      <c r="AUG14" s="28"/>
      <c r="AUH14" s="28"/>
      <c r="AUI14" s="28"/>
      <c r="AUJ14" s="28"/>
      <c r="AUK14" s="28"/>
      <c r="AUL14" s="28"/>
      <c r="AUM14" s="28"/>
      <c r="AUN14" s="28"/>
      <c r="AUO14" s="28"/>
      <c r="AUP14" s="28"/>
      <c r="AUQ14" s="28"/>
      <c r="AUR14" s="28"/>
      <c r="AUS14" s="28"/>
      <c r="AUT14" s="28"/>
      <c r="AUU14" s="28"/>
      <c r="AUV14" s="28"/>
      <c r="AUW14" s="28"/>
      <c r="AUX14" s="28"/>
      <c r="AUY14" s="28"/>
      <c r="AUZ14" s="28"/>
      <c r="AVA14" s="28"/>
      <c r="AVB14" s="28"/>
      <c r="AVC14" s="28"/>
      <c r="AVD14" s="28"/>
      <c r="AVE14" s="28"/>
      <c r="AVF14" s="28"/>
      <c r="AVG14" s="28"/>
      <c r="AVH14" s="28"/>
      <c r="AVI14" s="28"/>
      <c r="AVJ14" s="28"/>
      <c r="AVK14" s="28"/>
      <c r="AVL14" s="28"/>
      <c r="AVM14" s="28"/>
      <c r="AVN14" s="28"/>
      <c r="AVO14" s="28"/>
      <c r="AVP14" s="28"/>
      <c r="AVQ14" s="28"/>
      <c r="AVR14" s="28"/>
      <c r="AVS14" s="28"/>
      <c r="AVT14" s="28"/>
      <c r="AVU14" s="28"/>
      <c r="AVV14" s="28"/>
      <c r="AVW14" s="28"/>
      <c r="AVX14" s="28"/>
      <c r="AVY14" s="28"/>
      <c r="AVZ14" s="28"/>
      <c r="AWA14" s="28"/>
      <c r="AWB14" s="28"/>
      <c r="AWC14" s="28"/>
      <c r="AWD14" s="28"/>
      <c r="AWE14" s="28"/>
      <c r="AWF14" s="28"/>
      <c r="AWG14" s="28"/>
      <c r="AWH14" s="28"/>
      <c r="AWI14" s="28"/>
      <c r="AWJ14" s="28"/>
      <c r="AWK14" s="28"/>
      <c r="AWL14" s="28"/>
      <c r="AWM14" s="28"/>
      <c r="AWN14" s="28"/>
      <c r="AWO14" s="28"/>
      <c r="AWP14" s="28"/>
      <c r="AWQ14" s="28"/>
      <c r="AWR14" s="28"/>
      <c r="AWS14" s="28"/>
      <c r="AWT14" s="28"/>
      <c r="AWU14" s="28"/>
      <c r="AWV14" s="28"/>
      <c r="AWW14" s="28"/>
      <c r="AWX14" s="28"/>
      <c r="AWY14" s="28"/>
      <c r="AWZ14" s="28"/>
      <c r="AXA14" s="28"/>
      <c r="AXB14" s="28"/>
      <c r="AXC14" s="28"/>
      <c r="AXD14" s="28"/>
      <c r="AXE14" s="28"/>
      <c r="AXF14" s="28"/>
      <c r="AXG14" s="28"/>
      <c r="AXH14" s="28"/>
      <c r="AXI14" s="28"/>
      <c r="AXJ14" s="28"/>
      <c r="AXK14" s="28"/>
      <c r="AXL14" s="28"/>
      <c r="AXM14" s="28"/>
      <c r="AXN14" s="28"/>
      <c r="AXO14" s="28"/>
      <c r="AXP14" s="28"/>
      <c r="AXQ14" s="28"/>
      <c r="AXR14" s="28"/>
      <c r="AXS14" s="28"/>
      <c r="AXT14" s="28"/>
      <c r="AXU14" s="28"/>
      <c r="AXV14" s="28"/>
      <c r="AXW14" s="28"/>
      <c r="AXX14" s="28"/>
      <c r="AXY14" s="28"/>
      <c r="AXZ14" s="28"/>
      <c r="AYA14" s="28"/>
      <c r="AYB14" s="28"/>
      <c r="AYC14" s="28"/>
      <c r="AYD14" s="28"/>
      <c r="AYE14" s="28"/>
      <c r="AYF14" s="28"/>
      <c r="AYG14" s="28"/>
      <c r="AYH14" s="28"/>
      <c r="AYI14" s="28"/>
      <c r="AYJ14" s="28"/>
      <c r="AYK14" s="28"/>
      <c r="AYL14" s="28"/>
      <c r="AYM14" s="28"/>
      <c r="AYN14" s="28"/>
      <c r="AYO14" s="28"/>
      <c r="AYP14" s="28"/>
      <c r="AYQ14" s="28"/>
      <c r="AYR14" s="28"/>
      <c r="AYS14" s="28"/>
      <c r="AYT14" s="28"/>
      <c r="AYU14" s="28"/>
      <c r="AYV14" s="28"/>
      <c r="AYW14" s="28"/>
      <c r="AYX14" s="28"/>
      <c r="AYY14" s="28"/>
      <c r="AYZ14" s="28"/>
      <c r="AZA14" s="28"/>
      <c r="AZB14" s="28"/>
      <c r="AZC14" s="28"/>
      <c r="AZD14" s="28"/>
      <c r="AZE14" s="28"/>
      <c r="AZF14" s="28"/>
      <c r="AZG14" s="28"/>
      <c r="AZH14" s="28"/>
      <c r="AZI14" s="28"/>
      <c r="AZJ14" s="28"/>
      <c r="AZK14" s="28"/>
      <c r="AZL14" s="28"/>
      <c r="AZM14" s="28"/>
      <c r="AZN14" s="28"/>
      <c r="AZO14" s="28"/>
      <c r="AZP14" s="28"/>
      <c r="AZQ14" s="28"/>
      <c r="AZR14" s="28"/>
      <c r="AZS14" s="28"/>
      <c r="AZT14" s="28"/>
      <c r="AZU14" s="28"/>
      <c r="AZV14" s="28"/>
      <c r="AZW14" s="28"/>
      <c r="AZX14" s="28"/>
      <c r="AZY14" s="28"/>
      <c r="AZZ14" s="28"/>
      <c r="BAA14" s="28"/>
      <c r="BAB14" s="28"/>
      <c r="BAC14" s="28"/>
      <c r="BAD14" s="28"/>
      <c r="BAE14" s="28"/>
      <c r="BAF14" s="28"/>
      <c r="BAG14" s="28"/>
      <c r="BAH14" s="28"/>
      <c r="BAI14" s="28"/>
      <c r="BAJ14" s="28"/>
      <c r="BAK14" s="28"/>
      <c r="BAL14" s="28"/>
      <c r="BAM14" s="28"/>
      <c r="BAN14" s="28"/>
      <c r="BAO14" s="28"/>
      <c r="BAP14" s="28"/>
      <c r="BAQ14" s="28"/>
      <c r="BAR14" s="28"/>
      <c r="BAS14" s="28"/>
      <c r="BAT14" s="28"/>
      <c r="BAU14" s="28"/>
      <c r="BAV14" s="28"/>
      <c r="BAW14" s="28"/>
      <c r="BAX14" s="28"/>
      <c r="BAY14" s="28"/>
      <c r="BAZ14" s="28"/>
      <c r="BBA14" s="28"/>
      <c r="BBB14" s="28"/>
      <c r="BBC14" s="28"/>
      <c r="BBD14" s="28"/>
      <c r="BBE14" s="28"/>
      <c r="BBF14" s="28"/>
      <c r="BBG14" s="28"/>
      <c r="BBH14" s="28"/>
      <c r="BBI14" s="28"/>
      <c r="BBJ14" s="28"/>
      <c r="BBK14" s="28"/>
      <c r="BBL14" s="28"/>
      <c r="BBM14" s="28"/>
      <c r="BBN14" s="28"/>
      <c r="BBO14" s="28"/>
      <c r="BBP14" s="28"/>
      <c r="BBQ14" s="28"/>
      <c r="BBR14" s="28"/>
      <c r="BBS14" s="28"/>
      <c r="BBT14" s="28"/>
      <c r="BBU14" s="28"/>
      <c r="BBV14" s="28"/>
      <c r="BBW14" s="28"/>
      <c r="BBX14" s="28"/>
      <c r="BBY14" s="28"/>
      <c r="BBZ14" s="28"/>
      <c r="BCA14" s="28"/>
      <c r="BCB14" s="28"/>
      <c r="BCC14" s="28"/>
      <c r="BCD14" s="28"/>
      <c r="BCE14" s="28"/>
      <c r="BCF14" s="28"/>
      <c r="BCG14" s="28"/>
      <c r="BCH14" s="28"/>
      <c r="BCI14" s="28"/>
      <c r="BCJ14" s="28"/>
      <c r="BCK14" s="28"/>
      <c r="BCL14" s="28"/>
      <c r="BCM14" s="28"/>
      <c r="BCN14" s="28"/>
      <c r="BCO14" s="28"/>
      <c r="BCP14" s="28"/>
      <c r="BCQ14" s="28"/>
      <c r="BCR14" s="28"/>
      <c r="BCS14" s="28"/>
      <c r="BCT14" s="28"/>
      <c r="BCU14" s="28"/>
      <c r="BCV14" s="28"/>
      <c r="BCW14" s="28"/>
      <c r="BCX14" s="28"/>
      <c r="BCY14" s="28"/>
      <c r="BCZ14" s="28"/>
      <c r="BDA14" s="28"/>
      <c r="BDB14" s="28"/>
      <c r="BDC14" s="28"/>
      <c r="BDD14" s="28"/>
      <c r="BDE14" s="28"/>
      <c r="BDF14" s="28"/>
      <c r="BDG14" s="28"/>
      <c r="BDH14" s="28"/>
      <c r="BDI14" s="28"/>
      <c r="BDJ14" s="28"/>
      <c r="BDK14" s="28"/>
      <c r="BDL14" s="28"/>
      <c r="BDM14" s="28"/>
      <c r="BDN14" s="28"/>
      <c r="BDO14" s="28"/>
      <c r="BDP14" s="28"/>
      <c r="BDQ14" s="28"/>
      <c r="BDR14" s="28"/>
      <c r="BDS14" s="28"/>
      <c r="BDT14" s="28"/>
      <c r="BDU14" s="28"/>
      <c r="BDV14" s="28"/>
      <c r="BDW14" s="28"/>
      <c r="BDX14" s="28"/>
      <c r="BDY14" s="28"/>
      <c r="BDZ14" s="28"/>
      <c r="BEA14" s="28"/>
      <c r="BEB14" s="28"/>
      <c r="BEC14" s="28"/>
      <c r="BED14" s="28"/>
      <c r="BEE14" s="28"/>
      <c r="BEF14" s="28"/>
      <c r="BEG14" s="28"/>
      <c r="BEH14" s="28"/>
      <c r="BEI14" s="28"/>
      <c r="BEJ14" s="28"/>
      <c r="BEK14" s="28"/>
      <c r="BEL14" s="28"/>
      <c r="BEM14" s="28"/>
      <c r="BEN14" s="28"/>
      <c r="BEO14" s="28"/>
      <c r="BEP14" s="28"/>
      <c r="BEQ14" s="28"/>
      <c r="BER14" s="28"/>
      <c r="BES14" s="28"/>
      <c r="BET14" s="28"/>
      <c r="BEU14" s="28"/>
      <c r="BEV14" s="28"/>
      <c r="BEW14" s="28"/>
      <c r="BEX14" s="28"/>
      <c r="BEY14" s="28"/>
      <c r="BEZ14" s="28"/>
      <c r="BFA14" s="28"/>
      <c r="BFB14" s="28"/>
      <c r="BFC14" s="28"/>
      <c r="BFD14" s="28"/>
      <c r="BFE14" s="28"/>
      <c r="BFF14" s="28"/>
      <c r="BFG14" s="28"/>
      <c r="BFH14" s="28"/>
      <c r="BFI14" s="28"/>
      <c r="BFJ14" s="28"/>
      <c r="BFK14" s="28"/>
      <c r="BFL14" s="28"/>
      <c r="BFM14" s="28"/>
      <c r="BFN14" s="28"/>
      <c r="BFO14" s="28"/>
      <c r="BFP14" s="28"/>
      <c r="BFQ14" s="28"/>
      <c r="BFR14" s="28"/>
      <c r="BFS14" s="28"/>
      <c r="BFT14" s="28"/>
      <c r="BFU14" s="28"/>
      <c r="BFV14" s="28"/>
      <c r="BFW14" s="28"/>
      <c r="BFX14" s="28"/>
      <c r="BFY14" s="28"/>
      <c r="BFZ14" s="28"/>
      <c r="BGA14" s="28"/>
      <c r="BGB14" s="28"/>
      <c r="BGC14" s="28"/>
      <c r="BGD14" s="28"/>
      <c r="BGE14" s="28"/>
      <c r="BGF14" s="28"/>
      <c r="BGG14" s="28"/>
      <c r="BGH14" s="28"/>
      <c r="BGI14" s="28"/>
      <c r="BGJ14" s="28"/>
      <c r="BGK14" s="28"/>
      <c r="BGL14" s="28"/>
      <c r="BGM14" s="28"/>
      <c r="BGN14" s="28"/>
      <c r="BGO14" s="28"/>
      <c r="BGP14" s="28"/>
      <c r="BGQ14" s="28"/>
      <c r="BGR14" s="28"/>
      <c r="BGS14" s="28"/>
      <c r="BGT14" s="28"/>
      <c r="BGU14" s="28"/>
      <c r="BGV14" s="28"/>
      <c r="BGW14" s="28"/>
      <c r="BGX14" s="28"/>
      <c r="BGY14" s="28"/>
      <c r="BGZ14" s="28"/>
      <c r="BHA14" s="28"/>
      <c r="BHB14" s="28"/>
      <c r="BHC14" s="28"/>
      <c r="BHD14" s="28"/>
      <c r="BHE14" s="28"/>
      <c r="BHF14" s="28"/>
      <c r="BHG14" s="28"/>
      <c r="BHH14" s="28"/>
      <c r="BHI14" s="28"/>
      <c r="BHJ14" s="28"/>
      <c r="BHK14" s="28"/>
      <c r="BHL14" s="28"/>
      <c r="BHM14" s="28"/>
      <c r="BHN14" s="28"/>
      <c r="BHO14" s="28"/>
      <c r="BHP14" s="28"/>
      <c r="BHQ14" s="28"/>
      <c r="BHR14" s="28"/>
      <c r="BHS14" s="28"/>
      <c r="BHT14" s="28"/>
      <c r="BHU14" s="28"/>
      <c r="BHV14" s="28"/>
      <c r="BHW14" s="28"/>
      <c r="BHX14" s="28"/>
      <c r="BHY14" s="28"/>
      <c r="BHZ14" s="28"/>
      <c r="BIA14" s="28"/>
      <c r="BIB14" s="28"/>
      <c r="BIC14" s="28"/>
      <c r="BID14" s="28"/>
      <c r="BIE14" s="28"/>
      <c r="BIF14" s="28"/>
      <c r="BIG14" s="28"/>
      <c r="BIH14" s="28"/>
      <c r="BII14" s="28"/>
      <c r="BIJ14" s="28"/>
      <c r="BIK14" s="28"/>
      <c r="BIL14" s="28"/>
      <c r="BIM14" s="28"/>
      <c r="BIN14" s="28"/>
      <c r="BIO14" s="28"/>
      <c r="BIP14" s="28"/>
      <c r="BIQ14" s="28"/>
      <c r="BIR14" s="28"/>
      <c r="BIS14" s="28"/>
      <c r="BIT14" s="28"/>
      <c r="BIU14" s="28"/>
      <c r="BIV14" s="28"/>
      <c r="BIW14" s="28"/>
      <c r="BIX14" s="28"/>
      <c r="BIY14" s="28"/>
      <c r="BIZ14" s="28"/>
      <c r="BJA14" s="28"/>
      <c r="BJB14" s="28"/>
      <c r="BJC14" s="28"/>
      <c r="BJD14" s="28"/>
      <c r="BJE14" s="28"/>
      <c r="BJF14" s="28"/>
      <c r="BJG14" s="28"/>
      <c r="BJH14" s="28"/>
      <c r="BJI14" s="28"/>
      <c r="BJJ14" s="28"/>
      <c r="BJK14" s="28"/>
      <c r="BJL14" s="28"/>
      <c r="BJM14" s="28"/>
      <c r="BJN14" s="28"/>
      <c r="BJO14" s="28"/>
      <c r="BJP14" s="28"/>
      <c r="BJQ14" s="28"/>
      <c r="BJR14" s="28"/>
      <c r="BJS14" s="28"/>
      <c r="BJT14" s="28"/>
      <c r="BJU14" s="28"/>
      <c r="BJV14" s="28"/>
      <c r="BJW14" s="28"/>
      <c r="BJX14" s="28"/>
      <c r="BJY14" s="28"/>
      <c r="BJZ14" s="28"/>
      <c r="BKA14" s="28"/>
      <c r="BKB14" s="28"/>
      <c r="BKC14" s="28"/>
      <c r="BKD14" s="28"/>
      <c r="BKE14" s="28"/>
      <c r="BKF14" s="28"/>
      <c r="BKG14" s="28"/>
      <c r="BKH14" s="28"/>
      <c r="BKI14" s="28"/>
      <c r="BKJ14" s="28"/>
      <c r="BKK14" s="28"/>
      <c r="BKL14" s="28"/>
      <c r="BKM14" s="28"/>
      <c r="BKN14" s="28"/>
      <c r="BKO14" s="28"/>
      <c r="BKP14" s="28"/>
      <c r="BKQ14" s="28"/>
      <c r="BKR14" s="28"/>
      <c r="BKS14" s="28"/>
      <c r="BKT14" s="28"/>
      <c r="BKU14" s="28"/>
      <c r="BKV14" s="28"/>
      <c r="BKW14" s="28"/>
      <c r="BKX14" s="28"/>
      <c r="BKY14" s="28"/>
      <c r="BKZ14" s="28"/>
      <c r="BLA14" s="28"/>
      <c r="BLB14" s="28"/>
      <c r="BLC14" s="28"/>
      <c r="BLD14" s="28"/>
      <c r="BLE14" s="28"/>
      <c r="BLF14" s="28"/>
      <c r="BLG14" s="28"/>
      <c r="BLH14" s="28"/>
      <c r="BLI14" s="28"/>
      <c r="BLJ14" s="28"/>
      <c r="BLK14" s="28"/>
      <c r="BLL14" s="28"/>
      <c r="BLM14" s="28"/>
      <c r="BLN14" s="28"/>
      <c r="BLO14" s="28"/>
      <c r="BLP14" s="28"/>
      <c r="BLQ14" s="28"/>
      <c r="BLR14" s="28"/>
      <c r="BLS14" s="28"/>
      <c r="BLT14" s="28"/>
      <c r="BLU14" s="28"/>
      <c r="BLV14" s="28"/>
      <c r="BLW14" s="28"/>
      <c r="BLX14" s="28"/>
      <c r="BLY14" s="28"/>
      <c r="BLZ14" s="28"/>
      <c r="BMA14" s="28"/>
      <c r="BMB14" s="28"/>
      <c r="BMC14" s="28"/>
      <c r="BMD14" s="28"/>
      <c r="BME14" s="28"/>
      <c r="BMF14" s="28"/>
      <c r="BMG14" s="28"/>
      <c r="BMH14" s="28"/>
      <c r="BMI14" s="28"/>
      <c r="BMJ14" s="28"/>
      <c r="BMK14" s="28"/>
      <c r="BML14" s="28"/>
      <c r="BMM14" s="28"/>
      <c r="BMN14" s="28"/>
      <c r="BMO14" s="28"/>
      <c r="BMP14" s="28"/>
      <c r="BMQ14" s="28"/>
      <c r="BMR14" s="28"/>
      <c r="BMS14" s="28"/>
      <c r="BMT14" s="28"/>
      <c r="BMU14" s="28"/>
      <c r="BMV14" s="28"/>
      <c r="BMW14" s="28"/>
      <c r="BMX14" s="28"/>
      <c r="BMY14" s="28"/>
      <c r="BMZ14" s="28"/>
      <c r="BNA14" s="28"/>
      <c r="BNB14" s="28"/>
      <c r="BNC14" s="28"/>
      <c r="BND14" s="28"/>
      <c r="BNE14" s="28"/>
      <c r="BNF14" s="28"/>
      <c r="BNG14" s="28"/>
      <c r="BNH14" s="28"/>
      <c r="BNI14" s="28"/>
      <c r="BNJ14" s="28"/>
      <c r="BNK14" s="28"/>
      <c r="BNL14" s="28"/>
      <c r="BNM14" s="28"/>
      <c r="BNN14" s="28"/>
      <c r="BNO14" s="28"/>
      <c r="BNP14" s="28"/>
      <c r="BNQ14" s="28"/>
      <c r="BNR14" s="28"/>
      <c r="BNS14" s="28"/>
      <c r="BNT14" s="28"/>
      <c r="BNU14" s="28"/>
      <c r="BNV14" s="28"/>
      <c r="BNW14" s="28"/>
      <c r="BNX14" s="28"/>
      <c r="BNY14" s="28"/>
      <c r="BNZ14" s="28"/>
      <c r="BOA14" s="28"/>
      <c r="BOB14" s="28"/>
      <c r="BOC14" s="28"/>
      <c r="BOD14" s="28"/>
      <c r="BOE14" s="28"/>
      <c r="BOF14" s="28"/>
      <c r="BOG14" s="28"/>
      <c r="BOH14" s="28"/>
      <c r="BOI14" s="28"/>
      <c r="BOJ14" s="28"/>
      <c r="BOK14" s="28"/>
      <c r="BOL14" s="28"/>
      <c r="BOM14" s="28"/>
      <c r="BON14" s="28"/>
      <c r="BOO14" s="28"/>
      <c r="BOP14" s="28"/>
      <c r="BOQ14" s="28"/>
      <c r="BOR14" s="28"/>
      <c r="BOS14" s="28"/>
      <c r="BOT14" s="28"/>
      <c r="BOU14" s="28"/>
      <c r="BOV14" s="28"/>
      <c r="BOW14" s="28"/>
      <c r="BOX14" s="28"/>
      <c r="BOY14" s="28"/>
      <c r="BOZ14" s="28"/>
      <c r="BPA14" s="28"/>
      <c r="BPB14" s="28"/>
      <c r="BPC14" s="28"/>
      <c r="BPD14" s="28"/>
      <c r="BPE14" s="28"/>
      <c r="BPF14" s="28"/>
      <c r="BPG14" s="28"/>
      <c r="BPH14" s="28"/>
      <c r="BPI14" s="28"/>
      <c r="BPJ14" s="28"/>
      <c r="BPK14" s="28"/>
      <c r="BPL14" s="28"/>
      <c r="BPM14" s="28"/>
      <c r="BPN14" s="28"/>
      <c r="BPO14" s="28"/>
      <c r="BPP14" s="28"/>
      <c r="BPQ14" s="28"/>
      <c r="BPR14" s="28"/>
      <c r="BPS14" s="28"/>
      <c r="BPT14" s="28"/>
      <c r="BPU14" s="28"/>
      <c r="BPV14" s="28"/>
      <c r="BPW14" s="28"/>
      <c r="BPX14" s="28"/>
      <c r="BPY14" s="28"/>
      <c r="BPZ14" s="28"/>
      <c r="BQA14" s="28"/>
      <c r="BQB14" s="28"/>
      <c r="BQC14" s="28"/>
      <c r="BQD14" s="28"/>
      <c r="BQE14" s="28"/>
      <c r="BQF14" s="28"/>
      <c r="BQG14" s="28"/>
      <c r="BQH14" s="28"/>
      <c r="BQI14" s="28"/>
      <c r="BQJ14" s="28"/>
      <c r="BQK14" s="28"/>
      <c r="BQL14" s="28"/>
      <c r="BQM14" s="28"/>
      <c r="BQN14" s="28"/>
      <c r="BQO14" s="28"/>
      <c r="BQP14" s="28"/>
      <c r="BQQ14" s="28"/>
      <c r="BQR14" s="28"/>
      <c r="BQS14" s="28"/>
      <c r="BQT14" s="28"/>
      <c r="BQU14" s="28"/>
    </row>
    <row r="15" spans="1:1815" s="27" customFormat="1" x14ac:dyDescent="0.3">
      <c r="A15" s="173"/>
      <c r="E15" s="173"/>
      <c r="F15" s="173"/>
      <c r="G15" s="173"/>
      <c r="H15" s="173"/>
      <c r="I15" s="173"/>
      <c r="J15" s="173"/>
      <c r="K15" s="173"/>
      <c r="L15" s="173"/>
      <c r="M15" s="173"/>
    </row>
    <row r="16" spans="1:1815" s="27" customFormat="1" ht="40.35" customHeight="1" x14ac:dyDescent="0.3">
      <c r="A16" s="173"/>
      <c r="E16" s="173"/>
      <c r="F16" s="174"/>
      <c r="G16" s="174"/>
      <c r="H16" s="173"/>
      <c r="I16" s="173"/>
      <c r="J16" s="173"/>
      <c r="K16" s="173"/>
      <c r="L16" s="173"/>
      <c r="M16" s="173"/>
    </row>
    <row r="17" spans="1:13" s="27" customFormat="1" ht="40.35" customHeight="1" x14ac:dyDescent="0.3">
      <c r="A17" s="173"/>
      <c r="E17" s="173"/>
      <c r="F17" s="174"/>
      <c r="G17" s="174"/>
      <c r="H17" s="173"/>
      <c r="I17" s="173"/>
      <c r="J17" s="173"/>
      <c r="K17" s="173"/>
      <c r="L17" s="173"/>
      <c r="M17" s="173"/>
    </row>
    <row r="18" spans="1:13" s="27" customFormat="1" ht="40.35" customHeight="1" x14ac:dyDescent="0.3">
      <c r="A18" s="173"/>
      <c r="B18" s="175"/>
      <c r="E18" s="173"/>
      <c r="F18" s="173"/>
      <c r="G18" s="173"/>
      <c r="H18" s="173"/>
      <c r="I18" s="173"/>
      <c r="J18" s="173"/>
      <c r="K18" s="173"/>
      <c r="L18" s="173"/>
      <c r="M18" s="173"/>
    </row>
    <row r="19" spans="1:13" s="27" customFormat="1" ht="40.35" customHeight="1" x14ac:dyDescent="0.3">
      <c r="A19" s="173"/>
      <c r="B19" s="176"/>
      <c r="E19" s="173"/>
      <c r="F19" s="173"/>
      <c r="G19" s="173"/>
      <c r="H19" s="173"/>
      <c r="I19" s="173"/>
      <c r="J19" s="173"/>
      <c r="K19" s="173"/>
      <c r="L19" s="173"/>
      <c r="M19" s="173"/>
    </row>
    <row r="20" spans="1:13" s="27" customFormat="1" ht="40.35" customHeight="1" x14ac:dyDescent="0.3">
      <c r="A20" s="173"/>
      <c r="B20" s="175"/>
      <c r="E20" s="173"/>
      <c r="F20" s="173"/>
      <c r="G20" s="173"/>
      <c r="H20" s="173"/>
      <c r="I20" s="173"/>
      <c r="J20" s="173"/>
      <c r="K20" s="173"/>
      <c r="L20" s="173"/>
      <c r="M20" s="173"/>
    </row>
    <row r="21" spans="1:13" s="27" customFormat="1" ht="40.35" customHeight="1" x14ac:dyDescent="0.3">
      <c r="A21" s="173"/>
      <c r="B21" s="177"/>
      <c r="E21" s="173"/>
      <c r="F21" s="173"/>
      <c r="G21" s="173"/>
      <c r="H21" s="173"/>
      <c r="I21" s="173"/>
      <c r="J21" s="173"/>
      <c r="K21" s="173"/>
      <c r="L21" s="173"/>
      <c r="M21" s="173"/>
    </row>
    <row r="22" spans="1:13" s="27" customFormat="1" x14ac:dyDescent="0.3">
      <c r="A22" s="173"/>
      <c r="E22" s="173"/>
      <c r="F22" s="173"/>
      <c r="G22" s="173"/>
      <c r="H22" s="173"/>
      <c r="I22" s="173"/>
      <c r="J22" s="173"/>
      <c r="K22" s="173"/>
      <c r="L22" s="173"/>
      <c r="M22" s="173"/>
    </row>
    <row r="23" spans="1:13" s="27" customFormat="1" x14ac:dyDescent="0.3">
      <c r="A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3" s="27" customFormat="1" x14ac:dyDescent="0.3">
      <c r="A24" s="173"/>
      <c r="E24" s="173"/>
      <c r="F24" s="173"/>
      <c r="G24" s="173"/>
      <c r="H24" s="173"/>
      <c r="I24" s="173"/>
      <c r="J24" s="173"/>
      <c r="K24" s="173"/>
      <c r="L24" s="173"/>
      <c r="M24" s="173"/>
    </row>
    <row r="25" spans="1:13" s="27" customFormat="1" x14ac:dyDescent="0.3">
      <c r="A25" s="173"/>
      <c r="E25" s="173"/>
      <c r="F25" s="173"/>
      <c r="G25" s="173"/>
      <c r="H25" s="173"/>
      <c r="I25" s="173"/>
      <c r="J25" s="173"/>
      <c r="K25" s="173"/>
      <c r="L25" s="173"/>
      <c r="M25" s="173"/>
    </row>
    <row r="26" spans="1:13" s="27" customFormat="1" x14ac:dyDescent="0.3">
      <c r="A26" s="173"/>
      <c r="E26" s="173"/>
      <c r="F26" s="173"/>
      <c r="G26" s="173"/>
      <c r="H26" s="173"/>
      <c r="I26" s="173"/>
      <c r="J26" s="173"/>
      <c r="K26" s="173"/>
      <c r="L26" s="173"/>
      <c r="M26" s="173"/>
    </row>
    <row r="27" spans="1:13" s="27" customFormat="1" x14ac:dyDescent="0.3">
      <c r="A27" s="173"/>
      <c r="E27" s="173"/>
      <c r="F27" s="173"/>
      <c r="G27" s="173"/>
      <c r="H27" s="173"/>
      <c r="I27" s="173"/>
      <c r="J27" s="173"/>
      <c r="K27" s="173"/>
      <c r="L27" s="173"/>
      <c r="M27" s="173"/>
    </row>
    <row r="28" spans="1:13" s="27" customFormat="1" x14ac:dyDescent="0.3">
      <c r="A28" s="173"/>
      <c r="E28" s="173"/>
      <c r="F28" s="173"/>
      <c r="G28" s="173"/>
      <c r="H28" s="173"/>
      <c r="I28" s="173"/>
      <c r="J28" s="173"/>
      <c r="K28" s="173"/>
      <c r="L28" s="173"/>
      <c r="M28" s="173"/>
    </row>
    <row r="29" spans="1:13" s="27" customFormat="1" x14ac:dyDescent="0.3">
      <c r="A29" s="173"/>
      <c r="E29" s="173"/>
      <c r="F29" s="173"/>
      <c r="G29" s="173"/>
      <c r="H29" s="173"/>
      <c r="I29" s="173"/>
      <c r="J29" s="173"/>
      <c r="K29" s="173"/>
      <c r="L29" s="173"/>
      <c r="M29" s="173"/>
    </row>
    <row r="30" spans="1:13" s="27" customFormat="1" x14ac:dyDescent="0.3">
      <c r="A30" s="173"/>
      <c r="E30" s="173"/>
      <c r="F30" s="173"/>
      <c r="G30" s="173"/>
      <c r="H30" s="173"/>
      <c r="I30" s="173"/>
      <c r="J30" s="173"/>
      <c r="K30" s="173"/>
      <c r="L30" s="173"/>
      <c r="M30" s="173"/>
    </row>
    <row r="31" spans="1:13" s="27" customFormat="1" x14ac:dyDescent="0.3">
      <c r="A31" s="173"/>
      <c r="E31" s="173"/>
      <c r="F31" s="173"/>
      <c r="G31" s="173"/>
      <c r="H31" s="173"/>
      <c r="I31" s="173"/>
      <c r="J31" s="173"/>
      <c r="K31" s="173"/>
      <c r="L31" s="173"/>
      <c r="M31" s="173"/>
    </row>
    <row r="32" spans="1:13" s="27" customFormat="1" x14ac:dyDescent="0.3">
      <c r="A32" s="173"/>
      <c r="E32" s="173"/>
      <c r="F32" s="173"/>
      <c r="G32" s="173"/>
      <c r="H32" s="173"/>
      <c r="I32" s="173"/>
      <c r="J32" s="173"/>
      <c r="K32" s="173"/>
      <c r="L32" s="173"/>
      <c r="M32" s="173"/>
    </row>
    <row r="33" spans="1:13" s="27" customFormat="1" x14ac:dyDescent="0.3">
      <c r="A33" s="173"/>
      <c r="E33" s="173"/>
      <c r="F33" s="173"/>
      <c r="G33" s="173"/>
      <c r="H33" s="173"/>
      <c r="I33" s="173"/>
      <c r="J33" s="173"/>
      <c r="K33" s="173"/>
      <c r="L33" s="173"/>
      <c r="M33" s="173"/>
    </row>
    <row r="34" spans="1:13" s="27" customFormat="1" x14ac:dyDescent="0.3">
      <c r="A34" s="173"/>
      <c r="E34" s="173"/>
      <c r="F34" s="173"/>
      <c r="G34" s="173"/>
      <c r="H34" s="173"/>
      <c r="I34" s="173"/>
      <c r="J34" s="173"/>
      <c r="K34" s="173"/>
      <c r="L34" s="173"/>
      <c r="M34" s="173"/>
    </row>
    <row r="35" spans="1:13" s="27" customFormat="1" x14ac:dyDescent="0.3">
      <c r="A35" s="173"/>
      <c r="E35" s="173"/>
      <c r="F35" s="173"/>
      <c r="G35" s="173"/>
      <c r="H35" s="173"/>
      <c r="I35" s="173"/>
      <c r="J35" s="173"/>
      <c r="K35" s="173"/>
      <c r="L35" s="173"/>
      <c r="M35" s="173"/>
    </row>
    <row r="36" spans="1:13" s="27" customFormat="1" x14ac:dyDescent="0.3">
      <c r="A36" s="173"/>
      <c r="E36" s="173"/>
      <c r="F36" s="173"/>
      <c r="G36" s="173"/>
      <c r="H36" s="173"/>
      <c r="I36" s="173"/>
      <c r="J36" s="173"/>
      <c r="K36" s="173"/>
      <c r="L36" s="173"/>
      <c r="M36" s="173"/>
    </row>
    <row r="37" spans="1:13" s="27" customFormat="1" x14ac:dyDescent="0.3">
      <c r="A37" s="173"/>
      <c r="E37" s="173"/>
      <c r="F37" s="173"/>
      <c r="G37" s="173"/>
      <c r="H37" s="173"/>
      <c r="I37" s="173"/>
      <c r="J37" s="173"/>
      <c r="K37" s="173"/>
      <c r="L37" s="173"/>
      <c r="M37" s="173"/>
    </row>
    <row r="38" spans="1:13" s="27" customFormat="1" x14ac:dyDescent="0.3">
      <c r="A38" s="173"/>
      <c r="E38" s="173"/>
      <c r="F38" s="173"/>
      <c r="G38" s="173"/>
      <c r="H38" s="173"/>
      <c r="I38" s="173"/>
      <c r="J38" s="173"/>
      <c r="K38" s="173"/>
      <c r="L38" s="173"/>
      <c r="M38" s="173"/>
    </row>
    <row r="39" spans="1:13" s="27" customFormat="1" x14ac:dyDescent="0.3">
      <c r="A39" s="173"/>
      <c r="E39" s="173"/>
      <c r="F39" s="173"/>
      <c r="G39" s="173"/>
      <c r="H39" s="173"/>
      <c r="I39" s="173"/>
      <c r="J39" s="173"/>
      <c r="K39" s="173"/>
      <c r="L39" s="173"/>
      <c r="M39" s="173"/>
    </row>
    <row r="40" spans="1:13" s="27" customFormat="1" x14ac:dyDescent="0.3">
      <c r="A40" s="173"/>
      <c r="E40" s="173"/>
      <c r="F40" s="173"/>
      <c r="G40" s="173"/>
      <c r="H40" s="173"/>
      <c r="I40" s="173"/>
      <c r="J40" s="173"/>
      <c r="K40" s="173"/>
      <c r="L40" s="173"/>
      <c r="M40" s="173"/>
    </row>
    <row r="41" spans="1:13" s="27" customFormat="1" x14ac:dyDescent="0.3">
      <c r="A41" s="173"/>
      <c r="E41" s="173"/>
      <c r="F41" s="173"/>
      <c r="G41" s="173"/>
      <c r="H41" s="173"/>
      <c r="I41" s="173"/>
      <c r="J41" s="173"/>
      <c r="K41" s="173"/>
      <c r="L41" s="173"/>
      <c r="M41" s="173"/>
    </row>
    <row r="42" spans="1:13" s="27" customFormat="1" x14ac:dyDescent="0.3">
      <c r="A42" s="173"/>
      <c r="E42" s="173"/>
      <c r="F42" s="173"/>
      <c r="G42" s="173"/>
      <c r="H42" s="173"/>
      <c r="I42" s="173"/>
      <c r="J42" s="173"/>
      <c r="K42" s="173"/>
      <c r="L42" s="173"/>
      <c r="M42" s="173"/>
    </row>
    <row r="43" spans="1:13" s="27" customFormat="1" x14ac:dyDescent="0.3">
      <c r="A43" s="173"/>
      <c r="E43" s="173"/>
      <c r="F43" s="173"/>
      <c r="G43" s="173"/>
      <c r="H43" s="173"/>
      <c r="I43" s="173"/>
      <c r="J43" s="173"/>
      <c r="K43" s="173"/>
      <c r="L43" s="173"/>
      <c r="M43" s="173"/>
    </row>
    <row r="44" spans="1:13" s="27" customFormat="1" x14ac:dyDescent="0.3">
      <c r="A44" s="173"/>
      <c r="E44" s="173"/>
      <c r="F44" s="173"/>
      <c r="G44" s="173"/>
      <c r="H44" s="173"/>
      <c r="I44" s="173"/>
      <c r="J44" s="173"/>
      <c r="K44" s="173"/>
      <c r="L44" s="173"/>
      <c r="M44" s="173"/>
    </row>
    <row r="45" spans="1:13" s="27" customFormat="1" x14ac:dyDescent="0.3">
      <c r="A45" s="173"/>
      <c r="E45" s="173"/>
      <c r="F45" s="173"/>
      <c r="G45" s="173"/>
      <c r="H45" s="173"/>
      <c r="I45" s="173"/>
      <c r="J45" s="173"/>
      <c r="K45" s="173"/>
      <c r="L45" s="173"/>
      <c r="M45" s="173"/>
    </row>
    <row r="46" spans="1:13" s="27" customFormat="1" x14ac:dyDescent="0.3">
      <c r="A46" s="173"/>
      <c r="E46" s="173"/>
      <c r="F46" s="173"/>
      <c r="G46" s="173"/>
      <c r="H46" s="173"/>
      <c r="I46" s="173"/>
      <c r="J46" s="173"/>
      <c r="K46" s="173"/>
      <c r="L46" s="173"/>
      <c r="M46" s="173"/>
    </row>
    <row r="47" spans="1:13" s="27" customFormat="1" x14ac:dyDescent="0.3">
      <c r="A47" s="173"/>
      <c r="E47" s="173"/>
      <c r="F47" s="173"/>
      <c r="G47" s="173"/>
      <c r="H47" s="173"/>
      <c r="I47" s="173"/>
      <c r="J47" s="173"/>
      <c r="K47" s="173"/>
      <c r="L47" s="173"/>
      <c r="M47" s="173"/>
    </row>
    <row r="48" spans="1:13" s="27" customFormat="1" x14ac:dyDescent="0.3">
      <c r="A48" s="173"/>
      <c r="E48" s="173"/>
      <c r="F48" s="173"/>
      <c r="G48" s="173"/>
      <c r="H48" s="173"/>
      <c r="I48" s="173"/>
      <c r="J48" s="173"/>
      <c r="K48" s="173"/>
      <c r="L48" s="173"/>
      <c r="M48" s="173"/>
    </row>
    <row r="49" spans="1:13" s="27" customFormat="1" x14ac:dyDescent="0.3">
      <c r="A49" s="173"/>
      <c r="E49" s="173"/>
      <c r="F49" s="173"/>
      <c r="G49" s="173"/>
      <c r="H49" s="173"/>
      <c r="I49" s="173"/>
      <c r="J49" s="173"/>
      <c r="K49" s="173"/>
      <c r="L49" s="173"/>
      <c r="M49" s="173"/>
    </row>
    <row r="50" spans="1:13" s="27" customFormat="1" x14ac:dyDescent="0.3">
      <c r="A50" s="173"/>
      <c r="E50" s="173"/>
      <c r="F50" s="173"/>
      <c r="G50" s="173"/>
      <c r="H50" s="173"/>
      <c r="I50" s="173"/>
      <c r="J50" s="173"/>
      <c r="K50" s="173"/>
      <c r="L50" s="173"/>
      <c r="M50" s="173"/>
    </row>
    <row r="51" spans="1:13" s="27" customFormat="1" x14ac:dyDescent="0.3">
      <c r="A51" s="173"/>
      <c r="E51" s="173"/>
      <c r="F51" s="173"/>
      <c r="G51" s="173"/>
      <c r="H51" s="173"/>
      <c r="I51" s="173"/>
      <c r="J51" s="173"/>
      <c r="K51" s="173"/>
      <c r="L51" s="173"/>
      <c r="M51" s="173"/>
    </row>
    <row r="52" spans="1:13" s="27" customFormat="1" x14ac:dyDescent="0.3">
      <c r="A52" s="173"/>
      <c r="E52" s="173"/>
      <c r="F52" s="173"/>
      <c r="G52" s="173"/>
      <c r="H52" s="173"/>
      <c r="I52" s="173"/>
      <c r="J52" s="173"/>
      <c r="K52" s="173"/>
      <c r="L52" s="173"/>
      <c r="M52" s="173"/>
    </row>
    <row r="53" spans="1:13" s="27" customFormat="1" x14ac:dyDescent="0.3">
      <c r="A53" s="173"/>
      <c r="E53" s="173"/>
      <c r="F53" s="173"/>
      <c r="G53" s="173"/>
      <c r="H53" s="173"/>
      <c r="I53" s="173"/>
      <c r="J53" s="173"/>
      <c r="K53" s="173"/>
      <c r="L53" s="173"/>
      <c r="M53" s="173"/>
    </row>
    <row r="54" spans="1:13" s="27" customFormat="1" x14ac:dyDescent="0.3">
      <c r="A54" s="173"/>
      <c r="E54" s="173"/>
      <c r="F54" s="173"/>
      <c r="G54" s="173"/>
      <c r="H54" s="173"/>
      <c r="I54" s="173"/>
      <c r="J54" s="173"/>
      <c r="K54" s="173"/>
      <c r="L54" s="173"/>
      <c r="M54" s="173"/>
    </row>
    <row r="55" spans="1:13" s="27" customFormat="1" x14ac:dyDescent="0.3">
      <c r="A55" s="173"/>
      <c r="E55" s="173"/>
      <c r="F55" s="173"/>
      <c r="G55" s="173"/>
      <c r="H55" s="173"/>
      <c r="I55" s="173"/>
      <c r="J55" s="173"/>
      <c r="K55" s="173"/>
      <c r="L55" s="173"/>
      <c r="M55" s="173"/>
    </row>
    <row r="56" spans="1:13" s="27" customFormat="1" x14ac:dyDescent="0.3">
      <c r="A56" s="173"/>
      <c r="E56" s="173"/>
      <c r="F56" s="173"/>
      <c r="G56" s="173"/>
      <c r="H56" s="173"/>
      <c r="I56" s="173"/>
      <c r="J56" s="173"/>
      <c r="K56" s="173"/>
      <c r="L56" s="173"/>
      <c r="M56" s="173"/>
    </row>
    <row r="57" spans="1:13" s="27" customFormat="1" x14ac:dyDescent="0.3">
      <c r="A57" s="173"/>
      <c r="E57" s="173"/>
      <c r="F57" s="173"/>
      <c r="G57" s="173"/>
      <c r="H57" s="173"/>
      <c r="I57" s="173"/>
      <c r="J57" s="173"/>
      <c r="K57" s="173"/>
      <c r="L57" s="173"/>
      <c r="M57" s="173"/>
    </row>
    <row r="58" spans="1:13" s="27" customFormat="1" x14ac:dyDescent="0.3">
      <c r="A58" s="173"/>
      <c r="E58" s="173"/>
      <c r="F58" s="173"/>
      <c r="G58" s="173"/>
      <c r="H58" s="173"/>
      <c r="I58" s="173"/>
      <c r="J58" s="173"/>
      <c r="K58" s="173"/>
      <c r="L58" s="173"/>
      <c r="M58" s="173"/>
    </row>
    <row r="59" spans="1:13" s="27" customFormat="1" x14ac:dyDescent="0.3">
      <c r="A59" s="173"/>
      <c r="E59" s="173"/>
      <c r="F59" s="173"/>
      <c r="G59" s="173"/>
      <c r="H59" s="173"/>
      <c r="I59" s="173"/>
      <c r="J59" s="173"/>
      <c r="K59" s="173"/>
      <c r="L59" s="173"/>
      <c r="M59" s="173"/>
    </row>
    <row r="60" spans="1:13" s="27" customFormat="1" x14ac:dyDescent="0.3">
      <c r="A60" s="173"/>
      <c r="E60" s="173"/>
      <c r="F60" s="173"/>
      <c r="G60" s="173"/>
      <c r="H60" s="173"/>
      <c r="I60" s="173"/>
      <c r="J60" s="173"/>
      <c r="K60" s="173"/>
      <c r="L60" s="173"/>
      <c r="M60" s="173"/>
    </row>
    <row r="61" spans="1:13" s="27" customFormat="1" x14ac:dyDescent="0.3">
      <c r="A61" s="173"/>
      <c r="E61" s="173"/>
      <c r="F61" s="173"/>
      <c r="G61" s="173"/>
      <c r="H61" s="173"/>
      <c r="I61" s="173"/>
      <c r="J61" s="173"/>
      <c r="K61" s="173"/>
      <c r="L61" s="173"/>
      <c r="M61" s="173"/>
    </row>
    <row r="62" spans="1:13" s="27" customFormat="1" x14ac:dyDescent="0.3">
      <c r="A62" s="173"/>
      <c r="E62" s="173"/>
      <c r="F62" s="173"/>
      <c r="G62" s="173"/>
      <c r="H62" s="173"/>
      <c r="I62" s="173"/>
      <c r="J62" s="173"/>
      <c r="K62" s="173"/>
      <c r="L62" s="173"/>
      <c r="M62" s="173"/>
    </row>
    <row r="63" spans="1:13" s="27" customFormat="1" x14ac:dyDescent="0.3">
      <c r="A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64" spans="1:13" s="27" customFormat="1" x14ac:dyDescent="0.3">
      <c r="A64" s="173"/>
      <c r="E64" s="173"/>
      <c r="F64" s="173"/>
      <c r="G64" s="173"/>
      <c r="H64" s="173"/>
      <c r="I64" s="173"/>
      <c r="J64" s="173"/>
      <c r="K64" s="173"/>
      <c r="L64" s="173"/>
      <c r="M64" s="173"/>
    </row>
    <row r="65" spans="1:13" s="27" customFormat="1" x14ac:dyDescent="0.3">
      <c r="A65" s="173"/>
      <c r="E65" s="173"/>
      <c r="F65" s="173"/>
      <c r="G65" s="173"/>
      <c r="H65" s="173"/>
      <c r="I65" s="173"/>
      <c r="J65" s="173"/>
      <c r="K65" s="173"/>
      <c r="L65" s="173"/>
      <c r="M65" s="173"/>
    </row>
    <row r="66" spans="1:13" s="27" customFormat="1" x14ac:dyDescent="0.3">
      <c r="A66" s="173"/>
      <c r="E66" s="173"/>
      <c r="F66" s="173"/>
      <c r="G66" s="173"/>
      <c r="H66" s="173"/>
      <c r="I66" s="173"/>
      <c r="J66" s="173"/>
      <c r="K66" s="173"/>
      <c r="L66" s="173"/>
      <c r="M66" s="173"/>
    </row>
    <row r="67" spans="1:13" s="27" customFormat="1" x14ac:dyDescent="0.3">
      <c r="A67" s="173"/>
      <c r="E67" s="173"/>
      <c r="F67" s="173"/>
      <c r="G67" s="173"/>
      <c r="H67" s="173"/>
      <c r="I67" s="173"/>
      <c r="J67" s="173"/>
      <c r="K67" s="173"/>
      <c r="L67" s="173"/>
      <c r="M67" s="173"/>
    </row>
    <row r="68" spans="1:13" s="27" customFormat="1" x14ac:dyDescent="0.3">
      <c r="A68" s="173"/>
      <c r="E68" s="173"/>
      <c r="F68" s="173"/>
      <c r="G68" s="173"/>
      <c r="H68" s="173"/>
      <c r="I68" s="173"/>
      <c r="J68" s="173"/>
      <c r="K68" s="173"/>
      <c r="L68" s="173"/>
      <c r="M68" s="173"/>
    </row>
    <row r="69" spans="1:13" s="27" customFormat="1" x14ac:dyDescent="0.3">
      <c r="A69" s="173"/>
      <c r="E69" s="173"/>
      <c r="F69" s="173"/>
      <c r="G69" s="173"/>
      <c r="H69" s="173"/>
      <c r="I69" s="173"/>
      <c r="J69" s="173"/>
      <c r="K69" s="173"/>
      <c r="L69" s="173"/>
      <c r="M69" s="173"/>
    </row>
    <row r="70" spans="1:13" s="27" customFormat="1" x14ac:dyDescent="0.3">
      <c r="A70" s="173"/>
      <c r="E70" s="173"/>
      <c r="F70" s="173"/>
      <c r="G70" s="173"/>
      <c r="H70" s="173"/>
      <c r="I70" s="173"/>
      <c r="J70" s="173"/>
      <c r="K70" s="173"/>
      <c r="L70" s="173"/>
      <c r="M70" s="173"/>
    </row>
    <row r="71" spans="1:13" s="27" customFormat="1" x14ac:dyDescent="0.3">
      <c r="A71" s="173"/>
      <c r="E71" s="173"/>
      <c r="F71" s="173"/>
      <c r="G71" s="173"/>
      <c r="H71" s="173"/>
      <c r="I71" s="173"/>
      <c r="J71" s="173"/>
      <c r="K71" s="173"/>
      <c r="L71" s="173"/>
      <c r="M71" s="173"/>
    </row>
    <row r="72" spans="1:13" s="27" customFormat="1" x14ac:dyDescent="0.3">
      <c r="A72" s="173"/>
      <c r="E72" s="173"/>
      <c r="F72" s="173"/>
      <c r="G72" s="173"/>
      <c r="H72" s="173"/>
      <c r="I72" s="173"/>
      <c r="J72" s="173"/>
      <c r="K72" s="173"/>
      <c r="L72" s="173"/>
      <c r="M72" s="173"/>
    </row>
    <row r="73" spans="1:13" s="27" customFormat="1" x14ac:dyDescent="0.3">
      <c r="A73" s="173"/>
      <c r="E73" s="173"/>
      <c r="F73" s="173"/>
      <c r="G73" s="173"/>
      <c r="H73" s="173"/>
      <c r="I73" s="173"/>
      <c r="J73" s="173"/>
      <c r="K73" s="173"/>
      <c r="L73" s="173"/>
      <c r="M73" s="173"/>
    </row>
    <row r="74" spans="1:13" s="27" customFormat="1" x14ac:dyDescent="0.3">
      <c r="A74" s="173"/>
      <c r="E74" s="173"/>
      <c r="F74" s="173"/>
      <c r="G74" s="173"/>
      <c r="H74" s="173"/>
      <c r="I74" s="173"/>
      <c r="J74" s="173"/>
      <c r="K74" s="173"/>
      <c r="L74" s="173"/>
      <c r="M74" s="173"/>
    </row>
    <row r="75" spans="1:13" s="27" customFormat="1" x14ac:dyDescent="0.3">
      <c r="A75" s="173"/>
      <c r="E75" s="173"/>
      <c r="F75" s="173"/>
      <c r="G75" s="173"/>
      <c r="H75" s="173"/>
      <c r="I75" s="173"/>
      <c r="J75" s="173"/>
      <c r="K75" s="173"/>
      <c r="L75" s="173"/>
      <c r="M75" s="173"/>
    </row>
    <row r="76" spans="1:13" s="27" customFormat="1" x14ac:dyDescent="0.3">
      <c r="A76" s="173"/>
      <c r="E76" s="173"/>
      <c r="F76" s="173"/>
      <c r="G76" s="173"/>
      <c r="H76" s="173"/>
      <c r="I76" s="173"/>
      <c r="J76" s="173"/>
      <c r="K76" s="173"/>
      <c r="L76" s="173"/>
      <c r="M76" s="173"/>
    </row>
    <row r="77" spans="1:13" s="27" customFormat="1" x14ac:dyDescent="0.3">
      <c r="A77" s="173"/>
      <c r="E77" s="173"/>
      <c r="F77" s="173"/>
      <c r="G77" s="173"/>
      <c r="H77" s="173"/>
      <c r="I77" s="173"/>
      <c r="J77" s="173"/>
      <c r="K77" s="173"/>
      <c r="L77" s="173"/>
      <c r="M77" s="173"/>
    </row>
    <row r="78" spans="1:13" s="27" customFormat="1" x14ac:dyDescent="0.3">
      <c r="A78" s="173"/>
      <c r="E78" s="173"/>
      <c r="F78" s="173"/>
      <c r="G78" s="173"/>
      <c r="H78" s="173"/>
      <c r="I78" s="173"/>
      <c r="J78" s="173"/>
      <c r="K78" s="173"/>
      <c r="L78" s="173"/>
      <c r="M78" s="173"/>
    </row>
    <row r="79" spans="1:13" s="27" customFormat="1" x14ac:dyDescent="0.3">
      <c r="A79" s="173"/>
      <c r="E79" s="173"/>
      <c r="F79" s="173"/>
      <c r="G79" s="173"/>
      <c r="H79" s="173"/>
      <c r="I79" s="173"/>
      <c r="J79" s="173"/>
      <c r="K79" s="173"/>
      <c r="L79" s="173"/>
      <c r="M79" s="173"/>
    </row>
    <row r="80" spans="1:13" s="27" customFormat="1" x14ac:dyDescent="0.3">
      <c r="A80" s="173"/>
      <c r="E80" s="173"/>
      <c r="F80" s="173"/>
      <c r="G80" s="173"/>
      <c r="H80" s="173"/>
      <c r="I80" s="173"/>
      <c r="J80" s="173"/>
      <c r="K80" s="173"/>
      <c r="L80" s="173"/>
      <c r="M80" s="173"/>
    </row>
    <row r="81" spans="1:13" s="27" customFormat="1" x14ac:dyDescent="0.3">
      <c r="A81" s="173"/>
      <c r="E81" s="173"/>
      <c r="F81" s="173"/>
      <c r="G81" s="173"/>
      <c r="H81" s="173"/>
      <c r="I81" s="173"/>
      <c r="J81" s="173"/>
      <c r="K81" s="173"/>
      <c r="L81" s="173"/>
      <c r="M81" s="173"/>
    </row>
    <row r="82" spans="1:13" s="27" customFormat="1" x14ac:dyDescent="0.3">
      <c r="A82" s="173"/>
      <c r="E82" s="173"/>
      <c r="F82" s="173"/>
      <c r="G82" s="173"/>
      <c r="H82" s="173"/>
      <c r="I82" s="173"/>
      <c r="J82" s="173"/>
      <c r="K82" s="173"/>
      <c r="L82" s="173"/>
      <c r="M82" s="173"/>
    </row>
    <row r="83" spans="1:13" s="27" customFormat="1" x14ac:dyDescent="0.3">
      <c r="A83" s="173"/>
      <c r="E83" s="173"/>
      <c r="F83" s="173"/>
      <c r="G83" s="173"/>
      <c r="H83" s="173"/>
      <c r="I83" s="173"/>
      <c r="J83" s="173"/>
      <c r="K83" s="173"/>
      <c r="L83" s="173"/>
      <c r="M83" s="173"/>
    </row>
    <row r="84" spans="1:13" s="27" customFormat="1" x14ac:dyDescent="0.3">
      <c r="A84" s="173"/>
      <c r="E84" s="173"/>
      <c r="F84" s="173"/>
      <c r="G84" s="173"/>
      <c r="H84" s="173"/>
      <c r="I84" s="173"/>
      <c r="J84" s="173"/>
      <c r="K84" s="173"/>
      <c r="L84" s="173"/>
      <c r="M84" s="173"/>
    </row>
    <row r="85" spans="1:13" s="27" customFormat="1" x14ac:dyDescent="0.3">
      <c r="A85" s="173"/>
      <c r="E85" s="173"/>
      <c r="F85" s="173"/>
      <c r="G85" s="173"/>
      <c r="H85" s="173"/>
      <c r="I85" s="173"/>
      <c r="J85" s="173"/>
      <c r="K85" s="173"/>
      <c r="L85" s="173"/>
      <c r="M85" s="173"/>
    </row>
    <row r="86" spans="1:13" s="27" customFormat="1" x14ac:dyDescent="0.3">
      <c r="A86" s="173"/>
      <c r="E86" s="173"/>
      <c r="F86" s="173"/>
      <c r="G86" s="173"/>
      <c r="H86" s="173"/>
      <c r="I86" s="173"/>
      <c r="J86" s="173"/>
      <c r="K86" s="173"/>
      <c r="L86" s="173"/>
      <c r="M86" s="173"/>
    </row>
    <row r="87" spans="1:13" s="27" customFormat="1" x14ac:dyDescent="0.3">
      <c r="A87" s="173"/>
      <c r="E87" s="173"/>
      <c r="F87" s="173"/>
      <c r="G87" s="173"/>
      <c r="H87" s="173"/>
      <c r="I87" s="173"/>
      <c r="J87" s="173"/>
      <c r="K87" s="173"/>
      <c r="L87" s="173"/>
      <c r="M87" s="173"/>
    </row>
    <row r="88" spans="1:13" s="27" customFormat="1" x14ac:dyDescent="0.3">
      <c r="A88" s="173"/>
      <c r="E88" s="173"/>
      <c r="F88" s="173"/>
      <c r="G88" s="173"/>
      <c r="H88" s="173"/>
      <c r="I88" s="173"/>
      <c r="J88" s="173"/>
      <c r="K88" s="173"/>
      <c r="L88" s="173"/>
      <c r="M88" s="173"/>
    </row>
    <row r="89" spans="1:13" s="27" customFormat="1" x14ac:dyDescent="0.3">
      <c r="A89" s="173"/>
      <c r="E89" s="173"/>
      <c r="F89" s="173"/>
      <c r="G89" s="173"/>
      <c r="H89" s="173"/>
      <c r="I89" s="173"/>
      <c r="J89" s="173"/>
      <c r="K89" s="173"/>
      <c r="L89" s="173"/>
      <c r="M89" s="173"/>
    </row>
    <row r="90" spans="1:13" s="27" customFormat="1" x14ac:dyDescent="0.3">
      <c r="A90" s="173"/>
      <c r="E90" s="173"/>
      <c r="F90" s="173"/>
      <c r="G90" s="173"/>
      <c r="H90" s="173"/>
      <c r="I90" s="173"/>
      <c r="J90" s="173"/>
      <c r="K90" s="173"/>
      <c r="L90" s="173"/>
      <c r="M90" s="173"/>
    </row>
    <row r="91" spans="1:13" s="27" customFormat="1" x14ac:dyDescent="0.3">
      <c r="A91" s="173"/>
      <c r="E91" s="173"/>
      <c r="F91" s="173"/>
      <c r="G91" s="173"/>
      <c r="H91" s="173"/>
      <c r="I91" s="173"/>
      <c r="J91" s="173"/>
      <c r="K91" s="173"/>
      <c r="L91" s="173"/>
      <c r="M91" s="173"/>
    </row>
    <row r="92" spans="1:13" s="27" customFormat="1" x14ac:dyDescent="0.3">
      <c r="A92" s="173"/>
      <c r="E92" s="173"/>
      <c r="F92" s="173"/>
      <c r="G92" s="173"/>
      <c r="H92" s="173"/>
      <c r="I92" s="173"/>
      <c r="J92" s="173"/>
      <c r="K92" s="173"/>
      <c r="L92" s="173"/>
      <c r="M92" s="173"/>
    </row>
    <row r="93" spans="1:13" s="27" customFormat="1" x14ac:dyDescent="0.3">
      <c r="A93" s="173"/>
      <c r="E93" s="173"/>
      <c r="F93" s="173"/>
      <c r="G93" s="173"/>
      <c r="H93" s="173"/>
      <c r="I93" s="173"/>
      <c r="J93" s="173"/>
      <c r="K93" s="173"/>
      <c r="L93" s="173"/>
      <c r="M93" s="173"/>
    </row>
    <row r="94" spans="1:13" s="27" customFormat="1" x14ac:dyDescent="0.3">
      <c r="A94" s="173"/>
      <c r="E94" s="173"/>
      <c r="F94" s="173"/>
      <c r="G94" s="173"/>
      <c r="H94" s="173"/>
      <c r="I94" s="173"/>
      <c r="J94" s="173"/>
      <c r="K94" s="173"/>
      <c r="L94" s="173"/>
      <c r="M94" s="173"/>
    </row>
    <row r="95" spans="1:13" s="27" customFormat="1" x14ac:dyDescent="0.3">
      <c r="A95" s="173"/>
      <c r="E95" s="173"/>
      <c r="F95" s="173"/>
      <c r="G95" s="173"/>
      <c r="H95" s="173"/>
      <c r="I95" s="173"/>
      <c r="J95" s="173"/>
      <c r="K95" s="173"/>
      <c r="L95" s="173"/>
      <c r="M95" s="173"/>
    </row>
    <row r="96" spans="1:13" s="27" customFormat="1" x14ac:dyDescent="0.3">
      <c r="A96" s="173"/>
      <c r="E96" s="173"/>
      <c r="F96" s="173"/>
      <c r="G96" s="173"/>
      <c r="H96" s="173"/>
      <c r="I96" s="173"/>
      <c r="J96" s="173"/>
      <c r="K96" s="173"/>
      <c r="L96" s="173"/>
      <c r="M96" s="173"/>
    </row>
    <row r="97" spans="1:13" s="27" customFormat="1" x14ac:dyDescent="0.3">
      <c r="A97" s="173"/>
      <c r="E97" s="173"/>
      <c r="F97" s="173"/>
      <c r="G97" s="173"/>
      <c r="H97" s="173"/>
      <c r="I97" s="173"/>
      <c r="J97" s="173"/>
      <c r="K97" s="173"/>
      <c r="L97" s="173"/>
      <c r="M97" s="173"/>
    </row>
    <row r="98" spans="1:13" s="27" customFormat="1" x14ac:dyDescent="0.3">
      <c r="A98" s="173"/>
      <c r="E98" s="173"/>
      <c r="F98" s="173"/>
      <c r="G98" s="173"/>
      <c r="H98" s="173"/>
      <c r="I98" s="173"/>
      <c r="J98" s="173"/>
      <c r="K98" s="173"/>
      <c r="L98" s="173"/>
      <c r="M98" s="173"/>
    </row>
    <row r="99" spans="1:13" s="27" customFormat="1" x14ac:dyDescent="0.3">
      <c r="A99" s="173"/>
      <c r="E99" s="173"/>
      <c r="F99" s="173"/>
      <c r="G99" s="173"/>
      <c r="H99" s="173"/>
      <c r="I99" s="173"/>
      <c r="J99" s="173"/>
      <c r="K99" s="173"/>
      <c r="L99" s="173"/>
      <c r="M99" s="173"/>
    </row>
    <row r="100" spans="1:13" s="27" customFormat="1" x14ac:dyDescent="0.3">
      <c r="A100" s="173"/>
      <c r="E100" s="173"/>
      <c r="F100" s="173"/>
      <c r="G100" s="173"/>
      <c r="H100" s="173"/>
      <c r="I100" s="173"/>
      <c r="J100" s="173"/>
      <c r="K100" s="173"/>
      <c r="L100" s="173"/>
      <c r="M100" s="173"/>
    </row>
    <row r="101" spans="1:13" s="27" customFormat="1" x14ac:dyDescent="0.3">
      <c r="A101" s="173"/>
      <c r="E101" s="173"/>
      <c r="F101" s="173"/>
      <c r="G101" s="173"/>
      <c r="H101" s="173"/>
      <c r="I101" s="173"/>
      <c r="J101" s="173"/>
      <c r="K101" s="173"/>
      <c r="L101" s="173"/>
      <c r="M101" s="173"/>
    </row>
    <row r="102" spans="1:13" s="27" customFormat="1" x14ac:dyDescent="0.3">
      <c r="A102" s="173"/>
      <c r="E102" s="173"/>
      <c r="F102" s="173"/>
      <c r="G102" s="173"/>
      <c r="H102" s="173"/>
      <c r="I102" s="173"/>
      <c r="J102" s="173"/>
      <c r="K102" s="173"/>
      <c r="L102" s="173"/>
      <c r="M102" s="173"/>
    </row>
    <row r="103" spans="1:13" s="27" customFormat="1" x14ac:dyDescent="0.3">
      <c r="A103" s="173"/>
      <c r="E103" s="173"/>
      <c r="F103" s="173"/>
      <c r="G103" s="173"/>
      <c r="H103" s="173"/>
      <c r="I103" s="173"/>
      <c r="J103" s="173"/>
      <c r="K103" s="173"/>
      <c r="L103" s="173"/>
      <c r="M103" s="173"/>
    </row>
    <row r="104" spans="1:13" s="27" customFormat="1" x14ac:dyDescent="0.3">
      <c r="A104" s="173"/>
      <c r="E104" s="173"/>
      <c r="F104" s="173"/>
      <c r="G104" s="173"/>
      <c r="H104" s="173"/>
      <c r="I104" s="173"/>
      <c r="J104" s="173"/>
      <c r="K104" s="173"/>
      <c r="L104" s="173"/>
      <c r="M104" s="173"/>
    </row>
    <row r="105" spans="1:13" s="27" customFormat="1" x14ac:dyDescent="0.3">
      <c r="A105" s="173"/>
      <c r="E105" s="173"/>
      <c r="F105" s="173"/>
      <c r="G105" s="173"/>
      <c r="H105" s="173"/>
      <c r="I105" s="173"/>
      <c r="J105" s="173"/>
      <c r="K105" s="173"/>
      <c r="L105" s="173"/>
      <c r="M105" s="173"/>
    </row>
    <row r="106" spans="1:13" s="27" customFormat="1" x14ac:dyDescent="0.3">
      <c r="A106" s="173"/>
      <c r="E106" s="173"/>
      <c r="F106" s="173"/>
      <c r="G106" s="173"/>
      <c r="H106" s="173"/>
      <c r="I106" s="173"/>
      <c r="J106" s="173"/>
      <c r="K106" s="173"/>
      <c r="L106" s="173"/>
      <c r="M106" s="173"/>
    </row>
    <row r="107" spans="1:13" s="27" customFormat="1" x14ac:dyDescent="0.3">
      <c r="A107" s="173"/>
      <c r="E107" s="173"/>
      <c r="F107" s="173"/>
      <c r="G107" s="173"/>
      <c r="H107" s="173"/>
      <c r="I107" s="173"/>
      <c r="J107" s="173"/>
      <c r="K107" s="173"/>
      <c r="L107" s="173"/>
      <c r="M107" s="173"/>
    </row>
    <row r="108" spans="1:13" s="27" customFormat="1" x14ac:dyDescent="0.3">
      <c r="A108" s="173"/>
      <c r="E108" s="173"/>
      <c r="F108" s="173"/>
      <c r="G108" s="173"/>
      <c r="H108" s="173"/>
      <c r="I108" s="173"/>
      <c r="J108" s="173"/>
      <c r="K108" s="173"/>
      <c r="L108" s="173"/>
      <c r="M108" s="173"/>
    </row>
    <row r="109" spans="1:13" s="27" customFormat="1" x14ac:dyDescent="0.3">
      <c r="A109" s="173"/>
      <c r="E109" s="173"/>
      <c r="F109" s="173"/>
      <c r="G109" s="173"/>
      <c r="H109" s="173"/>
      <c r="I109" s="173"/>
      <c r="J109" s="173"/>
      <c r="K109" s="173"/>
      <c r="L109" s="173"/>
      <c r="M109" s="173"/>
    </row>
    <row r="110" spans="1:13" s="27" customFormat="1" x14ac:dyDescent="0.3">
      <c r="A110" s="173"/>
      <c r="E110" s="173"/>
      <c r="F110" s="173"/>
      <c r="G110" s="173"/>
      <c r="H110" s="173"/>
      <c r="I110" s="173"/>
      <c r="J110" s="173"/>
      <c r="K110" s="173"/>
      <c r="L110" s="173"/>
      <c r="M110" s="173"/>
    </row>
    <row r="111" spans="1:13" s="27" customFormat="1" x14ac:dyDescent="0.3">
      <c r="A111" s="173"/>
      <c r="E111" s="173"/>
      <c r="F111" s="173"/>
      <c r="G111" s="173"/>
      <c r="H111" s="173"/>
      <c r="I111" s="173"/>
      <c r="J111" s="173"/>
      <c r="K111" s="173"/>
      <c r="L111" s="173"/>
      <c r="M111" s="173"/>
    </row>
    <row r="112" spans="1:13" s="27" customFormat="1" x14ac:dyDescent="0.3">
      <c r="A112" s="173"/>
      <c r="E112" s="173"/>
      <c r="F112" s="173"/>
      <c r="G112" s="173"/>
      <c r="H112" s="173"/>
      <c r="I112" s="173"/>
      <c r="J112" s="173"/>
      <c r="K112" s="173"/>
      <c r="L112" s="173"/>
      <c r="M112" s="173"/>
    </row>
    <row r="113" spans="1:13" s="27" customFormat="1" x14ac:dyDescent="0.3">
      <c r="A113" s="173"/>
      <c r="E113" s="173"/>
      <c r="F113" s="173"/>
      <c r="G113" s="173"/>
      <c r="H113" s="173"/>
      <c r="I113" s="173"/>
      <c r="J113" s="173"/>
      <c r="K113" s="173"/>
      <c r="L113" s="173"/>
      <c r="M113" s="173"/>
    </row>
    <row r="114" spans="1:13" s="27" customFormat="1" x14ac:dyDescent="0.3">
      <c r="A114" s="173"/>
      <c r="E114" s="173"/>
      <c r="F114" s="173"/>
      <c r="G114" s="173"/>
      <c r="H114" s="173"/>
      <c r="I114" s="173"/>
      <c r="J114" s="173"/>
      <c r="K114" s="173"/>
      <c r="L114" s="173"/>
      <c r="M114" s="173"/>
    </row>
    <row r="115" spans="1:13" s="27" customFormat="1" x14ac:dyDescent="0.3">
      <c r="A115" s="173"/>
      <c r="E115" s="173"/>
      <c r="F115" s="173"/>
      <c r="G115" s="173"/>
      <c r="H115" s="173"/>
      <c r="I115" s="173"/>
      <c r="J115" s="173"/>
      <c r="K115" s="173"/>
      <c r="L115" s="173"/>
      <c r="M115" s="173"/>
    </row>
    <row r="116" spans="1:13" s="27" customFormat="1" x14ac:dyDescent="0.3">
      <c r="A116" s="173"/>
      <c r="E116" s="173"/>
      <c r="F116" s="173"/>
      <c r="G116" s="173"/>
      <c r="H116" s="173"/>
      <c r="I116" s="173"/>
      <c r="J116" s="173"/>
      <c r="K116" s="173"/>
      <c r="L116" s="173"/>
      <c r="M116" s="173"/>
    </row>
    <row r="117" spans="1:13" s="27" customFormat="1" x14ac:dyDescent="0.3">
      <c r="A117" s="173"/>
      <c r="E117" s="173"/>
      <c r="F117" s="173"/>
      <c r="G117" s="173"/>
      <c r="H117" s="173"/>
      <c r="I117" s="173"/>
      <c r="J117" s="173"/>
      <c r="K117" s="173"/>
      <c r="L117" s="173"/>
      <c r="M117" s="173"/>
    </row>
    <row r="118" spans="1:13" s="27" customFormat="1" x14ac:dyDescent="0.3">
      <c r="A118" s="173"/>
      <c r="E118" s="173"/>
      <c r="F118" s="173"/>
      <c r="G118" s="173"/>
      <c r="H118" s="173"/>
      <c r="I118" s="173"/>
      <c r="J118" s="173"/>
      <c r="K118" s="173"/>
      <c r="L118" s="173"/>
      <c r="M118" s="173"/>
    </row>
    <row r="119" spans="1:13" s="27" customFormat="1" x14ac:dyDescent="0.3">
      <c r="A119" s="173"/>
      <c r="E119" s="173"/>
      <c r="F119" s="173"/>
      <c r="G119" s="173"/>
      <c r="H119" s="173"/>
      <c r="I119" s="173"/>
      <c r="J119" s="173"/>
      <c r="K119" s="173"/>
      <c r="L119" s="173"/>
      <c r="M119" s="173"/>
    </row>
    <row r="120" spans="1:13" s="27" customFormat="1" x14ac:dyDescent="0.3">
      <c r="A120" s="173"/>
      <c r="E120" s="173"/>
      <c r="F120" s="173"/>
      <c r="G120" s="173"/>
      <c r="H120" s="173"/>
      <c r="I120" s="173"/>
      <c r="J120" s="173"/>
      <c r="K120" s="173"/>
      <c r="L120" s="173"/>
      <c r="M120" s="173"/>
    </row>
    <row r="121" spans="1:13" s="27" customFormat="1" x14ac:dyDescent="0.3">
      <c r="A121" s="173"/>
      <c r="E121" s="173"/>
      <c r="F121" s="173"/>
      <c r="G121" s="173"/>
      <c r="H121" s="173"/>
      <c r="I121" s="173"/>
      <c r="J121" s="173"/>
      <c r="K121" s="173"/>
      <c r="L121" s="173"/>
      <c r="M121" s="173"/>
    </row>
    <row r="122" spans="1:13" s="27" customFormat="1" x14ac:dyDescent="0.3">
      <c r="A122" s="173"/>
      <c r="E122" s="173"/>
      <c r="F122" s="173"/>
      <c r="G122" s="173"/>
      <c r="H122" s="173"/>
      <c r="I122" s="173"/>
      <c r="J122" s="173"/>
      <c r="K122" s="173"/>
      <c r="L122" s="173"/>
      <c r="M122" s="173"/>
    </row>
    <row r="123" spans="1:13" s="27" customFormat="1" x14ac:dyDescent="0.3">
      <c r="A123" s="173"/>
      <c r="E123" s="173"/>
      <c r="F123" s="173"/>
      <c r="G123" s="173"/>
      <c r="H123" s="173"/>
      <c r="I123" s="173"/>
      <c r="J123" s="173"/>
      <c r="K123" s="173"/>
      <c r="L123" s="173"/>
      <c r="M123" s="173"/>
    </row>
    <row r="124" spans="1:13" s="27" customFormat="1" x14ac:dyDescent="0.3">
      <c r="A124" s="173"/>
      <c r="E124" s="173"/>
      <c r="F124" s="173"/>
      <c r="G124" s="173"/>
      <c r="H124" s="173"/>
      <c r="I124" s="173"/>
      <c r="J124" s="173"/>
      <c r="K124" s="173"/>
      <c r="L124" s="173"/>
      <c r="M124" s="173"/>
    </row>
    <row r="125" spans="1:13" s="27" customFormat="1" x14ac:dyDescent="0.3">
      <c r="A125" s="173"/>
      <c r="E125" s="173"/>
      <c r="F125" s="173"/>
      <c r="G125" s="173"/>
      <c r="H125" s="173"/>
      <c r="I125" s="173"/>
      <c r="J125" s="173"/>
      <c r="K125" s="173"/>
      <c r="L125" s="173"/>
      <c r="M125" s="173"/>
    </row>
    <row r="126" spans="1:13" s="27" customFormat="1" x14ac:dyDescent="0.3">
      <c r="A126" s="173"/>
      <c r="E126" s="173"/>
      <c r="F126" s="173"/>
      <c r="G126" s="173"/>
      <c r="H126" s="173"/>
      <c r="I126" s="173"/>
      <c r="J126" s="173"/>
      <c r="K126" s="173"/>
      <c r="L126" s="173"/>
      <c r="M126" s="173"/>
    </row>
    <row r="127" spans="1:13" s="27" customFormat="1" x14ac:dyDescent="0.3">
      <c r="A127" s="173"/>
      <c r="E127" s="173"/>
      <c r="F127" s="173"/>
      <c r="G127" s="173"/>
      <c r="H127" s="173"/>
      <c r="I127" s="173"/>
      <c r="J127" s="173"/>
      <c r="K127" s="173"/>
      <c r="L127" s="173"/>
      <c r="M127" s="173"/>
    </row>
    <row r="128" spans="1:13" s="27" customFormat="1" x14ac:dyDescent="0.3">
      <c r="A128" s="173"/>
      <c r="E128" s="173"/>
      <c r="F128" s="173"/>
      <c r="G128" s="173"/>
      <c r="H128" s="173"/>
      <c r="I128" s="173"/>
      <c r="J128" s="173"/>
      <c r="K128" s="173"/>
      <c r="L128" s="173"/>
      <c r="M128" s="173"/>
    </row>
    <row r="129" spans="1:13" s="27" customFormat="1" x14ac:dyDescent="0.3">
      <c r="A129" s="173"/>
      <c r="E129" s="173"/>
      <c r="F129" s="173"/>
      <c r="G129" s="173"/>
      <c r="H129" s="173"/>
      <c r="I129" s="173"/>
      <c r="J129" s="173"/>
      <c r="K129" s="173"/>
      <c r="L129" s="173"/>
      <c r="M129" s="173"/>
    </row>
    <row r="130" spans="1:13" s="27" customFormat="1" x14ac:dyDescent="0.3">
      <c r="A130" s="173"/>
      <c r="E130" s="173"/>
      <c r="F130" s="173"/>
      <c r="G130" s="173"/>
      <c r="H130" s="173"/>
      <c r="I130" s="173"/>
      <c r="J130" s="173"/>
      <c r="K130" s="173"/>
      <c r="L130" s="173"/>
      <c r="M130" s="173"/>
    </row>
    <row r="131" spans="1:13" s="27" customFormat="1" x14ac:dyDescent="0.3">
      <c r="A131" s="173"/>
      <c r="E131" s="173"/>
      <c r="F131" s="173"/>
      <c r="G131" s="173"/>
      <c r="H131" s="173"/>
      <c r="I131" s="173"/>
      <c r="J131" s="173"/>
      <c r="K131" s="173"/>
      <c r="L131" s="173"/>
      <c r="M131" s="173"/>
    </row>
    <row r="132" spans="1:13" s="27" customFormat="1" x14ac:dyDescent="0.3">
      <c r="A132" s="173"/>
      <c r="E132" s="173"/>
      <c r="F132" s="173"/>
      <c r="G132" s="173"/>
      <c r="H132" s="173"/>
      <c r="I132" s="173"/>
      <c r="J132" s="173"/>
      <c r="K132" s="173"/>
      <c r="L132" s="173"/>
      <c r="M132" s="173"/>
    </row>
    <row r="133" spans="1:13" s="27" customFormat="1" x14ac:dyDescent="0.3">
      <c r="A133" s="173"/>
      <c r="E133" s="173"/>
      <c r="F133" s="173"/>
      <c r="G133" s="173"/>
      <c r="H133" s="173"/>
      <c r="I133" s="173"/>
      <c r="J133" s="173"/>
      <c r="K133" s="173"/>
      <c r="L133" s="173"/>
      <c r="M133" s="173"/>
    </row>
    <row r="134" spans="1:13" s="27" customFormat="1" x14ac:dyDescent="0.3">
      <c r="A134" s="173"/>
      <c r="E134" s="173"/>
      <c r="F134" s="173"/>
      <c r="G134" s="173"/>
      <c r="H134" s="173"/>
      <c r="I134" s="173"/>
      <c r="J134" s="173"/>
      <c r="K134" s="173"/>
      <c r="L134" s="173"/>
      <c r="M134" s="173"/>
    </row>
    <row r="135" spans="1:13" s="27" customFormat="1" x14ac:dyDescent="0.3">
      <c r="A135" s="173"/>
      <c r="E135" s="173"/>
      <c r="F135" s="173"/>
      <c r="G135" s="173"/>
      <c r="H135" s="173"/>
      <c r="I135" s="173"/>
      <c r="J135" s="173"/>
      <c r="K135" s="173"/>
      <c r="L135" s="173"/>
      <c r="M135" s="173"/>
    </row>
    <row r="136" spans="1:13" s="27" customFormat="1" x14ac:dyDescent="0.3">
      <c r="A136" s="173"/>
      <c r="E136" s="173"/>
      <c r="F136" s="173"/>
      <c r="G136" s="173"/>
      <c r="H136" s="173"/>
      <c r="I136" s="173"/>
      <c r="J136" s="173"/>
      <c r="K136" s="173"/>
      <c r="L136" s="173"/>
      <c r="M136" s="173"/>
    </row>
    <row r="137" spans="1:13" s="27" customFormat="1" x14ac:dyDescent="0.3">
      <c r="A137" s="173"/>
      <c r="E137" s="173"/>
      <c r="F137" s="173"/>
      <c r="G137" s="173"/>
      <c r="H137" s="173"/>
      <c r="I137" s="173"/>
      <c r="J137" s="173"/>
      <c r="K137" s="173"/>
      <c r="L137" s="173"/>
      <c r="M137" s="173"/>
    </row>
    <row r="138" spans="1:13" s="27" customFormat="1" x14ac:dyDescent="0.3">
      <c r="A138" s="173"/>
      <c r="E138" s="173"/>
      <c r="F138" s="173"/>
      <c r="G138" s="173"/>
      <c r="H138" s="173"/>
      <c r="I138" s="173"/>
      <c r="J138" s="173"/>
      <c r="K138" s="173"/>
      <c r="L138" s="173"/>
      <c r="M138" s="173"/>
    </row>
    <row r="139" spans="1:13" s="27" customFormat="1" x14ac:dyDescent="0.3">
      <c r="A139" s="173"/>
      <c r="E139" s="173"/>
      <c r="F139" s="173"/>
      <c r="G139" s="173"/>
      <c r="H139" s="173"/>
      <c r="I139" s="173"/>
      <c r="J139" s="173"/>
      <c r="K139" s="173"/>
      <c r="L139" s="173"/>
      <c r="M139" s="173"/>
    </row>
    <row r="140" spans="1:13" s="27" customFormat="1" x14ac:dyDescent="0.3">
      <c r="A140" s="173"/>
      <c r="E140" s="173"/>
      <c r="F140" s="173"/>
      <c r="G140" s="173"/>
      <c r="H140" s="173"/>
      <c r="I140" s="173"/>
      <c r="J140" s="173"/>
      <c r="K140" s="173"/>
      <c r="L140" s="173"/>
      <c r="M140" s="173"/>
    </row>
    <row r="141" spans="1:13" s="27" customFormat="1" x14ac:dyDescent="0.3">
      <c r="A141" s="173"/>
      <c r="E141" s="173"/>
      <c r="F141" s="173"/>
      <c r="G141" s="173"/>
      <c r="H141" s="173"/>
      <c r="I141" s="173"/>
      <c r="J141" s="173"/>
      <c r="K141" s="173"/>
      <c r="L141" s="173"/>
      <c r="M141" s="173"/>
    </row>
    <row r="142" spans="1:13" s="27" customFormat="1" x14ac:dyDescent="0.3">
      <c r="A142" s="173"/>
      <c r="E142" s="173"/>
      <c r="F142" s="173"/>
      <c r="G142" s="173"/>
      <c r="H142" s="173"/>
      <c r="I142" s="173"/>
      <c r="J142" s="173"/>
      <c r="K142" s="173"/>
      <c r="L142" s="173"/>
      <c r="M142" s="173"/>
    </row>
    <row r="143" spans="1:13" s="27" customFormat="1" x14ac:dyDescent="0.3">
      <c r="A143" s="173"/>
      <c r="E143" s="173"/>
      <c r="F143" s="173"/>
      <c r="G143" s="173"/>
      <c r="H143" s="173"/>
      <c r="I143" s="173"/>
      <c r="J143" s="173"/>
      <c r="K143" s="173"/>
      <c r="L143" s="173"/>
      <c r="M143" s="173"/>
    </row>
    <row r="144" spans="1:13" s="27" customFormat="1" x14ac:dyDescent="0.3">
      <c r="A144" s="173"/>
      <c r="E144" s="173"/>
      <c r="F144" s="173"/>
      <c r="G144" s="173"/>
      <c r="H144" s="173"/>
      <c r="I144" s="173"/>
      <c r="J144" s="173"/>
      <c r="K144" s="173"/>
      <c r="L144" s="173"/>
      <c r="M144" s="173"/>
    </row>
    <row r="145" spans="1:13" s="27" customFormat="1" x14ac:dyDescent="0.3">
      <c r="A145" s="173"/>
      <c r="E145" s="173"/>
      <c r="F145" s="173"/>
      <c r="G145" s="173"/>
      <c r="H145" s="173"/>
      <c r="I145" s="173"/>
      <c r="J145" s="173"/>
      <c r="K145" s="173"/>
      <c r="L145" s="173"/>
      <c r="M145" s="173"/>
    </row>
    <row r="146" spans="1:13" s="27" customFormat="1" x14ac:dyDescent="0.3">
      <c r="A146" s="173"/>
      <c r="E146" s="173"/>
      <c r="F146" s="173"/>
      <c r="G146" s="173"/>
      <c r="H146" s="173"/>
      <c r="I146" s="173"/>
      <c r="J146" s="173"/>
      <c r="K146" s="173"/>
      <c r="L146" s="173"/>
      <c r="M146" s="173"/>
    </row>
    <row r="147" spans="1:13" s="27" customFormat="1" x14ac:dyDescent="0.3">
      <c r="A147" s="173"/>
      <c r="E147" s="173"/>
      <c r="F147" s="173"/>
      <c r="G147" s="173"/>
      <c r="H147" s="173"/>
      <c r="I147" s="173"/>
      <c r="J147" s="173"/>
      <c r="K147" s="173"/>
      <c r="L147" s="173"/>
      <c r="M147" s="173"/>
    </row>
    <row r="148" spans="1:13" s="27" customFormat="1" x14ac:dyDescent="0.3">
      <c r="A148" s="173"/>
      <c r="E148" s="173"/>
      <c r="F148" s="173"/>
      <c r="G148" s="173"/>
      <c r="H148" s="173"/>
      <c r="I148" s="173"/>
      <c r="J148" s="173"/>
      <c r="K148" s="173"/>
      <c r="L148" s="173"/>
      <c r="M148" s="173"/>
    </row>
    <row r="149" spans="1:13" s="27" customFormat="1" x14ac:dyDescent="0.3">
      <c r="A149" s="173"/>
      <c r="E149" s="173"/>
      <c r="F149" s="173"/>
      <c r="G149" s="173"/>
      <c r="H149" s="173"/>
      <c r="I149" s="173"/>
      <c r="J149" s="173"/>
      <c r="K149" s="173"/>
      <c r="L149" s="173"/>
      <c r="M149" s="173"/>
    </row>
    <row r="150" spans="1:13" s="27" customFormat="1" x14ac:dyDescent="0.3">
      <c r="A150" s="173"/>
      <c r="E150" s="173"/>
      <c r="F150" s="173"/>
      <c r="G150" s="173"/>
      <c r="H150" s="173"/>
      <c r="I150" s="173"/>
      <c r="J150" s="173"/>
      <c r="K150" s="173"/>
      <c r="L150" s="173"/>
      <c r="M150" s="173"/>
    </row>
    <row r="151" spans="1:13" s="27" customFormat="1" x14ac:dyDescent="0.3">
      <c r="A151" s="173"/>
      <c r="E151" s="173"/>
      <c r="F151" s="173"/>
      <c r="G151" s="173"/>
      <c r="H151" s="173"/>
      <c r="I151" s="173"/>
      <c r="J151" s="173"/>
      <c r="K151" s="173"/>
      <c r="L151" s="173"/>
      <c r="M151" s="173"/>
    </row>
    <row r="152" spans="1:13" s="27" customFormat="1" x14ac:dyDescent="0.3">
      <c r="A152" s="173"/>
      <c r="E152" s="173"/>
      <c r="F152" s="173"/>
      <c r="G152" s="173"/>
      <c r="H152" s="173"/>
      <c r="I152" s="173"/>
      <c r="J152" s="173"/>
      <c r="K152" s="173"/>
      <c r="L152" s="173"/>
      <c r="M152" s="173"/>
    </row>
    <row r="153" spans="1:13" s="27" customFormat="1" x14ac:dyDescent="0.3">
      <c r="A153" s="173"/>
      <c r="E153" s="173"/>
      <c r="F153" s="173"/>
      <c r="G153" s="173"/>
      <c r="H153" s="173"/>
      <c r="I153" s="173"/>
      <c r="J153" s="173"/>
      <c r="K153" s="173"/>
      <c r="L153" s="173"/>
      <c r="M153" s="173"/>
    </row>
    <row r="154" spans="1:13" s="27" customFormat="1" x14ac:dyDescent="0.3">
      <c r="A154" s="173"/>
      <c r="E154" s="173"/>
      <c r="F154" s="173"/>
      <c r="G154" s="173"/>
      <c r="H154" s="173"/>
      <c r="I154" s="173"/>
      <c r="J154" s="173"/>
      <c r="K154" s="173"/>
      <c r="L154" s="173"/>
      <c r="M154" s="173"/>
    </row>
    <row r="155" spans="1:13" s="27" customFormat="1" x14ac:dyDescent="0.3">
      <c r="A155" s="173"/>
      <c r="E155" s="173"/>
      <c r="F155" s="173"/>
      <c r="G155" s="173"/>
      <c r="H155" s="173"/>
      <c r="I155" s="173"/>
      <c r="J155" s="173"/>
      <c r="K155" s="173"/>
      <c r="L155" s="173"/>
      <c r="M155" s="173"/>
    </row>
    <row r="156" spans="1:13" s="27" customFormat="1" x14ac:dyDescent="0.3">
      <c r="A156" s="173"/>
      <c r="E156" s="173"/>
      <c r="F156" s="173"/>
      <c r="G156" s="173"/>
      <c r="H156" s="173"/>
      <c r="I156" s="173"/>
      <c r="J156" s="173"/>
      <c r="K156" s="173"/>
      <c r="L156" s="173"/>
      <c r="M156" s="173"/>
    </row>
    <row r="157" spans="1:13" s="27" customFormat="1" x14ac:dyDescent="0.3">
      <c r="A157" s="173"/>
      <c r="E157" s="173"/>
      <c r="F157" s="173"/>
      <c r="G157" s="173"/>
      <c r="H157" s="173"/>
      <c r="I157" s="173"/>
      <c r="J157" s="173"/>
      <c r="K157" s="173"/>
      <c r="L157" s="173"/>
      <c r="M157" s="173"/>
    </row>
    <row r="158" spans="1:13" s="27" customFormat="1" x14ac:dyDescent="0.3">
      <c r="A158" s="173"/>
      <c r="E158" s="173"/>
      <c r="F158" s="173"/>
      <c r="G158" s="173"/>
      <c r="H158" s="173"/>
      <c r="I158" s="173"/>
      <c r="J158" s="173"/>
      <c r="K158" s="173"/>
      <c r="L158" s="173"/>
      <c r="M158" s="173"/>
    </row>
    <row r="159" spans="1:13" s="27" customFormat="1" x14ac:dyDescent="0.3">
      <c r="A159" s="173"/>
      <c r="E159" s="173"/>
      <c r="F159" s="173"/>
      <c r="G159" s="173"/>
      <c r="H159" s="173"/>
      <c r="I159" s="173"/>
      <c r="J159" s="173"/>
      <c r="K159" s="173"/>
      <c r="L159" s="173"/>
      <c r="M159" s="173"/>
    </row>
    <row r="160" spans="1:13" s="27" customFormat="1" x14ac:dyDescent="0.3">
      <c r="A160" s="173"/>
      <c r="E160" s="173"/>
      <c r="F160" s="173"/>
      <c r="G160" s="173"/>
      <c r="H160" s="173"/>
      <c r="I160" s="173"/>
      <c r="J160" s="173"/>
      <c r="K160" s="173"/>
      <c r="L160" s="173"/>
      <c r="M160" s="173"/>
    </row>
    <row r="161" spans="1:13" s="27" customFormat="1" x14ac:dyDescent="0.3">
      <c r="A161" s="173"/>
      <c r="E161" s="173"/>
      <c r="F161" s="173"/>
      <c r="G161" s="173"/>
      <c r="H161" s="173"/>
      <c r="I161" s="173"/>
      <c r="J161" s="173"/>
      <c r="K161" s="173"/>
      <c r="L161" s="173"/>
      <c r="M161" s="173"/>
    </row>
    <row r="162" spans="1:13" s="27" customFormat="1" x14ac:dyDescent="0.3">
      <c r="A162" s="173"/>
      <c r="E162" s="173"/>
      <c r="F162" s="173"/>
      <c r="G162" s="173"/>
      <c r="H162" s="173"/>
      <c r="I162" s="173"/>
      <c r="J162" s="173"/>
      <c r="K162" s="173"/>
      <c r="L162" s="173"/>
      <c r="M162" s="173"/>
    </row>
    <row r="163" spans="1:13" s="27" customFormat="1" x14ac:dyDescent="0.3">
      <c r="A163" s="173"/>
      <c r="E163" s="173"/>
      <c r="F163" s="173"/>
      <c r="G163" s="173"/>
      <c r="H163" s="173"/>
      <c r="I163" s="173"/>
      <c r="J163" s="173"/>
      <c r="K163" s="173"/>
      <c r="L163" s="173"/>
      <c r="M163" s="173"/>
    </row>
    <row r="164" spans="1:13" s="27" customFormat="1" x14ac:dyDescent="0.3">
      <c r="A164" s="173"/>
      <c r="E164" s="173"/>
      <c r="F164" s="173"/>
      <c r="G164" s="173"/>
      <c r="H164" s="173"/>
      <c r="I164" s="173"/>
      <c r="J164" s="173"/>
      <c r="K164" s="173"/>
      <c r="L164" s="173"/>
      <c r="M164" s="173"/>
    </row>
    <row r="165" spans="1:13" s="27" customFormat="1" x14ac:dyDescent="0.3">
      <c r="A165" s="173"/>
      <c r="E165" s="173"/>
      <c r="F165" s="173"/>
      <c r="G165" s="173"/>
      <c r="H165" s="173"/>
      <c r="I165" s="173"/>
      <c r="J165" s="173"/>
      <c r="K165" s="173"/>
      <c r="L165" s="173"/>
      <c r="M165" s="173"/>
    </row>
    <row r="166" spans="1:13" s="27" customFormat="1" x14ac:dyDescent="0.3">
      <c r="A166" s="173"/>
      <c r="E166" s="173"/>
      <c r="F166" s="173"/>
      <c r="G166" s="173"/>
      <c r="H166" s="173"/>
      <c r="I166" s="173"/>
      <c r="J166" s="173"/>
      <c r="K166" s="173"/>
      <c r="L166" s="173"/>
      <c r="M166" s="173"/>
    </row>
    <row r="167" spans="1:13" s="27" customFormat="1" x14ac:dyDescent="0.3">
      <c r="A167" s="173"/>
      <c r="E167" s="173"/>
      <c r="F167" s="173"/>
      <c r="G167" s="173"/>
      <c r="H167" s="173"/>
      <c r="I167" s="173"/>
      <c r="J167" s="173"/>
      <c r="K167" s="173"/>
      <c r="L167" s="173"/>
      <c r="M167" s="173"/>
    </row>
    <row r="168" spans="1:13" s="27" customFormat="1" x14ac:dyDescent="0.3">
      <c r="A168" s="173"/>
      <c r="E168" s="173"/>
      <c r="F168" s="173"/>
      <c r="G168" s="173"/>
      <c r="H168" s="173"/>
      <c r="I168" s="173"/>
      <c r="J168" s="173"/>
      <c r="K168" s="173"/>
      <c r="L168" s="173"/>
      <c r="M168" s="173"/>
    </row>
    <row r="169" spans="1:13" s="27" customFormat="1" x14ac:dyDescent="0.3">
      <c r="A169" s="173"/>
      <c r="E169" s="173"/>
      <c r="F169" s="173"/>
      <c r="G169" s="173"/>
      <c r="H169" s="173"/>
      <c r="I169" s="173"/>
      <c r="J169" s="173"/>
      <c r="K169" s="173"/>
      <c r="L169" s="173"/>
      <c r="M169" s="173"/>
    </row>
    <row r="170" spans="1:13" s="27" customFormat="1" x14ac:dyDescent="0.3">
      <c r="A170" s="173"/>
      <c r="E170" s="173"/>
      <c r="F170" s="173"/>
      <c r="G170" s="173"/>
      <c r="H170" s="173"/>
      <c r="I170" s="173"/>
      <c r="J170" s="173"/>
      <c r="K170" s="173"/>
      <c r="L170" s="173"/>
      <c r="M170" s="173"/>
    </row>
    <row r="171" spans="1:13" s="27" customFormat="1" x14ac:dyDescent="0.3">
      <c r="A171" s="173"/>
      <c r="E171" s="173"/>
      <c r="F171" s="173"/>
      <c r="G171" s="173"/>
      <c r="H171" s="173"/>
      <c r="I171" s="173"/>
      <c r="J171" s="173"/>
      <c r="K171" s="173"/>
      <c r="L171" s="173"/>
      <c r="M171" s="173"/>
    </row>
    <row r="172" spans="1:13" s="27" customFormat="1" x14ac:dyDescent="0.3">
      <c r="A172" s="173"/>
      <c r="E172" s="173"/>
      <c r="F172" s="173"/>
      <c r="G172" s="173"/>
      <c r="H172" s="173"/>
      <c r="I172" s="173"/>
      <c r="J172" s="173"/>
      <c r="K172" s="173"/>
      <c r="L172" s="173"/>
      <c r="M172" s="173"/>
    </row>
    <row r="173" spans="1:13" s="27" customFormat="1" x14ac:dyDescent="0.3">
      <c r="A173" s="173"/>
      <c r="E173" s="173"/>
      <c r="F173" s="173"/>
      <c r="G173" s="173"/>
      <c r="H173" s="173"/>
      <c r="I173" s="173"/>
      <c r="J173" s="173"/>
      <c r="K173" s="173"/>
      <c r="L173" s="173"/>
      <c r="M173" s="173"/>
    </row>
    <row r="174" spans="1:13" s="27" customFormat="1" x14ac:dyDescent="0.3">
      <c r="A174" s="173"/>
      <c r="E174" s="173"/>
      <c r="F174" s="173"/>
      <c r="G174" s="173"/>
      <c r="H174" s="173"/>
      <c r="I174" s="173"/>
      <c r="J174" s="173"/>
      <c r="K174" s="173"/>
      <c r="L174" s="173"/>
      <c r="M174" s="173"/>
    </row>
    <row r="175" spans="1:13" s="27" customFormat="1" x14ac:dyDescent="0.3">
      <c r="A175" s="173"/>
      <c r="E175" s="173"/>
      <c r="F175" s="173"/>
      <c r="G175" s="173"/>
      <c r="H175" s="173"/>
      <c r="I175" s="173"/>
      <c r="J175" s="173"/>
      <c r="K175" s="173"/>
      <c r="L175" s="173"/>
      <c r="M175" s="173"/>
    </row>
    <row r="176" spans="1:13" s="27" customFormat="1" x14ac:dyDescent="0.3">
      <c r="A176" s="173"/>
      <c r="E176" s="173"/>
      <c r="F176" s="173"/>
      <c r="G176" s="173"/>
      <c r="H176" s="173"/>
      <c r="I176" s="173"/>
      <c r="J176" s="173"/>
      <c r="K176" s="173"/>
      <c r="L176" s="173"/>
      <c r="M176" s="173"/>
    </row>
    <row r="177" spans="1:13" s="27" customFormat="1" x14ac:dyDescent="0.3">
      <c r="A177" s="173"/>
      <c r="E177" s="173"/>
      <c r="F177" s="173"/>
      <c r="G177" s="173"/>
      <c r="H177" s="173"/>
      <c r="I177" s="173"/>
      <c r="J177" s="173"/>
      <c r="K177" s="173"/>
      <c r="L177" s="173"/>
      <c r="M177" s="173"/>
    </row>
    <row r="178" spans="1:13" s="27" customFormat="1" x14ac:dyDescent="0.3">
      <c r="A178" s="173"/>
      <c r="E178" s="173"/>
      <c r="F178" s="173"/>
      <c r="G178" s="173"/>
      <c r="H178" s="173"/>
      <c r="I178" s="173"/>
      <c r="J178" s="173"/>
      <c r="K178" s="173"/>
      <c r="L178" s="173"/>
      <c r="M178" s="173"/>
    </row>
    <row r="179" spans="1:13" s="27" customFormat="1" x14ac:dyDescent="0.3">
      <c r="A179" s="173"/>
      <c r="E179" s="173"/>
      <c r="F179" s="173"/>
      <c r="G179" s="173"/>
      <c r="H179" s="173"/>
      <c r="I179" s="173"/>
      <c r="J179" s="173"/>
      <c r="K179" s="173"/>
      <c r="L179" s="173"/>
      <c r="M179" s="173"/>
    </row>
    <row r="180" spans="1:13" s="27" customFormat="1" x14ac:dyDescent="0.3">
      <c r="A180" s="173"/>
      <c r="E180" s="173"/>
      <c r="F180" s="173"/>
      <c r="G180" s="173"/>
      <c r="H180" s="173"/>
      <c r="I180" s="173"/>
      <c r="J180" s="173"/>
      <c r="K180" s="173"/>
      <c r="L180" s="173"/>
      <c r="M180" s="173"/>
    </row>
    <row r="181" spans="1:13" s="27" customFormat="1" x14ac:dyDescent="0.3">
      <c r="A181" s="173"/>
      <c r="E181" s="173"/>
      <c r="F181" s="173"/>
      <c r="G181" s="173"/>
      <c r="H181" s="173"/>
      <c r="I181" s="173"/>
      <c r="J181" s="173"/>
      <c r="K181" s="173"/>
      <c r="L181" s="173"/>
      <c r="M181" s="173"/>
    </row>
    <row r="182" spans="1:13" s="27" customFormat="1" x14ac:dyDescent="0.3">
      <c r="A182" s="173"/>
      <c r="E182" s="173"/>
      <c r="F182" s="173"/>
      <c r="G182" s="173"/>
      <c r="H182" s="173"/>
      <c r="I182" s="173"/>
      <c r="J182" s="173"/>
      <c r="K182" s="173"/>
      <c r="L182" s="173"/>
      <c r="M182" s="173"/>
    </row>
    <row r="183" spans="1:13" s="27" customFormat="1" x14ac:dyDescent="0.3">
      <c r="A183" s="173"/>
      <c r="E183" s="173"/>
      <c r="F183" s="173"/>
      <c r="G183" s="173"/>
      <c r="H183" s="173"/>
      <c r="I183" s="173"/>
      <c r="J183" s="173"/>
      <c r="K183" s="173"/>
      <c r="L183" s="173"/>
      <c r="M183" s="173"/>
    </row>
    <row r="184" spans="1:13" s="27" customFormat="1" x14ac:dyDescent="0.3">
      <c r="A184" s="173"/>
      <c r="E184" s="173"/>
      <c r="F184" s="173"/>
      <c r="G184" s="173"/>
      <c r="H184" s="173"/>
      <c r="I184" s="173"/>
      <c r="J184" s="173"/>
      <c r="K184" s="173"/>
      <c r="L184" s="173"/>
      <c r="M184" s="173"/>
    </row>
    <row r="185" spans="1:13" s="27" customFormat="1" x14ac:dyDescent="0.3">
      <c r="A185" s="173"/>
      <c r="E185" s="173"/>
      <c r="F185" s="173"/>
      <c r="G185" s="173"/>
      <c r="H185" s="173"/>
      <c r="I185" s="173"/>
      <c r="J185" s="173"/>
      <c r="K185" s="173"/>
      <c r="L185" s="173"/>
      <c r="M185" s="173"/>
    </row>
    <row r="186" spans="1:13" s="27" customFormat="1" x14ac:dyDescent="0.3">
      <c r="A186" s="173"/>
      <c r="E186" s="173"/>
      <c r="F186" s="173"/>
      <c r="G186" s="173"/>
      <c r="H186" s="173"/>
      <c r="I186" s="173"/>
      <c r="J186" s="173"/>
      <c r="K186" s="173"/>
      <c r="L186" s="173"/>
      <c r="M186" s="173"/>
    </row>
    <row r="187" spans="1:13" s="27" customFormat="1" x14ac:dyDescent="0.3">
      <c r="A187" s="173"/>
      <c r="E187" s="173"/>
      <c r="F187" s="173"/>
      <c r="G187" s="173"/>
      <c r="H187" s="173"/>
      <c r="I187" s="173"/>
      <c r="J187" s="173"/>
      <c r="K187" s="173"/>
      <c r="L187" s="173"/>
      <c r="M187" s="173"/>
    </row>
    <row r="188" spans="1:13" s="27" customFormat="1" x14ac:dyDescent="0.3">
      <c r="A188" s="173"/>
      <c r="E188" s="173"/>
      <c r="F188" s="173"/>
      <c r="G188" s="173"/>
      <c r="H188" s="173"/>
      <c r="I188" s="173"/>
      <c r="J188" s="173"/>
      <c r="K188" s="173"/>
      <c r="L188" s="173"/>
      <c r="M188" s="173"/>
    </row>
    <row r="189" spans="1:13" s="27" customFormat="1" x14ac:dyDescent="0.3">
      <c r="A189" s="173"/>
      <c r="E189" s="173"/>
      <c r="F189" s="173"/>
      <c r="G189" s="173"/>
      <c r="H189" s="173"/>
      <c r="I189" s="173"/>
      <c r="J189" s="173"/>
      <c r="K189" s="173"/>
      <c r="L189" s="173"/>
      <c r="M189" s="173"/>
    </row>
    <row r="190" spans="1:13" s="27" customFormat="1" x14ac:dyDescent="0.3">
      <c r="A190" s="173"/>
      <c r="E190" s="173"/>
      <c r="F190" s="173"/>
      <c r="G190" s="173"/>
      <c r="H190" s="173"/>
      <c r="I190" s="173"/>
      <c r="J190" s="173"/>
      <c r="K190" s="173"/>
      <c r="L190" s="173"/>
      <c r="M190" s="173"/>
    </row>
    <row r="191" spans="1:13" s="27" customFormat="1" x14ac:dyDescent="0.3">
      <c r="A191" s="173"/>
      <c r="E191" s="173"/>
      <c r="F191" s="173"/>
      <c r="G191" s="173"/>
      <c r="H191" s="173"/>
      <c r="I191" s="173"/>
      <c r="J191" s="173"/>
      <c r="K191" s="173"/>
      <c r="L191" s="173"/>
      <c r="M191" s="173"/>
    </row>
    <row r="192" spans="1:13" s="27" customFormat="1" x14ac:dyDescent="0.3">
      <c r="A192" s="173"/>
      <c r="E192" s="173"/>
      <c r="F192" s="173"/>
      <c r="G192" s="173"/>
      <c r="H192" s="173"/>
      <c r="I192" s="173"/>
      <c r="J192" s="173"/>
      <c r="K192" s="173"/>
      <c r="L192" s="173"/>
      <c r="M192" s="173"/>
    </row>
    <row r="193" spans="1:13" s="27" customFormat="1" x14ac:dyDescent="0.3">
      <c r="A193" s="173"/>
      <c r="E193" s="173"/>
      <c r="F193" s="173"/>
      <c r="G193" s="173"/>
      <c r="H193" s="173"/>
      <c r="I193" s="173"/>
      <c r="J193" s="173"/>
      <c r="K193" s="173"/>
      <c r="L193" s="173"/>
      <c r="M193" s="173"/>
    </row>
    <row r="194" spans="1:13" s="27" customFormat="1" x14ac:dyDescent="0.3">
      <c r="A194" s="173"/>
      <c r="E194" s="173"/>
      <c r="F194" s="173"/>
      <c r="G194" s="173"/>
      <c r="H194" s="173"/>
      <c r="I194" s="173"/>
      <c r="J194" s="173"/>
      <c r="K194" s="173"/>
      <c r="L194" s="173"/>
      <c r="M194" s="173"/>
    </row>
    <row r="195" spans="1:13" s="27" customFormat="1" x14ac:dyDescent="0.3">
      <c r="A195" s="173"/>
      <c r="E195" s="173"/>
      <c r="F195" s="173"/>
      <c r="G195" s="173"/>
      <c r="H195" s="173"/>
      <c r="I195" s="173"/>
      <c r="J195" s="173"/>
      <c r="K195" s="173"/>
      <c r="L195" s="173"/>
      <c r="M195" s="173"/>
    </row>
    <row r="196" spans="1:13" s="27" customFormat="1" x14ac:dyDescent="0.3">
      <c r="A196" s="173"/>
      <c r="E196" s="173"/>
      <c r="F196" s="173"/>
      <c r="G196" s="173"/>
      <c r="H196" s="173"/>
      <c r="I196" s="173"/>
      <c r="J196" s="173"/>
      <c r="K196" s="173"/>
      <c r="L196" s="173"/>
      <c r="M196" s="173"/>
    </row>
    <row r="197" spans="1:13" s="27" customFormat="1" x14ac:dyDescent="0.3">
      <c r="A197" s="173"/>
      <c r="E197" s="173"/>
      <c r="F197" s="173"/>
      <c r="G197" s="173"/>
      <c r="H197" s="173"/>
      <c r="I197" s="173"/>
      <c r="J197" s="173"/>
      <c r="K197" s="173"/>
      <c r="L197" s="173"/>
      <c r="M197" s="173"/>
    </row>
    <row r="198" spans="1:13" s="27" customFormat="1" x14ac:dyDescent="0.3">
      <c r="A198" s="173"/>
      <c r="E198" s="173"/>
      <c r="F198" s="173"/>
      <c r="G198" s="173"/>
      <c r="H198" s="173"/>
      <c r="I198" s="173"/>
      <c r="J198" s="173"/>
      <c r="K198" s="173"/>
      <c r="L198" s="173"/>
      <c r="M198" s="173"/>
    </row>
    <row r="199" spans="1:13" s="27" customFormat="1" x14ac:dyDescent="0.3">
      <c r="A199" s="173"/>
      <c r="E199" s="173"/>
      <c r="F199" s="173"/>
      <c r="G199" s="173"/>
      <c r="H199" s="173"/>
      <c r="I199" s="173"/>
      <c r="J199" s="173"/>
      <c r="K199" s="173"/>
      <c r="L199" s="173"/>
      <c r="M199" s="173"/>
    </row>
    <row r="200" spans="1:13" s="27" customFormat="1" x14ac:dyDescent="0.3">
      <c r="A200" s="173"/>
      <c r="E200" s="173"/>
      <c r="F200" s="173"/>
      <c r="G200" s="173"/>
      <c r="H200" s="173"/>
      <c r="I200" s="173"/>
      <c r="J200" s="173"/>
      <c r="K200" s="173"/>
      <c r="L200" s="173"/>
      <c r="M200" s="173"/>
    </row>
    <row r="201" spans="1:13" s="27" customFormat="1" x14ac:dyDescent="0.3">
      <c r="A201" s="173"/>
      <c r="E201" s="173"/>
      <c r="F201" s="173"/>
      <c r="G201" s="173"/>
      <c r="H201" s="173"/>
      <c r="I201" s="173"/>
      <c r="J201" s="173"/>
      <c r="K201" s="173"/>
      <c r="L201" s="173"/>
      <c r="M201" s="173"/>
    </row>
    <row r="202" spans="1:13" s="27" customFormat="1" x14ac:dyDescent="0.3">
      <c r="A202" s="173"/>
      <c r="E202" s="173"/>
      <c r="F202" s="173"/>
      <c r="G202" s="173"/>
      <c r="H202" s="173"/>
      <c r="I202" s="173"/>
      <c r="J202" s="173"/>
      <c r="K202" s="173"/>
      <c r="L202" s="173"/>
      <c r="M202" s="173"/>
    </row>
    <row r="203" spans="1:13" s="27" customFormat="1" x14ac:dyDescent="0.3">
      <c r="A203" s="173"/>
      <c r="E203" s="173"/>
      <c r="F203" s="173"/>
      <c r="G203" s="173"/>
      <c r="H203" s="173"/>
      <c r="I203" s="173"/>
      <c r="J203" s="173"/>
      <c r="K203" s="173"/>
      <c r="L203" s="173"/>
      <c r="M203" s="173"/>
    </row>
    <row r="204" spans="1:13" s="27" customFormat="1" x14ac:dyDescent="0.3">
      <c r="A204" s="173"/>
      <c r="E204" s="173"/>
      <c r="F204" s="173"/>
      <c r="G204" s="173"/>
      <c r="H204" s="173"/>
      <c r="I204" s="173"/>
      <c r="J204" s="173"/>
      <c r="K204" s="173"/>
      <c r="L204" s="173"/>
      <c r="M204" s="173"/>
    </row>
    <row r="205" spans="1:13" s="27" customFormat="1" x14ac:dyDescent="0.3">
      <c r="A205" s="173"/>
      <c r="E205" s="173"/>
      <c r="F205" s="173"/>
      <c r="G205" s="173"/>
      <c r="H205" s="173"/>
      <c r="I205" s="173"/>
      <c r="J205" s="173"/>
      <c r="K205" s="173"/>
      <c r="L205" s="173"/>
      <c r="M205" s="173"/>
    </row>
    <row r="206" spans="1:13" s="27" customFormat="1" x14ac:dyDescent="0.3">
      <c r="A206" s="173"/>
      <c r="E206" s="173"/>
      <c r="F206" s="173"/>
      <c r="G206" s="173"/>
      <c r="H206" s="173"/>
      <c r="I206" s="173"/>
      <c r="J206" s="173"/>
      <c r="K206" s="173"/>
      <c r="L206" s="173"/>
      <c r="M206" s="173"/>
    </row>
    <row r="207" spans="1:13" s="27" customFormat="1" x14ac:dyDescent="0.3">
      <c r="A207" s="173"/>
      <c r="E207" s="173"/>
      <c r="F207" s="173"/>
      <c r="G207" s="173"/>
      <c r="H207" s="173"/>
      <c r="I207" s="173"/>
      <c r="J207" s="173"/>
      <c r="K207" s="173"/>
      <c r="L207" s="173"/>
      <c r="M207" s="173"/>
    </row>
    <row r="208" spans="1:13" s="27" customFormat="1" x14ac:dyDescent="0.3">
      <c r="A208" s="173"/>
      <c r="E208" s="173"/>
      <c r="F208" s="173"/>
      <c r="G208" s="173"/>
      <c r="H208" s="173"/>
      <c r="I208" s="173"/>
      <c r="J208" s="173"/>
      <c r="K208" s="173"/>
      <c r="L208" s="173"/>
      <c r="M208" s="173"/>
    </row>
    <row r="209" spans="1:13" s="27" customFormat="1" x14ac:dyDescent="0.3">
      <c r="A209" s="173"/>
      <c r="E209" s="173"/>
      <c r="F209" s="173"/>
      <c r="G209" s="173"/>
      <c r="H209" s="173"/>
      <c r="I209" s="173"/>
      <c r="J209" s="173"/>
      <c r="K209" s="173"/>
      <c r="L209" s="173"/>
      <c r="M209" s="173"/>
    </row>
    <row r="210" spans="1:13" s="27" customFormat="1" x14ac:dyDescent="0.3">
      <c r="A210" s="173"/>
      <c r="E210" s="173"/>
      <c r="F210" s="173"/>
      <c r="G210" s="173"/>
      <c r="H210" s="173"/>
      <c r="I210" s="173"/>
      <c r="J210" s="173"/>
      <c r="K210" s="173"/>
      <c r="L210" s="173"/>
      <c r="M210" s="173"/>
    </row>
    <row r="211" spans="1:13" s="27" customFormat="1" x14ac:dyDescent="0.3">
      <c r="A211" s="173"/>
      <c r="E211" s="173"/>
      <c r="F211" s="173"/>
      <c r="G211" s="173"/>
      <c r="H211" s="173"/>
      <c r="I211" s="173"/>
      <c r="J211" s="173"/>
      <c r="K211" s="173"/>
      <c r="L211" s="173"/>
      <c r="M211" s="173"/>
    </row>
    <row r="212" spans="1:13" s="27" customFormat="1" x14ac:dyDescent="0.3">
      <c r="A212" s="173"/>
      <c r="E212" s="173"/>
      <c r="F212" s="173"/>
      <c r="G212" s="173"/>
      <c r="H212" s="173"/>
      <c r="I212" s="173"/>
      <c r="J212" s="173"/>
      <c r="K212" s="173"/>
      <c r="L212" s="173"/>
      <c r="M212" s="173"/>
    </row>
    <row r="213" spans="1:13" s="27" customFormat="1" x14ac:dyDescent="0.3">
      <c r="A213" s="173"/>
      <c r="E213" s="173"/>
      <c r="F213" s="173"/>
      <c r="G213" s="173"/>
      <c r="H213" s="173"/>
      <c r="I213" s="173"/>
      <c r="J213" s="173"/>
      <c r="K213" s="173"/>
      <c r="L213" s="173"/>
      <c r="M213" s="173"/>
    </row>
    <row r="214" spans="1:13" s="27" customFormat="1" x14ac:dyDescent="0.3">
      <c r="A214" s="173"/>
      <c r="E214" s="173"/>
      <c r="F214" s="173"/>
      <c r="G214" s="173"/>
      <c r="H214" s="173"/>
      <c r="I214" s="173"/>
      <c r="J214" s="173"/>
      <c r="K214" s="173"/>
      <c r="L214" s="173"/>
      <c r="M214" s="173"/>
    </row>
    <row r="215" spans="1:13" s="27" customFormat="1" x14ac:dyDescent="0.3">
      <c r="A215" s="173"/>
      <c r="E215" s="173"/>
      <c r="F215" s="173"/>
      <c r="G215" s="173"/>
      <c r="H215" s="173"/>
      <c r="I215" s="173"/>
      <c r="J215" s="173"/>
      <c r="K215" s="173"/>
      <c r="L215" s="173"/>
      <c r="M215" s="173"/>
    </row>
    <row r="216" spans="1:13" s="27" customFormat="1" x14ac:dyDescent="0.3">
      <c r="A216" s="173"/>
      <c r="E216" s="173"/>
      <c r="F216" s="173"/>
      <c r="G216" s="173"/>
      <c r="H216" s="173"/>
      <c r="I216" s="173"/>
      <c r="J216" s="173"/>
      <c r="K216" s="173"/>
      <c r="L216" s="173"/>
      <c r="M216" s="173"/>
    </row>
    <row r="217" spans="1:13" s="27" customFormat="1" x14ac:dyDescent="0.3">
      <c r="A217" s="173"/>
      <c r="E217" s="173"/>
      <c r="F217" s="173"/>
      <c r="G217" s="173"/>
      <c r="H217" s="173"/>
      <c r="I217" s="173"/>
      <c r="J217" s="173"/>
      <c r="K217" s="173"/>
      <c r="L217" s="173"/>
      <c r="M217" s="173"/>
    </row>
    <row r="218" spans="1:13" s="27" customFormat="1" x14ac:dyDescent="0.3">
      <c r="A218" s="173"/>
      <c r="E218" s="173"/>
      <c r="F218" s="173"/>
      <c r="G218" s="173"/>
      <c r="H218" s="173"/>
      <c r="I218" s="173"/>
      <c r="J218" s="173"/>
      <c r="K218" s="173"/>
      <c r="L218" s="173"/>
      <c r="M218" s="173"/>
    </row>
    <row r="219" spans="1:13" s="27" customFormat="1" x14ac:dyDescent="0.3">
      <c r="A219" s="173"/>
      <c r="E219" s="173"/>
      <c r="F219" s="173"/>
      <c r="G219" s="173"/>
      <c r="H219" s="173"/>
      <c r="I219" s="173"/>
      <c r="J219" s="173"/>
      <c r="K219" s="173"/>
      <c r="L219" s="173"/>
      <c r="M219" s="173"/>
    </row>
    <row r="220" spans="1:13" s="27" customFormat="1" x14ac:dyDescent="0.3">
      <c r="A220" s="173"/>
      <c r="E220" s="173"/>
      <c r="F220" s="173"/>
      <c r="G220" s="173"/>
      <c r="H220" s="173"/>
      <c r="I220" s="173"/>
      <c r="J220" s="173"/>
      <c r="K220" s="173"/>
      <c r="L220" s="173"/>
      <c r="M220" s="173"/>
    </row>
    <row r="221" spans="1:13" s="27" customFormat="1" x14ac:dyDescent="0.3">
      <c r="A221" s="173"/>
      <c r="E221" s="173"/>
      <c r="F221" s="173"/>
      <c r="G221" s="173"/>
      <c r="H221" s="173"/>
      <c r="I221" s="173"/>
      <c r="J221" s="173"/>
      <c r="K221" s="173"/>
      <c r="L221" s="173"/>
      <c r="M221" s="173"/>
    </row>
    <row r="222" spans="1:13" s="27" customFormat="1" x14ac:dyDescent="0.3">
      <c r="A222" s="173"/>
      <c r="E222" s="173"/>
      <c r="F222" s="173"/>
      <c r="G222" s="173"/>
      <c r="H222" s="173"/>
      <c r="I222" s="173"/>
      <c r="J222" s="173"/>
      <c r="K222" s="173"/>
      <c r="L222" s="173"/>
      <c r="M222" s="173"/>
    </row>
    <row r="223" spans="1:13" s="27" customFormat="1" x14ac:dyDescent="0.3">
      <c r="A223" s="173"/>
      <c r="E223" s="173"/>
      <c r="F223" s="173"/>
      <c r="G223" s="173"/>
      <c r="H223" s="173"/>
      <c r="I223" s="173"/>
      <c r="J223" s="173"/>
      <c r="K223" s="173"/>
      <c r="L223" s="173"/>
      <c r="M223" s="173"/>
    </row>
    <row r="224" spans="1:13" s="27" customFormat="1" x14ac:dyDescent="0.3">
      <c r="A224" s="173"/>
      <c r="E224" s="173"/>
      <c r="F224" s="173"/>
      <c r="G224" s="173"/>
      <c r="H224" s="173"/>
      <c r="I224" s="173"/>
      <c r="J224" s="173"/>
      <c r="K224" s="173"/>
      <c r="L224" s="173"/>
      <c r="M224" s="173"/>
    </row>
    <row r="225" spans="1:13" s="27" customFormat="1" x14ac:dyDescent="0.3">
      <c r="A225" s="173"/>
      <c r="E225" s="173"/>
      <c r="F225" s="173"/>
      <c r="G225" s="173"/>
      <c r="H225" s="173"/>
      <c r="I225" s="173"/>
      <c r="J225" s="173"/>
      <c r="K225" s="173"/>
      <c r="L225" s="173"/>
      <c r="M225" s="173"/>
    </row>
    <row r="226" spans="1:13" s="27" customFormat="1" x14ac:dyDescent="0.3">
      <c r="A226" s="173"/>
      <c r="E226" s="173"/>
      <c r="F226" s="173"/>
      <c r="G226" s="173"/>
      <c r="H226" s="173"/>
      <c r="I226" s="173"/>
      <c r="J226" s="173"/>
      <c r="K226" s="173"/>
      <c r="L226" s="173"/>
      <c r="M226" s="173"/>
    </row>
    <row r="227" spans="1:13" s="27" customFormat="1" x14ac:dyDescent="0.3">
      <c r="A227" s="173"/>
      <c r="E227" s="173"/>
      <c r="F227" s="173"/>
      <c r="G227" s="173"/>
      <c r="H227" s="173"/>
      <c r="I227" s="173"/>
      <c r="J227" s="173"/>
      <c r="K227" s="173"/>
      <c r="L227" s="173"/>
      <c r="M227" s="173"/>
    </row>
    <row r="228" spans="1:13" s="27" customFormat="1" x14ac:dyDescent="0.3">
      <c r="A228" s="173"/>
      <c r="E228" s="173"/>
      <c r="F228" s="173"/>
      <c r="G228" s="173"/>
      <c r="H228" s="173"/>
      <c r="I228" s="173"/>
      <c r="J228" s="173"/>
      <c r="K228" s="173"/>
      <c r="L228" s="173"/>
      <c r="M228" s="173"/>
    </row>
    <row r="229" spans="1:13" s="27" customFormat="1" x14ac:dyDescent="0.3">
      <c r="A229" s="173"/>
      <c r="E229" s="173"/>
      <c r="F229" s="173"/>
      <c r="G229" s="173"/>
      <c r="H229" s="173"/>
      <c r="I229" s="173"/>
      <c r="J229" s="173"/>
      <c r="K229" s="173"/>
      <c r="L229" s="173"/>
      <c r="M229" s="173"/>
    </row>
    <row r="230" spans="1:13" s="27" customFormat="1" x14ac:dyDescent="0.3">
      <c r="A230" s="173"/>
      <c r="E230" s="173"/>
      <c r="F230" s="173"/>
      <c r="G230" s="173"/>
      <c r="H230" s="173"/>
      <c r="I230" s="173"/>
      <c r="J230" s="173"/>
      <c r="K230" s="173"/>
      <c r="L230" s="173"/>
      <c r="M230" s="173"/>
    </row>
    <row r="231" spans="1:13" s="27" customFormat="1" x14ac:dyDescent="0.3">
      <c r="A231" s="173"/>
      <c r="E231" s="173"/>
      <c r="F231" s="173"/>
      <c r="G231" s="173"/>
      <c r="H231" s="173"/>
      <c r="I231" s="173"/>
      <c r="J231" s="173"/>
      <c r="K231" s="173"/>
      <c r="L231" s="173"/>
      <c r="M231" s="173"/>
    </row>
    <row r="232" spans="1:13" s="27" customFormat="1" x14ac:dyDescent="0.3">
      <c r="A232" s="173"/>
      <c r="E232" s="173"/>
      <c r="F232" s="173"/>
      <c r="G232" s="173"/>
      <c r="H232" s="173"/>
      <c r="I232" s="173"/>
      <c r="J232" s="173"/>
      <c r="K232" s="173"/>
      <c r="L232" s="173"/>
      <c r="M232" s="173"/>
    </row>
    <row r="233" spans="1:13" s="27" customFormat="1" x14ac:dyDescent="0.3">
      <c r="A233" s="173"/>
      <c r="E233" s="173"/>
      <c r="F233" s="173"/>
      <c r="G233" s="173"/>
      <c r="H233" s="173"/>
      <c r="I233" s="173"/>
      <c r="J233" s="173"/>
      <c r="K233" s="173"/>
      <c r="L233" s="173"/>
      <c r="M233" s="173"/>
    </row>
    <row r="234" spans="1:13" s="27" customFormat="1" x14ac:dyDescent="0.3">
      <c r="A234" s="173"/>
      <c r="E234" s="173"/>
      <c r="F234" s="173"/>
      <c r="G234" s="173"/>
      <c r="H234" s="173"/>
      <c r="I234" s="173"/>
      <c r="J234" s="173"/>
      <c r="K234" s="173"/>
      <c r="L234" s="173"/>
      <c r="M234" s="173"/>
    </row>
    <row r="235" spans="1:13" s="27" customFormat="1" x14ac:dyDescent="0.3">
      <c r="A235" s="173"/>
      <c r="E235" s="173"/>
      <c r="F235" s="173"/>
      <c r="G235" s="173"/>
      <c r="H235" s="173"/>
      <c r="I235" s="173"/>
      <c r="J235" s="173"/>
      <c r="K235" s="173"/>
      <c r="L235" s="173"/>
      <c r="M235" s="173"/>
    </row>
    <row r="236" spans="1:13" s="27" customFormat="1" x14ac:dyDescent="0.3">
      <c r="A236" s="173"/>
      <c r="E236" s="173"/>
      <c r="F236" s="173"/>
      <c r="G236" s="173"/>
      <c r="H236" s="173"/>
      <c r="I236" s="173"/>
      <c r="J236" s="173"/>
      <c r="K236" s="173"/>
      <c r="L236" s="173"/>
      <c r="M236" s="173"/>
    </row>
    <row r="237" spans="1:13" s="27" customFormat="1" x14ac:dyDescent="0.3">
      <c r="A237" s="173"/>
      <c r="E237" s="173"/>
      <c r="F237" s="173"/>
      <c r="G237" s="173"/>
      <c r="H237" s="173"/>
      <c r="I237" s="173"/>
      <c r="J237" s="173"/>
      <c r="K237" s="173"/>
      <c r="L237" s="173"/>
      <c r="M237" s="173"/>
    </row>
    <row r="238" spans="1:13" s="27" customFormat="1" x14ac:dyDescent="0.3">
      <c r="A238" s="173"/>
      <c r="E238" s="173"/>
      <c r="F238" s="173"/>
      <c r="G238" s="173"/>
      <c r="H238" s="173"/>
      <c r="I238" s="173"/>
      <c r="J238" s="173"/>
      <c r="K238" s="173"/>
      <c r="L238" s="173"/>
      <c r="M238" s="173"/>
    </row>
    <row r="239" spans="1:13" s="27" customFormat="1" x14ac:dyDescent="0.3">
      <c r="A239" s="173"/>
      <c r="E239" s="173"/>
      <c r="F239" s="173"/>
      <c r="G239" s="173"/>
      <c r="H239" s="173"/>
      <c r="I239" s="173"/>
      <c r="J239" s="173"/>
      <c r="K239" s="173"/>
      <c r="L239" s="173"/>
      <c r="M239" s="173"/>
    </row>
    <row r="240" spans="1:13" s="27" customFormat="1" x14ac:dyDescent="0.3">
      <c r="A240" s="173"/>
      <c r="E240" s="173"/>
      <c r="F240" s="173"/>
      <c r="G240" s="173"/>
      <c r="H240" s="173"/>
      <c r="I240" s="173"/>
      <c r="J240" s="173"/>
      <c r="K240" s="173"/>
      <c r="L240" s="173"/>
      <c r="M240" s="173"/>
    </row>
    <row r="241" spans="1:13" s="27" customFormat="1" x14ac:dyDescent="0.3">
      <c r="A241" s="173"/>
      <c r="E241" s="173"/>
      <c r="F241" s="173"/>
      <c r="G241" s="173"/>
      <c r="H241" s="173"/>
      <c r="I241" s="173"/>
      <c r="J241" s="173"/>
      <c r="K241" s="173"/>
      <c r="L241" s="173"/>
      <c r="M241" s="173"/>
    </row>
    <row r="242" spans="1:13" s="27" customFormat="1" x14ac:dyDescent="0.3">
      <c r="A242" s="173"/>
      <c r="E242" s="173"/>
      <c r="F242" s="173"/>
      <c r="G242" s="173"/>
      <c r="H242" s="173"/>
      <c r="I242" s="173"/>
      <c r="J242" s="173"/>
      <c r="K242" s="173"/>
      <c r="L242" s="173"/>
      <c r="M242" s="173"/>
    </row>
    <row r="243" spans="1:13" s="27" customFormat="1" x14ac:dyDescent="0.3">
      <c r="A243" s="173"/>
      <c r="E243" s="173"/>
      <c r="F243" s="173"/>
      <c r="G243" s="173"/>
      <c r="H243" s="173"/>
      <c r="I243" s="173"/>
      <c r="J243" s="173"/>
      <c r="K243" s="173"/>
      <c r="L243" s="173"/>
      <c r="M243" s="173"/>
    </row>
    <row r="244" spans="1:13" s="27" customFormat="1" x14ac:dyDescent="0.3">
      <c r="A244" s="173"/>
      <c r="E244" s="173"/>
      <c r="F244" s="173"/>
      <c r="G244" s="173"/>
      <c r="H244" s="173"/>
      <c r="I244" s="173"/>
      <c r="J244" s="173"/>
      <c r="K244" s="173"/>
      <c r="L244" s="173"/>
      <c r="M244" s="173"/>
    </row>
    <row r="245" spans="1:13" s="27" customFormat="1" x14ac:dyDescent="0.3">
      <c r="A245" s="173"/>
      <c r="E245" s="173"/>
      <c r="F245" s="173"/>
      <c r="G245" s="173"/>
      <c r="H245" s="173"/>
      <c r="I245" s="173"/>
      <c r="J245" s="173"/>
      <c r="K245" s="173"/>
      <c r="L245" s="173"/>
      <c r="M245" s="173"/>
    </row>
    <row r="246" spans="1:13" s="27" customFormat="1" x14ac:dyDescent="0.3">
      <c r="A246" s="173"/>
      <c r="E246" s="173"/>
      <c r="F246" s="173"/>
      <c r="G246" s="173"/>
      <c r="H246" s="173"/>
      <c r="I246" s="173"/>
      <c r="J246" s="173"/>
      <c r="K246" s="173"/>
      <c r="L246" s="173"/>
      <c r="M246" s="173"/>
    </row>
    <row r="247" spans="1:13" s="27" customFormat="1" x14ac:dyDescent="0.3">
      <c r="A247" s="173"/>
      <c r="E247" s="173"/>
      <c r="F247" s="173"/>
      <c r="G247" s="173"/>
      <c r="H247" s="173"/>
      <c r="I247" s="173"/>
      <c r="J247" s="173"/>
      <c r="K247" s="173"/>
      <c r="L247" s="173"/>
      <c r="M247" s="173"/>
    </row>
    <row r="248" spans="1:13" s="27" customFormat="1" x14ac:dyDescent="0.3">
      <c r="A248" s="173"/>
      <c r="E248" s="173"/>
      <c r="F248" s="173"/>
      <c r="G248" s="173"/>
      <c r="H248" s="173"/>
      <c r="I248" s="173"/>
      <c r="J248" s="173"/>
      <c r="K248" s="173"/>
      <c r="L248" s="173"/>
      <c r="M248" s="173"/>
    </row>
    <row r="249" spans="1:13" s="27" customFormat="1" x14ac:dyDescent="0.3">
      <c r="A249" s="173"/>
      <c r="E249" s="173"/>
      <c r="F249" s="173"/>
      <c r="G249" s="173"/>
      <c r="H249" s="173"/>
      <c r="I249" s="173"/>
      <c r="J249" s="173"/>
      <c r="K249" s="173"/>
      <c r="L249" s="173"/>
      <c r="M249" s="173"/>
    </row>
    <row r="250" spans="1:13" s="27" customFormat="1" x14ac:dyDescent="0.3">
      <c r="A250" s="173"/>
      <c r="E250" s="173"/>
      <c r="F250" s="173"/>
      <c r="G250" s="173"/>
      <c r="H250" s="173"/>
      <c r="I250" s="173"/>
      <c r="J250" s="173"/>
      <c r="K250" s="173"/>
      <c r="L250" s="173"/>
      <c r="M250" s="173"/>
    </row>
    <row r="251" spans="1:13" s="27" customFormat="1" x14ac:dyDescent="0.3">
      <c r="A251" s="173"/>
      <c r="E251" s="173"/>
      <c r="F251" s="173"/>
      <c r="G251" s="173"/>
      <c r="H251" s="173"/>
      <c r="I251" s="173"/>
      <c r="J251" s="173"/>
      <c r="K251" s="173"/>
      <c r="L251" s="173"/>
      <c r="M251" s="173"/>
    </row>
    <row r="252" spans="1:13" s="27" customFormat="1" x14ac:dyDescent="0.3">
      <c r="A252" s="173"/>
      <c r="E252" s="173"/>
      <c r="F252" s="173"/>
      <c r="G252" s="173"/>
      <c r="H252" s="173"/>
      <c r="I252" s="173"/>
      <c r="J252" s="173"/>
      <c r="K252" s="173"/>
      <c r="L252" s="173"/>
      <c r="M252" s="173"/>
    </row>
    <row r="253" spans="1:13" s="27" customFormat="1" x14ac:dyDescent="0.3">
      <c r="A253" s="173"/>
      <c r="E253" s="173"/>
      <c r="F253" s="173"/>
      <c r="G253" s="173"/>
      <c r="H253" s="173"/>
      <c r="I253" s="173"/>
      <c r="J253" s="173"/>
      <c r="K253" s="173"/>
      <c r="L253" s="173"/>
      <c r="M253" s="173"/>
    </row>
    <row r="254" spans="1:13" s="27" customFormat="1" x14ac:dyDescent="0.3">
      <c r="A254" s="173"/>
      <c r="E254" s="173"/>
      <c r="F254" s="173"/>
      <c r="G254" s="173"/>
      <c r="H254" s="173"/>
      <c r="I254" s="173"/>
      <c r="J254" s="173"/>
      <c r="K254" s="173"/>
      <c r="L254" s="173"/>
      <c r="M254" s="173"/>
    </row>
    <row r="255" spans="1:13" s="27" customFormat="1" x14ac:dyDescent="0.3">
      <c r="A255" s="173"/>
      <c r="E255" s="173"/>
      <c r="F255" s="173"/>
      <c r="G255" s="173"/>
      <c r="H255" s="173"/>
      <c r="I255" s="173"/>
      <c r="J255" s="173"/>
      <c r="K255" s="173"/>
      <c r="L255" s="173"/>
      <c r="M255" s="173"/>
    </row>
    <row r="256" spans="1:13" s="27" customFormat="1" x14ac:dyDescent="0.3">
      <c r="A256" s="173"/>
      <c r="E256" s="173"/>
      <c r="F256" s="173"/>
      <c r="G256" s="173"/>
      <c r="H256" s="173"/>
      <c r="I256" s="173"/>
      <c r="J256" s="173"/>
      <c r="K256" s="173"/>
      <c r="L256" s="173"/>
      <c r="M256" s="173"/>
    </row>
    <row r="257" spans="1:13" s="27" customFormat="1" x14ac:dyDescent="0.3">
      <c r="A257" s="173"/>
      <c r="E257" s="173"/>
      <c r="F257" s="173"/>
      <c r="G257" s="173"/>
      <c r="H257" s="173"/>
      <c r="I257" s="173"/>
      <c r="J257" s="173"/>
      <c r="K257" s="173"/>
      <c r="L257" s="173"/>
      <c r="M257" s="173"/>
    </row>
    <row r="258" spans="1:13" s="27" customFormat="1" x14ac:dyDescent="0.3">
      <c r="A258" s="173"/>
      <c r="E258" s="173"/>
      <c r="F258" s="173"/>
      <c r="G258" s="173"/>
      <c r="H258" s="173"/>
      <c r="I258" s="173"/>
      <c r="J258" s="173"/>
      <c r="K258" s="173"/>
      <c r="L258" s="173"/>
      <c r="M258" s="173"/>
    </row>
    <row r="259" spans="1:13" s="27" customFormat="1" x14ac:dyDescent="0.3">
      <c r="A259" s="173"/>
      <c r="E259" s="173"/>
      <c r="F259" s="173"/>
      <c r="G259" s="173"/>
      <c r="H259" s="173"/>
      <c r="I259" s="173"/>
      <c r="J259" s="173"/>
      <c r="K259" s="173"/>
      <c r="L259" s="173"/>
      <c r="M259" s="173"/>
    </row>
    <row r="260" spans="1:13" s="27" customFormat="1" x14ac:dyDescent="0.3">
      <c r="A260" s="173"/>
      <c r="E260" s="173"/>
      <c r="F260" s="173"/>
      <c r="G260" s="173"/>
      <c r="H260" s="173"/>
      <c r="I260" s="173"/>
      <c r="J260" s="173"/>
      <c r="K260" s="173"/>
      <c r="L260" s="173"/>
      <c r="M260" s="173"/>
    </row>
    <row r="261" spans="1:13" s="27" customFormat="1" x14ac:dyDescent="0.3">
      <c r="A261" s="173"/>
      <c r="E261" s="173"/>
      <c r="F261" s="173"/>
      <c r="G261" s="173"/>
      <c r="H261" s="173"/>
      <c r="I261" s="173"/>
      <c r="J261" s="173"/>
      <c r="K261" s="173"/>
      <c r="L261" s="173"/>
      <c r="M261" s="173"/>
    </row>
    <row r="262" spans="1:13" s="27" customFormat="1" x14ac:dyDescent="0.3">
      <c r="A262" s="173"/>
      <c r="E262" s="173"/>
      <c r="F262" s="173"/>
      <c r="G262" s="173"/>
      <c r="H262" s="173"/>
      <c r="I262" s="173"/>
      <c r="J262" s="173"/>
      <c r="K262" s="173"/>
      <c r="L262" s="173"/>
      <c r="M262" s="173"/>
    </row>
    <row r="263" spans="1:13" s="27" customFormat="1" x14ac:dyDescent="0.3">
      <c r="A263" s="173"/>
      <c r="E263" s="173"/>
      <c r="F263" s="173"/>
      <c r="G263" s="173"/>
      <c r="H263" s="173"/>
      <c r="I263" s="173"/>
      <c r="J263" s="173"/>
      <c r="K263" s="173"/>
      <c r="L263" s="173"/>
      <c r="M263" s="173"/>
    </row>
    <row r="264" spans="1:13" s="27" customFormat="1" x14ac:dyDescent="0.3">
      <c r="A264" s="173"/>
      <c r="E264" s="173"/>
      <c r="F264" s="173"/>
      <c r="G264" s="173"/>
      <c r="H264" s="173"/>
      <c r="I264" s="173"/>
      <c r="J264" s="173"/>
      <c r="K264" s="173"/>
      <c r="L264" s="173"/>
      <c r="M264" s="173"/>
    </row>
    <row r="265" spans="1:13" s="27" customFormat="1" x14ac:dyDescent="0.3">
      <c r="A265" s="173"/>
      <c r="E265" s="173"/>
      <c r="F265" s="173"/>
      <c r="G265" s="173"/>
      <c r="H265" s="173"/>
      <c r="I265" s="173"/>
      <c r="J265" s="173"/>
      <c r="K265" s="173"/>
      <c r="L265" s="173"/>
      <c r="M265" s="173"/>
    </row>
    <row r="266" spans="1:13" s="27" customFormat="1" x14ac:dyDescent="0.3">
      <c r="A266" s="173"/>
      <c r="E266" s="173"/>
      <c r="F266" s="173"/>
      <c r="G266" s="173"/>
      <c r="H266" s="173"/>
      <c r="I266" s="173"/>
      <c r="J266" s="173"/>
      <c r="K266" s="173"/>
      <c r="L266" s="173"/>
      <c r="M266" s="173"/>
    </row>
    <row r="267" spans="1:13" s="27" customFormat="1" x14ac:dyDescent="0.3">
      <c r="A267" s="173"/>
      <c r="E267" s="173"/>
      <c r="F267" s="173"/>
      <c r="G267" s="173"/>
      <c r="H267" s="173"/>
      <c r="I267" s="173"/>
      <c r="J267" s="173"/>
      <c r="K267" s="173"/>
      <c r="L267" s="173"/>
      <c r="M267" s="173"/>
    </row>
    <row r="268" spans="1:13" s="27" customFormat="1" x14ac:dyDescent="0.3">
      <c r="A268" s="173"/>
      <c r="E268" s="173"/>
      <c r="F268" s="173"/>
      <c r="G268" s="173"/>
      <c r="H268" s="173"/>
      <c r="I268" s="173"/>
      <c r="J268" s="173"/>
      <c r="K268" s="173"/>
      <c r="L268" s="173"/>
      <c r="M268" s="173"/>
    </row>
    <row r="269" spans="1:13" s="27" customFormat="1" x14ac:dyDescent="0.3">
      <c r="A269" s="173"/>
      <c r="E269" s="173"/>
      <c r="F269" s="173"/>
      <c r="G269" s="173"/>
      <c r="H269" s="173"/>
      <c r="I269" s="173"/>
      <c r="J269" s="173"/>
      <c r="K269" s="173"/>
      <c r="L269" s="173"/>
      <c r="M269" s="173"/>
    </row>
    <row r="270" spans="1:13" s="27" customFormat="1" x14ac:dyDescent="0.3">
      <c r="A270" s="173"/>
      <c r="E270" s="173"/>
      <c r="F270" s="173"/>
      <c r="G270" s="173"/>
      <c r="H270" s="173"/>
      <c r="I270" s="173"/>
      <c r="J270" s="173"/>
      <c r="K270" s="173"/>
      <c r="L270" s="173"/>
      <c r="M270" s="173"/>
    </row>
    <row r="271" spans="1:13" s="27" customFormat="1" x14ac:dyDescent="0.3">
      <c r="A271" s="173"/>
      <c r="E271" s="173"/>
      <c r="F271" s="173"/>
      <c r="G271" s="173"/>
      <c r="H271" s="173"/>
      <c r="I271" s="173"/>
      <c r="J271" s="173"/>
      <c r="K271" s="173"/>
      <c r="L271" s="173"/>
      <c r="M271" s="173"/>
    </row>
    <row r="272" spans="1:13" s="27" customFormat="1" x14ac:dyDescent="0.3">
      <c r="A272" s="173"/>
      <c r="E272" s="173"/>
      <c r="F272" s="173"/>
      <c r="G272" s="173"/>
      <c r="H272" s="173"/>
      <c r="I272" s="173"/>
      <c r="J272" s="173"/>
      <c r="K272" s="173"/>
      <c r="L272" s="173"/>
      <c r="M272" s="173"/>
    </row>
    <row r="273" spans="1:13" s="27" customFormat="1" x14ac:dyDescent="0.3">
      <c r="A273" s="173"/>
      <c r="E273" s="173"/>
      <c r="F273" s="173"/>
      <c r="G273" s="173"/>
      <c r="H273" s="173"/>
      <c r="I273" s="173"/>
      <c r="J273" s="173"/>
      <c r="K273" s="173"/>
      <c r="L273" s="173"/>
      <c r="M273" s="173"/>
    </row>
    <row r="274" spans="1:13" s="27" customFormat="1" x14ac:dyDescent="0.3">
      <c r="A274" s="173"/>
      <c r="E274" s="173"/>
      <c r="F274" s="173"/>
      <c r="G274" s="173"/>
      <c r="H274" s="173"/>
      <c r="I274" s="173"/>
      <c r="J274" s="173"/>
      <c r="K274" s="173"/>
      <c r="L274" s="173"/>
      <c r="M274" s="173"/>
    </row>
    <row r="275" spans="1:13" s="27" customFormat="1" x14ac:dyDescent="0.3">
      <c r="A275" s="173"/>
      <c r="E275" s="173"/>
      <c r="F275" s="173"/>
      <c r="G275" s="173"/>
      <c r="H275" s="173"/>
      <c r="I275" s="173"/>
      <c r="J275" s="173"/>
      <c r="K275" s="173"/>
      <c r="L275" s="173"/>
      <c r="M275" s="173"/>
    </row>
    <row r="276" spans="1:13" s="27" customFormat="1" x14ac:dyDescent="0.3">
      <c r="A276" s="173"/>
      <c r="E276" s="173"/>
      <c r="F276" s="173"/>
      <c r="G276" s="173"/>
      <c r="H276" s="173"/>
      <c r="I276" s="173"/>
      <c r="J276" s="173"/>
      <c r="K276" s="173"/>
      <c r="L276" s="173"/>
      <c r="M276" s="173"/>
    </row>
    <row r="277" spans="1:13" s="27" customFormat="1" x14ac:dyDescent="0.3">
      <c r="A277" s="173"/>
      <c r="E277" s="173"/>
      <c r="F277" s="173"/>
      <c r="G277" s="173"/>
      <c r="H277" s="173"/>
      <c r="I277" s="173"/>
      <c r="J277" s="173"/>
      <c r="K277" s="173"/>
      <c r="L277" s="173"/>
      <c r="M277" s="173"/>
    </row>
    <row r="278" spans="1:13" s="27" customFormat="1" x14ac:dyDescent="0.3">
      <c r="A278" s="173"/>
      <c r="E278" s="173"/>
      <c r="F278" s="173"/>
      <c r="G278" s="173"/>
      <c r="H278" s="173"/>
      <c r="I278" s="173"/>
      <c r="J278" s="173"/>
      <c r="K278" s="173"/>
      <c r="L278" s="173"/>
      <c r="M278" s="173"/>
    </row>
    <row r="279" spans="1:13" s="27" customFormat="1" x14ac:dyDescent="0.3">
      <c r="A279" s="173"/>
      <c r="E279" s="173"/>
      <c r="F279" s="173"/>
      <c r="G279" s="173"/>
      <c r="H279" s="173"/>
      <c r="I279" s="173"/>
      <c r="J279" s="173"/>
      <c r="K279" s="173"/>
      <c r="L279" s="173"/>
      <c r="M279" s="173"/>
    </row>
    <row r="280" spans="1:13" s="27" customFormat="1" x14ac:dyDescent="0.3">
      <c r="A280" s="173"/>
      <c r="E280" s="173"/>
      <c r="F280" s="173"/>
      <c r="G280" s="173"/>
      <c r="H280" s="173"/>
      <c r="I280" s="173"/>
      <c r="J280" s="173"/>
      <c r="K280" s="173"/>
      <c r="L280" s="173"/>
      <c r="M280" s="173"/>
    </row>
    <row r="281" spans="1:13" s="27" customFormat="1" x14ac:dyDescent="0.3">
      <c r="A281" s="173"/>
      <c r="E281" s="173"/>
      <c r="F281" s="173"/>
      <c r="G281" s="173"/>
      <c r="H281" s="173"/>
      <c r="I281" s="173"/>
      <c r="J281" s="173"/>
      <c r="K281" s="173"/>
      <c r="L281" s="173"/>
      <c r="M281" s="173"/>
    </row>
    <row r="282" spans="1:13" s="27" customFormat="1" x14ac:dyDescent="0.3">
      <c r="A282" s="173"/>
      <c r="E282" s="173"/>
      <c r="F282" s="173"/>
      <c r="G282" s="173"/>
      <c r="H282" s="173"/>
      <c r="I282" s="173"/>
      <c r="J282" s="173"/>
      <c r="K282" s="173"/>
      <c r="L282" s="173"/>
      <c r="M282" s="173"/>
    </row>
    <row r="283" spans="1:13" s="27" customFormat="1" x14ac:dyDescent="0.3">
      <c r="A283" s="173"/>
      <c r="E283" s="173"/>
      <c r="F283" s="173"/>
      <c r="G283" s="173"/>
      <c r="H283" s="173"/>
      <c r="I283" s="173"/>
      <c r="J283" s="173"/>
      <c r="K283" s="173"/>
      <c r="L283" s="173"/>
      <c r="M283" s="173"/>
    </row>
    <row r="284" spans="1:13" s="27" customFormat="1" x14ac:dyDescent="0.3">
      <c r="A284" s="173"/>
      <c r="E284" s="173"/>
      <c r="F284" s="173"/>
      <c r="G284" s="173"/>
      <c r="H284" s="173"/>
      <c r="I284" s="173"/>
      <c r="J284" s="173"/>
      <c r="K284" s="173"/>
      <c r="L284" s="173"/>
      <c r="M284" s="173"/>
    </row>
    <row r="285" spans="1:13" s="27" customFormat="1" x14ac:dyDescent="0.3">
      <c r="A285" s="173"/>
      <c r="E285" s="173"/>
      <c r="F285" s="173"/>
      <c r="G285" s="173"/>
      <c r="H285" s="173"/>
      <c r="I285" s="173"/>
      <c r="J285" s="173"/>
      <c r="K285" s="173"/>
      <c r="L285" s="173"/>
      <c r="M285" s="173"/>
    </row>
    <row r="286" spans="1:13" s="27" customFormat="1" x14ac:dyDescent="0.3">
      <c r="A286" s="173"/>
      <c r="E286" s="173"/>
      <c r="F286" s="173"/>
      <c r="G286" s="173"/>
      <c r="H286" s="173"/>
      <c r="I286" s="173"/>
      <c r="J286" s="173"/>
      <c r="K286" s="173"/>
      <c r="L286" s="173"/>
      <c r="M286" s="173"/>
    </row>
    <row r="287" spans="1:13" s="27" customFormat="1" x14ac:dyDescent="0.3">
      <c r="A287" s="173"/>
      <c r="E287" s="173"/>
      <c r="F287" s="173"/>
      <c r="G287" s="173"/>
      <c r="H287" s="173"/>
      <c r="I287" s="173"/>
      <c r="J287" s="173"/>
      <c r="K287" s="173"/>
      <c r="L287" s="173"/>
      <c r="M287" s="173"/>
    </row>
    <row r="288" spans="1:13" s="27" customFormat="1" x14ac:dyDescent="0.3">
      <c r="A288" s="173"/>
      <c r="E288" s="173"/>
      <c r="F288" s="173"/>
      <c r="G288" s="173"/>
      <c r="H288" s="173"/>
      <c r="I288" s="173"/>
      <c r="J288" s="173"/>
      <c r="K288" s="173"/>
      <c r="L288" s="173"/>
      <c r="M288" s="173"/>
    </row>
    <row r="289" spans="1:13" s="27" customFormat="1" x14ac:dyDescent="0.3">
      <c r="A289" s="173"/>
      <c r="E289" s="173"/>
      <c r="F289" s="173"/>
      <c r="G289" s="173"/>
      <c r="H289" s="173"/>
      <c r="I289" s="173"/>
      <c r="J289" s="173"/>
      <c r="K289" s="173"/>
      <c r="L289" s="173"/>
      <c r="M289" s="173"/>
    </row>
    <row r="290" spans="1:13" s="27" customFormat="1" x14ac:dyDescent="0.3">
      <c r="A290" s="173"/>
      <c r="E290" s="173"/>
      <c r="F290" s="173"/>
      <c r="G290" s="173"/>
      <c r="H290" s="173"/>
      <c r="I290" s="173"/>
      <c r="J290" s="173"/>
      <c r="K290" s="173"/>
      <c r="L290" s="173"/>
      <c r="M290" s="173"/>
    </row>
    <row r="291" spans="1:13" s="27" customFormat="1" x14ac:dyDescent="0.3">
      <c r="A291" s="173"/>
      <c r="E291" s="173"/>
      <c r="F291" s="173"/>
      <c r="G291" s="173"/>
      <c r="H291" s="173"/>
      <c r="I291" s="173"/>
      <c r="J291" s="173"/>
      <c r="K291" s="173"/>
      <c r="L291" s="173"/>
      <c r="M291" s="173"/>
    </row>
    <row r="292" spans="1:13" s="27" customFormat="1" x14ac:dyDescent="0.3">
      <c r="A292" s="173"/>
      <c r="E292" s="173"/>
      <c r="F292" s="173"/>
      <c r="G292" s="173"/>
      <c r="H292" s="173"/>
      <c r="I292" s="173"/>
      <c r="J292" s="173"/>
      <c r="K292" s="173"/>
      <c r="L292" s="173"/>
      <c r="M292" s="173"/>
    </row>
    <row r="293" spans="1:13" s="27" customFormat="1" x14ac:dyDescent="0.3">
      <c r="A293" s="173"/>
      <c r="E293" s="173"/>
      <c r="F293" s="173"/>
      <c r="G293" s="173"/>
      <c r="H293" s="173"/>
      <c r="I293" s="173"/>
      <c r="J293" s="173"/>
      <c r="K293" s="173"/>
      <c r="L293" s="173"/>
      <c r="M293" s="173"/>
    </row>
    <row r="294" spans="1:13" s="27" customFormat="1" x14ac:dyDescent="0.3">
      <c r="A294" s="173"/>
      <c r="E294" s="173"/>
      <c r="F294" s="173"/>
      <c r="G294" s="173"/>
      <c r="H294" s="173"/>
      <c r="I294" s="173"/>
      <c r="J294" s="173"/>
      <c r="K294" s="173"/>
      <c r="L294" s="173"/>
      <c r="M294" s="173"/>
    </row>
    <row r="295" spans="1:13" s="27" customFormat="1" x14ac:dyDescent="0.3">
      <c r="A295" s="173"/>
      <c r="E295" s="173"/>
      <c r="F295" s="173"/>
      <c r="G295" s="173"/>
      <c r="H295" s="173"/>
      <c r="I295" s="173"/>
      <c r="J295" s="173"/>
      <c r="K295" s="173"/>
      <c r="L295" s="173"/>
      <c r="M295" s="173"/>
    </row>
    <row r="296" spans="1:13" s="27" customFormat="1" x14ac:dyDescent="0.3">
      <c r="A296" s="173"/>
      <c r="E296" s="173"/>
      <c r="F296" s="173"/>
      <c r="G296" s="173"/>
      <c r="H296" s="173"/>
      <c r="I296" s="173"/>
      <c r="J296" s="173"/>
      <c r="K296" s="173"/>
      <c r="L296" s="173"/>
      <c r="M296" s="173"/>
    </row>
    <row r="297" spans="1:13" s="27" customFormat="1" x14ac:dyDescent="0.3">
      <c r="A297" s="173"/>
      <c r="E297" s="173"/>
      <c r="F297" s="173"/>
      <c r="G297" s="173"/>
      <c r="H297" s="173"/>
      <c r="I297" s="173"/>
      <c r="J297" s="173"/>
      <c r="K297" s="173"/>
      <c r="L297" s="173"/>
      <c r="M297" s="173"/>
    </row>
    <row r="298" spans="1:13" s="27" customFormat="1" x14ac:dyDescent="0.3">
      <c r="A298" s="173"/>
      <c r="E298" s="173"/>
      <c r="F298" s="173"/>
      <c r="G298" s="173"/>
      <c r="H298" s="173"/>
      <c r="I298" s="173"/>
      <c r="J298" s="173"/>
      <c r="K298" s="173"/>
      <c r="L298" s="173"/>
      <c r="M298" s="173"/>
    </row>
    <row r="299" spans="1:13" s="27" customFormat="1" x14ac:dyDescent="0.3">
      <c r="A299" s="173"/>
      <c r="E299" s="173"/>
      <c r="F299" s="173"/>
      <c r="G299" s="173"/>
      <c r="H299" s="173"/>
      <c r="I299" s="173"/>
      <c r="J299" s="173"/>
      <c r="K299" s="173"/>
      <c r="L299" s="173"/>
      <c r="M299" s="173"/>
    </row>
    <row r="300" spans="1:13" s="27" customFormat="1" x14ac:dyDescent="0.3">
      <c r="A300" s="173"/>
      <c r="E300" s="173"/>
      <c r="F300" s="173"/>
      <c r="G300" s="173"/>
      <c r="H300" s="173"/>
      <c r="I300" s="173"/>
      <c r="J300" s="173"/>
      <c r="K300" s="173"/>
      <c r="L300" s="173"/>
      <c r="M300" s="173"/>
    </row>
    <row r="301" spans="1:13" s="27" customFormat="1" x14ac:dyDescent="0.3">
      <c r="A301" s="173"/>
      <c r="E301" s="173"/>
      <c r="F301" s="173"/>
      <c r="G301" s="173"/>
      <c r="H301" s="173"/>
      <c r="I301" s="173"/>
      <c r="J301" s="173"/>
      <c r="K301" s="173"/>
      <c r="L301" s="173"/>
      <c r="M301" s="173"/>
    </row>
    <row r="302" spans="1:13" s="27" customFormat="1" x14ac:dyDescent="0.3">
      <c r="A302" s="173"/>
      <c r="E302" s="173"/>
      <c r="F302" s="173"/>
      <c r="G302" s="173"/>
      <c r="H302" s="173"/>
      <c r="I302" s="173"/>
      <c r="J302" s="173"/>
      <c r="K302" s="173"/>
      <c r="L302" s="173"/>
      <c r="M302" s="173"/>
    </row>
    <row r="303" spans="1:13" s="27" customFormat="1" x14ac:dyDescent="0.3">
      <c r="A303" s="173"/>
      <c r="E303" s="173"/>
      <c r="F303" s="173"/>
      <c r="G303" s="173"/>
      <c r="H303" s="173"/>
      <c r="I303" s="173"/>
      <c r="J303" s="173"/>
      <c r="K303" s="173"/>
      <c r="L303" s="173"/>
      <c r="M303" s="173"/>
    </row>
    <row r="304" spans="1:13" s="27" customFormat="1" x14ac:dyDescent="0.3">
      <c r="A304" s="173"/>
      <c r="E304" s="173"/>
      <c r="F304" s="173"/>
      <c r="G304" s="173"/>
      <c r="H304" s="173"/>
      <c r="I304" s="173"/>
      <c r="J304" s="173"/>
      <c r="K304" s="173"/>
      <c r="L304" s="173"/>
      <c r="M304" s="173"/>
    </row>
    <row r="305" spans="1:13" s="27" customFormat="1" x14ac:dyDescent="0.3">
      <c r="A305" s="173"/>
      <c r="E305" s="173"/>
      <c r="F305" s="173"/>
      <c r="G305" s="173"/>
      <c r="H305" s="173"/>
      <c r="I305" s="173"/>
      <c r="J305" s="173"/>
      <c r="K305" s="173"/>
      <c r="L305" s="173"/>
      <c r="M305" s="173"/>
    </row>
    <row r="306" spans="1:13" s="27" customFormat="1" x14ac:dyDescent="0.3">
      <c r="A306" s="173"/>
      <c r="E306" s="173"/>
      <c r="F306" s="173"/>
      <c r="G306" s="173"/>
      <c r="H306" s="173"/>
      <c r="I306" s="173"/>
      <c r="J306" s="173"/>
      <c r="K306" s="173"/>
      <c r="L306" s="173"/>
      <c r="M306" s="173"/>
    </row>
    <row r="307" spans="1:13" s="27" customFormat="1" x14ac:dyDescent="0.3">
      <c r="A307" s="173"/>
      <c r="E307" s="173"/>
      <c r="F307" s="173"/>
      <c r="G307" s="173"/>
      <c r="H307" s="173"/>
      <c r="I307" s="173"/>
      <c r="J307" s="173"/>
      <c r="K307" s="173"/>
      <c r="L307" s="173"/>
      <c r="M307" s="173"/>
    </row>
    <row r="308" spans="1:13" s="27" customFormat="1" x14ac:dyDescent="0.3">
      <c r="A308" s="173"/>
      <c r="E308" s="173"/>
      <c r="F308" s="173"/>
      <c r="G308" s="173"/>
      <c r="H308" s="173"/>
      <c r="I308" s="173"/>
      <c r="J308" s="173"/>
      <c r="K308" s="173"/>
      <c r="L308" s="173"/>
      <c r="M308" s="173"/>
    </row>
    <row r="309" spans="1:13" s="27" customFormat="1" x14ac:dyDescent="0.3">
      <c r="A309" s="173"/>
      <c r="E309" s="173"/>
      <c r="F309" s="173"/>
      <c r="G309" s="173"/>
      <c r="H309" s="173"/>
      <c r="I309" s="173"/>
      <c r="J309" s="173"/>
      <c r="K309" s="173"/>
      <c r="L309" s="173"/>
      <c r="M309" s="173"/>
    </row>
    <row r="310" spans="1:13" s="27" customFormat="1" x14ac:dyDescent="0.3">
      <c r="A310" s="173"/>
      <c r="E310" s="173"/>
      <c r="F310" s="173"/>
      <c r="G310" s="173"/>
      <c r="H310" s="173"/>
      <c r="I310" s="173"/>
      <c r="J310" s="173"/>
      <c r="K310" s="173"/>
      <c r="L310" s="173"/>
      <c r="M310" s="173"/>
    </row>
    <row r="311" spans="1:13" s="27" customFormat="1" x14ac:dyDescent="0.3">
      <c r="A311" s="173"/>
      <c r="E311" s="173"/>
      <c r="F311" s="173"/>
      <c r="G311" s="173"/>
      <c r="H311" s="173"/>
      <c r="I311" s="173"/>
      <c r="J311" s="173"/>
      <c r="K311" s="173"/>
      <c r="L311" s="173"/>
      <c r="M311" s="173"/>
    </row>
    <row r="312" spans="1:13" s="27" customFormat="1" x14ac:dyDescent="0.3">
      <c r="A312" s="173"/>
      <c r="E312" s="173"/>
      <c r="F312" s="173"/>
      <c r="G312" s="173"/>
      <c r="H312" s="173"/>
      <c r="I312" s="173"/>
      <c r="J312" s="173"/>
      <c r="K312" s="173"/>
      <c r="L312" s="173"/>
      <c r="M312" s="173"/>
    </row>
    <row r="313" spans="1:13" s="27" customFormat="1" x14ac:dyDescent="0.3">
      <c r="A313" s="173"/>
      <c r="E313" s="173"/>
      <c r="F313" s="173"/>
      <c r="G313" s="173"/>
      <c r="H313" s="173"/>
      <c r="I313" s="173"/>
      <c r="J313" s="173"/>
      <c r="K313" s="173"/>
      <c r="L313" s="173"/>
      <c r="M313" s="173"/>
    </row>
    <row r="314" spans="1:13" s="27" customFormat="1" x14ac:dyDescent="0.3">
      <c r="A314" s="173"/>
      <c r="E314" s="173"/>
      <c r="F314" s="173"/>
      <c r="G314" s="173"/>
      <c r="H314" s="173"/>
      <c r="I314" s="173"/>
      <c r="J314" s="173"/>
      <c r="K314" s="173"/>
      <c r="L314" s="173"/>
      <c r="M314" s="173"/>
    </row>
    <row r="315" spans="1:13" s="27" customFormat="1" x14ac:dyDescent="0.3">
      <c r="A315" s="173"/>
      <c r="E315" s="173"/>
      <c r="F315" s="173"/>
      <c r="G315" s="173"/>
      <c r="H315" s="173"/>
      <c r="I315" s="173"/>
      <c r="J315" s="173"/>
      <c r="K315" s="173"/>
      <c r="L315" s="173"/>
      <c r="M315" s="173"/>
    </row>
    <row r="316" spans="1:13" s="27" customFormat="1" x14ac:dyDescent="0.3">
      <c r="A316" s="173"/>
      <c r="E316" s="173"/>
      <c r="F316" s="173"/>
      <c r="G316" s="173"/>
      <c r="H316" s="173"/>
      <c r="I316" s="173"/>
      <c r="J316" s="173"/>
      <c r="K316" s="173"/>
      <c r="L316" s="173"/>
      <c r="M316" s="173"/>
    </row>
    <row r="317" spans="1:13" s="27" customFormat="1" x14ac:dyDescent="0.3">
      <c r="A317" s="173"/>
      <c r="E317" s="173"/>
      <c r="F317" s="173"/>
      <c r="G317" s="173"/>
      <c r="H317" s="173"/>
      <c r="I317" s="173"/>
      <c r="J317" s="173"/>
      <c r="K317" s="173"/>
      <c r="L317" s="173"/>
      <c r="M317" s="173"/>
    </row>
    <row r="318" spans="1:13" s="27" customFormat="1" x14ac:dyDescent="0.3">
      <c r="A318" s="173"/>
      <c r="E318" s="173"/>
      <c r="F318" s="173"/>
      <c r="G318" s="173"/>
      <c r="H318" s="173"/>
      <c r="I318" s="173"/>
      <c r="J318" s="173"/>
      <c r="K318" s="173"/>
      <c r="L318" s="173"/>
      <c r="M318" s="173"/>
    </row>
    <row r="319" spans="1:13" s="27" customFormat="1" x14ac:dyDescent="0.3">
      <c r="A319" s="173"/>
      <c r="E319" s="173"/>
      <c r="F319" s="173"/>
      <c r="G319" s="173"/>
      <c r="H319" s="173"/>
      <c r="I319" s="173"/>
      <c r="J319" s="173"/>
      <c r="K319" s="173"/>
      <c r="L319" s="173"/>
      <c r="M319" s="173"/>
    </row>
    <row r="320" spans="1:13" s="27" customFormat="1" x14ac:dyDescent="0.3">
      <c r="A320" s="173"/>
      <c r="E320" s="173"/>
      <c r="F320" s="173"/>
      <c r="G320" s="173"/>
      <c r="H320" s="173"/>
      <c r="I320" s="173"/>
      <c r="J320" s="173"/>
      <c r="K320" s="173"/>
      <c r="L320" s="173"/>
      <c r="M320" s="173"/>
    </row>
    <row r="321" spans="1:13" s="27" customFormat="1" x14ac:dyDescent="0.3">
      <c r="A321" s="173"/>
      <c r="E321" s="173"/>
      <c r="F321" s="173"/>
      <c r="G321" s="173"/>
      <c r="H321" s="173"/>
      <c r="I321" s="173"/>
      <c r="J321" s="173"/>
      <c r="K321" s="173"/>
      <c r="L321" s="173"/>
      <c r="M321" s="173"/>
    </row>
    <row r="322" spans="1:13" s="27" customFormat="1" x14ac:dyDescent="0.3">
      <c r="A322" s="173"/>
      <c r="E322" s="173"/>
      <c r="F322" s="173"/>
      <c r="G322" s="173"/>
      <c r="H322" s="173"/>
      <c r="I322" s="173"/>
      <c r="J322" s="173"/>
      <c r="K322" s="173"/>
      <c r="L322" s="173"/>
      <c r="M322" s="173"/>
    </row>
    <row r="323" spans="1:13" s="27" customFormat="1" x14ac:dyDescent="0.3">
      <c r="A323" s="173"/>
      <c r="E323" s="173"/>
      <c r="F323" s="173"/>
      <c r="G323" s="173"/>
      <c r="H323" s="173"/>
      <c r="I323" s="173"/>
      <c r="J323" s="173"/>
      <c r="K323" s="173"/>
      <c r="L323" s="173"/>
      <c r="M323" s="173"/>
    </row>
    <row r="324" spans="1:13" s="27" customFormat="1" x14ac:dyDescent="0.3">
      <c r="A324" s="173"/>
      <c r="E324" s="173"/>
      <c r="F324" s="173"/>
      <c r="G324" s="173"/>
      <c r="H324" s="173"/>
      <c r="I324" s="173"/>
      <c r="J324" s="173"/>
      <c r="K324" s="173"/>
      <c r="L324" s="173"/>
      <c r="M324" s="173"/>
    </row>
    <row r="325" spans="1:13" s="27" customFormat="1" x14ac:dyDescent="0.3">
      <c r="A325" s="173"/>
      <c r="E325" s="173"/>
      <c r="F325" s="173"/>
      <c r="G325" s="173"/>
      <c r="H325" s="173"/>
      <c r="I325" s="173"/>
      <c r="J325" s="173"/>
      <c r="K325" s="173"/>
      <c r="L325" s="173"/>
      <c r="M325" s="173"/>
    </row>
    <row r="326" spans="1:13" s="27" customFormat="1" x14ac:dyDescent="0.3">
      <c r="A326" s="173"/>
      <c r="E326" s="173"/>
      <c r="F326" s="173"/>
      <c r="G326" s="173"/>
      <c r="H326" s="173"/>
      <c r="I326" s="173"/>
      <c r="J326" s="173"/>
      <c r="K326" s="173"/>
      <c r="L326" s="173"/>
      <c r="M326" s="173"/>
    </row>
    <row r="327" spans="1:13" s="27" customFormat="1" x14ac:dyDescent="0.3">
      <c r="A327" s="173"/>
      <c r="E327" s="173"/>
      <c r="F327" s="173"/>
      <c r="G327" s="173"/>
      <c r="H327" s="173"/>
      <c r="I327" s="173"/>
      <c r="J327" s="173"/>
      <c r="K327" s="173"/>
      <c r="L327" s="173"/>
      <c r="M327" s="173"/>
    </row>
    <row r="328" spans="1:13" s="27" customFormat="1" x14ac:dyDescent="0.3">
      <c r="A328" s="173"/>
      <c r="E328" s="173"/>
      <c r="F328" s="173"/>
      <c r="G328" s="173"/>
      <c r="H328" s="173"/>
      <c r="I328" s="173"/>
      <c r="J328" s="173"/>
      <c r="K328" s="173"/>
      <c r="L328" s="173"/>
      <c r="M328" s="173"/>
    </row>
    <row r="329" spans="1:13" s="27" customFormat="1" x14ac:dyDescent="0.3">
      <c r="A329" s="173"/>
      <c r="E329" s="173"/>
      <c r="F329" s="173"/>
      <c r="G329" s="173"/>
      <c r="H329" s="173"/>
      <c r="I329" s="173"/>
      <c r="J329" s="173"/>
      <c r="K329" s="173"/>
      <c r="L329" s="173"/>
      <c r="M329" s="173"/>
    </row>
    <row r="330" spans="1:13" s="27" customFormat="1" x14ac:dyDescent="0.3">
      <c r="A330" s="173"/>
      <c r="E330" s="173"/>
      <c r="F330" s="173"/>
      <c r="G330" s="173"/>
      <c r="H330" s="173"/>
      <c r="I330" s="173"/>
      <c r="J330" s="173"/>
      <c r="K330" s="173"/>
      <c r="L330" s="173"/>
      <c r="M330" s="173"/>
    </row>
    <row r="331" spans="1:13" s="27" customFormat="1" x14ac:dyDescent="0.3">
      <c r="A331" s="173"/>
      <c r="E331" s="173"/>
      <c r="F331" s="173"/>
      <c r="G331" s="173"/>
      <c r="H331" s="173"/>
      <c r="I331" s="173"/>
      <c r="J331" s="173"/>
      <c r="K331" s="173"/>
      <c r="L331" s="173"/>
      <c r="M331" s="173"/>
    </row>
    <row r="332" spans="1:13" s="27" customFormat="1" x14ac:dyDescent="0.3">
      <c r="A332" s="173"/>
      <c r="E332" s="173"/>
      <c r="F332" s="173"/>
      <c r="G332" s="173"/>
      <c r="H332" s="173"/>
      <c r="I332" s="173"/>
      <c r="J332" s="173"/>
      <c r="K332" s="173"/>
      <c r="L332" s="173"/>
      <c r="M332" s="173"/>
    </row>
    <row r="333" spans="1:13" s="27" customFormat="1" x14ac:dyDescent="0.3">
      <c r="A333" s="173"/>
      <c r="E333" s="173"/>
      <c r="F333" s="173"/>
      <c r="G333" s="173"/>
      <c r="H333" s="173"/>
      <c r="I333" s="173"/>
      <c r="J333" s="173"/>
      <c r="K333" s="173"/>
      <c r="L333" s="173"/>
      <c r="M333" s="173"/>
    </row>
    <row r="334" spans="1:13" s="27" customFormat="1" x14ac:dyDescent="0.3">
      <c r="A334" s="173"/>
      <c r="E334" s="173"/>
      <c r="F334" s="173"/>
      <c r="G334" s="173"/>
      <c r="H334" s="173"/>
      <c r="I334" s="173"/>
      <c r="J334" s="173"/>
      <c r="K334" s="173"/>
      <c r="L334" s="173"/>
      <c r="M334" s="173"/>
    </row>
    <row r="335" spans="1:13" s="27" customFormat="1" x14ac:dyDescent="0.3">
      <c r="A335" s="173"/>
      <c r="E335" s="173"/>
      <c r="F335" s="173"/>
      <c r="G335" s="173"/>
      <c r="H335" s="173"/>
      <c r="I335" s="173"/>
      <c r="J335" s="173"/>
      <c r="K335" s="173"/>
      <c r="L335" s="173"/>
      <c r="M335" s="173"/>
    </row>
    <row r="336" spans="1:13" s="27" customFormat="1" x14ac:dyDescent="0.3">
      <c r="A336" s="173"/>
      <c r="E336" s="173"/>
      <c r="F336" s="173"/>
      <c r="G336" s="173"/>
      <c r="H336" s="173"/>
      <c r="I336" s="173"/>
      <c r="J336" s="173"/>
      <c r="K336" s="173"/>
      <c r="L336" s="173"/>
      <c r="M336" s="173"/>
    </row>
    <row r="337" spans="1:13" s="27" customFormat="1" x14ac:dyDescent="0.3">
      <c r="A337" s="173"/>
      <c r="E337" s="173"/>
      <c r="F337" s="173"/>
      <c r="G337" s="173"/>
      <c r="H337" s="173"/>
      <c r="I337" s="173"/>
      <c r="J337" s="173"/>
      <c r="K337" s="173"/>
      <c r="L337" s="173"/>
      <c r="M337" s="173"/>
    </row>
    <row r="338" spans="1:13" s="27" customFormat="1" x14ac:dyDescent="0.3">
      <c r="A338" s="173"/>
      <c r="E338" s="173"/>
      <c r="F338" s="173"/>
      <c r="G338" s="173"/>
      <c r="H338" s="173"/>
      <c r="I338" s="173"/>
      <c r="J338" s="173"/>
      <c r="K338" s="173"/>
      <c r="L338" s="173"/>
      <c r="M338" s="173"/>
    </row>
    <row r="339" spans="1:13" s="27" customFormat="1" x14ac:dyDescent="0.3">
      <c r="A339" s="173"/>
      <c r="E339" s="173"/>
      <c r="F339" s="173"/>
      <c r="G339" s="173"/>
      <c r="H339" s="173"/>
      <c r="I339" s="173"/>
      <c r="J339" s="173"/>
      <c r="K339" s="173"/>
      <c r="L339" s="173"/>
      <c r="M339" s="173"/>
    </row>
    <row r="340" spans="1:13" s="27" customFormat="1" x14ac:dyDescent="0.3">
      <c r="A340" s="173"/>
      <c r="E340" s="173"/>
      <c r="F340" s="173"/>
      <c r="G340" s="173"/>
      <c r="H340" s="173"/>
      <c r="I340" s="173"/>
      <c r="J340" s="173"/>
      <c r="K340" s="173"/>
      <c r="L340" s="173"/>
      <c r="M340" s="173"/>
    </row>
    <row r="341" spans="1:13" s="27" customFormat="1" x14ac:dyDescent="0.3">
      <c r="A341" s="173"/>
      <c r="E341" s="173"/>
      <c r="F341" s="173"/>
      <c r="G341" s="173"/>
      <c r="H341" s="173"/>
      <c r="I341" s="173"/>
      <c r="J341" s="173"/>
      <c r="K341" s="173"/>
      <c r="L341" s="173"/>
      <c r="M341" s="173"/>
    </row>
    <row r="342" spans="1:13" s="27" customFormat="1" x14ac:dyDescent="0.3">
      <c r="A342" s="173"/>
      <c r="E342" s="173"/>
      <c r="F342" s="173"/>
      <c r="G342" s="173"/>
      <c r="H342" s="173"/>
      <c r="I342" s="173"/>
      <c r="J342" s="173"/>
      <c r="K342" s="173"/>
      <c r="L342" s="173"/>
      <c r="M342" s="173"/>
    </row>
    <row r="343" spans="1:13" s="27" customFormat="1" x14ac:dyDescent="0.3">
      <c r="A343" s="173"/>
      <c r="E343" s="173"/>
      <c r="F343" s="173"/>
      <c r="G343" s="173"/>
      <c r="H343" s="173"/>
      <c r="I343" s="173"/>
      <c r="J343" s="173"/>
      <c r="K343" s="173"/>
      <c r="L343" s="173"/>
      <c r="M343" s="173"/>
    </row>
    <row r="344" spans="1:13" s="27" customFormat="1" x14ac:dyDescent="0.3">
      <c r="A344" s="173"/>
      <c r="E344" s="173"/>
      <c r="F344" s="173"/>
      <c r="G344" s="173"/>
      <c r="H344" s="173"/>
      <c r="I344" s="173"/>
      <c r="J344" s="173"/>
      <c r="K344" s="173"/>
      <c r="L344" s="173"/>
      <c r="M344" s="173"/>
    </row>
    <row r="345" spans="1:13" s="27" customFormat="1" x14ac:dyDescent="0.3">
      <c r="A345" s="173"/>
      <c r="E345" s="173"/>
      <c r="F345" s="173"/>
      <c r="G345" s="173"/>
      <c r="H345" s="173"/>
      <c r="I345" s="173"/>
      <c r="J345" s="173"/>
      <c r="K345" s="173"/>
      <c r="L345" s="173"/>
      <c r="M345" s="173"/>
    </row>
    <row r="346" spans="1:13" s="27" customFormat="1" x14ac:dyDescent="0.3">
      <c r="A346" s="173"/>
      <c r="E346" s="173"/>
      <c r="F346" s="173"/>
      <c r="G346" s="173"/>
      <c r="H346" s="173"/>
      <c r="I346" s="173"/>
      <c r="J346" s="173"/>
      <c r="K346" s="173"/>
      <c r="L346" s="173"/>
      <c r="M346" s="173"/>
    </row>
    <row r="347" spans="1:13" s="27" customFormat="1" x14ac:dyDescent="0.3">
      <c r="A347" s="173"/>
      <c r="E347" s="173"/>
      <c r="F347" s="173"/>
      <c r="G347" s="173"/>
      <c r="H347" s="173"/>
      <c r="I347" s="173"/>
      <c r="J347" s="173"/>
      <c r="K347" s="173"/>
      <c r="L347" s="173"/>
      <c r="M347" s="173"/>
    </row>
    <row r="348" spans="1:13" s="27" customFormat="1" x14ac:dyDescent="0.3">
      <c r="A348" s="173"/>
      <c r="E348" s="173"/>
      <c r="F348" s="173"/>
      <c r="G348" s="173"/>
      <c r="H348" s="173"/>
      <c r="I348" s="173"/>
      <c r="J348" s="173"/>
      <c r="K348" s="173"/>
      <c r="L348" s="173"/>
      <c r="M348" s="173"/>
    </row>
    <row r="349" spans="1:13" s="27" customFormat="1" x14ac:dyDescent="0.3">
      <c r="A349" s="173"/>
      <c r="E349" s="173"/>
      <c r="F349" s="173"/>
      <c r="G349" s="173"/>
      <c r="H349" s="173"/>
      <c r="I349" s="173"/>
      <c r="J349" s="173"/>
      <c r="K349" s="173"/>
      <c r="L349" s="173"/>
      <c r="M349" s="173"/>
    </row>
    <row r="350" spans="1:13" s="27" customFormat="1" x14ac:dyDescent="0.3">
      <c r="A350" s="173"/>
      <c r="E350" s="173"/>
      <c r="F350" s="173"/>
      <c r="G350" s="173"/>
      <c r="H350" s="173"/>
      <c r="I350" s="173"/>
      <c r="J350" s="173"/>
      <c r="K350" s="173"/>
      <c r="L350" s="173"/>
      <c r="M350" s="173"/>
    </row>
    <row r="351" spans="1:13" s="27" customFormat="1" x14ac:dyDescent="0.3">
      <c r="A351" s="173"/>
      <c r="E351" s="173"/>
      <c r="F351" s="173"/>
      <c r="G351" s="173"/>
      <c r="H351" s="173"/>
      <c r="I351" s="173"/>
      <c r="J351" s="173"/>
      <c r="K351" s="173"/>
      <c r="L351" s="173"/>
      <c r="M351" s="173"/>
    </row>
    <row r="352" spans="1:13" s="27" customFormat="1" x14ac:dyDescent="0.3">
      <c r="A352" s="173"/>
      <c r="E352" s="173"/>
      <c r="F352" s="173"/>
      <c r="G352" s="173"/>
      <c r="H352" s="173"/>
      <c r="I352" s="173"/>
      <c r="J352" s="173"/>
      <c r="K352" s="173"/>
      <c r="L352" s="173"/>
      <c r="M352" s="173"/>
    </row>
    <row r="353" spans="1:13" s="27" customFormat="1" x14ac:dyDescent="0.3">
      <c r="A353" s="173"/>
      <c r="E353" s="173"/>
      <c r="F353" s="173"/>
      <c r="G353" s="173"/>
      <c r="H353" s="173"/>
      <c r="I353" s="173"/>
      <c r="J353" s="173"/>
      <c r="K353" s="173"/>
      <c r="L353" s="173"/>
      <c r="M353" s="173"/>
    </row>
    <row r="354" spans="1:13" s="27" customFormat="1" x14ac:dyDescent="0.3">
      <c r="A354" s="173"/>
      <c r="E354" s="173"/>
      <c r="F354" s="173"/>
      <c r="G354" s="173"/>
      <c r="H354" s="173"/>
      <c r="I354" s="173"/>
      <c r="J354" s="173"/>
      <c r="K354" s="173"/>
      <c r="L354" s="173"/>
      <c r="M354" s="173"/>
    </row>
    <row r="355" spans="1:13" s="27" customFormat="1" x14ac:dyDescent="0.3">
      <c r="A355" s="173"/>
      <c r="E355" s="173"/>
      <c r="F355" s="173"/>
      <c r="G355" s="173"/>
      <c r="H355" s="173"/>
      <c r="I355" s="173"/>
      <c r="J355" s="173"/>
      <c r="K355" s="173"/>
      <c r="L355" s="173"/>
      <c r="M355" s="173"/>
    </row>
    <row r="356" spans="1:13" s="27" customFormat="1" x14ac:dyDescent="0.3">
      <c r="A356" s="173"/>
      <c r="E356" s="173"/>
      <c r="F356" s="173"/>
      <c r="G356" s="173"/>
      <c r="H356" s="173"/>
      <c r="I356" s="173"/>
      <c r="J356" s="173"/>
      <c r="K356" s="173"/>
      <c r="L356" s="173"/>
      <c r="M356" s="173"/>
    </row>
    <row r="357" spans="1:13" s="27" customFormat="1" x14ac:dyDescent="0.3">
      <c r="A357" s="173"/>
      <c r="E357" s="173"/>
      <c r="F357" s="173"/>
      <c r="G357" s="173"/>
      <c r="H357" s="173"/>
      <c r="I357" s="173"/>
      <c r="J357" s="173"/>
      <c r="K357" s="173"/>
      <c r="L357" s="173"/>
      <c r="M357" s="173"/>
    </row>
    <row r="358" spans="1:13" s="27" customFormat="1" x14ac:dyDescent="0.3">
      <c r="A358" s="173"/>
      <c r="E358" s="173"/>
      <c r="F358" s="173"/>
      <c r="G358" s="173"/>
      <c r="H358" s="173"/>
      <c r="I358" s="173"/>
      <c r="J358" s="173"/>
      <c r="K358" s="173"/>
      <c r="L358" s="173"/>
      <c r="M358" s="173"/>
    </row>
    <row r="359" spans="1:13" s="27" customFormat="1" x14ac:dyDescent="0.3">
      <c r="A359" s="173"/>
      <c r="E359" s="173"/>
      <c r="F359" s="173"/>
      <c r="G359" s="173"/>
      <c r="H359" s="173"/>
      <c r="I359" s="173"/>
      <c r="J359" s="173"/>
      <c r="K359" s="173"/>
      <c r="L359" s="173"/>
      <c r="M359" s="173"/>
    </row>
    <row r="360" spans="1:13" s="27" customFormat="1" x14ac:dyDescent="0.3">
      <c r="A360" s="173"/>
      <c r="E360" s="173"/>
      <c r="F360" s="173"/>
      <c r="G360" s="173"/>
      <c r="H360" s="173"/>
      <c r="I360" s="173"/>
      <c r="J360" s="173"/>
      <c r="K360" s="173"/>
      <c r="L360" s="173"/>
      <c r="M360" s="173"/>
    </row>
    <row r="361" spans="1:13" s="27" customFormat="1" x14ac:dyDescent="0.3">
      <c r="A361" s="173"/>
      <c r="E361" s="173"/>
      <c r="F361" s="173"/>
      <c r="G361" s="173"/>
      <c r="H361" s="173"/>
      <c r="I361" s="173"/>
      <c r="J361" s="173"/>
      <c r="K361" s="173"/>
      <c r="L361" s="173"/>
      <c r="M361" s="173"/>
    </row>
    <row r="362" spans="1:13" s="27" customFormat="1" x14ac:dyDescent="0.3">
      <c r="A362" s="173"/>
      <c r="E362" s="173"/>
      <c r="F362" s="173"/>
      <c r="G362" s="173"/>
      <c r="H362" s="173"/>
      <c r="I362" s="173"/>
      <c r="J362" s="173"/>
      <c r="K362" s="173"/>
      <c r="L362" s="173"/>
      <c r="M362" s="173"/>
    </row>
    <row r="363" spans="1:13" s="27" customFormat="1" x14ac:dyDescent="0.3">
      <c r="A363" s="173"/>
      <c r="E363" s="173"/>
      <c r="F363" s="173"/>
      <c r="G363" s="173"/>
      <c r="H363" s="173"/>
      <c r="I363" s="173"/>
      <c r="J363" s="173"/>
      <c r="K363" s="173"/>
      <c r="L363" s="173"/>
      <c r="M363" s="173"/>
    </row>
    <row r="364" spans="1:13" s="27" customFormat="1" x14ac:dyDescent="0.3">
      <c r="A364" s="173"/>
      <c r="E364" s="173"/>
      <c r="F364" s="173"/>
      <c r="G364" s="173"/>
      <c r="H364" s="173"/>
      <c r="I364" s="173"/>
      <c r="J364" s="173"/>
      <c r="K364" s="173"/>
      <c r="L364" s="173"/>
      <c r="M364" s="173"/>
    </row>
    <row r="365" spans="1:13" s="27" customFormat="1" x14ac:dyDescent="0.3">
      <c r="A365" s="173"/>
      <c r="E365" s="173"/>
      <c r="F365" s="173"/>
      <c r="G365" s="173"/>
      <c r="H365" s="173"/>
      <c r="I365" s="173"/>
      <c r="J365" s="173"/>
      <c r="K365" s="173"/>
      <c r="L365" s="173"/>
      <c r="M365" s="173"/>
    </row>
    <row r="366" spans="1:13" s="27" customFormat="1" x14ac:dyDescent="0.3">
      <c r="A366" s="173"/>
      <c r="E366" s="173"/>
      <c r="F366" s="173"/>
      <c r="G366" s="173"/>
      <c r="H366" s="173"/>
      <c r="I366" s="173"/>
      <c r="J366" s="173"/>
      <c r="K366" s="173"/>
      <c r="L366" s="173"/>
      <c r="M366" s="173"/>
    </row>
    <row r="367" spans="1:13" s="27" customFormat="1" x14ac:dyDescent="0.3">
      <c r="A367" s="173"/>
      <c r="E367" s="173"/>
      <c r="F367" s="173"/>
      <c r="G367" s="173"/>
      <c r="H367" s="173"/>
      <c r="I367" s="173"/>
      <c r="J367" s="173"/>
      <c r="K367" s="173"/>
      <c r="L367" s="173"/>
      <c r="M367" s="173"/>
    </row>
    <row r="368" spans="1:13" s="27" customFormat="1" x14ac:dyDescent="0.3">
      <c r="A368" s="173"/>
      <c r="E368" s="173"/>
      <c r="F368" s="173"/>
      <c r="G368" s="173"/>
      <c r="H368" s="173"/>
      <c r="I368" s="173"/>
      <c r="J368" s="173"/>
      <c r="K368" s="173"/>
      <c r="L368" s="173"/>
      <c r="M368" s="173"/>
    </row>
    <row r="369" spans="1:13" s="27" customFormat="1" x14ac:dyDescent="0.3">
      <c r="A369" s="173"/>
      <c r="E369" s="173"/>
      <c r="F369" s="173"/>
      <c r="G369" s="173"/>
      <c r="H369" s="173"/>
      <c r="I369" s="173"/>
      <c r="J369" s="173"/>
      <c r="K369" s="173"/>
      <c r="L369" s="173"/>
      <c r="M369" s="173"/>
    </row>
    <row r="370" spans="1:13" s="27" customFormat="1" x14ac:dyDescent="0.3">
      <c r="A370" s="173"/>
      <c r="E370" s="173"/>
      <c r="F370" s="173"/>
      <c r="G370" s="173"/>
      <c r="H370" s="173"/>
      <c r="I370" s="173"/>
      <c r="J370" s="173"/>
      <c r="K370" s="173"/>
      <c r="L370" s="173"/>
      <c r="M370" s="173"/>
    </row>
    <row r="371" spans="1:13" s="27" customFormat="1" x14ac:dyDescent="0.3">
      <c r="A371" s="173"/>
      <c r="E371" s="173"/>
      <c r="F371" s="173"/>
      <c r="G371" s="173"/>
      <c r="H371" s="173"/>
      <c r="I371" s="173"/>
      <c r="J371" s="173"/>
      <c r="K371" s="173"/>
      <c r="L371" s="173"/>
      <c r="M371" s="173"/>
    </row>
    <row r="372" spans="1:13" s="27" customFormat="1" x14ac:dyDescent="0.3">
      <c r="A372" s="173"/>
      <c r="E372" s="173"/>
      <c r="F372" s="173"/>
      <c r="G372" s="173"/>
      <c r="H372" s="173"/>
      <c r="I372" s="173"/>
      <c r="J372" s="173"/>
      <c r="K372" s="173"/>
      <c r="L372" s="173"/>
      <c r="M372" s="173"/>
    </row>
    <row r="373" spans="1:13" s="27" customFormat="1" x14ac:dyDescent="0.3">
      <c r="A373" s="173"/>
      <c r="E373" s="173"/>
      <c r="F373" s="173"/>
      <c r="G373" s="173"/>
      <c r="H373" s="173"/>
      <c r="I373" s="173"/>
      <c r="J373" s="173"/>
      <c r="K373" s="173"/>
      <c r="L373" s="173"/>
      <c r="M373" s="173"/>
    </row>
    <row r="374" spans="1:13" s="27" customFormat="1" x14ac:dyDescent="0.3">
      <c r="A374" s="173"/>
      <c r="E374" s="173"/>
      <c r="F374" s="173"/>
      <c r="G374" s="173"/>
      <c r="H374" s="173"/>
      <c r="I374" s="173"/>
      <c r="J374" s="173"/>
      <c r="K374" s="173"/>
      <c r="L374" s="173"/>
      <c r="M374" s="173"/>
    </row>
    <row r="375" spans="1:13" s="27" customFormat="1" x14ac:dyDescent="0.3">
      <c r="A375" s="173"/>
      <c r="E375" s="173"/>
      <c r="F375" s="173"/>
      <c r="G375" s="173"/>
      <c r="H375" s="173"/>
      <c r="I375" s="173"/>
      <c r="J375" s="173"/>
      <c r="K375" s="173"/>
      <c r="L375" s="173"/>
      <c r="M375" s="173"/>
    </row>
    <row r="376" spans="1:13" s="27" customFormat="1" x14ac:dyDescent="0.3">
      <c r="A376" s="173"/>
      <c r="E376" s="173"/>
      <c r="F376" s="173"/>
      <c r="G376" s="173"/>
      <c r="H376" s="173"/>
      <c r="I376" s="173"/>
      <c r="J376" s="173"/>
      <c r="K376" s="173"/>
      <c r="L376" s="173"/>
      <c r="M376" s="173"/>
    </row>
    <row r="377" spans="1:13" s="27" customFormat="1" x14ac:dyDescent="0.3">
      <c r="A377" s="173"/>
      <c r="E377" s="173"/>
      <c r="F377" s="173"/>
      <c r="G377" s="173"/>
      <c r="H377" s="173"/>
      <c r="I377" s="173"/>
      <c r="J377" s="173"/>
      <c r="K377" s="173"/>
      <c r="L377" s="173"/>
      <c r="M377" s="173"/>
    </row>
    <row r="378" spans="1:13" s="27" customFormat="1" x14ac:dyDescent="0.3">
      <c r="A378" s="173"/>
      <c r="E378" s="173"/>
      <c r="F378" s="173"/>
      <c r="G378" s="173"/>
      <c r="H378" s="173"/>
      <c r="I378" s="173"/>
      <c r="J378" s="173"/>
      <c r="K378" s="173"/>
      <c r="L378" s="173"/>
      <c r="M378" s="173"/>
    </row>
    <row r="379" spans="1:13" s="27" customFormat="1" x14ac:dyDescent="0.3">
      <c r="A379" s="173"/>
      <c r="E379" s="173"/>
      <c r="F379" s="173"/>
      <c r="G379" s="173"/>
      <c r="H379" s="173"/>
      <c r="I379" s="173"/>
      <c r="J379" s="173"/>
      <c r="K379" s="173"/>
      <c r="L379" s="173"/>
      <c r="M379" s="173"/>
    </row>
    <row r="380" spans="1:13" s="27" customFormat="1" x14ac:dyDescent="0.3">
      <c r="A380" s="173"/>
      <c r="E380" s="173"/>
      <c r="F380" s="173"/>
      <c r="G380" s="173"/>
      <c r="H380" s="173"/>
      <c r="I380" s="173"/>
      <c r="J380" s="173"/>
      <c r="K380" s="173"/>
      <c r="L380" s="173"/>
      <c r="M380" s="173"/>
    </row>
    <row r="381" spans="1:13" s="27" customFormat="1" x14ac:dyDescent="0.3">
      <c r="A381" s="173"/>
      <c r="E381" s="173"/>
      <c r="F381" s="173"/>
      <c r="G381" s="173"/>
      <c r="H381" s="173"/>
      <c r="I381" s="173"/>
      <c r="J381" s="173"/>
      <c r="K381" s="173"/>
      <c r="L381" s="173"/>
      <c r="M381" s="173"/>
    </row>
    <row r="382" spans="1:13" s="27" customFormat="1" x14ac:dyDescent="0.3">
      <c r="A382" s="173"/>
      <c r="E382" s="173"/>
      <c r="F382" s="173"/>
      <c r="G382" s="173"/>
      <c r="H382" s="173"/>
      <c r="I382" s="173"/>
      <c r="J382" s="173"/>
      <c r="K382" s="173"/>
      <c r="L382" s="173"/>
      <c r="M382" s="173"/>
    </row>
    <row r="383" spans="1:13" s="27" customFormat="1" x14ac:dyDescent="0.3">
      <c r="A383" s="173"/>
      <c r="E383" s="173"/>
      <c r="F383" s="173"/>
      <c r="G383" s="173"/>
      <c r="H383" s="173"/>
      <c r="I383" s="173"/>
      <c r="J383" s="173"/>
      <c r="K383" s="173"/>
      <c r="L383" s="173"/>
      <c r="M383" s="173"/>
    </row>
    <row r="384" spans="1:13" s="27" customFormat="1" x14ac:dyDescent="0.3">
      <c r="A384" s="173"/>
      <c r="E384" s="173"/>
      <c r="F384" s="173"/>
      <c r="G384" s="173"/>
      <c r="H384" s="173"/>
      <c r="I384" s="173"/>
      <c r="J384" s="173"/>
      <c r="K384" s="173"/>
      <c r="L384" s="173"/>
      <c r="M384" s="173"/>
    </row>
    <row r="385" spans="1:13" s="27" customFormat="1" x14ac:dyDescent="0.3">
      <c r="A385" s="173"/>
      <c r="E385" s="173"/>
      <c r="F385" s="173"/>
      <c r="G385" s="173"/>
      <c r="H385" s="173"/>
      <c r="I385" s="173"/>
      <c r="J385" s="173"/>
      <c r="K385" s="173"/>
      <c r="L385" s="173"/>
      <c r="M385" s="173"/>
    </row>
    <row r="386" spans="1:13" s="27" customFormat="1" x14ac:dyDescent="0.3">
      <c r="A386" s="173"/>
      <c r="E386" s="173"/>
      <c r="F386" s="173"/>
      <c r="G386" s="173"/>
      <c r="H386" s="173"/>
      <c r="I386" s="173"/>
      <c r="J386" s="173"/>
      <c r="K386" s="173"/>
      <c r="L386" s="173"/>
      <c r="M386" s="173"/>
    </row>
    <row r="387" spans="1:13" s="27" customFormat="1" x14ac:dyDescent="0.3">
      <c r="A387" s="173"/>
      <c r="E387" s="173"/>
      <c r="F387" s="173"/>
      <c r="G387" s="173"/>
      <c r="H387" s="173"/>
      <c r="I387" s="173"/>
      <c r="J387" s="173"/>
      <c r="K387" s="173"/>
      <c r="L387" s="173"/>
      <c r="M387" s="173"/>
    </row>
    <row r="388" spans="1:13" s="27" customFormat="1" x14ac:dyDescent="0.3">
      <c r="A388" s="173"/>
      <c r="E388" s="173"/>
      <c r="F388" s="173"/>
      <c r="G388" s="173"/>
      <c r="H388" s="173"/>
      <c r="I388" s="173"/>
      <c r="J388" s="173"/>
      <c r="K388" s="173"/>
      <c r="L388" s="173"/>
      <c r="M388" s="173"/>
    </row>
    <row r="389" spans="1:13" s="27" customFormat="1" x14ac:dyDescent="0.3">
      <c r="A389" s="173"/>
      <c r="E389" s="173"/>
      <c r="F389" s="173"/>
      <c r="G389" s="173"/>
      <c r="H389" s="173"/>
      <c r="I389" s="173"/>
      <c r="J389" s="173"/>
      <c r="K389" s="173"/>
      <c r="L389" s="173"/>
      <c r="M389" s="173"/>
    </row>
    <row r="390" spans="1:13" s="27" customFormat="1" x14ac:dyDescent="0.3">
      <c r="A390" s="173"/>
      <c r="E390" s="173"/>
      <c r="F390" s="173"/>
      <c r="G390" s="173"/>
      <c r="H390" s="173"/>
      <c r="I390" s="173"/>
      <c r="J390" s="173"/>
      <c r="K390" s="173"/>
      <c r="L390" s="173"/>
      <c r="M390" s="173"/>
    </row>
    <row r="391" spans="1:13" s="27" customFormat="1" x14ac:dyDescent="0.3">
      <c r="A391" s="173"/>
      <c r="E391" s="173"/>
      <c r="F391" s="173"/>
      <c r="G391" s="173"/>
      <c r="H391" s="173"/>
      <c r="I391" s="173"/>
      <c r="J391" s="173"/>
      <c r="K391" s="173"/>
      <c r="L391" s="173"/>
      <c r="M391" s="173"/>
    </row>
    <row r="392" spans="1:13" s="27" customFormat="1" x14ac:dyDescent="0.3">
      <c r="A392" s="173"/>
      <c r="E392" s="173"/>
      <c r="F392" s="173"/>
      <c r="G392" s="173"/>
      <c r="H392" s="173"/>
      <c r="I392" s="173"/>
      <c r="J392" s="173"/>
      <c r="K392" s="173"/>
      <c r="L392" s="173"/>
      <c r="M392" s="173"/>
    </row>
    <row r="393" spans="1:13" s="27" customFormat="1" x14ac:dyDescent="0.3">
      <c r="A393" s="173"/>
      <c r="E393" s="173"/>
      <c r="F393" s="173"/>
      <c r="G393" s="173"/>
      <c r="H393" s="173"/>
      <c r="I393" s="173"/>
      <c r="J393" s="173"/>
      <c r="K393" s="173"/>
      <c r="L393" s="173"/>
      <c r="M393" s="173"/>
    </row>
    <row r="394" spans="1:13" s="27" customFormat="1" x14ac:dyDescent="0.3">
      <c r="A394" s="173"/>
      <c r="E394" s="173"/>
      <c r="F394" s="173"/>
      <c r="G394" s="173"/>
      <c r="H394" s="173"/>
      <c r="I394" s="173"/>
      <c r="J394" s="173"/>
      <c r="K394" s="173"/>
      <c r="L394" s="173"/>
      <c r="M394" s="173"/>
    </row>
    <row r="395" spans="1:13" s="27" customFormat="1" x14ac:dyDescent="0.3">
      <c r="A395" s="173"/>
      <c r="E395" s="173"/>
      <c r="F395" s="173"/>
      <c r="G395" s="173"/>
      <c r="H395" s="173"/>
      <c r="I395" s="173"/>
      <c r="J395" s="173"/>
      <c r="K395" s="173"/>
      <c r="L395" s="173"/>
      <c r="M395" s="173"/>
    </row>
    <row r="396" spans="1:13" s="27" customFormat="1" x14ac:dyDescent="0.3">
      <c r="A396" s="173"/>
      <c r="E396" s="173"/>
      <c r="F396" s="173"/>
      <c r="G396" s="173"/>
      <c r="H396" s="173"/>
      <c r="I396" s="173"/>
      <c r="J396" s="173"/>
      <c r="K396" s="173"/>
      <c r="L396" s="173"/>
      <c r="M396" s="173"/>
    </row>
    <row r="397" spans="1:13" s="27" customFormat="1" x14ac:dyDescent="0.3">
      <c r="A397" s="173"/>
      <c r="E397" s="173"/>
      <c r="F397" s="173"/>
      <c r="G397" s="173"/>
      <c r="H397" s="173"/>
      <c r="I397" s="173"/>
      <c r="J397" s="173"/>
      <c r="K397" s="173"/>
      <c r="L397" s="173"/>
      <c r="M397" s="173"/>
    </row>
    <row r="398" spans="1:13" s="27" customFormat="1" x14ac:dyDescent="0.3">
      <c r="A398" s="173"/>
      <c r="E398" s="173"/>
      <c r="F398" s="173"/>
      <c r="G398" s="173"/>
      <c r="H398" s="173"/>
      <c r="I398" s="173"/>
      <c r="J398" s="173"/>
      <c r="K398" s="173"/>
      <c r="L398" s="173"/>
      <c r="M398" s="173"/>
    </row>
    <row r="399" spans="1:13" s="27" customFormat="1" x14ac:dyDescent="0.3">
      <c r="A399" s="173"/>
      <c r="E399" s="173"/>
      <c r="F399" s="173"/>
      <c r="G399" s="173"/>
      <c r="H399" s="173"/>
      <c r="I399" s="173"/>
      <c r="J399" s="173"/>
      <c r="K399" s="173"/>
      <c r="L399" s="173"/>
      <c r="M399" s="173"/>
    </row>
    <row r="400" spans="1:13" s="27" customFormat="1" x14ac:dyDescent="0.3">
      <c r="A400" s="173"/>
      <c r="E400" s="173"/>
      <c r="F400" s="173"/>
      <c r="G400" s="173"/>
      <c r="H400" s="173"/>
      <c r="I400" s="173"/>
      <c r="J400" s="173"/>
      <c r="K400" s="173"/>
      <c r="L400" s="173"/>
      <c r="M400" s="173"/>
    </row>
    <row r="401" spans="1:13" s="27" customFormat="1" x14ac:dyDescent="0.3">
      <c r="A401" s="173"/>
      <c r="E401" s="173"/>
      <c r="F401" s="173"/>
      <c r="G401" s="173"/>
      <c r="H401" s="173"/>
      <c r="I401" s="173"/>
      <c r="J401" s="173"/>
      <c r="K401" s="173"/>
      <c r="L401" s="173"/>
      <c r="M401" s="173"/>
    </row>
    <row r="402" spans="1:13" s="27" customFormat="1" x14ac:dyDescent="0.3">
      <c r="A402" s="173"/>
      <c r="E402" s="173"/>
      <c r="F402" s="173"/>
      <c r="G402" s="173"/>
      <c r="H402" s="173"/>
      <c r="I402" s="173"/>
      <c r="J402" s="173"/>
      <c r="K402" s="173"/>
      <c r="L402" s="173"/>
      <c r="M402" s="173"/>
    </row>
    <row r="403" spans="1:13" s="27" customFormat="1" x14ac:dyDescent="0.3">
      <c r="A403" s="173"/>
      <c r="E403" s="173"/>
      <c r="F403" s="173"/>
      <c r="G403" s="173"/>
      <c r="H403" s="173"/>
      <c r="I403" s="173"/>
      <c r="J403" s="173"/>
      <c r="K403" s="173"/>
      <c r="L403" s="173"/>
      <c r="M403" s="173"/>
    </row>
    <row r="404" spans="1:13" s="27" customFormat="1" x14ac:dyDescent="0.3">
      <c r="A404" s="173"/>
      <c r="E404" s="173"/>
      <c r="F404" s="173"/>
      <c r="G404" s="173"/>
      <c r="H404" s="173"/>
      <c r="I404" s="173"/>
      <c r="J404" s="173"/>
      <c r="K404" s="173"/>
      <c r="L404" s="173"/>
      <c r="M404" s="173"/>
    </row>
    <row r="405" spans="1:13" s="27" customFormat="1" x14ac:dyDescent="0.3">
      <c r="A405" s="173"/>
      <c r="E405" s="173"/>
      <c r="F405" s="173"/>
      <c r="G405" s="173"/>
      <c r="H405" s="173"/>
      <c r="I405" s="173"/>
      <c r="J405" s="173"/>
      <c r="K405" s="173"/>
      <c r="L405" s="173"/>
      <c r="M405" s="173"/>
    </row>
    <row r="406" spans="1:13" s="27" customFormat="1" x14ac:dyDescent="0.3">
      <c r="A406" s="173"/>
      <c r="E406" s="173"/>
      <c r="F406" s="173"/>
      <c r="G406" s="173"/>
      <c r="H406" s="173"/>
      <c r="I406" s="173"/>
      <c r="J406" s="173"/>
      <c r="K406" s="173"/>
      <c r="L406" s="173"/>
      <c r="M406" s="173"/>
    </row>
    <row r="407" spans="1:13" s="27" customFormat="1" x14ac:dyDescent="0.3">
      <c r="A407" s="173"/>
      <c r="E407" s="173"/>
      <c r="F407" s="173"/>
      <c r="G407" s="173"/>
      <c r="H407" s="173"/>
      <c r="I407" s="173"/>
      <c r="J407" s="173"/>
      <c r="K407" s="173"/>
      <c r="L407" s="173"/>
      <c r="M407" s="173"/>
    </row>
    <row r="408" spans="1:13" s="27" customFormat="1" x14ac:dyDescent="0.3">
      <c r="A408" s="173"/>
      <c r="E408" s="173"/>
      <c r="F408" s="173"/>
      <c r="G408" s="173"/>
      <c r="H408" s="173"/>
      <c r="I408" s="173"/>
      <c r="J408" s="173"/>
      <c r="K408" s="173"/>
      <c r="L408" s="173"/>
      <c r="M408" s="173"/>
    </row>
    <row r="409" spans="1:13" s="27" customFormat="1" x14ac:dyDescent="0.3">
      <c r="A409" s="173"/>
      <c r="E409" s="173"/>
      <c r="F409" s="173"/>
      <c r="G409" s="173"/>
      <c r="H409" s="173"/>
      <c r="I409" s="173"/>
      <c r="J409" s="173"/>
      <c r="K409" s="173"/>
      <c r="L409" s="173"/>
      <c r="M409" s="173"/>
    </row>
    <row r="410" spans="1:13" s="27" customFormat="1" x14ac:dyDescent="0.3">
      <c r="A410" s="173"/>
      <c r="E410" s="173"/>
      <c r="F410" s="173"/>
      <c r="G410" s="173"/>
      <c r="H410" s="173"/>
      <c r="I410" s="173"/>
      <c r="J410" s="173"/>
      <c r="K410" s="173"/>
      <c r="L410" s="173"/>
      <c r="M410" s="173"/>
    </row>
    <row r="411" spans="1:13" s="27" customFormat="1" x14ac:dyDescent="0.3">
      <c r="A411" s="173"/>
      <c r="E411" s="173"/>
      <c r="F411" s="173"/>
      <c r="G411" s="173"/>
      <c r="H411" s="173"/>
      <c r="I411" s="173"/>
      <c r="J411" s="173"/>
      <c r="K411" s="173"/>
      <c r="L411" s="173"/>
      <c r="M411" s="173"/>
    </row>
    <row r="412" spans="1:13" s="27" customFormat="1" x14ac:dyDescent="0.3">
      <c r="A412" s="173"/>
      <c r="E412" s="173"/>
      <c r="F412" s="173"/>
      <c r="G412" s="173"/>
      <c r="H412" s="173"/>
      <c r="I412" s="173"/>
      <c r="J412" s="173"/>
      <c r="K412" s="173"/>
      <c r="L412" s="173"/>
      <c r="M412" s="173"/>
    </row>
    <row r="413" spans="1:13" s="27" customFormat="1" x14ac:dyDescent="0.3">
      <c r="A413" s="173"/>
      <c r="E413" s="173"/>
      <c r="F413" s="173"/>
      <c r="G413" s="173"/>
      <c r="H413" s="173"/>
      <c r="I413" s="173"/>
      <c r="J413" s="173"/>
      <c r="K413" s="173"/>
      <c r="L413" s="173"/>
      <c r="M413" s="173"/>
    </row>
    <row r="414" spans="1:13" s="27" customFormat="1" x14ac:dyDescent="0.3">
      <c r="A414" s="173"/>
      <c r="E414" s="173"/>
      <c r="F414" s="173"/>
      <c r="G414" s="173"/>
      <c r="H414" s="173"/>
      <c r="I414" s="173"/>
      <c r="J414" s="173"/>
      <c r="K414" s="173"/>
      <c r="L414" s="173"/>
      <c r="M414" s="173"/>
    </row>
    <row r="415" spans="1:13" s="27" customFormat="1" x14ac:dyDescent="0.3">
      <c r="A415" s="173"/>
      <c r="E415" s="173"/>
      <c r="F415" s="173"/>
      <c r="G415" s="173"/>
      <c r="H415" s="173"/>
      <c r="I415" s="173"/>
      <c r="J415" s="173"/>
      <c r="K415" s="173"/>
      <c r="L415" s="173"/>
      <c r="M415" s="173"/>
    </row>
    <row r="416" spans="1:13" s="27" customFormat="1" x14ac:dyDescent="0.3">
      <c r="A416" s="173"/>
      <c r="E416" s="173"/>
      <c r="F416" s="173"/>
      <c r="G416" s="173"/>
      <c r="H416" s="173"/>
      <c r="I416" s="173"/>
      <c r="J416" s="173"/>
      <c r="K416" s="173"/>
      <c r="L416" s="173"/>
      <c r="M416" s="173"/>
    </row>
    <row r="417" spans="1:13" s="27" customFormat="1" x14ac:dyDescent="0.3">
      <c r="A417" s="173"/>
      <c r="E417" s="173"/>
      <c r="F417" s="173"/>
      <c r="G417" s="173"/>
      <c r="H417" s="173"/>
      <c r="I417" s="173"/>
      <c r="J417" s="173"/>
      <c r="K417" s="173"/>
      <c r="L417" s="173"/>
      <c r="M417" s="173"/>
    </row>
    <row r="418" spans="1:13" s="27" customFormat="1" x14ac:dyDescent="0.3">
      <c r="A418" s="173"/>
      <c r="E418" s="173"/>
      <c r="F418" s="173"/>
      <c r="G418" s="173"/>
      <c r="H418" s="173"/>
      <c r="I418" s="173"/>
      <c r="J418" s="173"/>
      <c r="K418" s="173"/>
      <c r="L418" s="173"/>
      <c r="M418" s="173"/>
    </row>
    <row r="419" spans="1:13" s="27" customFormat="1" x14ac:dyDescent="0.3">
      <c r="A419" s="173"/>
      <c r="E419" s="173"/>
      <c r="F419" s="173"/>
      <c r="G419" s="173"/>
      <c r="H419" s="173"/>
      <c r="I419" s="173"/>
      <c r="J419" s="173"/>
      <c r="K419" s="173"/>
      <c r="L419" s="173"/>
      <c r="M419" s="173"/>
    </row>
    <row r="420" spans="1:13" s="27" customFormat="1" x14ac:dyDescent="0.3">
      <c r="A420" s="173"/>
      <c r="E420" s="173"/>
      <c r="F420" s="173"/>
      <c r="G420" s="173"/>
      <c r="H420" s="173"/>
      <c r="I420" s="173"/>
      <c r="J420" s="173"/>
      <c r="K420" s="173"/>
      <c r="L420" s="173"/>
      <c r="M420" s="173"/>
    </row>
    <row r="421" spans="1:13" s="27" customFormat="1" x14ac:dyDescent="0.3">
      <c r="A421" s="173"/>
      <c r="E421" s="173"/>
      <c r="F421" s="173"/>
      <c r="G421" s="173"/>
      <c r="H421" s="173"/>
      <c r="I421" s="173"/>
      <c r="J421" s="173"/>
      <c r="K421" s="173"/>
      <c r="L421" s="173"/>
      <c r="M421" s="173"/>
    </row>
    <row r="422" spans="1:13" s="27" customFormat="1" x14ac:dyDescent="0.3">
      <c r="A422" s="173"/>
      <c r="E422" s="173"/>
      <c r="F422" s="173"/>
      <c r="G422" s="173"/>
      <c r="H422" s="173"/>
      <c r="I422" s="173"/>
      <c r="J422" s="173"/>
      <c r="K422" s="173"/>
      <c r="L422" s="173"/>
      <c r="M422" s="173"/>
    </row>
    <row r="423" spans="1:13" s="27" customFormat="1" x14ac:dyDescent="0.3">
      <c r="A423" s="173"/>
      <c r="E423" s="173"/>
      <c r="F423" s="173"/>
      <c r="G423" s="173"/>
      <c r="H423" s="173"/>
      <c r="I423" s="173"/>
      <c r="J423" s="173"/>
      <c r="K423" s="173"/>
      <c r="L423" s="173"/>
      <c r="M423" s="173"/>
    </row>
    <row r="424" spans="1:13" s="27" customFormat="1" x14ac:dyDescent="0.3">
      <c r="A424" s="173"/>
      <c r="E424" s="173"/>
      <c r="F424" s="173"/>
      <c r="G424" s="173"/>
      <c r="H424" s="173"/>
      <c r="I424" s="173"/>
      <c r="J424" s="173"/>
      <c r="K424" s="173"/>
      <c r="L424" s="173"/>
      <c r="M424" s="173"/>
    </row>
    <row r="425" spans="1:13" s="27" customFormat="1" x14ac:dyDescent="0.3">
      <c r="A425" s="173"/>
      <c r="E425" s="173"/>
      <c r="F425" s="173"/>
      <c r="G425" s="173"/>
      <c r="H425" s="173"/>
      <c r="I425" s="173"/>
      <c r="J425" s="173"/>
      <c r="K425" s="173"/>
      <c r="L425" s="173"/>
      <c r="M425" s="173"/>
    </row>
    <row r="426" spans="1:13" s="27" customFormat="1" x14ac:dyDescent="0.3">
      <c r="A426" s="173"/>
      <c r="E426" s="173"/>
      <c r="F426" s="173"/>
      <c r="G426" s="173"/>
      <c r="H426" s="173"/>
      <c r="I426" s="173"/>
      <c r="J426" s="173"/>
      <c r="K426" s="173"/>
      <c r="L426" s="173"/>
      <c r="M426" s="173"/>
    </row>
    <row r="427" spans="1:13" s="27" customFormat="1" x14ac:dyDescent="0.3">
      <c r="A427" s="173"/>
      <c r="E427" s="173"/>
      <c r="F427" s="173"/>
      <c r="G427" s="173"/>
      <c r="H427" s="173"/>
      <c r="I427" s="173"/>
      <c r="J427" s="173"/>
      <c r="K427" s="173"/>
      <c r="L427" s="173"/>
      <c r="M427" s="173"/>
    </row>
    <row r="428" spans="1:13" s="27" customFormat="1" x14ac:dyDescent="0.3">
      <c r="A428" s="173"/>
      <c r="E428" s="173"/>
      <c r="F428" s="173"/>
      <c r="G428" s="173"/>
      <c r="H428" s="173"/>
      <c r="I428" s="173"/>
      <c r="J428" s="173"/>
      <c r="K428" s="173"/>
      <c r="L428" s="173"/>
      <c r="M428" s="173"/>
    </row>
    <row r="429" spans="1:13" s="27" customFormat="1" x14ac:dyDescent="0.3">
      <c r="A429" s="173"/>
      <c r="E429" s="173"/>
      <c r="F429" s="173"/>
      <c r="G429" s="173"/>
      <c r="H429" s="173"/>
      <c r="I429" s="173"/>
      <c r="J429" s="173"/>
      <c r="K429" s="173"/>
      <c r="L429" s="173"/>
      <c r="M429" s="173"/>
    </row>
    <row r="430" spans="1:13" s="27" customFormat="1" x14ac:dyDescent="0.3">
      <c r="A430" s="173"/>
      <c r="E430" s="173"/>
      <c r="F430" s="173"/>
      <c r="G430" s="173"/>
      <c r="H430" s="173"/>
      <c r="I430" s="173"/>
      <c r="J430" s="173"/>
      <c r="K430" s="173"/>
      <c r="L430" s="173"/>
      <c r="M430" s="173"/>
    </row>
    <row r="431" spans="1:13" s="27" customFormat="1" x14ac:dyDescent="0.3">
      <c r="A431" s="173"/>
      <c r="E431" s="173"/>
      <c r="F431" s="173"/>
      <c r="G431" s="173"/>
      <c r="H431" s="173"/>
      <c r="I431" s="173"/>
      <c r="J431" s="173"/>
      <c r="K431" s="173"/>
      <c r="L431" s="173"/>
      <c r="M431" s="173"/>
    </row>
    <row r="432" spans="1:13" s="27" customFormat="1" x14ac:dyDescent="0.3">
      <c r="A432" s="173"/>
      <c r="E432" s="173"/>
      <c r="F432" s="173"/>
      <c r="G432" s="173"/>
      <c r="H432" s="173"/>
      <c r="I432" s="173"/>
      <c r="J432" s="173"/>
      <c r="K432" s="173"/>
      <c r="L432" s="173"/>
      <c r="M432" s="173"/>
    </row>
    <row r="433" spans="1:13" s="27" customFormat="1" x14ac:dyDescent="0.3">
      <c r="A433" s="173"/>
      <c r="E433" s="173"/>
      <c r="F433" s="173"/>
      <c r="G433" s="173"/>
      <c r="H433" s="173"/>
      <c r="I433" s="173"/>
      <c r="J433" s="173"/>
      <c r="K433" s="173"/>
      <c r="L433" s="173"/>
      <c r="M433" s="173"/>
    </row>
    <row r="434" spans="1:13" s="27" customFormat="1" x14ac:dyDescent="0.3">
      <c r="A434" s="173"/>
      <c r="E434" s="173"/>
      <c r="F434" s="173"/>
      <c r="G434" s="173"/>
      <c r="H434" s="173"/>
      <c r="I434" s="173"/>
      <c r="J434" s="173"/>
      <c r="K434" s="173"/>
      <c r="L434" s="173"/>
      <c r="M434" s="173"/>
    </row>
    <row r="435" spans="1:13" s="27" customFormat="1" x14ac:dyDescent="0.3">
      <c r="A435" s="173"/>
      <c r="E435" s="173"/>
      <c r="F435" s="173"/>
      <c r="G435" s="173"/>
      <c r="H435" s="173"/>
      <c r="I435" s="173"/>
      <c r="J435" s="173"/>
      <c r="K435" s="173"/>
      <c r="L435" s="173"/>
      <c r="M435" s="173"/>
    </row>
    <row r="436" spans="1:13" s="27" customFormat="1" x14ac:dyDescent="0.3">
      <c r="A436" s="173"/>
      <c r="E436" s="173"/>
      <c r="F436" s="173"/>
      <c r="G436" s="173"/>
      <c r="H436" s="173"/>
      <c r="I436" s="173"/>
      <c r="J436" s="173"/>
      <c r="K436" s="173"/>
      <c r="L436" s="173"/>
      <c r="M436" s="173"/>
    </row>
    <row r="437" spans="1:13" s="27" customFormat="1" x14ac:dyDescent="0.3">
      <c r="A437" s="173"/>
      <c r="E437" s="173"/>
      <c r="F437" s="173"/>
      <c r="G437" s="173"/>
      <c r="H437" s="173"/>
      <c r="I437" s="173"/>
      <c r="J437" s="173"/>
      <c r="K437" s="173"/>
      <c r="L437" s="173"/>
      <c r="M437" s="173"/>
    </row>
    <row r="438" spans="1:13" s="27" customFormat="1" x14ac:dyDescent="0.3">
      <c r="A438" s="173"/>
      <c r="E438" s="173"/>
      <c r="F438" s="173"/>
      <c r="G438" s="173"/>
      <c r="H438" s="173"/>
      <c r="I438" s="173"/>
      <c r="J438" s="173"/>
      <c r="K438" s="173"/>
      <c r="L438" s="173"/>
      <c r="M438" s="173"/>
    </row>
    <row r="439" spans="1:13" s="27" customFormat="1" x14ac:dyDescent="0.3">
      <c r="A439" s="173"/>
      <c r="E439" s="173"/>
      <c r="F439" s="173"/>
      <c r="G439" s="173"/>
      <c r="H439" s="173"/>
      <c r="I439" s="173"/>
      <c r="J439" s="173"/>
      <c r="K439" s="173"/>
      <c r="L439" s="173"/>
      <c r="M439" s="173"/>
    </row>
    <row r="440" spans="1:13" s="27" customFormat="1" x14ac:dyDescent="0.3">
      <c r="A440" s="173"/>
      <c r="E440" s="173"/>
      <c r="F440" s="173"/>
      <c r="G440" s="173"/>
      <c r="H440" s="173"/>
      <c r="I440" s="173"/>
      <c r="J440" s="173"/>
      <c r="K440" s="173"/>
      <c r="L440" s="173"/>
      <c r="M440" s="173"/>
    </row>
    <row r="441" spans="1:13" s="27" customFormat="1" x14ac:dyDescent="0.3">
      <c r="A441" s="173"/>
      <c r="E441" s="173"/>
      <c r="F441" s="173"/>
      <c r="G441" s="173"/>
      <c r="H441" s="173"/>
      <c r="I441" s="173"/>
      <c r="J441" s="173"/>
      <c r="K441" s="173"/>
      <c r="L441" s="173"/>
      <c r="M441" s="173"/>
    </row>
    <row r="442" spans="1:13" s="27" customFormat="1" x14ac:dyDescent="0.3">
      <c r="A442" s="173"/>
      <c r="E442" s="173"/>
      <c r="F442" s="173"/>
      <c r="G442" s="173"/>
      <c r="H442" s="173"/>
      <c r="I442" s="173"/>
      <c r="J442" s="173"/>
      <c r="K442" s="173"/>
      <c r="L442" s="173"/>
      <c r="M442" s="173"/>
    </row>
    <row r="443" spans="1:13" s="27" customFormat="1" x14ac:dyDescent="0.3">
      <c r="A443" s="173"/>
      <c r="E443" s="173"/>
      <c r="F443" s="173"/>
      <c r="G443" s="173"/>
      <c r="H443" s="173"/>
      <c r="I443" s="173"/>
      <c r="J443" s="173"/>
      <c r="K443" s="173"/>
      <c r="L443" s="173"/>
      <c r="M443" s="173"/>
    </row>
    <row r="444" spans="1:13" s="27" customFormat="1" x14ac:dyDescent="0.3">
      <c r="A444" s="173"/>
      <c r="E444" s="173"/>
      <c r="F444" s="173"/>
      <c r="G444" s="173"/>
      <c r="H444" s="173"/>
      <c r="I444" s="173"/>
      <c r="J444" s="173"/>
      <c r="K444" s="173"/>
      <c r="L444" s="173"/>
      <c r="M444" s="173"/>
    </row>
    <row r="445" spans="1:13" s="27" customFormat="1" x14ac:dyDescent="0.3">
      <c r="A445" s="173"/>
      <c r="E445" s="173"/>
      <c r="F445" s="173"/>
      <c r="G445" s="173"/>
      <c r="H445" s="173"/>
      <c r="I445" s="173"/>
      <c r="J445" s="173"/>
      <c r="K445" s="173"/>
      <c r="L445" s="173"/>
      <c r="M445" s="173"/>
    </row>
    <row r="446" spans="1:13" s="27" customFormat="1" x14ac:dyDescent="0.3">
      <c r="A446" s="173"/>
      <c r="E446" s="173"/>
      <c r="F446" s="173"/>
      <c r="G446" s="173"/>
      <c r="H446" s="173"/>
      <c r="I446" s="173"/>
      <c r="J446" s="173"/>
      <c r="K446" s="173"/>
      <c r="L446" s="173"/>
      <c r="M446" s="173"/>
    </row>
    <row r="447" spans="1:13" s="27" customFormat="1" x14ac:dyDescent="0.3">
      <c r="A447" s="173"/>
      <c r="E447" s="173"/>
      <c r="F447" s="173"/>
      <c r="G447" s="173"/>
      <c r="H447" s="173"/>
      <c r="I447" s="173"/>
      <c r="J447" s="173"/>
      <c r="K447" s="173"/>
      <c r="L447" s="173"/>
      <c r="M447" s="173"/>
    </row>
    <row r="448" spans="1:13" s="27" customFormat="1" x14ac:dyDescent="0.3">
      <c r="A448" s="173"/>
      <c r="E448" s="173"/>
      <c r="F448" s="173"/>
      <c r="G448" s="173"/>
      <c r="H448" s="173"/>
      <c r="I448" s="173"/>
      <c r="J448" s="173"/>
      <c r="K448" s="173"/>
      <c r="L448" s="173"/>
      <c r="M448" s="173"/>
    </row>
    <row r="449" spans="1:13" s="27" customFormat="1" x14ac:dyDescent="0.3">
      <c r="A449" s="173"/>
      <c r="E449" s="173"/>
      <c r="F449" s="173"/>
      <c r="G449" s="173"/>
      <c r="H449" s="173"/>
      <c r="I449" s="173"/>
      <c r="J449" s="173"/>
      <c r="K449" s="173"/>
      <c r="L449" s="173"/>
      <c r="M449" s="173"/>
    </row>
    <row r="450" spans="1:13" s="27" customFormat="1" x14ac:dyDescent="0.3">
      <c r="A450" s="173"/>
      <c r="E450" s="173"/>
      <c r="F450" s="173"/>
      <c r="G450" s="173"/>
      <c r="H450" s="173"/>
      <c r="I450" s="173"/>
      <c r="J450" s="173"/>
      <c r="K450" s="173"/>
      <c r="L450" s="173"/>
      <c r="M450" s="173"/>
    </row>
    <row r="451" spans="1:13" s="27" customFormat="1" x14ac:dyDescent="0.3">
      <c r="A451" s="173"/>
      <c r="E451" s="173"/>
      <c r="F451" s="173"/>
      <c r="G451" s="173"/>
      <c r="H451" s="173"/>
      <c r="I451" s="173"/>
      <c r="J451" s="173"/>
      <c r="K451" s="173"/>
      <c r="L451" s="173"/>
      <c r="M451" s="173"/>
    </row>
    <row r="452" spans="1:13" s="27" customFormat="1" x14ac:dyDescent="0.3">
      <c r="A452" s="173"/>
      <c r="E452" s="173"/>
      <c r="F452" s="173"/>
      <c r="G452" s="173"/>
      <c r="H452" s="173"/>
      <c r="I452" s="173"/>
      <c r="J452" s="173"/>
      <c r="K452" s="173"/>
      <c r="L452" s="173"/>
      <c r="M452" s="173"/>
    </row>
    <row r="453" spans="1:13" s="27" customFormat="1" x14ac:dyDescent="0.3">
      <c r="A453" s="173"/>
      <c r="E453" s="173"/>
      <c r="F453" s="173"/>
      <c r="G453" s="173"/>
      <c r="H453" s="173"/>
      <c r="I453" s="173"/>
      <c r="J453" s="173"/>
      <c r="K453" s="173"/>
      <c r="L453" s="173"/>
      <c r="M453" s="173"/>
    </row>
    <row r="454" spans="1:13" s="27" customFormat="1" x14ac:dyDescent="0.3">
      <c r="A454" s="173"/>
      <c r="E454" s="173"/>
      <c r="F454" s="173"/>
      <c r="G454" s="173"/>
      <c r="H454" s="173"/>
      <c r="I454" s="173"/>
      <c r="J454" s="173"/>
      <c r="K454" s="173"/>
      <c r="L454" s="173"/>
      <c r="M454" s="173"/>
    </row>
    <row r="455" spans="1:13" s="27" customFormat="1" x14ac:dyDescent="0.3">
      <c r="A455" s="173"/>
      <c r="E455" s="173"/>
      <c r="F455" s="173"/>
      <c r="G455" s="173"/>
      <c r="H455" s="173"/>
      <c r="I455" s="173"/>
      <c r="J455" s="173"/>
      <c r="K455" s="173"/>
      <c r="L455" s="173"/>
      <c r="M455" s="173"/>
    </row>
    <row r="456" spans="1:13" s="27" customFormat="1" x14ac:dyDescent="0.3">
      <c r="A456" s="173"/>
      <c r="E456" s="173"/>
      <c r="F456" s="173"/>
      <c r="G456" s="173"/>
      <c r="H456" s="173"/>
      <c r="I456" s="173"/>
      <c r="J456" s="173"/>
      <c r="K456" s="173"/>
      <c r="L456" s="173"/>
      <c r="M456" s="173"/>
    </row>
    <row r="457" spans="1:13" s="27" customFormat="1" x14ac:dyDescent="0.3">
      <c r="A457" s="173"/>
      <c r="E457" s="173"/>
      <c r="F457" s="173"/>
      <c r="G457" s="173"/>
      <c r="H457" s="173"/>
      <c r="I457" s="173"/>
      <c r="J457" s="173"/>
      <c r="K457" s="173"/>
      <c r="L457" s="173"/>
      <c r="M457" s="173"/>
    </row>
    <row r="458" spans="1:13" s="27" customFormat="1" x14ac:dyDescent="0.3">
      <c r="A458" s="173"/>
      <c r="E458" s="173"/>
      <c r="F458" s="173"/>
      <c r="G458" s="173"/>
      <c r="H458" s="173"/>
      <c r="I458" s="173"/>
      <c r="J458" s="173"/>
      <c r="K458" s="173"/>
      <c r="L458" s="173"/>
      <c r="M458" s="173"/>
    </row>
    <row r="459" spans="1:13" s="27" customFormat="1" x14ac:dyDescent="0.3">
      <c r="A459" s="173"/>
      <c r="E459" s="173"/>
      <c r="F459" s="173"/>
      <c r="G459" s="173"/>
      <c r="H459" s="173"/>
      <c r="I459" s="173"/>
      <c r="J459" s="173"/>
      <c r="K459" s="173"/>
      <c r="L459" s="173"/>
      <c r="M459" s="173"/>
    </row>
    <row r="460" spans="1:13" s="27" customFormat="1" x14ac:dyDescent="0.3">
      <c r="A460" s="173"/>
      <c r="E460" s="173"/>
      <c r="F460" s="173"/>
      <c r="G460" s="173"/>
      <c r="H460" s="173"/>
      <c r="I460" s="173"/>
      <c r="J460" s="173"/>
      <c r="K460" s="173"/>
      <c r="L460" s="173"/>
      <c r="M460" s="173"/>
    </row>
    <row r="461" spans="1:13" s="27" customFormat="1" x14ac:dyDescent="0.3">
      <c r="A461" s="173"/>
      <c r="E461" s="173"/>
      <c r="F461" s="173"/>
      <c r="G461" s="173"/>
      <c r="H461" s="173"/>
      <c r="I461" s="173"/>
      <c r="J461" s="173"/>
      <c r="K461" s="173"/>
      <c r="L461" s="173"/>
      <c r="M461" s="173"/>
    </row>
    <row r="462" spans="1:13" s="27" customFormat="1" x14ac:dyDescent="0.3">
      <c r="A462" s="173"/>
      <c r="E462" s="173"/>
      <c r="F462" s="173"/>
      <c r="G462" s="173"/>
      <c r="H462" s="173"/>
      <c r="I462" s="173"/>
      <c r="J462" s="173"/>
      <c r="K462" s="173"/>
      <c r="L462" s="173"/>
      <c r="M462" s="173"/>
    </row>
    <row r="463" spans="1:13" s="27" customFormat="1" x14ac:dyDescent="0.3">
      <c r="A463" s="173"/>
      <c r="E463" s="173"/>
      <c r="F463" s="173"/>
      <c r="G463" s="173"/>
      <c r="H463" s="173"/>
      <c r="I463" s="173"/>
      <c r="J463" s="173"/>
      <c r="K463" s="173"/>
      <c r="L463" s="173"/>
      <c r="M463" s="173"/>
    </row>
    <row r="464" spans="1:13" s="27" customFormat="1" x14ac:dyDescent="0.3">
      <c r="A464" s="173"/>
      <c r="E464" s="173"/>
      <c r="F464" s="173"/>
      <c r="G464" s="173"/>
      <c r="H464" s="173"/>
      <c r="I464" s="173"/>
      <c r="J464" s="173"/>
      <c r="K464" s="173"/>
      <c r="L464" s="173"/>
      <c r="M464" s="173"/>
    </row>
    <row r="465" spans="1:13" s="27" customFormat="1" x14ac:dyDescent="0.3">
      <c r="A465" s="173"/>
      <c r="E465" s="173"/>
      <c r="F465" s="173"/>
      <c r="G465" s="173"/>
      <c r="H465" s="173"/>
      <c r="I465" s="173"/>
      <c r="J465" s="173"/>
      <c r="K465" s="173"/>
      <c r="L465" s="173"/>
      <c r="M465" s="173"/>
    </row>
    <row r="466" spans="1:13" s="27" customFormat="1" x14ac:dyDescent="0.3">
      <c r="A466" s="173"/>
      <c r="E466" s="173"/>
      <c r="F466" s="173"/>
      <c r="G466" s="173"/>
      <c r="H466" s="173"/>
      <c r="I466" s="173"/>
      <c r="J466" s="173"/>
      <c r="K466" s="173"/>
      <c r="L466" s="173"/>
      <c r="M466" s="173"/>
    </row>
    <row r="467" spans="1:13" s="27" customFormat="1" x14ac:dyDescent="0.3">
      <c r="A467" s="173"/>
      <c r="E467" s="173"/>
      <c r="F467" s="173"/>
      <c r="G467" s="173"/>
      <c r="H467" s="173"/>
      <c r="I467" s="173"/>
      <c r="J467" s="173"/>
      <c r="K467" s="173"/>
      <c r="L467" s="173"/>
      <c r="M467" s="173"/>
    </row>
    <row r="468" spans="1:13" s="27" customFormat="1" x14ac:dyDescent="0.3">
      <c r="A468" s="173"/>
      <c r="E468" s="173"/>
      <c r="F468" s="173"/>
      <c r="G468" s="173"/>
      <c r="H468" s="173"/>
      <c r="I468" s="173"/>
      <c r="J468" s="173"/>
      <c r="K468" s="173"/>
      <c r="L468" s="173"/>
      <c r="M468" s="173"/>
    </row>
    <row r="469" spans="1:13" s="27" customFormat="1" x14ac:dyDescent="0.3">
      <c r="A469" s="173"/>
      <c r="E469" s="173"/>
      <c r="F469" s="173"/>
      <c r="G469" s="173"/>
      <c r="H469" s="173"/>
      <c r="I469" s="173"/>
      <c r="J469" s="173"/>
      <c r="K469" s="173"/>
      <c r="L469" s="173"/>
      <c r="M469" s="173"/>
    </row>
    <row r="470" spans="1:13" s="27" customFormat="1" x14ac:dyDescent="0.3">
      <c r="A470" s="173"/>
      <c r="E470" s="173"/>
      <c r="F470" s="173"/>
      <c r="G470" s="173"/>
      <c r="H470" s="173"/>
      <c r="I470" s="173"/>
      <c r="J470" s="173"/>
      <c r="K470" s="173"/>
      <c r="L470" s="173"/>
      <c r="M470" s="173"/>
    </row>
    <row r="471" spans="1:13" s="27" customFormat="1" x14ac:dyDescent="0.3">
      <c r="A471" s="173"/>
      <c r="E471" s="173"/>
      <c r="F471" s="173"/>
      <c r="G471" s="173"/>
      <c r="H471" s="173"/>
      <c r="I471" s="173"/>
      <c r="J471" s="173"/>
      <c r="K471" s="173"/>
      <c r="L471" s="173"/>
      <c r="M471" s="173"/>
    </row>
    <row r="472" spans="1:13" s="27" customFormat="1" x14ac:dyDescent="0.3">
      <c r="A472" s="173"/>
      <c r="E472" s="173"/>
      <c r="F472" s="173"/>
      <c r="G472" s="173"/>
      <c r="H472" s="173"/>
      <c r="I472" s="173"/>
      <c r="J472" s="173"/>
      <c r="K472" s="173"/>
      <c r="L472" s="173"/>
      <c r="M472" s="173"/>
    </row>
    <row r="473" spans="1:13" s="27" customFormat="1" x14ac:dyDescent="0.3">
      <c r="A473" s="173"/>
      <c r="E473" s="173"/>
      <c r="F473" s="173"/>
      <c r="G473" s="173"/>
      <c r="H473" s="173"/>
      <c r="I473" s="173"/>
      <c r="J473" s="173"/>
      <c r="K473" s="173"/>
      <c r="L473" s="173"/>
      <c r="M473" s="173"/>
    </row>
    <row r="474" spans="1:13" s="27" customFormat="1" x14ac:dyDescent="0.3">
      <c r="A474" s="173"/>
      <c r="E474" s="173"/>
      <c r="F474" s="173"/>
      <c r="G474" s="173"/>
      <c r="H474" s="173"/>
      <c r="I474" s="173"/>
      <c r="J474" s="173"/>
      <c r="K474" s="173"/>
      <c r="L474" s="173"/>
      <c r="M474" s="173"/>
    </row>
    <row r="475" spans="1:13" s="27" customFormat="1" x14ac:dyDescent="0.3">
      <c r="A475" s="173"/>
      <c r="E475" s="173"/>
      <c r="F475" s="173"/>
      <c r="G475" s="173"/>
      <c r="H475" s="173"/>
      <c r="I475" s="173"/>
      <c r="J475" s="173"/>
      <c r="K475" s="173"/>
      <c r="L475" s="173"/>
      <c r="M475" s="173"/>
    </row>
    <row r="476" spans="1:13" s="27" customFormat="1" x14ac:dyDescent="0.3">
      <c r="A476" s="173"/>
      <c r="E476" s="173"/>
      <c r="F476" s="173"/>
      <c r="G476" s="173"/>
      <c r="H476" s="173"/>
      <c r="I476" s="173"/>
      <c r="J476" s="173"/>
      <c r="K476" s="173"/>
      <c r="L476" s="173"/>
      <c r="M476" s="173"/>
    </row>
    <row r="477" spans="1:13" s="27" customFormat="1" x14ac:dyDescent="0.3">
      <c r="A477" s="173"/>
      <c r="E477" s="173"/>
      <c r="F477" s="173"/>
      <c r="G477" s="173"/>
      <c r="H477" s="173"/>
      <c r="I477" s="173"/>
      <c r="J477" s="173"/>
      <c r="K477" s="173"/>
      <c r="L477" s="173"/>
      <c r="M477" s="173"/>
    </row>
    <row r="478" spans="1:13" s="27" customFormat="1" x14ac:dyDescent="0.3">
      <c r="A478" s="173"/>
      <c r="E478" s="173"/>
      <c r="F478" s="173"/>
      <c r="G478" s="173"/>
      <c r="H478" s="173"/>
      <c r="I478" s="173"/>
      <c r="J478" s="173"/>
      <c r="K478" s="173"/>
      <c r="L478" s="173"/>
      <c r="M478" s="173"/>
    </row>
    <row r="479" spans="1:13" s="27" customFormat="1" x14ac:dyDescent="0.3">
      <c r="A479" s="173"/>
      <c r="E479" s="173"/>
      <c r="F479" s="173"/>
      <c r="G479" s="173"/>
      <c r="H479" s="173"/>
      <c r="I479" s="173"/>
      <c r="J479" s="173"/>
      <c r="K479" s="173"/>
      <c r="L479" s="173"/>
      <c r="M479" s="173"/>
    </row>
    <row r="480" spans="1:13" s="27" customFormat="1" x14ac:dyDescent="0.3">
      <c r="A480" s="173"/>
      <c r="E480" s="173"/>
      <c r="F480" s="173"/>
      <c r="G480" s="173"/>
      <c r="H480" s="173"/>
      <c r="I480" s="173"/>
      <c r="J480" s="173"/>
      <c r="K480" s="173"/>
      <c r="L480" s="173"/>
      <c r="M480" s="173"/>
    </row>
    <row r="481" spans="1:13" s="27" customFormat="1" x14ac:dyDescent="0.3">
      <c r="A481" s="173"/>
      <c r="E481" s="173"/>
      <c r="F481" s="173"/>
      <c r="G481" s="173"/>
      <c r="H481" s="173"/>
      <c r="I481" s="173"/>
      <c r="J481" s="173"/>
      <c r="K481" s="173"/>
      <c r="L481" s="173"/>
      <c r="M481" s="173"/>
    </row>
    <row r="482" spans="1:13" s="27" customFormat="1" x14ac:dyDescent="0.3">
      <c r="A482" s="173"/>
      <c r="E482" s="173"/>
      <c r="F482" s="173"/>
      <c r="G482" s="173"/>
      <c r="H482" s="173"/>
      <c r="I482" s="173"/>
      <c r="J482" s="173"/>
      <c r="K482" s="173"/>
      <c r="L482" s="173"/>
      <c r="M482" s="173"/>
    </row>
    <row r="483" spans="1:13" s="27" customFormat="1" x14ac:dyDescent="0.3">
      <c r="A483" s="173"/>
      <c r="E483" s="173"/>
      <c r="F483" s="173"/>
      <c r="G483" s="173"/>
      <c r="H483" s="173"/>
      <c r="I483" s="173"/>
      <c r="J483" s="173"/>
      <c r="K483" s="173"/>
      <c r="L483" s="173"/>
      <c r="M483" s="173"/>
    </row>
    <row r="484" spans="1:13" s="27" customFormat="1" x14ac:dyDescent="0.3">
      <c r="A484" s="173"/>
      <c r="E484" s="173"/>
      <c r="F484" s="173"/>
      <c r="G484" s="173"/>
      <c r="H484" s="173"/>
      <c r="I484" s="173"/>
      <c r="J484" s="173"/>
      <c r="K484" s="173"/>
      <c r="L484" s="173"/>
      <c r="M484" s="173"/>
    </row>
    <row r="485" spans="1:13" s="27" customFormat="1" x14ac:dyDescent="0.3">
      <c r="A485" s="173"/>
      <c r="E485" s="173"/>
      <c r="F485" s="173"/>
      <c r="G485" s="173"/>
      <c r="H485" s="173"/>
      <c r="I485" s="173"/>
      <c r="J485" s="173"/>
      <c r="K485" s="173"/>
      <c r="L485" s="173"/>
      <c r="M485" s="173"/>
    </row>
    <row r="486" spans="1:13" s="27" customFormat="1" x14ac:dyDescent="0.3">
      <c r="A486" s="173"/>
      <c r="E486" s="173"/>
      <c r="F486" s="173"/>
      <c r="G486" s="173"/>
      <c r="H486" s="173"/>
      <c r="I486" s="173"/>
      <c r="J486" s="173"/>
      <c r="K486" s="173"/>
      <c r="L486" s="173"/>
      <c r="M486" s="173"/>
    </row>
    <row r="487" spans="1:13" s="27" customFormat="1" x14ac:dyDescent="0.3">
      <c r="A487" s="173"/>
      <c r="E487" s="173"/>
      <c r="F487" s="173"/>
      <c r="G487" s="173"/>
      <c r="H487" s="173"/>
      <c r="I487" s="173"/>
      <c r="J487" s="173"/>
      <c r="K487" s="173"/>
      <c r="L487" s="173"/>
      <c r="M487" s="173"/>
    </row>
    <row r="488" spans="1:13" s="27" customFormat="1" x14ac:dyDescent="0.3">
      <c r="A488" s="173"/>
      <c r="E488" s="173"/>
      <c r="F488" s="173"/>
      <c r="G488" s="173"/>
      <c r="H488" s="173"/>
      <c r="I488" s="173"/>
      <c r="J488" s="173"/>
      <c r="K488" s="173"/>
      <c r="L488" s="173"/>
      <c r="M488" s="173"/>
    </row>
    <row r="489" spans="1:13" s="27" customFormat="1" x14ac:dyDescent="0.3">
      <c r="A489" s="173"/>
      <c r="E489" s="173"/>
      <c r="F489" s="173"/>
      <c r="G489" s="173"/>
      <c r="H489" s="173"/>
      <c r="I489" s="173"/>
      <c r="J489" s="173"/>
      <c r="K489" s="173"/>
      <c r="L489" s="173"/>
      <c r="M489" s="173"/>
    </row>
    <row r="490" spans="1:13" s="27" customFormat="1" x14ac:dyDescent="0.3">
      <c r="A490" s="173"/>
      <c r="E490" s="173"/>
      <c r="F490" s="173"/>
      <c r="G490" s="173"/>
      <c r="H490" s="173"/>
      <c r="I490" s="173"/>
      <c r="J490" s="173"/>
      <c r="K490" s="173"/>
      <c r="L490" s="173"/>
      <c r="M490" s="173"/>
    </row>
    <row r="491" spans="1:13" s="27" customFormat="1" x14ac:dyDescent="0.3">
      <c r="A491" s="173"/>
      <c r="E491" s="173"/>
      <c r="F491" s="173"/>
      <c r="G491" s="173"/>
      <c r="H491" s="173"/>
      <c r="I491" s="173"/>
      <c r="J491" s="173"/>
      <c r="K491" s="173"/>
      <c r="L491" s="173"/>
      <c r="M491" s="173"/>
    </row>
    <row r="492" spans="1:13" s="27" customFormat="1" x14ac:dyDescent="0.3">
      <c r="A492" s="173"/>
      <c r="E492" s="173"/>
      <c r="F492" s="173"/>
      <c r="G492" s="173"/>
      <c r="H492" s="173"/>
      <c r="I492" s="173"/>
      <c r="J492" s="173"/>
      <c r="K492" s="173"/>
      <c r="L492" s="173"/>
      <c r="M492" s="173"/>
    </row>
    <row r="493" spans="1:13" s="27" customFormat="1" x14ac:dyDescent="0.3">
      <c r="A493" s="173"/>
      <c r="E493" s="173"/>
      <c r="F493" s="173"/>
      <c r="G493" s="173"/>
      <c r="H493" s="173"/>
      <c r="I493" s="173"/>
      <c r="J493" s="173"/>
      <c r="K493" s="173"/>
      <c r="L493" s="173"/>
      <c r="M493" s="173"/>
    </row>
    <row r="494" spans="1:13" s="27" customFormat="1" x14ac:dyDescent="0.3">
      <c r="A494" s="173"/>
      <c r="E494" s="173"/>
      <c r="F494" s="173"/>
      <c r="G494" s="173"/>
      <c r="H494" s="173"/>
      <c r="I494" s="173"/>
      <c r="J494" s="173"/>
      <c r="K494" s="173"/>
      <c r="L494" s="173"/>
      <c r="M494" s="173"/>
    </row>
    <row r="495" spans="1:13" s="27" customFormat="1" x14ac:dyDescent="0.3">
      <c r="A495" s="173"/>
      <c r="E495" s="173"/>
      <c r="F495" s="173"/>
      <c r="G495" s="173"/>
      <c r="H495" s="173"/>
      <c r="I495" s="173"/>
      <c r="J495" s="173"/>
      <c r="K495" s="173"/>
      <c r="L495" s="173"/>
      <c r="M495" s="173"/>
    </row>
    <row r="496" spans="1:13" s="27" customFormat="1" x14ac:dyDescent="0.3">
      <c r="A496" s="173"/>
      <c r="E496" s="173"/>
      <c r="F496" s="173"/>
      <c r="G496" s="173"/>
      <c r="H496" s="173"/>
      <c r="I496" s="173"/>
      <c r="J496" s="173"/>
      <c r="K496" s="173"/>
      <c r="L496" s="173"/>
      <c r="M496" s="173"/>
    </row>
    <row r="497" spans="1:13" s="27" customFormat="1" x14ac:dyDescent="0.3">
      <c r="A497" s="173"/>
      <c r="E497" s="173"/>
      <c r="F497" s="173"/>
      <c r="G497" s="173"/>
      <c r="H497" s="173"/>
      <c r="I497" s="173"/>
      <c r="J497" s="173"/>
      <c r="K497" s="173"/>
      <c r="L497" s="173"/>
      <c r="M497" s="173"/>
    </row>
    <row r="498" spans="1:13" s="27" customFormat="1" x14ac:dyDescent="0.3">
      <c r="A498" s="173"/>
      <c r="E498" s="173"/>
      <c r="F498" s="173"/>
      <c r="G498" s="173"/>
      <c r="H498" s="173"/>
      <c r="I498" s="173"/>
      <c r="J498" s="173"/>
      <c r="K498" s="173"/>
      <c r="L498" s="173"/>
      <c r="M498" s="173"/>
    </row>
    <row r="499" spans="1:13" s="27" customFormat="1" x14ac:dyDescent="0.3">
      <c r="A499" s="173"/>
      <c r="E499" s="173"/>
      <c r="F499" s="173"/>
      <c r="G499" s="173"/>
      <c r="H499" s="173"/>
      <c r="I499" s="173"/>
      <c r="J499" s="173"/>
      <c r="K499" s="173"/>
      <c r="L499" s="173"/>
      <c r="M499" s="173"/>
    </row>
    <row r="500" spans="1:13" s="27" customFormat="1" x14ac:dyDescent="0.3">
      <c r="A500" s="173"/>
      <c r="E500" s="173"/>
      <c r="F500" s="173"/>
      <c r="G500" s="173"/>
      <c r="H500" s="173"/>
      <c r="I500" s="173"/>
      <c r="J500" s="173"/>
      <c r="K500" s="173"/>
      <c r="L500" s="173"/>
      <c r="M500" s="173"/>
    </row>
    <row r="501" spans="1:13" s="27" customFormat="1" x14ac:dyDescent="0.3">
      <c r="A501" s="173"/>
      <c r="E501" s="173"/>
      <c r="F501" s="173"/>
      <c r="G501" s="173"/>
      <c r="H501" s="173"/>
      <c r="I501" s="173"/>
      <c r="J501" s="173"/>
      <c r="K501" s="173"/>
      <c r="L501" s="173"/>
      <c r="M501" s="173"/>
    </row>
    <row r="502" spans="1:13" s="27" customFormat="1" x14ac:dyDescent="0.3">
      <c r="A502" s="173"/>
      <c r="E502" s="173"/>
      <c r="F502" s="173"/>
      <c r="G502" s="173"/>
      <c r="H502" s="173"/>
      <c r="I502" s="173"/>
      <c r="J502" s="173"/>
      <c r="K502" s="173"/>
      <c r="L502" s="173"/>
      <c r="M502" s="173"/>
    </row>
    <row r="503" spans="1:13" s="27" customFormat="1" x14ac:dyDescent="0.3">
      <c r="A503" s="173"/>
      <c r="E503" s="173"/>
      <c r="F503" s="173"/>
      <c r="G503" s="173"/>
      <c r="H503" s="173"/>
      <c r="I503" s="173"/>
      <c r="J503" s="173"/>
      <c r="K503" s="173"/>
      <c r="L503" s="173"/>
      <c r="M503" s="173"/>
    </row>
    <row r="504" spans="1:13" s="27" customFormat="1" x14ac:dyDescent="0.3">
      <c r="A504" s="173"/>
      <c r="E504" s="173"/>
      <c r="F504" s="173"/>
      <c r="G504" s="173"/>
      <c r="H504" s="173"/>
      <c r="I504" s="173"/>
      <c r="J504" s="173"/>
      <c r="K504" s="173"/>
      <c r="L504" s="173"/>
      <c r="M504" s="173"/>
    </row>
    <row r="505" spans="1:13" s="27" customFormat="1" x14ac:dyDescent="0.3">
      <c r="A505" s="173"/>
      <c r="E505" s="173"/>
      <c r="F505" s="173"/>
      <c r="G505" s="173"/>
      <c r="H505" s="173"/>
      <c r="I505" s="173"/>
      <c r="J505" s="173"/>
      <c r="K505" s="173"/>
      <c r="L505" s="173"/>
      <c r="M505" s="173"/>
    </row>
    <row r="506" spans="1:13" s="27" customFormat="1" x14ac:dyDescent="0.3">
      <c r="A506" s="173"/>
      <c r="E506" s="173"/>
      <c r="F506" s="173"/>
      <c r="G506" s="173"/>
      <c r="H506" s="173"/>
      <c r="I506" s="173"/>
      <c r="J506" s="173"/>
      <c r="K506" s="173"/>
      <c r="L506" s="173"/>
      <c r="M506" s="173"/>
    </row>
    <row r="507" spans="1:13" s="27" customFormat="1" x14ac:dyDescent="0.3">
      <c r="A507" s="173"/>
      <c r="E507" s="173"/>
      <c r="F507" s="173"/>
      <c r="G507" s="173"/>
      <c r="H507" s="173"/>
      <c r="I507" s="173"/>
      <c r="J507" s="173"/>
      <c r="K507" s="173"/>
      <c r="L507" s="173"/>
      <c r="M507" s="173"/>
    </row>
    <row r="508" spans="1:13" s="27" customFormat="1" x14ac:dyDescent="0.3">
      <c r="A508" s="173"/>
      <c r="E508" s="173"/>
      <c r="F508" s="173"/>
      <c r="G508" s="173"/>
      <c r="H508" s="173"/>
      <c r="I508" s="173"/>
      <c r="J508" s="173"/>
      <c r="K508" s="173"/>
      <c r="L508" s="173"/>
      <c r="M508" s="173"/>
    </row>
    <row r="509" spans="1:13" s="27" customFormat="1" x14ac:dyDescent="0.3">
      <c r="A509" s="173"/>
      <c r="E509" s="173"/>
      <c r="F509" s="173"/>
      <c r="G509" s="173"/>
      <c r="H509" s="173"/>
      <c r="I509" s="173"/>
      <c r="J509" s="173"/>
      <c r="K509" s="173"/>
      <c r="L509" s="173"/>
      <c r="M509" s="173"/>
    </row>
    <row r="510" spans="1:13" s="27" customFormat="1" x14ac:dyDescent="0.3">
      <c r="A510" s="173"/>
      <c r="E510" s="173"/>
      <c r="F510" s="173"/>
      <c r="G510" s="173"/>
      <c r="H510" s="173"/>
      <c r="I510" s="173"/>
      <c r="J510" s="173"/>
      <c r="K510" s="173"/>
      <c r="L510" s="173"/>
      <c r="M510" s="173"/>
    </row>
    <row r="511" spans="1:13" s="27" customFormat="1" x14ac:dyDescent="0.3">
      <c r="A511" s="173"/>
      <c r="E511" s="173"/>
      <c r="F511" s="173"/>
      <c r="G511" s="173"/>
      <c r="H511" s="173"/>
      <c r="I511" s="173"/>
      <c r="J511" s="173"/>
      <c r="K511" s="173"/>
      <c r="L511" s="173"/>
      <c r="M511" s="173"/>
    </row>
    <row r="512" spans="1:13" s="27" customFormat="1" x14ac:dyDescent="0.3">
      <c r="A512" s="173"/>
      <c r="E512" s="173"/>
      <c r="F512" s="173"/>
      <c r="G512" s="173"/>
      <c r="H512" s="173"/>
      <c r="I512" s="173"/>
      <c r="J512" s="173"/>
      <c r="K512" s="173"/>
      <c r="L512" s="173"/>
      <c r="M512" s="173"/>
    </row>
    <row r="513" spans="1:13" s="27" customFormat="1" x14ac:dyDescent="0.3">
      <c r="A513" s="173"/>
      <c r="E513" s="173"/>
      <c r="F513" s="173"/>
      <c r="G513" s="173"/>
      <c r="H513" s="173"/>
      <c r="I513" s="173"/>
      <c r="J513" s="173"/>
      <c r="K513" s="173"/>
      <c r="L513" s="173"/>
      <c r="M513" s="173"/>
    </row>
    <row r="514" spans="1:13" s="27" customFormat="1" x14ac:dyDescent="0.3">
      <c r="A514" s="173"/>
      <c r="E514" s="173"/>
      <c r="F514" s="173"/>
      <c r="G514" s="173"/>
      <c r="H514" s="173"/>
      <c r="I514" s="173"/>
      <c r="J514" s="173"/>
      <c r="K514" s="173"/>
      <c r="L514" s="173"/>
      <c r="M514" s="173"/>
    </row>
    <row r="515" spans="1:13" s="27" customFormat="1" x14ac:dyDescent="0.3">
      <c r="A515" s="173"/>
      <c r="E515" s="173"/>
      <c r="F515" s="173"/>
      <c r="G515" s="173"/>
      <c r="H515" s="173"/>
      <c r="I515" s="173"/>
      <c r="J515" s="173"/>
      <c r="K515" s="173"/>
      <c r="L515" s="173"/>
      <c r="M515" s="173"/>
    </row>
    <row r="516" spans="1:13" s="27" customFormat="1" x14ac:dyDescent="0.3">
      <c r="A516" s="173"/>
      <c r="E516" s="173"/>
      <c r="F516" s="173"/>
      <c r="G516" s="173"/>
      <c r="H516" s="173"/>
      <c r="I516" s="173"/>
      <c r="J516" s="173"/>
      <c r="K516" s="173"/>
      <c r="L516" s="173"/>
      <c r="M516" s="173"/>
    </row>
    <row r="517" spans="1:13" s="27" customFormat="1" x14ac:dyDescent="0.3">
      <c r="A517" s="173"/>
      <c r="E517" s="173"/>
      <c r="F517" s="173"/>
      <c r="G517" s="173"/>
      <c r="H517" s="173"/>
      <c r="I517" s="173"/>
      <c r="J517" s="173"/>
      <c r="K517" s="173"/>
      <c r="L517" s="173"/>
      <c r="M517" s="173"/>
    </row>
    <row r="518" spans="1:13" s="27" customFormat="1" x14ac:dyDescent="0.3">
      <c r="A518" s="173"/>
      <c r="E518" s="173"/>
      <c r="F518" s="173"/>
      <c r="G518" s="173"/>
      <c r="H518" s="173"/>
      <c r="I518" s="173"/>
      <c r="J518" s="173"/>
      <c r="K518" s="173"/>
      <c r="L518" s="173"/>
      <c r="M518" s="173"/>
    </row>
    <row r="519" spans="1:13" s="27" customFormat="1" x14ac:dyDescent="0.3">
      <c r="A519" s="173"/>
      <c r="E519" s="173"/>
      <c r="F519" s="173"/>
      <c r="G519" s="173"/>
      <c r="H519" s="173"/>
      <c r="I519" s="173"/>
      <c r="J519" s="173"/>
      <c r="K519" s="173"/>
      <c r="L519" s="173"/>
      <c r="M519" s="173"/>
    </row>
    <row r="520" spans="1:13" s="27" customFormat="1" x14ac:dyDescent="0.3">
      <c r="A520" s="173"/>
      <c r="E520" s="173"/>
      <c r="F520" s="173"/>
      <c r="G520" s="173"/>
      <c r="H520" s="173"/>
      <c r="I520" s="173"/>
      <c r="J520" s="173"/>
      <c r="K520" s="173"/>
      <c r="L520" s="173"/>
      <c r="M520" s="173"/>
    </row>
    <row r="521" spans="1:13" s="27" customFormat="1" x14ac:dyDescent="0.3">
      <c r="A521" s="173"/>
      <c r="E521" s="173"/>
      <c r="F521" s="173"/>
      <c r="G521" s="173"/>
      <c r="H521" s="173"/>
      <c r="I521" s="173"/>
      <c r="J521" s="173"/>
      <c r="K521" s="173"/>
      <c r="L521" s="173"/>
      <c r="M521" s="173"/>
    </row>
    <row r="522" spans="1:13" s="27" customFormat="1" x14ac:dyDescent="0.3">
      <c r="A522" s="173"/>
      <c r="E522" s="173"/>
      <c r="F522" s="173"/>
      <c r="G522" s="173"/>
      <c r="H522" s="173"/>
      <c r="I522" s="173"/>
      <c r="J522" s="173"/>
      <c r="K522" s="173"/>
      <c r="L522" s="173"/>
      <c r="M522" s="173"/>
    </row>
    <row r="523" spans="1:13" s="27" customFormat="1" x14ac:dyDescent="0.3">
      <c r="A523" s="173"/>
      <c r="E523" s="173"/>
      <c r="F523" s="173"/>
      <c r="G523" s="173"/>
      <c r="H523" s="173"/>
      <c r="I523" s="173"/>
      <c r="J523" s="173"/>
      <c r="K523" s="173"/>
      <c r="L523" s="173"/>
      <c r="M523" s="173"/>
    </row>
    <row r="524" spans="1:13" s="27" customFormat="1" x14ac:dyDescent="0.3">
      <c r="A524" s="173"/>
      <c r="E524" s="173"/>
      <c r="F524" s="173"/>
      <c r="G524" s="173"/>
      <c r="H524" s="173"/>
      <c r="I524" s="173"/>
      <c r="J524" s="173"/>
      <c r="K524" s="173"/>
      <c r="L524" s="173"/>
      <c r="M524" s="173"/>
    </row>
    <row r="525" spans="1:13" s="27" customFormat="1" x14ac:dyDescent="0.3">
      <c r="A525" s="173"/>
      <c r="E525" s="173"/>
      <c r="F525" s="173"/>
      <c r="G525" s="173"/>
      <c r="H525" s="173"/>
      <c r="I525" s="173"/>
      <c r="J525" s="173"/>
      <c r="K525" s="173"/>
      <c r="L525" s="173"/>
      <c r="M525" s="173"/>
    </row>
    <row r="526" spans="1:13" s="27" customFormat="1" x14ac:dyDescent="0.3">
      <c r="A526" s="173"/>
      <c r="E526" s="173"/>
      <c r="F526" s="173"/>
      <c r="G526" s="173"/>
      <c r="H526" s="173"/>
      <c r="I526" s="173"/>
      <c r="J526" s="173"/>
      <c r="K526" s="173"/>
      <c r="L526" s="173"/>
      <c r="M526" s="173"/>
    </row>
    <row r="527" spans="1:13" s="27" customFormat="1" x14ac:dyDescent="0.3">
      <c r="A527" s="173"/>
      <c r="E527" s="173"/>
      <c r="F527" s="173"/>
      <c r="G527" s="173"/>
      <c r="H527" s="173"/>
      <c r="I527" s="173"/>
      <c r="J527" s="173"/>
      <c r="K527" s="173"/>
      <c r="L527" s="173"/>
      <c r="M527" s="173"/>
    </row>
    <row r="528" spans="1:13" s="27" customFormat="1" x14ac:dyDescent="0.3">
      <c r="A528" s="173"/>
      <c r="E528" s="173"/>
      <c r="F528" s="173"/>
      <c r="G528" s="173"/>
      <c r="H528" s="173"/>
      <c r="I528" s="173"/>
      <c r="J528" s="173"/>
      <c r="K528" s="173"/>
      <c r="L528" s="173"/>
      <c r="M528" s="173"/>
    </row>
    <row r="529" spans="1:13" s="27" customFormat="1" x14ac:dyDescent="0.3">
      <c r="A529" s="173"/>
      <c r="E529" s="173"/>
      <c r="F529" s="173"/>
      <c r="G529" s="173"/>
      <c r="H529" s="173"/>
      <c r="I529" s="173"/>
      <c r="J529" s="173"/>
      <c r="K529" s="173"/>
      <c r="L529" s="173"/>
      <c r="M529" s="173"/>
    </row>
    <row r="530" spans="1:13" s="27" customFormat="1" x14ac:dyDescent="0.3">
      <c r="A530" s="173"/>
      <c r="E530" s="173"/>
      <c r="F530" s="173"/>
      <c r="G530" s="173"/>
      <c r="H530" s="173"/>
      <c r="I530" s="173"/>
      <c r="J530" s="173"/>
      <c r="K530" s="173"/>
      <c r="L530" s="173"/>
      <c r="M530" s="173"/>
    </row>
    <row r="531" spans="1:13" s="27" customFormat="1" x14ac:dyDescent="0.3">
      <c r="A531" s="173"/>
      <c r="E531" s="173"/>
      <c r="F531" s="173"/>
      <c r="G531" s="173"/>
      <c r="H531" s="173"/>
      <c r="I531" s="173"/>
      <c r="J531" s="173"/>
      <c r="K531" s="173"/>
      <c r="L531" s="173"/>
      <c r="M531" s="173"/>
    </row>
    <row r="532" spans="1:13" s="27" customFormat="1" x14ac:dyDescent="0.3">
      <c r="A532" s="173"/>
      <c r="E532" s="173"/>
      <c r="F532" s="173"/>
      <c r="G532" s="173"/>
      <c r="H532" s="173"/>
      <c r="I532" s="173"/>
      <c r="J532" s="173"/>
      <c r="K532" s="173"/>
      <c r="L532" s="173"/>
      <c r="M532" s="173"/>
    </row>
    <row r="533" spans="1:13" s="27" customFormat="1" x14ac:dyDescent="0.3">
      <c r="A533" s="173"/>
      <c r="E533" s="173"/>
      <c r="F533" s="173"/>
      <c r="G533" s="173"/>
      <c r="H533" s="173"/>
      <c r="I533" s="173"/>
      <c r="J533" s="173"/>
      <c r="K533" s="173"/>
      <c r="L533" s="173"/>
      <c r="M533" s="173"/>
    </row>
    <row r="534" spans="1:13" s="27" customFormat="1" x14ac:dyDescent="0.3">
      <c r="A534" s="173"/>
      <c r="E534" s="173"/>
      <c r="F534" s="173"/>
      <c r="G534" s="173"/>
      <c r="H534" s="173"/>
      <c r="I534" s="173"/>
      <c r="J534" s="173"/>
      <c r="K534" s="173"/>
      <c r="L534" s="173"/>
      <c r="M534" s="173"/>
    </row>
    <row r="535" spans="1:13" s="27" customFormat="1" x14ac:dyDescent="0.3">
      <c r="A535" s="173"/>
      <c r="E535" s="173"/>
      <c r="F535" s="173"/>
      <c r="G535" s="173"/>
      <c r="H535" s="173"/>
      <c r="I535" s="173"/>
      <c r="J535" s="173"/>
      <c r="K535" s="173"/>
      <c r="L535" s="173"/>
      <c r="M535" s="173"/>
    </row>
    <row r="536" spans="1:13" s="27" customFormat="1" x14ac:dyDescent="0.3">
      <c r="A536" s="173"/>
      <c r="E536" s="173"/>
      <c r="F536" s="173"/>
      <c r="G536" s="173"/>
      <c r="H536" s="173"/>
      <c r="I536" s="173"/>
      <c r="J536" s="173"/>
      <c r="K536" s="173"/>
      <c r="L536" s="173"/>
      <c r="M536" s="173"/>
    </row>
    <row r="537" spans="1:13" s="27" customFormat="1" x14ac:dyDescent="0.3">
      <c r="A537" s="173"/>
      <c r="E537" s="173"/>
      <c r="F537" s="173"/>
      <c r="G537" s="173"/>
      <c r="H537" s="173"/>
      <c r="I537" s="173"/>
      <c r="J537" s="173"/>
      <c r="K537" s="173"/>
      <c r="L537" s="173"/>
      <c r="M537" s="173"/>
    </row>
    <row r="538" spans="1:13" s="27" customFormat="1" x14ac:dyDescent="0.3">
      <c r="A538" s="173"/>
      <c r="E538" s="173"/>
      <c r="F538" s="173"/>
      <c r="G538" s="173"/>
      <c r="H538" s="173"/>
      <c r="I538" s="173"/>
      <c r="J538" s="173"/>
      <c r="K538" s="173"/>
      <c r="L538" s="173"/>
      <c r="M538" s="173"/>
    </row>
    <row r="539" spans="1:13" s="27" customFormat="1" x14ac:dyDescent="0.3">
      <c r="A539" s="173"/>
      <c r="E539" s="173"/>
      <c r="F539" s="173"/>
      <c r="G539" s="173"/>
      <c r="H539" s="173"/>
      <c r="I539" s="173"/>
      <c r="J539" s="173"/>
      <c r="K539" s="173"/>
      <c r="L539" s="173"/>
      <c r="M539" s="173"/>
    </row>
    <row r="540" spans="1:13" s="27" customFormat="1" x14ac:dyDescent="0.3">
      <c r="A540" s="173"/>
      <c r="E540" s="173"/>
      <c r="F540" s="173"/>
      <c r="G540" s="173"/>
      <c r="H540" s="173"/>
      <c r="I540" s="173"/>
      <c r="J540" s="173"/>
      <c r="K540" s="173"/>
      <c r="L540" s="173"/>
      <c r="M540" s="173"/>
    </row>
    <row r="541" spans="1:13" s="27" customFormat="1" x14ac:dyDescent="0.3">
      <c r="A541" s="173"/>
      <c r="E541" s="173"/>
      <c r="F541" s="173"/>
      <c r="G541" s="173"/>
      <c r="H541" s="173"/>
      <c r="I541" s="173"/>
      <c r="J541" s="173"/>
      <c r="K541" s="173"/>
      <c r="L541" s="173"/>
      <c r="M541" s="173"/>
    </row>
    <row r="542" spans="1:13" s="27" customFormat="1" x14ac:dyDescent="0.3">
      <c r="A542" s="173"/>
      <c r="E542" s="173"/>
      <c r="F542" s="173"/>
      <c r="G542" s="173"/>
      <c r="H542" s="173"/>
      <c r="I542" s="173"/>
      <c r="J542" s="173"/>
      <c r="K542" s="173"/>
      <c r="L542" s="173"/>
      <c r="M542" s="173"/>
    </row>
    <row r="543" spans="1:13" s="27" customFormat="1" x14ac:dyDescent="0.3">
      <c r="A543" s="173"/>
      <c r="E543" s="173"/>
      <c r="F543" s="173"/>
      <c r="G543" s="173"/>
      <c r="H543" s="173"/>
      <c r="I543" s="173"/>
      <c r="J543" s="173"/>
      <c r="K543" s="173"/>
      <c r="L543" s="173"/>
      <c r="M543" s="173"/>
    </row>
    <row r="544" spans="1:13" s="27" customFormat="1" x14ac:dyDescent="0.3">
      <c r="A544" s="173"/>
      <c r="E544" s="173"/>
      <c r="F544" s="173"/>
      <c r="G544" s="173"/>
      <c r="H544" s="173"/>
      <c r="I544" s="173"/>
      <c r="J544" s="173"/>
      <c r="K544" s="173"/>
      <c r="L544" s="173"/>
      <c r="M544" s="173"/>
    </row>
    <row r="545" spans="1:13" s="27" customFormat="1" x14ac:dyDescent="0.3">
      <c r="A545" s="173"/>
      <c r="E545" s="173"/>
      <c r="F545" s="173"/>
      <c r="G545" s="173"/>
      <c r="H545" s="173"/>
      <c r="I545" s="173"/>
      <c r="J545" s="173"/>
      <c r="K545" s="173"/>
      <c r="L545" s="173"/>
      <c r="M545" s="173"/>
    </row>
    <row r="546" spans="1:13" s="27" customFormat="1" x14ac:dyDescent="0.3">
      <c r="A546" s="173"/>
      <c r="E546" s="173"/>
      <c r="F546" s="173"/>
      <c r="G546" s="173"/>
      <c r="H546" s="173"/>
      <c r="I546" s="173"/>
      <c r="J546" s="173"/>
      <c r="K546" s="173"/>
      <c r="L546" s="173"/>
      <c r="M546" s="173"/>
    </row>
    <row r="547" spans="1:13" s="27" customFormat="1" x14ac:dyDescent="0.3">
      <c r="A547" s="173"/>
      <c r="E547" s="173"/>
      <c r="F547" s="173"/>
      <c r="G547" s="173"/>
      <c r="H547" s="173"/>
      <c r="I547" s="173"/>
      <c r="J547" s="173"/>
      <c r="K547" s="173"/>
      <c r="L547" s="173"/>
      <c r="M547" s="173"/>
    </row>
    <row r="548" spans="1:13" s="27" customFormat="1" x14ac:dyDescent="0.3">
      <c r="A548" s="173"/>
      <c r="E548" s="173"/>
      <c r="F548" s="173"/>
      <c r="G548" s="173"/>
      <c r="H548" s="173"/>
      <c r="I548" s="173"/>
      <c r="J548" s="173"/>
      <c r="K548" s="173"/>
      <c r="L548" s="173"/>
      <c r="M548" s="173"/>
    </row>
    <row r="549" spans="1:13" s="27" customFormat="1" x14ac:dyDescent="0.3">
      <c r="A549" s="173"/>
      <c r="E549" s="173"/>
      <c r="F549" s="173"/>
      <c r="G549" s="173"/>
      <c r="H549" s="173"/>
      <c r="I549" s="173"/>
      <c r="J549" s="173"/>
      <c r="K549" s="173"/>
      <c r="L549" s="173"/>
      <c r="M549" s="173"/>
    </row>
    <row r="550" spans="1:13" s="27" customFormat="1" x14ac:dyDescent="0.3">
      <c r="A550" s="173"/>
      <c r="E550" s="173"/>
      <c r="F550" s="173"/>
      <c r="G550" s="173"/>
      <c r="H550" s="173"/>
      <c r="I550" s="173"/>
      <c r="J550" s="173"/>
      <c r="K550" s="173"/>
      <c r="L550" s="173"/>
      <c r="M550" s="173"/>
    </row>
    <row r="551" spans="1:13" s="27" customFormat="1" x14ac:dyDescent="0.3">
      <c r="A551" s="173"/>
      <c r="E551" s="173"/>
      <c r="F551" s="173"/>
      <c r="G551" s="173"/>
      <c r="H551" s="173"/>
      <c r="I551" s="173"/>
      <c r="J551" s="173"/>
      <c r="K551" s="173"/>
      <c r="L551" s="173"/>
      <c r="M551" s="173"/>
    </row>
    <row r="552" spans="1:13" s="27" customFormat="1" x14ac:dyDescent="0.3">
      <c r="A552" s="173"/>
      <c r="E552" s="173"/>
      <c r="F552" s="173"/>
      <c r="G552" s="173"/>
      <c r="H552" s="173"/>
      <c r="I552" s="173"/>
      <c r="J552" s="173"/>
      <c r="K552" s="173"/>
      <c r="L552" s="173"/>
      <c r="M552" s="173"/>
    </row>
    <row r="553" spans="1:13" s="27" customFormat="1" x14ac:dyDescent="0.3">
      <c r="A553" s="173"/>
      <c r="E553" s="173"/>
      <c r="F553" s="173"/>
      <c r="G553" s="173"/>
      <c r="H553" s="173"/>
      <c r="I553" s="173"/>
      <c r="J553" s="173"/>
      <c r="K553" s="173"/>
      <c r="L553" s="173"/>
      <c r="M553" s="173"/>
    </row>
    <row r="554" spans="1:13" s="27" customFormat="1" x14ac:dyDescent="0.3">
      <c r="A554" s="173"/>
      <c r="E554" s="173"/>
      <c r="F554" s="173"/>
      <c r="G554" s="173"/>
      <c r="H554" s="173"/>
      <c r="I554" s="173"/>
      <c r="J554" s="173"/>
      <c r="K554" s="173"/>
      <c r="L554" s="173"/>
      <c r="M554" s="173"/>
    </row>
    <row r="555" spans="1:13" s="27" customFormat="1" x14ac:dyDescent="0.3">
      <c r="A555" s="173"/>
      <c r="E555" s="173"/>
      <c r="F555" s="173"/>
      <c r="G555" s="173"/>
      <c r="H555" s="173"/>
      <c r="I555" s="173"/>
      <c r="J555" s="173"/>
      <c r="K555" s="173"/>
      <c r="L555" s="173"/>
      <c r="M555" s="173"/>
    </row>
    <row r="556" spans="1:13" s="27" customFormat="1" x14ac:dyDescent="0.3">
      <c r="A556" s="173"/>
      <c r="E556" s="173"/>
      <c r="F556" s="173"/>
      <c r="G556" s="173"/>
      <c r="H556" s="173"/>
      <c r="I556" s="173"/>
      <c r="J556" s="173"/>
      <c r="K556" s="173"/>
      <c r="L556" s="173"/>
      <c r="M556" s="173"/>
    </row>
    <row r="557" spans="1:13" s="27" customFormat="1" x14ac:dyDescent="0.3">
      <c r="A557" s="173"/>
      <c r="E557" s="173"/>
      <c r="F557" s="173"/>
      <c r="G557" s="173"/>
      <c r="H557" s="173"/>
      <c r="I557" s="173"/>
      <c r="J557" s="173"/>
      <c r="K557" s="173"/>
      <c r="L557" s="173"/>
      <c r="M557" s="173"/>
    </row>
    <row r="558" spans="1:13" s="27" customFormat="1" x14ac:dyDescent="0.3">
      <c r="A558" s="173"/>
      <c r="E558" s="173"/>
      <c r="F558" s="173"/>
      <c r="G558" s="173"/>
      <c r="H558" s="173"/>
      <c r="I558" s="173"/>
      <c r="J558" s="173"/>
      <c r="K558" s="173"/>
      <c r="L558" s="173"/>
      <c r="M558" s="173"/>
    </row>
    <row r="559" spans="1:13" s="27" customFormat="1" x14ac:dyDescent="0.3">
      <c r="A559" s="173"/>
      <c r="E559" s="173"/>
      <c r="F559" s="173"/>
      <c r="G559" s="173"/>
      <c r="H559" s="173"/>
      <c r="I559" s="173"/>
      <c r="J559" s="173"/>
      <c r="K559" s="173"/>
      <c r="L559" s="173"/>
      <c r="M559" s="173"/>
    </row>
    <row r="560" spans="1:13" s="27" customFormat="1" x14ac:dyDescent="0.3">
      <c r="A560" s="173"/>
      <c r="E560" s="173"/>
      <c r="F560" s="173"/>
      <c r="G560" s="173"/>
      <c r="H560" s="173"/>
      <c r="I560" s="173"/>
      <c r="J560" s="173"/>
      <c r="K560" s="173"/>
      <c r="L560" s="173"/>
      <c r="M560" s="173"/>
    </row>
    <row r="561" spans="1:13" s="27" customFormat="1" x14ac:dyDescent="0.3">
      <c r="A561" s="173"/>
      <c r="E561" s="173"/>
      <c r="F561" s="173"/>
      <c r="G561" s="173"/>
      <c r="H561" s="173"/>
      <c r="I561" s="173"/>
      <c r="J561" s="173"/>
      <c r="K561" s="173"/>
      <c r="L561" s="173"/>
      <c r="M561" s="173"/>
    </row>
    <row r="562" spans="1:13" s="27" customFormat="1" x14ac:dyDescent="0.3">
      <c r="A562" s="173"/>
      <c r="E562" s="173"/>
      <c r="F562" s="173"/>
      <c r="G562" s="173"/>
      <c r="H562" s="173"/>
      <c r="I562" s="173"/>
      <c r="J562" s="173"/>
      <c r="K562" s="173"/>
      <c r="L562" s="173"/>
      <c r="M562" s="173"/>
    </row>
    <row r="563" spans="1:13" s="27" customFormat="1" x14ac:dyDescent="0.3">
      <c r="A563" s="173"/>
      <c r="E563" s="173"/>
      <c r="F563" s="173"/>
      <c r="G563" s="173"/>
      <c r="H563" s="173"/>
      <c r="I563" s="173"/>
      <c r="J563" s="173"/>
      <c r="K563" s="173"/>
      <c r="L563" s="173"/>
      <c r="M563" s="173"/>
    </row>
    <row r="564" spans="1:13" s="27" customFormat="1" x14ac:dyDescent="0.3">
      <c r="A564" s="173"/>
      <c r="E564" s="173"/>
      <c r="F564" s="173"/>
      <c r="G564" s="173"/>
      <c r="H564" s="173"/>
      <c r="I564" s="173"/>
      <c r="J564" s="173"/>
      <c r="K564" s="173"/>
      <c r="L564" s="173"/>
      <c r="M564" s="173"/>
    </row>
    <row r="565" spans="1:13" s="27" customFormat="1" x14ac:dyDescent="0.3">
      <c r="A565" s="173"/>
      <c r="E565" s="173"/>
      <c r="F565" s="173"/>
      <c r="G565" s="173"/>
      <c r="H565" s="173"/>
      <c r="I565" s="173"/>
      <c r="J565" s="173"/>
      <c r="K565" s="173"/>
      <c r="L565" s="173"/>
      <c r="M565" s="173"/>
    </row>
    <row r="566" spans="1:13" s="27" customFormat="1" x14ac:dyDescent="0.3">
      <c r="A566" s="173"/>
      <c r="E566" s="173"/>
      <c r="F566" s="173"/>
      <c r="G566" s="173"/>
      <c r="H566" s="173"/>
      <c r="I566" s="173"/>
      <c r="J566" s="173"/>
      <c r="K566" s="173"/>
      <c r="L566" s="173"/>
      <c r="M566" s="173"/>
    </row>
    <row r="567" spans="1:13" s="27" customFormat="1" x14ac:dyDescent="0.3">
      <c r="A567" s="173"/>
      <c r="E567" s="173"/>
      <c r="F567" s="173"/>
      <c r="G567" s="173"/>
      <c r="H567" s="173"/>
      <c r="I567" s="173"/>
      <c r="J567" s="173"/>
      <c r="K567" s="173"/>
      <c r="L567" s="173"/>
      <c r="M567" s="173"/>
    </row>
    <row r="568" spans="1:13" s="27" customFormat="1" x14ac:dyDescent="0.3">
      <c r="A568" s="173"/>
      <c r="E568" s="173"/>
      <c r="F568" s="173"/>
      <c r="G568" s="173"/>
      <c r="H568" s="173"/>
      <c r="I568" s="173"/>
      <c r="J568" s="173"/>
      <c r="K568" s="173"/>
      <c r="L568" s="173"/>
      <c r="M568" s="173"/>
    </row>
    <row r="569" spans="1:13" s="27" customFormat="1" x14ac:dyDescent="0.3">
      <c r="A569" s="173"/>
      <c r="E569" s="173"/>
      <c r="F569" s="173"/>
      <c r="G569" s="173"/>
      <c r="H569" s="173"/>
      <c r="I569" s="173"/>
      <c r="J569" s="173"/>
      <c r="K569" s="173"/>
      <c r="L569" s="173"/>
      <c r="M569" s="173"/>
    </row>
    <row r="570" spans="1:13" s="27" customFormat="1" x14ac:dyDescent="0.3">
      <c r="A570" s="173"/>
      <c r="E570" s="173"/>
      <c r="F570" s="173"/>
      <c r="G570" s="173"/>
      <c r="H570" s="173"/>
      <c r="I570" s="173"/>
      <c r="J570" s="173"/>
      <c r="K570" s="173"/>
      <c r="L570" s="173"/>
      <c r="M570" s="173"/>
    </row>
    <row r="571" spans="1:13" s="27" customFormat="1" x14ac:dyDescent="0.3">
      <c r="A571" s="173"/>
      <c r="E571" s="173"/>
      <c r="F571" s="173"/>
      <c r="G571" s="173"/>
      <c r="H571" s="173"/>
      <c r="I571" s="173"/>
      <c r="J571" s="173"/>
      <c r="K571" s="173"/>
      <c r="L571" s="173"/>
      <c r="M571" s="173"/>
    </row>
    <row r="572" spans="1:13" s="27" customFormat="1" x14ac:dyDescent="0.3">
      <c r="A572" s="173"/>
      <c r="E572" s="173"/>
      <c r="F572" s="173"/>
      <c r="G572" s="173"/>
      <c r="H572" s="173"/>
      <c r="I572" s="173"/>
      <c r="J572" s="173"/>
      <c r="K572" s="173"/>
      <c r="L572" s="173"/>
      <c r="M572" s="173"/>
    </row>
    <row r="573" spans="1:13" s="27" customFormat="1" x14ac:dyDescent="0.3">
      <c r="A573" s="173"/>
      <c r="E573" s="173"/>
      <c r="F573" s="173"/>
      <c r="G573" s="173"/>
      <c r="H573" s="173"/>
      <c r="I573" s="173"/>
      <c r="J573" s="173"/>
      <c r="K573" s="173"/>
      <c r="L573" s="173"/>
      <c r="M573" s="173"/>
    </row>
    <row r="574" spans="1:13" s="27" customFormat="1" x14ac:dyDescent="0.3">
      <c r="A574" s="173"/>
      <c r="E574" s="173"/>
      <c r="F574" s="173"/>
      <c r="G574" s="173"/>
      <c r="H574" s="173"/>
      <c r="I574" s="173"/>
      <c r="J574" s="173"/>
      <c r="K574" s="173"/>
      <c r="L574" s="173"/>
      <c r="M574" s="173"/>
    </row>
    <row r="575" spans="1:13" s="27" customFormat="1" x14ac:dyDescent="0.3">
      <c r="A575" s="173"/>
      <c r="E575" s="173"/>
      <c r="F575" s="173"/>
      <c r="G575" s="173"/>
      <c r="H575" s="173"/>
      <c r="I575" s="173"/>
      <c r="J575" s="173"/>
      <c r="K575" s="173"/>
      <c r="L575" s="173"/>
      <c r="M575" s="173"/>
    </row>
    <row r="576" spans="1:13" s="27" customFormat="1" x14ac:dyDescent="0.3">
      <c r="A576" s="173"/>
      <c r="E576" s="173"/>
      <c r="F576" s="173"/>
      <c r="G576" s="173"/>
      <c r="H576" s="173"/>
      <c r="I576" s="173"/>
      <c r="J576" s="173"/>
      <c r="K576" s="173"/>
      <c r="L576" s="173"/>
      <c r="M576" s="173"/>
    </row>
    <row r="577" spans="1:13" s="27" customFormat="1" x14ac:dyDescent="0.3">
      <c r="A577" s="173"/>
      <c r="E577" s="173"/>
      <c r="F577" s="173"/>
      <c r="G577" s="173"/>
      <c r="H577" s="173"/>
      <c r="I577" s="173"/>
      <c r="J577" s="173"/>
      <c r="K577" s="173"/>
      <c r="L577" s="173"/>
      <c r="M577" s="173"/>
    </row>
    <row r="578" spans="1:13" s="27" customFormat="1" x14ac:dyDescent="0.3">
      <c r="A578" s="173"/>
      <c r="E578" s="173"/>
      <c r="F578" s="173"/>
      <c r="G578" s="173"/>
      <c r="H578" s="173"/>
      <c r="I578" s="173"/>
      <c r="J578" s="173"/>
      <c r="K578" s="173"/>
      <c r="L578" s="173"/>
      <c r="M578" s="173"/>
    </row>
    <row r="579" spans="1:13" s="27" customFormat="1" x14ac:dyDescent="0.3">
      <c r="A579" s="173"/>
      <c r="E579" s="173"/>
      <c r="F579" s="173"/>
      <c r="G579" s="173"/>
      <c r="H579" s="173"/>
      <c r="I579" s="173"/>
      <c r="J579" s="173"/>
      <c r="K579" s="173"/>
      <c r="L579" s="173"/>
      <c r="M579" s="173"/>
    </row>
    <row r="580" spans="1:13" s="27" customFormat="1" x14ac:dyDescent="0.3">
      <c r="A580" s="173"/>
      <c r="E580" s="173"/>
      <c r="F580" s="173"/>
      <c r="G580" s="173"/>
      <c r="H580" s="173"/>
      <c r="I580" s="173"/>
      <c r="J580" s="173"/>
      <c r="K580" s="173"/>
      <c r="L580" s="173"/>
      <c r="M580" s="173"/>
    </row>
    <row r="581" spans="1:13" s="27" customFormat="1" x14ac:dyDescent="0.3">
      <c r="A581" s="173"/>
      <c r="E581" s="173"/>
      <c r="F581" s="173"/>
      <c r="G581" s="173"/>
      <c r="H581" s="173"/>
      <c r="I581" s="173"/>
      <c r="J581" s="173"/>
      <c r="K581" s="173"/>
      <c r="L581" s="173"/>
      <c r="M581" s="173"/>
    </row>
    <row r="582" spans="1:13" s="27" customFormat="1" x14ac:dyDescent="0.3">
      <c r="A582" s="173"/>
      <c r="E582" s="173"/>
      <c r="F582" s="173"/>
      <c r="G582" s="173"/>
      <c r="H582" s="173"/>
      <c r="I582" s="173"/>
      <c r="J582" s="173"/>
      <c r="K582" s="173"/>
      <c r="L582" s="173"/>
      <c r="M582" s="173"/>
    </row>
    <row r="583" spans="1:13" s="27" customFormat="1" x14ac:dyDescent="0.3">
      <c r="A583" s="173"/>
      <c r="E583" s="173"/>
      <c r="F583" s="173"/>
      <c r="G583" s="173"/>
      <c r="H583" s="173"/>
      <c r="I583" s="173"/>
      <c r="J583" s="173"/>
      <c r="K583" s="173"/>
      <c r="L583" s="173"/>
      <c r="M583" s="173"/>
    </row>
    <row r="584" spans="1:13" s="27" customFormat="1" x14ac:dyDescent="0.3">
      <c r="A584" s="173"/>
      <c r="E584" s="173"/>
      <c r="F584" s="173"/>
      <c r="G584" s="173"/>
      <c r="H584" s="173"/>
      <c r="I584" s="173"/>
      <c r="J584" s="173"/>
      <c r="K584" s="173"/>
      <c r="L584" s="173"/>
      <c r="M584" s="173"/>
    </row>
    <row r="585" spans="1:13" s="27" customFormat="1" x14ac:dyDescent="0.3">
      <c r="A585" s="173"/>
      <c r="E585" s="173"/>
      <c r="F585" s="173"/>
      <c r="G585" s="173"/>
      <c r="H585" s="173"/>
      <c r="I585" s="173"/>
      <c r="J585" s="173"/>
      <c r="K585" s="173"/>
      <c r="L585" s="173"/>
      <c r="M585" s="173"/>
    </row>
    <row r="586" spans="1:13" s="27" customFormat="1" x14ac:dyDescent="0.3">
      <c r="A586" s="173"/>
      <c r="E586" s="173"/>
      <c r="F586" s="173"/>
      <c r="G586" s="173"/>
      <c r="H586" s="173"/>
      <c r="I586" s="173"/>
      <c r="J586" s="173"/>
      <c r="K586" s="173"/>
      <c r="L586" s="173"/>
      <c r="M586" s="173"/>
    </row>
    <row r="587" spans="1:13" s="27" customFormat="1" x14ac:dyDescent="0.3">
      <c r="A587" s="173"/>
      <c r="E587" s="173"/>
      <c r="F587" s="173"/>
      <c r="G587" s="173"/>
      <c r="H587" s="173"/>
      <c r="I587" s="173"/>
      <c r="J587" s="173"/>
      <c r="K587" s="173"/>
      <c r="L587" s="173"/>
      <c r="M587" s="173"/>
    </row>
    <row r="588" spans="1:13" s="27" customFormat="1" x14ac:dyDescent="0.3">
      <c r="A588" s="173"/>
      <c r="E588" s="173"/>
      <c r="F588" s="173"/>
      <c r="G588" s="173"/>
      <c r="H588" s="173"/>
      <c r="I588" s="173"/>
      <c r="J588" s="173"/>
      <c r="K588" s="173"/>
      <c r="L588" s="173"/>
      <c r="M588" s="173"/>
    </row>
    <row r="589" spans="1:13" s="27" customFormat="1" x14ac:dyDescent="0.3">
      <c r="A589" s="173"/>
      <c r="E589" s="173"/>
      <c r="F589" s="173"/>
      <c r="G589" s="173"/>
      <c r="H589" s="173"/>
      <c r="I589" s="173"/>
      <c r="J589" s="173"/>
      <c r="K589" s="173"/>
      <c r="L589" s="173"/>
      <c r="M589" s="173"/>
    </row>
    <row r="590" spans="1:13" s="27" customFormat="1" x14ac:dyDescent="0.3">
      <c r="A590" s="173"/>
      <c r="E590" s="173"/>
      <c r="F590" s="173"/>
      <c r="G590" s="173"/>
      <c r="H590" s="173"/>
      <c r="I590" s="173"/>
      <c r="J590" s="173"/>
      <c r="K590" s="173"/>
      <c r="L590" s="173"/>
      <c r="M590" s="173"/>
    </row>
    <row r="591" spans="1:13" s="27" customFormat="1" x14ac:dyDescent="0.3">
      <c r="A591" s="173"/>
      <c r="E591" s="173"/>
      <c r="F591" s="173"/>
      <c r="G591" s="173"/>
      <c r="H591" s="173"/>
      <c r="I591" s="173"/>
      <c r="J591" s="173"/>
      <c r="K591" s="173"/>
      <c r="L591" s="173"/>
      <c r="M591" s="173"/>
    </row>
    <row r="592" spans="1:13" s="27" customFormat="1" x14ac:dyDescent="0.3">
      <c r="A592" s="173"/>
      <c r="E592" s="173"/>
      <c r="F592" s="173"/>
      <c r="G592" s="173"/>
      <c r="H592" s="173"/>
      <c r="I592" s="173"/>
      <c r="J592" s="173"/>
      <c r="K592" s="173"/>
      <c r="L592" s="173"/>
      <c r="M592" s="173"/>
    </row>
    <row r="593" spans="1:13" s="27" customFormat="1" x14ac:dyDescent="0.3">
      <c r="A593" s="173"/>
      <c r="E593" s="173"/>
      <c r="F593" s="173"/>
      <c r="G593" s="173"/>
      <c r="H593" s="173"/>
      <c r="I593" s="173"/>
      <c r="J593" s="173"/>
      <c r="K593" s="173"/>
      <c r="L593" s="173"/>
      <c r="M593" s="173"/>
    </row>
    <row r="594" spans="1:13" s="27" customFormat="1" x14ac:dyDescent="0.3">
      <c r="A594" s="173"/>
      <c r="E594" s="173"/>
      <c r="F594" s="173"/>
      <c r="G594" s="173"/>
      <c r="H594" s="173"/>
      <c r="I594" s="173"/>
      <c r="J594" s="173"/>
      <c r="K594" s="173"/>
      <c r="L594" s="173"/>
      <c r="M594" s="173"/>
    </row>
    <row r="595" spans="1:13" s="27" customFormat="1" x14ac:dyDescent="0.3">
      <c r="A595" s="173"/>
      <c r="E595" s="173"/>
      <c r="F595" s="173"/>
      <c r="G595" s="173"/>
      <c r="H595" s="173"/>
      <c r="I595" s="173"/>
      <c r="J595" s="173"/>
      <c r="K595" s="173"/>
      <c r="L595" s="173"/>
      <c r="M595" s="173"/>
    </row>
    <row r="596" spans="1:13" s="27" customFormat="1" x14ac:dyDescent="0.3">
      <c r="A596" s="173"/>
      <c r="E596" s="173"/>
      <c r="F596" s="173"/>
      <c r="G596" s="173"/>
      <c r="H596" s="173"/>
      <c r="I596" s="173"/>
      <c r="J596" s="173"/>
      <c r="K596" s="173"/>
      <c r="L596" s="173"/>
      <c r="M596" s="173"/>
    </row>
    <row r="597" spans="1:13" s="27" customFormat="1" x14ac:dyDescent="0.3">
      <c r="A597" s="173"/>
      <c r="E597" s="173"/>
      <c r="F597" s="173"/>
      <c r="G597" s="173"/>
      <c r="H597" s="173"/>
      <c r="I597" s="173"/>
      <c r="J597" s="173"/>
      <c r="K597" s="173"/>
      <c r="L597" s="173"/>
      <c r="M597" s="173"/>
    </row>
    <row r="598" spans="1:13" s="27" customFormat="1" x14ac:dyDescent="0.3">
      <c r="A598" s="173"/>
      <c r="E598" s="173"/>
      <c r="F598" s="173"/>
      <c r="G598" s="173"/>
      <c r="H598" s="173"/>
      <c r="I598" s="173"/>
      <c r="J598" s="173"/>
      <c r="K598" s="173"/>
      <c r="L598" s="173"/>
      <c r="M598" s="173"/>
    </row>
    <row r="599" spans="1:13" s="27" customFormat="1" x14ac:dyDescent="0.3">
      <c r="A599" s="173"/>
      <c r="E599" s="173"/>
      <c r="F599" s="173"/>
      <c r="G599" s="173"/>
      <c r="H599" s="173"/>
      <c r="I599" s="173"/>
      <c r="J599" s="173"/>
      <c r="K599" s="173"/>
      <c r="L599" s="173"/>
      <c r="M599" s="173"/>
    </row>
    <row r="600" spans="1:13" s="27" customFormat="1" x14ac:dyDescent="0.3">
      <c r="A600" s="173"/>
      <c r="E600" s="173"/>
      <c r="F600" s="173"/>
      <c r="G600" s="173"/>
      <c r="H600" s="173"/>
      <c r="I600" s="173"/>
      <c r="J600" s="173"/>
      <c r="K600" s="173"/>
      <c r="L600" s="173"/>
      <c r="M600" s="173"/>
    </row>
    <row r="601" spans="1:13" s="27" customFormat="1" x14ac:dyDescent="0.3">
      <c r="A601" s="173"/>
      <c r="E601" s="173"/>
      <c r="F601" s="173"/>
      <c r="G601" s="173"/>
      <c r="H601" s="173"/>
      <c r="I601" s="173"/>
      <c r="J601" s="173"/>
      <c r="K601" s="173"/>
      <c r="L601" s="173"/>
      <c r="M601" s="173"/>
    </row>
    <row r="602" spans="1:13" s="27" customFormat="1" x14ac:dyDescent="0.3">
      <c r="A602" s="173"/>
      <c r="E602" s="173"/>
      <c r="F602" s="173"/>
      <c r="G602" s="173"/>
      <c r="H602" s="173"/>
      <c r="I602" s="173"/>
      <c r="J602" s="173"/>
      <c r="K602" s="173"/>
      <c r="L602" s="173"/>
      <c r="M602" s="173"/>
    </row>
    <row r="603" spans="1:13" s="27" customFormat="1" x14ac:dyDescent="0.3">
      <c r="A603" s="173"/>
      <c r="E603" s="173"/>
      <c r="F603" s="173"/>
      <c r="G603" s="173"/>
      <c r="H603" s="173"/>
      <c r="I603" s="173"/>
      <c r="J603" s="173"/>
      <c r="K603" s="173"/>
      <c r="L603" s="173"/>
      <c r="M603" s="173"/>
    </row>
    <row r="604" spans="1:13" s="27" customFormat="1" x14ac:dyDescent="0.3">
      <c r="A604" s="173"/>
      <c r="E604" s="173"/>
      <c r="F604" s="173"/>
      <c r="G604" s="173"/>
      <c r="H604" s="173"/>
      <c r="I604" s="173"/>
      <c r="J604" s="173"/>
      <c r="K604" s="173"/>
      <c r="L604" s="173"/>
      <c r="M604" s="173"/>
    </row>
    <row r="605" spans="1:13" s="27" customFormat="1" x14ac:dyDescent="0.3">
      <c r="A605" s="173"/>
      <c r="E605" s="173"/>
      <c r="F605" s="173"/>
      <c r="G605" s="173"/>
      <c r="H605" s="173"/>
      <c r="I605" s="173"/>
      <c r="J605" s="173"/>
      <c r="K605" s="173"/>
      <c r="L605" s="173"/>
      <c r="M605" s="173"/>
    </row>
    <row r="606" spans="1:13" s="27" customFormat="1" x14ac:dyDescent="0.3">
      <c r="A606" s="173"/>
      <c r="E606" s="173"/>
      <c r="F606" s="173"/>
      <c r="G606" s="173"/>
      <c r="H606" s="173"/>
      <c r="I606" s="173"/>
      <c r="J606" s="173"/>
      <c r="K606" s="173"/>
      <c r="L606" s="173"/>
      <c r="M606" s="173"/>
    </row>
    <row r="607" spans="1:13" s="27" customFormat="1" x14ac:dyDescent="0.3">
      <c r="A607" s="173"/>
      <c r="E607" s="173"/>
      <c r="F607" s="173"/>
      <c r="G607" s="173"/>
      <c r="H607" s="173"/>
      <c r="I607" s="173"/>
      <c r="J607" s="173"/>
      <c r="K607" s="173"/>
      <c r="L607" s="173"/>
      <c r="M607" s="173"/>
    </row>
    <row r="608" spans="1:13" s="27" customFormat="1" x14ac:dyDescent="0.3">
      <c r="A608" s="173"/>
      <c r="E608" s="173"/>
      <c r="F608" s="173"/>
      <c r="G608" s="173"/>
      <c r="H608" s="173"/>
      <c r="I608" s="173"/>
      <c r="J608" s="173"/>
      <c r="K608" s="173"/>
      <c r="L608" s="173"/>
      <c r="M608" s="173"/>
    </row>
    <row r="609" spans="1:13" s="27" customFormat="1" x14ac:dyDescent="0.3">
      <c r="A609" s="173"/>
      <c r="E609" s="173"/>
      <c r="F609" s="173"/>
      <c r="G609" s="173"/>
      <c r="H609" s="173"/>
      <c r="I609" s="173"/>
      <c r="J609" s="173"/>
      <c r="K609" s="173"/>
      <c r="L609" s="173"/>
      <c r="M609" s="173"/>
    </row>
    <row r="610" spans="1:13" s="27" customFormat="1" x14ac:dyDescent="0.3">
      <c r="A610" s="173"/>
      <c r="E610" s="173"/>
      <c r="F610" s="173"/>
      <c r="G610" s="173"/>
      <c r="H610" s="173"/>
      <c r="I610" s="173"/>
      <c r="J610" s="173"/>
      <c r="K610" s="173"/>
      <c r="L610" s="173"/>
      <c r="M610" s="173"/>
    </row>
    <row r="611" spans="1:13" s="27" customFormat="1" x14ac:dyDescent="0.3">
      <c r="A611" s="173"/>
      <c r="E611" s="173"/>
      <c r="F611" s="173"/>
      <c r="G611" s="173"/>
      <c r="H611" s="173"/>
      <c r="I611" s="173"/>
      <c r="J611" s="173"/>
      <c r="K611" s="173"/>
      <c r="L611" s="173"/>
      <c r="M611" s="173"/>
    </row>
    <row r="612" spans="1:13" s="27" customFormat="1" x14ac:dyDescent="0.3">
      <c r="A612" s="173"/>
      <c r="E612" s="173"/>
      <c r="F612" s="173"/>
      <c r="G612" s="173"/>
      <c r="H612" s="173"/>
      <c r="I612" s="173"/>
      <c r="J612" s="173"/>
      <c r="K612" s="173"/>
      <c r="L612" s="173"/>
      <c r="M612" s="173"/>
    </row>
    <row r="613" spans="1:13" s="27" customFormat="1" x14ac:dyDescent="0.3">
      <c r="A613" s="173"/>
      <c r="E613" s="173"/>
      <c r="F613" s="173"/>
      <c r="G613" s="173"/>
      <c r="H613" s="173"/>
      <c r="I613" s="173"/>
      <c r="J613" s="173"/>
      <c r="K613" s="173"/>
      <c r="L613" s="173"/>
      <c r="M613" s="173"/>
    </row>
    <row r="614" spans="1:13" s="27" customFormat="1" x14ac:dyDescent="0.3">
      <c r="A614" s="173"/>
      <c r="E614" s="173"/>
      <c r="F614" s="173"/>
      <c r="G614" s="173"/>
      <c r="H614" s="173"/>
      <c r="I614" s="173"/>
      <c r="J614" s="173"/>
      <c r="K614" s="173"/>
      <c r="L614" s="173"/>
      <c r="M614" s="173"/>
    </row>
    <row r="615" spans="1:13" s="27" customFormat="1" x14ac:dyDescent="0.3">
      <c r="A615" s="173"/>
      <c r="E615" s="173"/>
      <c r="F615" s="173"/>
      <c r="G615" s="173"/>
      <c r="H615" s="173"/>
      <c r="I615" s="173"/>
      <c r="J615" s="173"/>
      <c r="K615" s="173"/>
      <c r="L615" s="173"/>
      <c r="M615" s="173"/>
    </row>
    <row r="616" spans="1:13" s="27" customFormat="1" x14ac:dyDescent="0.3">
      <c r="A616" s="173"/>
      <c r="E616" s="173"/>
      <c r="F616" s="173"/>
      <c r="G616" s="173"/>
      <c r="H616" s="173"/>
      <c r="I616" s="173"/>
      <c r="J616" s="173"/>
      <c r="K616" s="173"/>
      <c r="L616" s="173"/>
      <c r="M616" s="173"/>
    </row>
    <row r="617" spans="1:13" s="27" customFormat="1" x14ac:dyDescent="0.3">
      <c r="A617" s="173"/>
      <c r="E617" s="173"/>
      <c r="F617" s="173"/>
      <c r="G617" s="173"/>
      <c r="H617" s="173"/>
      <c r="I617" s="173"/>
      <c r="J617" s="173"/>
      <c r="K617" s="173"/>
      <c r="L617" s="173"/>
      <c r="M617" s="173"/>
    </row>
    <row r="618" spans="1:13" s="27" customFormat="1" x14ac:dyDescent="0.3">
      <c r="A618" s="173"/>
      <c r="E618" s="173"/>
      <c r="F618" s="173"/>
      <c r="G618" s="173"/>
      <c r="H618" s="173"/>
      <c r="I618" s="173"/>
      <c r="J618" s="173"/>
      <c r="K618" s="173"/>
      <c r="L618" s="173"/>
      <c r="M618" s="173"/>
    </row>
    <row r="619" spans="1:13" s="27" customFormat="1" x14ac:dyDescent="0.3">
      <c r="A619" s="173"/>
      <c r="E619" s="173"/>
      <c r="F619" s="173"/>
      <c r="G619" s="173"/>
      <c r="H619" s="173"/>
      <c r="I619" s="173"/>
      <c r="J619" s="173"/>
      <c r="K619" s="173"/>
      <c r="L619" s="173"/>
      <c r="M619" s="173"/>
    </row>
    <row r="620" spans="1:13" s="27" customFormat="1" x14ac:dyDescent="0.3">
      <c r="A620" s="173"/>
      <c r="E620" s="173"/>
      <c r="F620" s="173"/>
      <c r="G620" s="173"/>
      <c r="H620" s="173"/>
      <c r="I620" s="173"/>
      <c r="J620" s="173"/>
      <c r="K620" s="173"/>
      <c r="L620" s="173"/>
      <c r="M620" s="173"/>
    </row>
    <row r="621" spans="1:13" s="27" customFormat="1" x14ac:dyDescent="0.3">
      <c r="A621" s="173"/>
      <c r="E621" s="173"/>
      <c r="F621" s="173"/>
      <c r="G621" s="173"/>
      <c r="H621" s="173"/>
      <c r="I621" s="173"/>
      <c r="J621" s="173"/>
      <c r="K621" s="173"/>
      <c r="L621" s="173"/>
      <c r="M621" s="173"/>
    </row>
    <row r="622" spans="1:13" s="27" customFormat="1" x14ac:dyDescent="0.3">
      <c r="A622" s="173"/>
      <c r="E622" s="173"/>
      <c r="F622" s="173"/>
      <c r="G622" s="173"/>
      <c r="H622" s="173"/>
      <c r="I622" s="173"/>
      <c r="J622" s="173"/>
      <c r="K622" s="173"/>
      <c r="L622" s="173"/>
      <c r="M622" s="173"/>
    </row>
    <row r="623" spans="1:13" s="27" customFormat="1" x14ac:dyDescent="0.3">
      <c r="A623" s="173"/>
      <c r="E623" s="173"/>
      <c r="F623" s="173"/>
      <c r="G623" s="173"/>
      <c r="H623" s="173"/>
      <c r="I623" s="173"/>
      <c r="J623" s="173"/>
      <c r="K623" s="173"/>
      <c r="L623" s="173"/>
      <c r="M623" s="173"/>
    </row>
    <row r="624" spans="1:13" s="27" customFormat="1" x14ac:dyDescent="0.3">
      <c r="A624" s="173"/>
      <c r="E624" s="173"/>
      <c r="F624" s="173"/>
      <c r="G624" s="173"/>
      <c r="H624" s="173"/>
      <c r="I624" s="173"/>
      <c r="J624" s="173"/>
      <c r="K624" s="173"/>
      <c r="L624" s="173"/>
      <c r="M624" s="173"/>
    </row>
    <row r="625" spans="1:13" s="27" customFormat="1" x14ac:dyDescent="0.3">
      <c r="A625" s="173"/>
      <c r="E625" s="173"/>
      <c r="F625" s="173"/>
      <c r="G625" s="173"/>
      <c r="H625" s="173"/>
      <c r="I625" s="173"/>
      <c r="J625" s="173"/>
      <c r="K625" s="173"/>
      <c r="L625" s="173"/>
      <c r="M625" s="173"/>
    </row>
    <row r="626" spans="1:13" s="27" customFormat="1" x14ac:dyDescent="0.3">
      <c r="A626" s="173"/>
      <c r="E626" s="173"/>
      <c r="F626" s="173"/>
      <c r="G626" s="173"/>
      <c r="H626" s="173"/>
      <c r="I626" s="173"/>
      <c r="J626" s="173"/>
      <c r="K626" s="173"/>
      <c r="L626" s="173"/>
      <c r="M626" s="173"/>
    </row>
    <row r="627" spans="1:13" s="27" customFormat="1" x14ac:dyDescent="0.3">
      <c r="A627" s="173"/>
      <c r="E627" s="173"/>
      <c r="F627" s="173"/>
      <c r="G627" s="173"/>
      <c r="H627" s="173"/>
      <c r="I627" s="173"/>
      <c r="J627" s="173"/>
      <c r="K627" s="173"/>
      <c r="L627" s="173"/>
      <c r="M627" s="173"/>
    </row>
    <row r="628" spans="1:13" s="27" customFormat="1" x14ac:dyDescent="0.3">
      <c r="A628" s="173"/>
      <c r="E628" s="173"/>
      <c r="F628" s="173"/>
      <c r="G628" s="173"/>
      <c r="H628" s="173"/>
      <c r="I628" s="173"/>
      <c r="J628" s="173"/>
      <c r="K628" s="173"/>
      <c r="L628" s="173"/>
      <c r="M628" s="173"/>
    </row>
    <row r="629" spans="1:13" s="27" customFormat="1" x14ac:dyDescent="0.3">
      <c r="A629" s="173"/>
      <c r="E629" s="173"/>
      <c r="F629" s="173"/>
      <c r="G629" s="173"/>
      <c r="H629" s="173"/>
      <c r="I629" s="173"/>
      <c r="J629" s="173"/>
      <c r="K629" s="173"/>
      <c r="L629" s="173"/>
      <c r="M629" s="173"/>
    </row>
    <row r="630" spans="1:13" s="27" customFormat="1" x14ac:dyDescent="0.3">
      <c r="A630" s="173"/>
      <c r="E630" s="173"/>
      <c r="F630" s="173"/>
      <c r="G630" s="173"/>
      <c r="H630" s="173"/>
      <c r="I630" s="173"/>
      <c r="J630" s="173"/>
      <c r="K630" s="173"/>
      <c r="L630" s="173"/>
      <c r="M630" s="173"/>
    </row>
    <row r="631" spans="1:13" s="27" customFormat="1" x14ac:dyDescent="0.3">
      <c r="A631" s="173"/>
      <c r="E631" s="173"/>
      <c r="F631" s="173"/>
      <c r="G631" s="173"/>
      <c r="H631" s="173"/>
      <c r="I631" s="173"/>
      <c r="J631" s="173"/>
      <c r="K631" s="173"/>
      <c r="L631" s="173"/>
      <c r="M631" s="173"/>
    </row>
    <row r="632" spans="1:13" s="27" customFormat="1" x14ac:dyDescent="0.3">
      <c r="A632" s="173"/>
      <c r="E632" s="173"/>
      <c r="F632" s="173"/>
      <c r="G632" s="173"/>
      <c r="H632" s="173"/>
      <c r="I632" s="173"/>
      <c r="J632" s="173"/>
      <c r="K632" s="173"/>
      <c r="L632" s="173"/>
      <c r="M632" s="173"/>
    </row>
    <row r="633" spans="1:13" s="27" customFormat="1" x14ac:dyDescent="0.3">
      <c r="A633" s="173"/>
      <c r="E633" s="173"/>
      <c r="F633" s="173"/>
      <c r="G633" s="173"/>
      <c r="H633" s="173"/>
      <c r="I633" s="173"/>
      <c r="J633" s="173"/>
      <c r="K633" s="173"/>
      <c r="L633" s="173"/>
      <c r="M633" s="173"/>
    </row>
    <row r="634" spans="1:13" s="27" customFormat="1" x14ac:dyDescent="0.3">
      <c r="A634" s="173"/>
      <c r="E634" s="173"/>
      <c r="F634" s="173"/>
      <c r="G634" s="173"/>
      <c r="H634" s="173"/>
      <c r="I634" s="173"/>
      <c r="J634" s="173"/>
      <c r="K634" s="173"/>
      <c r="L634" s="173"/>
      <c r="M634" s="173"/>
    </row>
    <row r="635" spans="1:13" s="27" customFormat="1" x14ac:dyDescent="0.3">
      <c r="A635" s="173"/>
      <c r="E635" s="173"/>
      <c r="F635" s="173"/>
      <c r="G635" s="173"/>
      <c r="H635" s="173"/>
      <c r="I635" s="173"/>
      <c r="J635" s="173"/>
      <c r="K635" s="173"/>
      <c r="L635" s="173"/>
      <c r="M635" s="173"/>
    </row>
    <row r="636" spans="1:13" s="27" customFormat="1" x14ac:dyDescent="0.3">
      <c r="A636" s="173"/>
      <c r="E636" s="173"/>
      <c r="F636" s="173"/>
      <c r="G636" s="173"/>
      <c r="H636" s="173"/>
      <c r="I636" s="173"/>
      <c r="J636" s="173"/>
      <c r="K636" s="173"/>
      <c r="L636" s="173"/>
      <c r="M636" s="173"/>
    </row>
    <row r="637" spans="1:13" s="27" customFormat="1" x14ac:dyDescent="0.3">
      <c r="A637" s="173"/>
      <c r="E637" s="173"/>
      <c r="F637" s="173"/>
      <c r="G637" s="173"/>
      <c r="H637" s="173"/>
      <c r="I637" s="173"/>
      <c r="J637" s="173"/>
      <c r="K637" s="173"/>
      <c r="L637" s="173"/>
      <c r="M637" s="173"/>
    </row>
    <row r="638" spans="1:13" s="27" customFormat="1" x14ac:dyDescent="0.3">
      <c r="A638" s="173"/>
      <c r="E638" s="173"/>
      <c r="F638" s="173"/>
      <c r="G638" s="173"/>
      <c r="H638" s="173"/>
      <c r="I638" s="173"/>
      <c r="J638" s="173"/>
      <c r="K638" s="173"/>
      <c r="L638" s="173"/>
      <c r="M638" s="173"/>
    </row>
    <row r="639" spans="1:13" s="27" customFormat="1" x14ac:dyDescent="0.3">
      <c r="A639" s="173"/>
      <c r="E639" s="173"/>
      <c r="F639" s="173"/>
      <c r="G639" s="173"/>
      <c r="H639" s="173"/>
      <c r="I639" s="173"/>
      <c r="J639" s="173"/>
      <c r="K639" s="173"/>
      <c r="L639" s="173"/>
      <c r="M639" s="173"/>
    </row>
    <row r="640" spans="1:13" s="27" customFormat="1" x14ac:dyDescent="0.3">
      <c r="A640" s="173"/>
      <c r="E640" s="173"/>
      <c r="F640" s="173"/>
      <c r="G640" s="173"/>
      <c r="H640" s="173"/>
      <c r="I640" s="173"/>
      <c r="J640" s="173"/>
      <c r="K640" s="173"/>
      <c r="L640" s="173"/>
      <c r="M640" s="173"/>
    </row>
    <row r="641" spans="1:13" s="27" customFormat="1" x14ac:dyDescent="0.3">
      <c r="A641" s="173"/>
      <c r="E641" s="173"/>
      <c r="F641" s="173"/>
      <c r="G641" s="173"/>
      <c r="H641" s="173"/>
      <c r="I641" s="173"/>
      <c r="J641" s="173"/>
      <c r="K641" s="173"/>
      <c r="L641" s="173"/>
      <c r="M641" s="173"/>
    </row>
    <row r="642" spans="1:13" s="27" customFormat="1" x14ac:dyDescent="0.3">
      <c r="A642" s="173"/>
      <c r="E642" s="173"/>
      <c r="F642" s="173"/>
      <c r="G642" s="173"/>
      <c r="H642" s="173"/>
      <c r="I642" s="173"/>
      <c r="J642" s="173"/>
      <c r="K642" s="173"/>
      <c r="L642" s="173"/>
      <c r="M642" s="173"/>
    </row>
    <row r="643" spans="1:13" s="27" customFormat="1" x14ac:dyDescent="0.3">
      <c r="A643" s="173"/>
      <c r="E643" s="173"/>
      <c r="F643" s="173"/>
      <c r="G643" s="173"/>
      <c r="H643" s="173"/>
      <c r="I643" s="173"/>
      <c r="J643" s="173"/>
      <c r="K643" s="173"/>
      <c r="L643" s="173"/>
      <c r="M643" s="173"/>
    </row>
    <row r="644" spans="1:13" s="27" customFormat="1" x14ac:dyDescent="0.3">
      <c r="A644" s="173"/>
      <c r="E644" s="173"/>
      <c r="F644" s="173"/>
      <c r="G644" s="173"/>
      <c r="H644" s="173"/>
      <c r="I644" s="173"/>
      <c r="J644" s="173"/>
      <c r="K644" s="173"/>
      <c r="L644" s="173"/>
      <c r="M644" s="173"/>
    </row>
    <row r="645" spans="1:13" s="27" customFormat="1" x14ac:dyDescent="0.3">
      <c r="A645" s="173"/>
      <c r="E645" s="173"/>
      <c r="F645" s="173"/>
      <c r="G645" s="173"/>
      <c r="H645" s="173"/>
      <c r="I645" s="173"/>
      <c r="J645" s="173"/>
      <c r="K645" s="173"/>
      <c r="L645" s="173"/>
      <c r="M645" s="173"/>
    </row>
    <row r="646" spans="1:13" s="27" customFormat="1" x14ac:dyDescent="0.3">
      <c r="A646" s="173"/>
      <c r="E646" s="173"/>
      <c r="F646" s="173"/>
      <c r="G646" s="173"/>
      <c r="H646" s="173"/>
      <c r="I646" s="173"/>
      <c r="J646" s="173"/>
      <c r="K646" s="173"/>
      <c r="L646" s="173"/>
      <c r="M646" s="173"/>
    </row>
    <row r="647" spans="1:13" s="27" customFormat="1" x14ac:dyDescent="0.3">
      <c r="A647" s="173"/>
      <c r="E647" s="173"/>
      <c r="F647" s="173"/>
      <c r="G647" s="173"/>
      <c r="H647" s="173"/>
      <c r="I647" s="173"/>
      <c r="J647" s="173"/>
      <c r="K647" s="173"/>
      <c r="L647" s="173"/>
      <c r="M647" s="173"/>
    </row>
    <row r="648" spans="1:13" s="27" customFormat="1" x14ac:dyDescent="0.3">
      <c r="A648" s="173"/>
      <c r="E648" s="173"/>
      <c r="F648" s="173"/>
      <c r="G648" s="173"/>
      <c r="H648" s="173"/>
      <c r="I648" s="173"/>
      <c r="J648" s="173"/>
      <c r="K648" s="173"/>
      <c r="L648" s="173"/>
      <c r="M648" s="173"/>
    </row>
    <row r="649" spans="1:13" s="27" customFormat="1" x14ac:dyDescent="0.3">
      <c r="A649" s="173"/>
      <c r="E649" s="173"/>
      <c r="F649" s="173"/>
      <c r="G649" s="173"/>
      <c r="H649" s="173"/>
      <c r="I649" s="173"/>
      <c r="J649" s="173"/>
      <c r="K649" s="173"/>
      <c r="L649" s="173"/>
      <c r="M649" s="173"/>
    </row>
    <row r="650" spans="1:13" s="27" customFormat="1" x14ac:dyDescent="0.3">
      <c r="A650" s="173"/>
      <c r="E650" s="173"/>
      <c r="F650" s="173"/>
      <c r="G650" s="173"/>
      <c r="H650" s="173"/>
      <c r="I650" s="173"/>
      <c r="J650" s="173"/>
      <c r="K650" s="173"/>
      <c r="L650" s="173"/>
      <c r="M650" s="173"/>
    </row>
    <row r="651" spans="1:13" s="27" customFormat="1" x14ac:dyDescent="0.3">
      <c r="A651" s="173"/>
      <c r="E651" s="173"/>
      <c r="F651" s="173"/>
      <c r="G651" s="173"/>
      <c r="H651" s="173"/>
      <c r="I651" s="173"/>
      <c r="J651" s="173"/>
      <c r="K651" s="173"/>
      <c r="L651" s="173"/>
      <c r="M651" s="173"/>
    </row>
    <row r="652" spans="1:13" s="27" customFormat="1" x14ac:dyDescent="0.3">
      <c r="A652" s="173"/>
      <c r="E652" s="173"/>
      <c r="F652" s="173"/>
      <c r="G652" s="173"/>
      <c r="H652" s="173"/>
      <c r="I652" s="173"/>
      <c r="J652" s="173"/>
      <c r="K652" s="173"/>
      <c r="L652" s="173"/>
      <c r="M652" s="173"/>
    </row>
    <row r="653" spans="1:13" s="27" customFormat="1" x14ac:dyDescent="0.3">
      <c r="A653" s="173"/>
      <c r="E653" s="173"/>
      <c r="F653" s="173"/>
      <c r="G653" s="173"/>
      <c r="H653" s="173"/>
      <c r="I653" s="173"/>
      <c r="J653" s="173"/>
      <c r="K653" s="173"/>
      <c r="L653" s="173"/>
      <c r="M653" s="173"/>
    </row>
    <row r="654" spans="1:13" s="27" customFormat="1" x14ac:dyDescent="0.3">
      <c r="A654" s="173"/>
      <c r="E654" s="173"/>
      <c r="F654" s="173"/>
      <c r="G654" s="173"/>
      <c r="H654" s="173"/>
      <c r="I654" s="173"/>
      <c r="J654" s="173"/>
      <c r="K654" s="173"/>
      <c r="L654" s="173"/>
      <c r="M654" s="173"/>
    </row>
    <row r="655" spans="1:13" s="27" customFormat="1" x14ac:dyDescent="0.3">
      <c r="A655" s="173"/>
      <c r="E655" s="173"/>
      <c r="F655" s="173"/>
      <c r="G655" s="173"/>
      <c r="H655" s="173"/>
      <c r="I655" s="173"/>
      <c r="J655" s="173"/>
      <c r="K655" s="173"/>
      <c r="L655" s="173"/>
      <c r="M655" s="173"/>
    </row>
    <row r="656" spans="1:13" s="27" customFormat="1" x14ac:dyDescent="0.3">
      <c r="A656" s="173"/>
      <c r="E656" s="173"/>
      <c r="F656" s="173"/>
      <c r="G656" s="173"/>
      <c r="H656" s="173"/>
      <c r="I656" s="173"/>
      <c r="J656" s="173"/>
      <c r="K656" s="173"/>
      <c r="L656" s="173"/>
      <c r="M656" s="173"/>
    </row>
    <row r="657" spans="1:13" s="27" customFormat="1" x14ac:dyDescent="0.3">
      <c r="A657" s="173"/>
      <c r="E657" s="173"/>
      <c r="F657" s="173"/>
      <c r="G657" s="173"/>
      <c r="H657" s="173"/>
      <c r="I657" s="173"/>
      <c r="J657" s="173"/>
      <c r="K657" s="173"/>
      <c r="L657" s="173"/>
      <c r="M657" s="173"/>
    </row>
    <row r="658" spans="1:13" s="27" customFormat="1" x14ac:dyDescent="0.3">
      <c r="A658" s="173"/>
      <c r="E658" s="173"/>
      <c r="F658" s="173"/>
      <c r="G658" s="173"/>
      <c r="H658" s="173"/>
      <c r="I658" s="173"/>
      <c r="J658" s="173"/>
      <c r="K658" s="173"/>
      <c r="L658" s="173"/>
      <c r="M658" s="173"/>
    </row>
    <row r="659" spans="1:13" s="27" customFormat="1" x14ac:dyDescent="0.3">
      <c r="A659" s="173"/>
      <c r="E659" s="173"/>
      <c r="F659" s="173"/>
      <c r="G659" s="173"/>
      <c r="H659" s="173"/>
      <c r="I659" s="173"/>
      <c r="J659" s="173"/>
      <c r="K659" s="173"/>
      <c r="L659" s="173"/>
      <c r="M659" s="173"/>
    </row>
    <row r="660" spans="1:13" s="27" customFormat="1" x14ac:dyDescent="0.3">
      <c r="A660" s="173"/>
      <c r="E660" s="173"/>
      <c r="F660" s="173"/>
      <c r="G660" s="173"/>
      <c r="H660" s="173"/>
      <c r="I660" s="173"/>
      <c r="J660" s="173"/>
      <c r="K660" s="173"/>
      <c r="L660" s="173"/>
      <c r="M660" s="173"/>
    </row>
    <row r="661" spans="1:13" s="27" customFormat="1" x14ac:dyDescent="0.3">
      <c r="A661" s="173"/>
      <c r="E661" s="173"/>
      <c r="F661" s="173"/>
      <c r="G661" s="173"/>
      <c r="H661" s="173"/>
      <c r="I661" s="173"/>
      <c r="J661" s="173"/>
      <c r="K661" s="173"/>
      <c r="L661" s="173"/>
      <c r="M661" s="173"/>
    </row>
    <row r="662" spans="1:13" s="27" customFormat="1" x14ac:dyDescent="0.3">
      <c r="A662" s="173"/>
      <c r="E662" s="173"/>
      <c r="F662" s="173"/>
      <c r="G662" s="173"/>
      <c r="H662" s="173"/>
      <c r="I662" s="173"/>
      <c r="J662" s="173"/>
      <c r="K662" s="173"/>
      <c r="L662" s="173"/>
      <c r="M662" s="173"/>
    </row>
    <row r="663" spans="1:13" s="27" customFormat="1" x14ac:dyDescent="0.3">
      <c r="A663" s="173"/>
      <c r="E663" s="173"/>
      <c r="F663" s="173"/>
      <c r="G663" s="173"/>
      <c r="H663" s="173"/>
      <c r="I663" s="173"/>
      <c r="J663" s="173"/>
      <c r="K663" s="173"/>
      <c r="L663" s="173"/>
      <c r="M663" s="173"/>
    </row>
    <row r="664" spans="1:13" s="27" customFormat="1" x14ac:dyDescent="0.3">
      <c r="A664" s="173"/>
      <c r="E664" s="173"/>
      <c r="F664" s="173"/>
      <c r="G664" s="173"/>
      <c r="H664" s="173"/>
      <c r="I664" s="173"/>
      <c r="J664" s="173"/>
      <c r="K664" s="173"/>
      <c r="L664" s="173"/>
      <c r="M664" s="173"/>
    </row>
    <row r="665" spans="1:13" s="27" customFormat="1" x14ac:dyDescent="0.3">
      <c r="A665" s="173"/>
      <c r="E665" s="173"/>
      <c r="F665" s="173"/>
      <c r="G665" s="173"/>
      <c r="H665" s="173"/>
      <c r="I665" s="173"/>
      <c r="J665" s="173"/>
      <c r="K665" s="173"/>
      <c r="L665" s="173"/>
      <c r="M665" s="173"/>
    </row>
    <row r="666" spans="1:13" s="27" customFormat="1" x14ac:dyDescent="0.3">
      <c r="A666" s="173"/>
      <c r="E666" s="173"/>
      <c r="F666" s="173"/>
      <c r="G666" s="173"/>
      <c r="H666" s="173"/>
      <c r="I666" s="173"/>
      <c r="J666" s="173"/>
      <c r="K666" s="173"/>
      <c r="L666" s="173"/>
      <c r="M666" s="173"/>
    </row>
    <row r="667" spans="1:13" s="27" customFormat="1" x14ac:dyDescent="0.3">
      <c r="A667" s="173"/>
      <c r="E667" s="173"/>
      <c r="F667" s="173"/>
      <c r="G667" s="173"/>
      <c r="H667" s="173"/>
      <c r="I667" s="173"/>
      <c r="J667" s="173"/>
      <c r="K667" s="173"/>
      <c r="L667" s="173"/>
      <c r="M667" s="173"/>
    </row>
    <row r="668" spans="1:13" s="27" customFormat="1" x14ac:dyDescent="0.3">
      <c r="A668" s="173"/>
      <c r="E668" s="173"/>
      <c r="F668" s="173"/>
      <c r="G668" s="173"/>
      <c r="H668" s="173"/>
      <c r="I668" s="173"/>
      <c r="J668" s="173"/>
      <c r="K668" s="173"/>
      <c r="L668" s="173"/>
      <c r="M668" s="173"/>
    </row>
    <row r="669" spans="1:13" s="27" customFormat="1" x14ac:dyDescent="0.3">
      <c r="A669" s="173"/>
      <c r="E669" s="173"/>
      <c r="F669" s="173"/>
      <c r="G669" s="173"/>
      <c r="H669" s="173"/>
      <c r="I669" s="173"/>
      <c r="J669" s="173"/>
      <c r="K669" s="173"/>
      <c r="L669" s="173"/>
      <c r="M669" s="173"/>
    </row>
    <row r="670" spans="1:13" s="27" customFormat="1" x14ac:dyDescent="0.3">
      <c r="A670" s="173"/>
      <c r="E670" s="173"/>
      <c r="F670" s="173"/>
      <c r="G670" s="173"/>
      <c r="H670" s="173"/>
      <c r="I670" s="173"/>
      <c r="J670" s="173"/>
      <c r="K670" s="173"/>
      <c r="L670" s="173"/>
      <c r="M670" s="173"/>
    </row>
    <row r="671" spans="1:13" s="27" customFormat="1" x14ac:dyDescent="0.3">
      <c r="A671" s="173"/>
      <c r="E671" s="173"/>
      <c r="F671" s="173"/>
      <c r="G671" s="173"/>
      <c r="H671" s="173"/>
      <c r="I671" s="173"/>
      <c r="J671" s="173"/>
      <c r="K671" s="173"/>
      <c r="L671" s="173"/>
      <c r="M671" s="173"/>
    </row>
    <row r="672" spans="1:13" s="27" customFormat="1" x14ac:dyDescent="0.3">
      <c r="A672" s="173"/>
      <c r="E672" s="173"/>
      <c r="F672" s="173"/>
      <c r="G672" s="173"/>
      <c r="H672" s="173"/>
      <c r="I672" s="173"/>
      <c r="J672" s="173"/>
      <c r="K672" s="173"/>
      <c r="L672" s="173"/>
      <c r="M672" s="173"/>
    </row>
    <row r="673" spans="1:13" s="27" customFormat="1" x14ac:dyDescent="0.3">
      <c r="A673" s="173"/>
      <c r="E673" s="173"/>
      <c r="F673" s="173"/>
      <c r="G673" s="173"/>
      <c r="H673" s="173"/>
      <c r="I673" s="173"/>
      <c r="J673" s="173"/>
      <c r="K673" s="173"/>
      <c r="L673" s="173"/>
      <c r="M673" s="173"/>
    </row>
    <row r="674" spans="1:13" s="27" customFormat="1" x14ac:dyDescent="0.3">
      <c r="A674" s="173"/>
      <c r="E674" s="173"/>
      <c r="F674" s="173"/>
      <c r="G674" s="173"/>
      <c r="H674" s="173"/>
      <c r="I674" s="173"/>
      <c r="J674" s="173"/>
      <c r="K674" s="173"/>
      <c r="L674" s="173"/>
      <c r="M674" s="173"/>
    </row>
    <row r="675" spans="1:13" s="27" customFormat="1" x14ac:dyDescent="0.3">
      <c r="A675" s="173"/>
      <c r="E675" s="173"/>
      <c r="F675" s="173"/>
      <c r="G675" s="173"/>
      <c r="H675" s="173"/>
      <c r="I675" s="173"/>
      <c r="J675" s="173"/>
      <c r="K675" s="173"/>
      <c r="L675" s="173"/>
      <c r="M675" s="173"/>
    </row>
    <row r="676" spans="1:13" s="27" customFormat="1" x14ac:dyDescent="0.3">
      <c r="A676" s="173"/>
      <c r="E676" s="173"/>
      <c r="F676" s="173"/>
      <c r="G676" s="173"/>
      <c r="H676" s="173"/>
      <c r="I676" s="173"/>
      <c r="J676" s="173"/>
      <c r="K676" s="173"/>
      <c r="L676" s="173"/>
      <c r="M676" s="173"/>
    </row>
    <row r="677" spans="1:13" s="27" customFormat="1" x14ac:dyDescent="0.3">
      <c r="A677" s="173"/>
      <c r="E677" s="173"/>
      <c r="F677" s="173"/>
      <c r="G677" s="173"/>
      <c r="H677" s="173"/>
      <c r="I677" s="173"/>
      <c r="J677" s="173"/>
      <c r="K677" s="173"/>
      <c r="L677" s="173"/>
      <c r="M677" s="173"/>
    </row>
    <row r="678" spans="1:13" s="27" customFormat="1" x14ac:dyDescent="0.3">
      <c r="A678" s="173"/>
      <c r="E678" s="173"/>
      <c r="F678" s="173"/>
      <c r="G678" s="173"/>
      <c r="H678" s="173"/>
      <c r="I678" s="173"/>
      <c r="J678" s="173"/>
      <c r="K678" s="173"/>
      <c r="L678" s="173"/>
      <c r="M678" s="173"/>
    </row>
    <row r="679" spans="1:13" s="27" customFormat="1" x14ac:dyDescent="0.3">
      <c r="A679" s="173"/>
      <c r="E679" s="173"/>
      <c r="F679" s="173"/>
      <c r="G679" s="173"/>
      <c r="H679" s="173"/>
      <c r="I679" s="173"/>
      <c r="J679" s="173"/>
      <c r="K679" s="173"/>
      <c r="L679" s="173"/>
      <c r="M679" s="173"/>
    </row>
    <row r="680" spans="1:13" s="27" customFormat="1" x14ac:dyDescent="0.3">
      <c r="A680" s="173"/>
      <c r="E680" s="173"/>
      <c r="F680" s="173"/>
      <c r="G680" s="173"/>
      <c r="H680" s="173"/>
      <c r="I680" s="173"/>
      <c r="J680" s="173"/>
      <c r="K680" s="173"/>
      <c r="L680" s="173"/>
      <c r="M680" s="173"/>
    </row>
    <row r="681" spans="1:13" s="27" customFormat="1" x14ac:dyDescent="0.3">
      <c r="A681" s="173"/>
      <c r="E681" s="173"/>
      <c r="F681" s="173"/>
      <c r="G681" s="173"/>
      <c r="H681" s="173"/>
      <c r="I681" s="173"/>
      <c r="J681" s="173"/>
      <c r="K681" s="173"/>
      <c r="L681" s="173"/>
      <c r="M681" s="173"/>
    </row>
    <row r="682" spans="1:13" s="27" customFormat="1" x14ac:dyDescent="0.3">
      <c r="A682" s="173"/>
      <c r="E682" s="173"/>
      <c r="F682" s="173"/>
      <c r="G682" s="173"/>
      <c r="H682" s="173"/>
      <c r="I682" s="173"/>
      <c r="J682" s="173"/>
      <c r="K682" s="173"/>
      <c r="L682" s="173"/>
      <c r="M682" s="173"/>
    </row>
    <row r="683" spans="1:13" s="27" customFormat="1" x14ac:dyDescent="0.3">
      <c r="A683" s="173"/>
      <c r="E683" s="173"/>
      <c r="F683" s="173"/>
      <c r="G683" s="173"/>
      <c r="H683" s="173"/>
      <c r="I683" s="173"/>
      <c r="J683" s="173"/>
      <c r="K683" s="173"/>
      <c r="L683" s="173"/>
      <c r="M683" s="173"/>
    </row>
    <row r="684" spans="1:13" s="27" customFormat="1" x14ac:dyDescent="0.3">
      <c r="A684" s="173"/>
      <c r="E684" s="173"/>
      <c r="F684" s="173"/>
      <c r="G684" s="173"/>
      <c r="H684" s="173"/>
      <c r="I684" s="173"/>
      <c r="J684" s="173"/>
      <c r="K684" s="173"/>
      <c r="L684" s="173"/>
      <c r="M684" s="173"/>
    </row>
    <row r="685" spans="1:13" s="27" customFormat="1" x14ac:dyDescent="0.3">
      <c r="A685" s="173"/>
      <c r="E685" s="173"/>
      <c r="F685" s="173"/>
      <c r="G685" s="173"/>
      <c r="H685" s="173"/>
      <c r="I685" s="173"/>
      <c r="J685" s="173"/>
      <c r="K685" s="173"/>
      <c r="L685" s="173"/>
      <c r="M685" s="173"/>
    </row>
    <row r="686" spans="1:13" s="27" customFormat="1" x14ac:dyDescent="0.3">
      <c r="A686" s="173"/>
      <c r="E686" s="173"/>
      <c r="F686" s="173"/>
      <c r="G686" s="173"/>
      <c r="H686" s="173"/>
      <c r="I686" s="173"/>
      <c r="J686" s="173"/>
      <c r="K686" s="173"/>
      <c r="L686" s="173"/>
      <c r="M686" s="173"/>
    </row>
    <row r="687" spans="1:13" s="27" customFormat="1" x14ac:dyDescent="0.3">
      <c r="A687" s="173"/>
      <c r="E687" s="173"/>
      <c r="F687" s="173"/>
      <c r="G687" s="173"/>
      <c r="H687" s="173"/>
      <c r="I687" s="173"/>
      <c r="J687" s="173"/>
      <c r="K687" s="173"/>
      <c r="L687" s="173"/>
      <c r="M687" s="173"/>
    </row>
    <row r="688" spans="1:13" s="27" customFormat="1" x14ac:dyDescent="0.3">
      <c r="A688" s="173"/>
      <c r="E688" s="173"/>
      <c r="F688" s="173"/>
      <c r="G688" s="173"/>
      <c r="H688" s="173"/>
      <c r="I688" s="173"/>
      <c r="J688" s="173"/>
      <c r="K688" s="173"/>
      <c r="L688" s="173"/>
      <c r="M688" s="173"/>
    </row>
    <row r="689" spans="1:13" s="27" customFormat="1" x14ac:dyDescent="0.3">
      <c r="A689" s="173"/>
      <c r="E689" s="173"/>
      <c r="F689" s="173"/>
      <c r="G689" s="173"/>
      <c r="H689" s="173"/>
      <c r="I689" s="173"/>
      <c r="J689" s="173"/>
      <c r="K689" s="173"/>
      <c r="L689" s="173"/>
      <c r="M689" s="173"/>
    </row>
    <row r="690" spans="1:13" s="27" customFormat="1" x14ac:dyDescent="0.3">
      <c r="A690" s="173"/>
      <c r="E690" s="173"/>
      <c r="F690" s="173"/>
      <c r="G690" s="173"/>
      <c r="H690" s="173"/>
      <c r="I690" s="173"/>
      <c r="J690" s="173"/>
      <c r="K690" s="173"/>
      <c r="L690" s="173"/>
      <c r="M690" s="173"/>
    </row>
    <row r="691" spans="1:13" s="27" customFormat="1" x14ac:dyDescent="0.3">
      <c r="A691" s="173"/>
      <c r="E691" s="173"/>
      <c r="F691" s="173"/>
      <c r="G691" s="173"/>
      <c r="H691" s="173"/>
      <c r="I691" s="173"/>
      <c r="J691" s="173"/>
      <c r="K691" s="173"/>
      <c r="L691" s="173"/>
      <c r="M691" s="173"/>
    </row>
    <row r="692" spans="1:13" s="27" customFormat="1" x14ac:dyDescent="0.3">
      <c r="A692" s="173"/>
      <c r="E692" s="173"/>
      <c r="F692" s="173"/>
      <c r="G692" s="173"/>
      <c r="H692" s="173"/>
      <c r="I692" s="173"/>
      <c r="J692" s="173"/>
      <c r="K692" s="173"/>
      <c r="L692" s="173"/>
      <c r="M692" s="173"/>
    </row>
    <row r="693" spans="1:13" s="27" customFormat="1" x14ac:dyDescent="0.3">
      <c r="A693" s="173"/>
      <c r="E693" s="173"/>
      <c r="F693" s="173"/>
      <c r="G693" s="173"/>
      <c r="H693" s="173"/>
      <c r="I693" s="173"/>
      <c r="J693" s="173"/>
      <c r="K693" s="173"/>
      <c r="L693" s="173"/>
      <c r="M693" s="173"/>
    </row>
    <row r="694" spans="1:13" s="27" customFormat="1" x14ac:dyDescent="0.3">
      <c r="A694" s="173"/>
      <c r="E694" s="173"/>
      <c r="F694" s="173"/>
      <c r="G694" s="173"/>
      <c r="H694" s="173"/>
      <c r="I694" s="173"/>
      <c r="J694" s="173"/>
      <c r="K694" s="173"/>
      <c r="L694" s="173"/>
      <c r="M694" s="173"/>
    </row>
    <row r="695" spans="1:13" s="27" customFormat="1" x14ac:dyDescent="0.3">
      <c r="A695" s="173"/>
      <c r="E695" s="173"/>
      <c r="F695" s="173"/>
      <c r="G695" s="173"/>
      <c r="H695" s="173"/>
      <c r="I695" s="173"/>
      <c r="J695" s="173"/>
      <c r="K695" s="173"/>
      <c r="L695" s="173"/>
      <c r="M695" s="173"/>
    </row>
    <row r="696" spans="1:13" s="27" customFormat="1" x14ac:dyDescent="0.3">
      <c r="A696" s="173"/>
      <c r="E696" s="173"/>
      <c r="F696" s="173"/>
      <c r="G696" s="173"/>
      <c r="H696" s="173"/>
      <c r="I696" s="173"/>
      <c r="J696" s="173"/>
      <c r="K696" s="173"/>
      <c r="L696" s="173"/>
      <c r="M696" s="173"/>
    </row>
    <row r="697" spans="1:13" s="27" customFormat="1" x14ac:dyDescent="0.3">
      <c r="A697" s="173"/>
      <c r="E697" s="173"/>
      <c r="F697" s="173"/>
      <c r="G697" s="173"/>
      <c r="H697" s="173"/>
      <c r="I697" s="173"/>
      <c r="J697" s="173"/>
      <c r="K697" s="173"/>
      <c r="L697" s="173"/>
      <c r="M697" s="173"/>
    </row>
    <row r="698" spans="1:13" s="27" customFormat="1" x14ac:dyDescent="0.3">
      <c r="A698" s="173"/>
      <c r="E698" s="173"/>
      <c r="F698" s="173"/>
      <c r="G698" s="173"/>
      <c r="H698" s="173"/>
      <c r="I698" s="173"/>
      <c r="J698" s="173"/>
      <c r="K698" s="173"/>
      <c r="L698" s="173"/>
      <c r="M698" s="173"/>
    </row>
    <row r="699" spans="1:13" s="27" customFormat="1" x14ac:dyDescent="0.3">
      <c r="A699" s="173"/>
      <c r="E699" s="173"/>
      <c r="F699" s="173"/>
      <c r="G699" s="173"/>
      <c r="H699" s="173"/>
      <c r="I699" s="173"/>
      <c r="J699" s="173"/>
      <c r="K699" s="173"/>
      <c r="L699" s="173"/>
      <c r="M699" s="173"/>
    </row>
    <row r="700" spans="1:13" s="27" customFormat="1" x14ac:dyDescent="0.3">
      <c r="A700" s="173"/>
      <c r="E700" s="173"/>
      <c r="F700" s="173"/>
      <c r="G700" s="173"/>
      <c r="H700" s="173"/>
      <c r="I700" s="173"/>
      <c r="J700" s="173"/>
      <c r="K700" s="173"/>
      <c r="L700" s="173"/>
      <c r="M700" s="173"/>
    </row>
    <row r="701" spans="1:13" s="27" customFormat="1" x14ac:dyDescent="0.3">
      <c r="A701" s="173"/>
      <c r="E701" s="173"/>
      <c r="F701" s="173"/>
      <c r="G701" s="173"/>
      <c r="H701" s="173"/>
      <c r="I701" s="173"/>
      <c r="J701" s="173"/>
      <c r="K701" s="173"/>
      <c r="L701" s="173"/>
      <c r="M701" s="173"/>
    </row>
    <row r="702" spans="1:13" s="27" customFormat="1" x14ac:dyDescent="0.3">
      <c r="A702" s="173"/>
      <c r="E702" s="173"/>
      <c r="F702" s="173"/>
      <c r="G702" s="173"/>
      <c r="H702" s="173"/>
      <c r="I702" s="173"/>
      <c r="J702" s="173"/>
      <c r="K702" s="173"/>
      <c r="L702" s="173"/>
      <c r="M702" s="173"/>
    </row>
    <row r="703" spans="1:13" s="27" customFormat="1" x14ac:dyDescent="0.3">
      <c r="A703" s="173"/>
      <c r="E703" s="173"/>
      <c r="F703" s="173"/>
      <c r="G703" s="173"/>
      <c r="H703" s="173"/>
      <c r="I703" s="173"/>
      <c r="J703" s="173"/>
      <c r="K703" s="173"/>
      <c r="L703" s="173"/>
      <c r="M703" s="173"/>
    </row>
    <row r="704" spans="1:13" s="27" customFormat="1" x14ac:dyDescent="0.3">
      <c r="A704" s="173"/>
      <c r="E704" s="173"/>
      <c r="F704" s="173"/>
      <c r="G704" s="173"/>
      <c r="H704" s="173"/>
      <c r="I704" s="173"/>
      <c r="J704" s="173"/>
      <c r="K704" s="173"/>
      <c r="L704" s="173"/>
      <c r="M704" s="173"/>
    </row>
    <row r="705" spans="1:13" s="27" customFormat="1" x14ac:dyDescent="0.3">
      <c r="A705" s="173"/>
      <c r="E705" s="173"/>
      <c r="F705" s="173"/>
      <c r="G705" s="173"/>
      <c r="H705" s="173"/>
      <c r="I705" s="173"/>
      <c r="J705" s="173"/>
      <c r="K705" s="173"/>
      <c r="L705" s="173"/>
      <c r="M705" s="173"/>
    </row>
    <row r="706" spans="1:13" s="27" customFormat="1" x14ac:dyDescent="0.3">
      <c r="A706" s="173"/>
      <c r="E706" s="173"/>
      <c r="F706" s="173"/>
      <c r="G706" s="173"/>
      <c r="H706" s="173"/>
      <c r="I706" s="173"/>
      <c r="J706" s="173"/>
      <c r="K706" s="173"/>
      <c r="L706" s="173"/>
      <c r="M706" s="173"/>
    </row>
    <row r="707" spans="1:13" s="27" customFormat="1" x14ac:dyDescent="0.3">
      <c r="A707" s="173"/>
      <c r="E707" s="173"/>
      <c r="F707" s="173"/>
      <c r="G707" s="173"/>
      <c r="H707" s="173"/>
      <c r="I707" s="173"/>
      <c r="J707" s="173"/>
      <c r="K707" s="173"/>
      <c r="L707" s="173"/>
      <c r="M707" s="173"/>
    </row>
    <row r="708" spans="1:13" s="27" customFormat="1" x14ac:dyDescent="0.3">
      <c r="A708" s="173"/>
      <c r="E708" s="173"/>
      <c r="F708" s="173"/>
      <c r="G708" s="173"/>
      <c r="H708" s="173"/>
      <c r="I708" s="173"/>
      <c r="J708" s="173"/>
      <c r="K708" s="173"/>
      <c r="L708" s="173"/>
      <c r="M708" s="173"/>
    </row>
    <row r="709" spans="1:13" s="27" customFormat="1" x14ac:dyDescent="0.3">
      <c r="A709" s="173"/>
      <c r="E709" s="173"/>
      <c r="F709" s="173"/>
      <c r="G709" s="173"/>
      <c r="H709" s="173"/>
      <c r="I709" s="173"/>
      <c r="J709" s="173"/>
      <c r="K709" s="173"/>
      <c r="L709" s="173"/>
      <c r="M709" s="173"/>
    </row>
    <row r="710" spans="1:13" s="27" customFormat="1" x14ac:dyDescent="0.3">
      <c r="A710" s="173"/>
      <c r="E710" s="173"/>
      <c r="F710" s="173"/>
      <c r="G710" s="173"/>
      <c r="H710" s="173"/>
      <c r="I710" s="173"/>
      <c r="J710" s="173"/>
      <c r="K710" s="173"/>
      <c r="L710" s="173"/>
      <c r="M710" s="173"/>
    </row>
    <row r="711" spans="1:13" s="27" customFormat="1" x14ac:dyDescent="0.3">
      <c r="A711" s="173"/>
      <c r="E711" s="173"/>
      <c r="F711" s="173"/>
      <c r="G711" s="173"/>
      <c r="H711" s="173"/>
      <c r="I711" s="173"/>
      <c r="J711" s="173"/>
      <c r="K711" s="173"/>
      <c r="L711" s="173"/>
      <c r="M711" s="173"/>
    </row>
    <row r="712" spans="1:13" s="27" customFormat="1" x14ac:dyDescent="0.3">
      <c r="A712" s="173"/>
      <c r="E712" s="173"/>
      <c r="F712" s="173"/>
      <c r="G712" s="173"/>
      <c r="H712" s="173"/>
      <c r="I712" s="173"/>
      <c r="J712" s="173"/>
      <c r="K712" s="173"/>
      <c r="L712" s="173"/>
      <c r="M712" s="173"/>
    </row>
    <row r="713" spans="1:13" s="27" customFormat="1" x14ac:dyDescent="0.3">
      <c r="A713" s="173"/>
      <c r="E713" s="173"/>
      <c r="F713" s="173"/>
      <c r="G713" s="173"/>
      <c r="H713" s="173"/>
      <c r="I713" s="173"/>
      <c r="J713" s="173"/>
      <c r="K713" s="173"/>
      <c r="L713" s="173"/>
      <c r="M713" s="173"/>
    </row>
    <row r="714" spans="1:13" s="27" customFormat="1" x14ac:dyDescent="0.3">
      <c r="A714" s="173"/>
      <c r="E714" s="173"/>
      <c r="F714" s="173"/>
      <c r="G714" s="173"/>
      <c r="H714" s="173"/>
      <c r="I714" s="173"/>
      <c r="J714" s="173"/>
      <c r="K714" s="173"/>
      <c r="L714" s="173"/>
      <c r="M714" s="173"/>
    </row>
    <row r="715" spans="1:13" s="27" customFormat="1" x14ac:dyDescent="0.3">
      <c r="A715" s="173"/>
      <c r="E715" s="173"/>
      <c r="F715" s="173"/>
      <c r="G715" s="173"/>
      <c r="H715" s="173"/>
      <c r="I715" s="173"/>
      <c r="J715" s="173"/>
      <c r="K715" s="173"/>
      <c r="L715" s="173"/>
      <c r="M715" s="173"/>
    </row>
    <row r="716" spans="1:13" s="27" customFormat="1" x14ac:dyDescent="0.3">
      <c r="A716" s="173"/>
      <c r="E716" s="173"/>
      <c r="F716" s="173"/>
      <c r="G716" s="173"/>
      <c r="H716" s="173"/>
      <c r="I716" s="173"/>
      <c r="J716" s="173"/>
      <c r="K716" s="173"/>
      <c r="L716" s="173"/>
      <c r="M716" s="173"/>
    </row>
    <row r="717" spans="1:13" s="27" customFormat="1" x14ac:dyDescent="0.3">
      <c r="A717" s="173"/>
      <c r="E717" s="173"/>
      <c r="F717" s="173"/>
      <c r="G717" s="173"/>
      <c r="H717" s="173"/>
      <c r="I717" s="173"/>
      <c r="J717" s="173"/>
      <c r="K717" s="173"/>
      <c r="L717" s="173"/>
      <c r="M717" s="173"/>
    </row>
    <row r="718" spans="1:13" s="27" customFormat="1" x14ac:dyDescent="0.3">
      <c r="A718" s="173"/>
      <c r="E718" s="173"/>
      <c r="F718" s="173"/>
      <c r="G718" s="173"/>
      <c r="H718" s="173"/>
      <c r="I718" s="173"/>
      <c r="J718" s="173"/>
      <c r="K718" s="173"/>
      <c r="L718" s="173"/>
      <c r="M718" s="173"/>
    </row>
    <row r="719" spans="1:13" s="27" customFormat="1" x14ac:dyDescent="0.3">
      <c r="A719" s="173"/>
      <c r="E719" s="173"/>
      <c r="F719" s="173"/>
      <c r="G719" s="173"/>
      <c r="H719" s="173"/>
      <c r="I719" s="173"/>
      <c r="J719" s="173"/>
      <c r="K719" s="173"/>
      <c r="L719" s="173"/>
      <c r="M719" s="173"/>
    </row>
    <row r="720" spans="1:13" s="27" customFormat="1" x14ac:dyDescent="0.3">
      <c r="A720" s="173"/>
      <c r="E720" s="173"/>
      <c r="F720" s="173"/>
      <c r="G720" s="173"/>
      <c r="H720" s="173"/>
      <c r="I720" s="173"/>
      <c r="J720" s="173"/>
      <c r="K720" s="173"/>
      <c r="L720" s="173"/>
      <c r="M720" s="173"/>
    </row>
    <row r="721" spans="1:13" s="27" customFormat="1" x14ac:dyDescent="0.3">
      <c r="A721" s="173"/>
      <c r="E721" s="173"/>
      <c r="F721" s="173"/>
      <c r="G721" s="173"/>
      <c r="H721" s="173"/>
      <c r="I721" s="173"/>
      <c r="J721" s="173"/>
      <c r="K721" s="173"/>
      <c r="L721" s="173"/>
      <c r="M721" s="173"/>
    </row>
    <row r="722" spans="1:13" s="27" customFormat="1" x14ac:dyDescent="0.3">
      <c r="A722" s="173"/>
      <c r="E722" s="173"/>
      <c r="F722" s="173"/>
      <c r="G722" s="173"/>
      <c r="H722" s="173"/>
      <c r="I722" s="173"/>
      <c r="J722" s="173"/>
      <c r="K722" s="173"/>
      <c r="L722" s="173"/>
      <c r="M722" s="173"/>
    </row>
    <row r="723" spans="1:13" s="27" customFormat="1" x14ac:dyDescent="0.3">
      <c r="A723" s="173"/>
      <c r="E723" s="173"/>
      <c r="F723" s="173"/>
      <c r="G723" s="173"/>
      <c r="H723" s="173"/>
      <c r="I723" s="173"/>
      <c r="J723" s="173"/>
      <c r="K723" s="173"/>
      <c r="L723" s="173"/>
      <c r="M723" s="173"/>
    </row>
    <row r="724" spans="1:13" s="27" customFormat="1" x14ac:dyDescent="0.3">
      <c r="A724" s="173"/>
      <c r="E724" s="173"/>
      <c r="F724" s="173"/>
      <c r="G724" s="173"/>
      <c r="H724" s="173"/>
      <c r="I724" s="173"/>
      <c r="J724" s="173"/>
      <c r="K724" s="173"/>
      <c r="L724" s="173"/>
      <c r="M724" s="173"/>
    </row>
    <row r="725" spans="1:13" s="27" customFormat="1" x14ac:dyDescent="0.3">
      <c r="A725" s="173"/>
      <c r="E725" s="173"/>
      <c r="F725" s="173"/>
      <c r="G725" s="173"/>
      <c r="H725" s="173"/>
      <c r="I725" s="173"/>
      <c r="J725" s="173"/>
      <c r="K725" s="173"/>
      <c r="L725" s="173"/>
      <c r="M725" s="173"/>
    </row>
    <row r="726" spans="1:13" s="27" customFormat="1" x14ac:dyDescent="0.3">
      <c r="A726" s="173"/>
      <c r="E726" s="173"/>
      <c r="F726" s="173"/>
      <c r="G726" s="173"/>
      <c r="H726" s="173"/>
      <c r="I726" s="173"/>
      <c r="J726" s="173"/>
      <c r="K726" s="173"/>
      <c r="L726" s="173"/>
      <c r="M726" s="173"/>
    </row>
    <row r="727" spans="1:13" s="27" customFormat="1" x14ac:dyDescent="0.3">
      <c r="A727" s="173"/>
      <c r="E727" s="173"/>
      <c r="F727" s="173"/>
      <c r="G727" s="173"/>
      <c r="H727" s="173"/>
      <c r="I727" s="173"/>
      <c r="J727" s="173"/>
      <c r="K727" s="173"/>
      <c r="L727" s="173"/>
      <c r="M727" s="173"/>
    </row>
    <row r="728" spans="1:13" s="27" customFormat="1" x14ac:dyDescent="0.3">
      <c r="A728" s="173"/>
      <c r="E728" s="173"/>
      <c r="F728" s="173"/>
      <c r="G728" s="173"/>
      <c r="H728" s="173"/>
      <c r="I728" s="173"/>
      <c r="J728" s="173"/>
      <c r="K728" s="173"/>
      <c r="L728" s="173"/>
      <c r="M728" s="173"/>
    </row>
    <row r="729" spans="1:13" s="27" customFormat="1" x14ac:dyDescent="0.3">
      <c r="A729" s="173"/>
      <c r="E729" s="173"/>
      <c r="F729" s="173"/>
      <c r="G729" s="173"/>
      <c r="H729" s="173"/>
      <c r="I729" s="173"/>
      <c r="J729" s="173"/>
      <c r="K729" s="173"/>
      <c r="L729" s="173"/>
      <c r="M729" s="173"/>
    </row>
    <row r="730" spans="1:13" s="27" customFormat="1" x14ac:dyDescent="0.3">
      <c r="A730" s="173"/>
      <c r="E730" s="173"/>
      <c r="F730" s="173"/>
      <c r="G730" s="173"/>
      <c r="H730" s="173"/>
      <c r="I730" s="173"/>
      <c r="J730" s="173"/>
      <c r="K730" s="173"/>
      <c r="L730" s="173"/>
      <c r="M730" s="173"/>
    </row>
    <row r="731" spans="1:13" s="27" customFormat="1" x14ac:dyDescent="0.3">
      <c r="A731" s="173"/>
      <c r="E731" s="173"/>
      <c r="F731" s="173"/>
      <c r="G731" s="173"/>
      <c r="H731" s="173"/>
      <c r="I731" s="173"/>
      <c r="J731" s="173"/>
      <c r="K731" s="173"/>
      <c r="L731" s="173"/>
      <c r="M731" s="173"/>
    </row>
    <row r="732" spans="1:13" s="27" customFormat="1" x14ac:dyDescent="0.3">
      <c r="A732" s="173"/>
      <c r="E732" s="173"/>
      <c r="F732" s="173"/>
      <c r="G732" s="173"/>
      <c r="H732" s="173"/>
      <c r="I732" s="173"/>
      <c r="J732" s="173"/>
      <c r="K732" s="173"/>
      <c r="L732" s="173"/>
      <c r="M732" s="173"/>
    </row>
    <row r="733" spans="1:13" s="27" customFormat="1" x14ac:dyDescent="0.3">
      <c r="A733" s="173"/>
      <c r="E733" s="173"/>
      <c r="F733" s="173"/>
      <c r="G733" s="173"/>
      <c r="H733" s="173"/>
      <c r="I733" s="173"/>
      <c r="J733" s="173"/>
      <c r="K733" s="173"/>
      <c r="L733" s="173"/>
      <c r="M733" s="173"/>
    </row>
    <row r="734" spans="1:13" s="27" customFormat="1" x14ac:dyDescent="0.3">
      <c r="A734" s="173"/>
      <c r="E734" s="173"/>
      <c r="F734" s="173"/>
      <c r="G734" s="173"/>
      <c r="H734" s="173"/>
      <c r="I734" s="173"/>
      <c r="J734" s="173"/>
      <c r="K734" s="173"/>
      <c r="L734" s="173"/>
      <c r="M734" s="173"/>
    </row>
    <row r="735" spans="1:13" s="27" customFormat="1" x14ac:dyDescent="0.3">
      <c r="A735" s="173"/>
      <c r="E735" s="173"/>
      <c r="F735" s="173"/>
      <c r="G735" s="173"/>
      <c r="H735" s="173"/>
      <c r="I735" s="173"/>
      <c r="J735" s="173"/>
      <c r="K735" s="173"/>
      <c r="L735" s="173"/>
      <c r="M735" s="173"/>
    </row>
    <row r="736" spans="1:13" s="27" customFormat="1" x14ac:dyDescent="0.3">
      <c r="A736" s="173"/>
      <c r="E736" s="173"/>
      <c r="F736" s="173"/>
      <c r="G736" s="173"/>
      <c r="H736" s="173"/>
      <c r="I736" s="173"/>
      <c r="J736" s="173"/>
      <c r="K736" s="173"/>
      <c r="L736" s="173"/>
      <c r="M736" s="173"/>
    </row>
    <row r="737" spans="1:13" s="27" customFormat="1" x14ac:dyDescent="0.3">
      <c r="A737" s="173"/>
      <c r="E737" s="173"/>
      <c r="F737" s="173"/>
      <c r="G737" s="173"/>
      <c r="H737" s="173"/>
      <c r="I737" s="173"/>
      <c r="J737" s="173"/>
      <c r="K737" s="173"/>
      <c r="L737" s="173"/>
      <c r="M737" s="173"/>
    </row>
    <row r="738" spans="1:13" s="27" customFormat="1" x14ac:dyDescent="0.3">
      <c r="A738" s="173"/>
      <c r="E738" s="173"/>
      <c r="F738" s="173"/>
      <c r="G738" s="173"/>
      <c r="H738" s="173"/>
      <c r="I738" s="173"/>
      <c r="J738" s="173"/>
      <c r="K738" s="173"/>
      <c r="L738" s="173"/>
      <c r="M738" s="173"/>
    </row>
    <row r="739" spans="1:13" s="27" customFormat="1" x14ac:dyDescent="0.3">
      <c r="A739" s="173"/>
      <c r="E739" s="173"/>
      <c r="F739" s="173"/>
      <c r="G739" s="173"/>
      <c r="H739" s="173"/>
      <c r="I739" s="173"/>
      <c r="J739" s="173"/>
      <c r="K739" s="173"/>
      <c r="L739" s="173"/>
      <c r="M739" s="173"/>
    </row>
    <row r="740" spans="1:13" s="27" customFormat="1" x14ac:dyDescent="0.3">
      <c r="A740" s="173"/>
      <c r="E740" s="173"/>
      <c r="F740" s="173"/>
      <c r="G740" s="173"/>
      <c r="H740" s="173"/>
      <c r="I740" s="173"/>
      <c r="J740" s="173"/>
      <c r="K740" s="173"/>
      <c r="L740" s="173"/>
      <c r="M740" s="173"/>
    </row>
    <row r="741" spans="1:13" s="27" customFormat="1" x14ac:dyDescent="0.3">
      <c r="A741" s="173"/>
      <c r="E741" s="173"/>
      <c r="F741" s="173"/>
      <c r="G741" s="173"/>
      <c r="H741" s="173"/>
      <c r="I741" s="173"/>
      <c r="J741" s="173"/>
      <c r="K741" s="173"/>
      <c r="L741" s="173"/>
      <c r="M741" s="173"/>
    </row>
    <row r="742" spans="1:13" s="27" customFormat="1" x14ac:dyDescent="0.3">
      <c r="A742" s="173"/>
      <c r="E742" s="173"/>
      <c r="F742" s="173"/>
      <c r="G742" s="173"/>
      <c r="H742" s="173"/>
      <c r="I742" s="173"/>
      <c r="J742" s="173"/>
      <c r="K742" s="173"/>
      <c r="L742" s="173"/>
      <c r="M742" s="173"/>
    </row>
    <row r="743" spans="1:13" s="27" customFormat="1" x14ac:dyDescent="0.3">
      <c r="A743" s="173"/>
      <c r="E743" s="173"/>
      <c r="F743" s="173"/>
      <c r="G743" s="173"/>
      <c r="H743" s="173"/>
      <c r="I743" s="173"/>
      <c r="J743" s="173"/>
      <c r="K743" s="173"/>
      <c r="L743" s="173"/>
      <c r="M743" s="173"/>
    </row>
    <row r="744" spans="1:13" s="27" customFormat="1" x14ac:dyDescent="0.3">
      <c r="A744" s="173"/>
      <c r="E744" s="173"/>
      <c r="F744" s="173"/>
      <c r="G744" s="173"/>
      <c r="H744" s="173"/>
      <c r="I744" s="173"/>
      <c r="J744" s="173"/>
      <c r="K744" s="173"/>
      <c r="L744" s="173"/>
      <c r="M744" s="173"/>
    </row>
    <row r="745" spans="1:13" s="27" customFormat="1" x14ac:dyDescent="0.3">
      <c r="A745" s="173"/>
      <c r="E745" s="173"/>
      <c r="F745" s="173"/>
      <c r="G745" s="173"/>
      <c r="H745" s="173"/>
      <c r="I745" s="173"/>
      <c r="J745" s="173"/>
      <c r="K745" s="173"/>
      <c r="L745" s="173"/>
      <c r="M745" s="173"/>
    </row>
    <row r="746" spans="1:13" s="27" customFormat="1" x14ac:dyDescent="0.3">
      <c r="A746" s="173"/>
      <c r="E746" s="173"/>
      <c r="F746" s="173"/>
      <c r="G746" s="173"/>
      <c r="H746" s="173"/>
      <c r="I746" s="173"/>
      <c r="J746" s="173"/>
      <c r="K746" s="173"/>
      <c r="L746" s="173"/>
      <c r="M746" s="173"/>
    </row>
    <row r="747" spans="1:13" s="27" customFormat="1" x14ac:dyDescent="0.3">
      <c r="A747" s="173"/>
      <c r="E747" s="173"/>
      <c r="F747" s="173"/>
      <c r="G747" s="173"/>
      <c r="H747" s="173"/>
      <c r="I747" s="173"/>
      <c r="J747" s="173"/>
      <c r="K747" s="173"/>
      <c r="L747" s="173"/>
      <c r="M747" s="173"/>
    </row>
    <row r="748" spans="1:13" s="27" customFormat="1" x14ac:dyDescent="0.3">
      <c r="A748" s="173"/>
      <c r="E748" s="173"/>
      <c r="F748" s="173"/>
      <c r="G748" s="173"/>
      <c r="H748" s="173"/>
      <c r="I748" s="173"/>
      <c r="J748" s="173"/>
      <c r="K748" s="173"/>
      <c r="L748" s="173"/>
      <c r="M748" s="173"/>
    </row>
    <row r="749" spans="1:13" s="27" customFormat="1" x14ac:dyDescent="0.3">
      <c r="A749" s="173"/>
      <c r="E749" s="173"/>
      <c r="F749" s="173"/>
      <c r="G749" s="173"/>
      <c r="H749" s="173"/>
      <c r="I749" s="173"/>
      <c r="J749" s="173"/>
      <c r="K749" s="173"/>
      <c r="L749" s="173"/>
      <c r="M749" s="173"/>
    </row>
    <row r="750" spans="1:13" s="27" customFormat="1" x14ac:dyDescent="0.3">
      <c r="A750" s="173"/>
      <c r="E750" s="173"/>
      <c r="F750" s="173"/>
      <c r="G750" s="173"/>
      <c r="H750" s="173"/>
      <c r="I750" s="173"/>
      <c r="J750" s="173"/>
      <c r="K750" s="173"/>
      <c r="L750" s="173"/>
      <c r="M750" s="173"/>
    </row>
    <row r="751" spans="1:13" s="27" customFormat="1" x14ac:dyDescent="0.3">
      <c r="A751" s="173"/>
      <c r="E751" s="173"/>
      <c r="F751" s="173"/>
      <c r="G751" s="173"/>
      <c r="H751" s="173"/>
      <c r="I751" s="173"/>
      <c r="J751" s="173"/>
      <c r="K751" s="173"/>
      <c r="L751" s="173"/>
      <c r="M751" s="173"/>
    </row>
    <row r="752" spans="1:13" s="27" customFormat="1" x14ac:dyDescent="0.3">
      <c r="A752" s="173"/>
      <c r="E752" s="173"/>
      <c r="F752" s="173"/>
      <c r="G752" s="173"/>
      <c r="H752" s="173"/>
      <c r="I752" s="173"/>
      <c r="J752" s="173"/>
      <c r="K752" s="173"/>
      <c r="L752" s="173"/>
      <c r="M752" s="173"/>
    </row>
    <row r="753" spans="1:13" s="27" customFormat="1" x14ac:dyDescent="0.3">
      <c r="A753" s="173"/>
      <c r="E753" s="173"/>
      <c r="F753" s="173"/>
      <c r="G753" s="173"/>
      <c r="H753" s="173"/>
      <c r="I753" s="173"/>
      <c r="J753" s="173"/>
      <c r="K753" s="173"/>
      <c r="L753" s="173"/>
      <c r="M753" s="173"/>
    </row>
    <row r="754" spans="1:13" s="27" customFormat="1" x14ac:dyDescent="0.3">
      <c r="A754" s="173"/>
      <c r="E754" s="173"/>
      <c r="F754" s="173"/>
      <c r="G754" s="173"/>
      <c r="H754" s="173"/>
      <c r="I754" s="173"/>
      <c r="J754" s="173"/>
      <c r="K754" s="173"/>
      <c r="L754" s="173"/>
      <c r="M754" s="173"/>
    </row>
    <row r="755" spans="1:13" s="27" customFormat="1" x14ac:dyDescent="0.3">
      <c r="A755" s="173"/>
      <c r="E755" s="173"/>
      <c r="F755" s="173"/>
      <c r="G755" s="173"/>
      <c r="H755" s="173"/>
      <c r="I755" s="173"/>
      <c r="J755" s="173"/>
      <c r="K755" s="173"/>
      <c r="L755" s="173"/>
      <c r="M755" s="173"/>
    </row>
    <row r="756" spans="1:13" s="27" customFormat="1" x14ac:dyDescent="0.3">
      <c r="A756" s="173"/>
      <c r="E756" s="173"/>
      <c r="F756" s="173"/>
      <c r="G756" s="173"/>
      <c r="H756" s="173"/>
      <c r="I756" s="173"/>
      <c r="J756" s="173"/>
      <c r="K756" s="173"/>
      <c r="L756" s="173"/>
      <c r="M756" s="173"/>
    </row>
    <row r="757" spans="1:13" s="27" customFormat="1" x14ac:dyDescent="0.3">
      <c r="A757" s="173"/>
      <c r="E757" s="173"/>
      <c r="F757" s="173"/>
      <c r="G757" s="173"/>
      <c r="H757" s="173"/>
      <c r="I757" s="173"/>
      <c r="J757" s="173"/>
      <c r="K757" s="173"/>
      <c r="L757" s="173"/>
      <c r="M757" s="173"/>
    </row>
    <row r="758" spans="1:13" s="27" customFormat="1" x14ac:dyDescent="0.3">
      <c r="A758" s="173"/>
      <c r="E758" s="173"/>
      <c r="F758" s="173"/>
      <c r="G758" s="173"/>
      <c r="H758" s="173"/>
      <c r="I758" s="173"/>
      <c r="J758" s="173"/>
      <c r="K758" s="173"/>
      <c r="L758" s="173"/>
      <c r="M758" s="173"/>
    </row>
    <row r="759" spans="1:13" s="27" customFormat="1" x14ac:dyDescent="0.3">
      <c r="A759" s="173"/>
      <c r="E759" s="173"/>
      <c r="F759" s="173"/>
      <c r="G759" s="173"/>
      <c r="H759" s="173"/>
      <c r="I759" s="173"/>
      <c r="J759" s="173"/>
      <c r="K759" s="173"/>
      <c r="L759" s="173"/>
      <c r="M759" s="173"/>
    </row>
    <row r="760" spans="1:13" s="27" customFormat="1" x14ac:dyDescent="0.3">
      <c r="A760" s="173"/>
      <c r="E760" s="173"/>
      <c r="F760" s="173"/>
      <c r="G760" s="173"/>
      <c r="H760" s="173"/>
      <c r="I760" s="173"/>
      <c r="J760" s="173"/>
      <c r="K760" s="173"/>
      <c r="L760" s="173"/>
      <c r="M760" s="173"/>
    </row>
    <row r="761" spans="1:13" s="27" customFormat="1" x14ac:dyDescent="0.3">
      <c r="A761" s="173"/>
      <c r="E761" s="173"/>
      <c r="F761" s="173"/>
      <c r="G761" s="173"/>
      <c r="H761" s="173"/>
      <c r="I761" s="173"/>
      <c r="J761" s="173"/>
      <c r="K761" s="173"/>
      <c r="L761" s="173"/>
      <c r="M761" s="173"/>
    </row>
    <row r="762" spans="1:13" s="27" customFormat="1" x14ac:dyDescent="0.3">
      <c r="A762" s="173"/>
      <c r="E762" s="173"/>
      <c r="F762" s="173"/>
      <c r="G762" s="173"/>
      <c r="H762" s="173"/>
      <c r="I762" s="173"/>
      <c r="J762" s="173"/>
      <c r="K762" s="173"/>
      <c r="L762" s="173"/>
      <c r="M762" s="173"/>
    </row>
    <row r="763" spans="1:13" s="27" customFormat="1" x14ac:dyDescent="0.3">
      <c r="A763" s="173"/>
      <c r="E763" s="173"/>
      <c r="F763" s="173"/>
      <c r="G763" s="173"/>
      <c r="H763" s="173"/>
      <c r="I763" s="173"/>
      <c r="J763" s="173"/>
      <c r="K763" s="173"/>
      <c r="L763" s="173"/>
      <c r="M763" s="173"/>
    </row>
    <row r="764" spans="1:13" s="27" customFormat="1" x14ac:dyDescent="0.3">
      <c r="A764" s="173"/>
      <c r="E764" s="173"/>
      <c r="F764" s="173"/>
      <c r="G764" s="173"/>
      <c r="H764" s="173"/>
      <c r="I764" s="173"/>
      <c r="J764" s="173"/>
      <c r="K764" s="173"/>
      <c r="L764" s="173"/>
      <c r="M764" s="173"/>
    </row>
    <row r="765" spans="1:13" s="27" customFormat="1" x14ac:dyDescent="0.3">
      <c r="A765" s="173"/>
      <c r="E765" s="173"/>
      <c r="F765" s="173"/>
      <c r="G765" s="173"/>
      <c r="H765" s="173"/>
      <c r="I765" s="173"/>
      <c r="J765" s="173"/>
      <c r="K765" s="173"/>
      <c r="L765" s="173"/>
      <c r="M765" s="173"/>
    </row>
    <row r="766" spans="1:13" s="27" customFormat="1" x14ac:dyDescent="0.3">
      <c r="A766" s="173"/>
      <c r="E766" s="173"/>
      <c r="F766" s="173"/>
      <c r="G766" s="173"/>
      <c r="H766" s="173"/>
      <c r="I766" s="173"/>
      <c r="J766" s="173"/>
      <c r="K766" s="173"/>
      <c r="L766" s="173"/>
      <c r="M766" s="173"/>
    </row>
    <row r="767" spans="1:13" s="27" customFormat="1" x14ac:dyDescent="0.3">
      <c r="A767" s="173"/>
      <c r="E767" s="173"/>
      <c r="F767" s="173"/>
      <c r="G767" s="173"/>
      <c r="H767" s="173"/>
      <c r="I767" s="173"/>
      <c r="J767" s="173"/>
      <c r="K767" s="173"/>
      <c r="L767" s="173"/>
      <c r="M767" s="173"/>
    </row>
    <row r="768" spans="1:13" s="27" customFormat="1" x14ac:dyDescent="0.3">
      <c r="A768" s="173"/>
      <c r="E768" s="173"/>
      <c r="F768" s="173"/>
      <c r="G768" s="173"/>
      <c r="H768" s="173"/>
      <c r="I768" s="173"/>
      <c r="J768" s="173"/>
      <c r="K768" s="173"/>
      <c r="L768" s="173"/>
      <c r="M768" s="173"/>
    </row>
    <row r="769" spans="1:13" s="27" customFormat="1" x14ac:dyDescent="0.3">
      <c r="A769" s="173"/>
      <c r="E769" s="173"/>
      <c r="F769" s="173"/>
      <c r="G769" s="173"/>
      <c r="H769" s="173"/>
      <c r="I769" s="173"/>
      <c r="J769" s="173"/>
      <c r="K769" s="173"/>
      <c r="L769" s="173"/>
      <c r="M769" s="173"/>
    </row>
    <row r="770" spans="1:13" s="27" customFormat="1" x14ac:dyDescent="0.3">
      <c r="A770" s="173"/>
      <c r="E770" s="173"/>
      <c r="F770" s="173"/>
      <c r="G770" s="173"/>
      <c r="H770" s="173"/>
      <c r="I770" s="173"/>
      <c r="J770" s="173"/>
      <c r="K770" s="173"/>
      <c r="L770" s="173"/>
      <c r="M770" s="173"/>
    </row>
    <row r="771" spans="1:13" s="27" customFormat="1" x14ac:dyDescent="0.3">
      <c r="A771" s="173"/>
      <c r="E771" s="173"/>
      <c r="F771" s="173"/>
      <c r="G771" s="173"/>
      <c r="H771" s="173"/>
      <c r="I771" s="173"/>
      <c r="J771" s="173"/>
      <c r="K771" s="173"/>
      <c r="L771" s="173"/>
      <c r="M771" s="173"/>
    </row>
    <row r="772" spans="1:13" s="27" customFormat="1" x14ac:dyDescent="0.3">
      <c r="A772" s="173"/>
      <c r="E772" s="173"/>
      <c r="F772" s="173"/>
      <c r="G772" s="173"/>
      <c r="H772" s="173"/>
      <c r="I772" s="173"/>
      <c r="J772" s="173"/>
      <c r="K772" s="173"/>
      <c r="L772" s="173"/>
      <c r="M772" s="173"/>
    </row>
    <row r="773" spans="1:13" s="27" customFormat="1" x14ac:dyDescent="0.3">
      <c r="A773" s="173"/>
      <c r="E773" s="173"/>
      <c r="F773" s="173"/>
      <c r="G773" s="173"/>
      <c r="H773" s="173"/>
      <c r="I773" s="173"/>
      <c r="J773" s="173"/>
      <c r="K773" s="173"/>
      <c r="L773" s="173"/>
      <c r="M773" s="173"/>
    </row>
    <row r="774" spans="1:13" s="27" customFormat="1" x14ac:dyDescent="0.3">
      <c r="A774" s="173"/>
      <c r="E774" s="173"/>
      <c r="F774" s="173"/>
      <c r="G774" s="173"/>
      <c r="H774" s="173"/>
      <c r="I774" s="173"/>
      <c r="J774" s="173"/>
      <c r="K774" s="173"/>
      <c r="L774" s="173"/>
      <c r="M774" s="173"/>
    </row>
    <row r="775" spans="1:13" s="27" customFormat="1" x14ac:dyDescent="0.3">
      <c r="A775" s="173"/>
      <c r="E775" s="173"/>
      <c r="F775" s="173"/>
      <c r="G775" s="173"/>
      <c r="H775" s="173"/>
      <c r="I775" s="173"/>
      <c r="J775" s="173"/>
      <c r="K775" s="173"/>
      <c r="L775" s="173"/>
      <c r="M775" s="173"/>
    </row>
    <row r="776" spans="1:13" s="27" customFormat="1" x14ac:dyDescent="0.3">
      <c r="A776" s="173"/>
      <c r="E776" s="173"/>
      <c r="F776" s="173"/>
      <c r="G776" s="173"/>
      <c r="H776" s="173"/>
      <c r="I776" s="173"/>
      <c r="J776" s="173"/>
      <c r="K776" s="173"/>
      <c r="L776" s="173"/>
      <c r="M776" s="173"/>
    </row>
    <row r="777" spans="1:13" s="27" customFormat="1" x14ac:dyDescent="0.3">
      <c r="A777" s="173"/>
      <c r="E777" s="173"/>
      <c r="F777" s="173"/>
      <c r="G777" s="173"/>
      <c r="H777" s="173"/>
      <c r="I777" s="173"/>
      <c r="J777" s="173"/>
      <c r="K777" s="173"/>
      <c r="L777" s="173"/>
      <c r="M777" s="173"/>
    </row>
    <row r="778" spans="1:13" s="27" customFormat="1" x14ac:dyDescent="0.3">
      <c r="A778" s="173"/>
      <c r="E778" s="173"/>
      <c r="F778" s="173"/>
      <c r="G778" s="173"/>
      <c r="H778" s="173"/>
      <c r="I778" s="173"/>
      <c r="J778" s="173"/>
      <c r="K778" s="173"/>
      <c r="L778" s="173"/>
      <c r="M778" s="173"/>
    </row>
    <row r="779" spans="1:13" s="27" customFormat="1" x14ac:dyDescent="0.3">
      <c r="A779" s="173"/>
      <c r="E779" s="173"/>
      <c r="F779" s="173"/>
      <c r="G779" s="173"/>
      <c r="H779" s="173"/>
      <c r="I779" s="173"/>
      <c r="J779" s="173"/>
      <c r="K779" s="173"/>
      <c r="L779" s="173"/>
      <c r="M779" s="173"/>
    </row>
    <row r="780" spans="1:13" s="27" customFormat="1" x14ac:dyDescent="0.3">
      <c r="A780" s="173"/>
      <c r="E780" s="173"/>
      <c r="F780" s="173"/>
      <c r="G780" s="173"/>
      <c r="H780" s="173"/>
      <c r="I780" s="173"/>
      <c r="J780" s="173"/>
      <c r="K780" s="173"/>
      <c r="L780" s="173"/>
      <c r="M780" s="173"/>
    </row>
    <row r="781" spans="1:13" s="27" customFormat="1" x14ac:dyDescent="0.3">
      <c r="A781" s="173"/>
      <c r="E781" s="173"/>
      <c r="F781" s="173"/>
      <c r="G781" s="173"/>
      <c r="H781" s="173"/>
      <c r="I781" s="173"/>
      <c r="J781" s="173"/>
      <c r="K781" s="173"/>
      <c r="L781" s="173"/>
      <c r="M781" s="173"/>
    </row>
    <row r="782" spans="1:13" s="27" customFormat="1" x14ac:dyDescent="0.3">
      <c r="A782" s="173"/>
      <c r="E782" s="173"/>
      <c r="F782" s="173"/>
      <c r="G782" s="173"/>
      <c r="H782" s="173"/>
      <c r="I782" s="173"/>
      <c r="J782" s="173"/>
      <c r="K782" s="173"/>
      <c r="L782" s="173"/>
      <c r="M782" s="173"/>
    </row>
    <row r="783" spans="1:13" s="27" customFormat="1" x14ac:dyDescent="0.3">
      <c r="A783" s="173"/>
      <c r="E783" s="173"/>
      <c r="F783" s="173"/>
      <c r="G783" s="173"/>
      <c r="H783" s="173"/>
      <c r="I783" s="173"/>
      <c r="J783" s="173"/>
      <c r="K783" s="173"/>
      <c r="L783" s="173"/>
      <c r="M783" s="173"/>
    </row>
    <row r="784" spans="1:13" s="27" customFormat="1" x14ac:dyDescent="0.3">
      <c r="A784" s="173"/>
      <c r="E784" s="173"/>
      <c r="F784" s="173"/>
      <c r="G784" s="173"/>
      <c r="H784" s="173"/>
      <c r="I784" s="173"/>
      <c r="J784" s="173"/>
      <c r="K784" s="173"/>
      <c r="L784" s="173"/>
      <c r="M784" s="173"/>
    </row>
    <row r="785" spans="1:13" s="27" customFormat="1" x14ac:dyDescent="0.3">
      <c r="A785" s="173"/>
      <c r="E785" s="173"/>
      <c r="F785" s="173"/>
      <c r="G785" s="173"/>
      <c r="H785" s="173"/>
      <c r="I785" s="173"/>
      <c r="J785" s="173"/>
      <c r="K785" s="173"/>
      <c r="L785" s="173"/>
      <c r="M785" s="173"/>
    </row>
    <row r="786" spans="1:13" s="27" customFormat="1" x14ac:dyDescent="0.3">
      <c r="A786" s="173"/>
      <c r="E786" s="173"/>
      <c r="F786" s="173"/>
      <c r="G786" s="173"/>
      <c r="H786" s="173"/>
      <c r="I786" s="173"/>
      <c r="J786" s="173"/>
      <c r="K786" s="173"/>
      <c r="L786" s="173"/>
      <c r="M786" s="173"/>
    </row>
    <row r="787" spans="1:13" s="27" customFormat="1" x14ac:dyDescent="0.3">
      <c r="A787" s="173"/>
      <c r="E787" s="173"/>
      <c r="F787" s="173"/>
      <c r="G787" s="173"/>
      <c r="H787" s="173"/>
      <c r="I787" s="173"/>
      <c r="J787" s="173"/>
      <c r="K787" s="173"/>
      <c r="L787" s="173"/>
      <c r="M787" s="173"/>
    </row>
    <row r="788" spans="1:13" s="27" customFormat="1" x14ac:dyDescent="0.3">
      <c r="A788" s="173"/>
      <c r="E788" s="173"/>
      <c r="F788" s="173"/>
      <c r="G788" s="173"/>
      <c r="H788" s="173"/>
      <c r="I788" s="173"/>
      <c r="J788" s="173"/>
      <c r="K788" s="173"/>
      <c r="L788" s="173"/>
      <c r="M788" s="173"/>
    </row>
    <row r="789" spans="1:13" s="27" customFormat="1" x14ac:dyDescent="0.3">
      <c r="A789" s="173"/>
      <c r="E789" s="173"/>
      <c r="F789" s="173"/>
      <c r="G789" s="173"/>
      <c r="H789" s="173"/>
      <c r="I789" s="173"/>
      <c r="J789" s="173"/>
      <c r="K789" s="173"/>
      <c r="L789" s="173"/>
      <c r="M789" s="173"/>
    </row>
    <row r="790" spans="1:13" s="27" customFormat="1" x14ac:dyDescent="0.3">
      <c r="A790" s="173"/>
      <c r="E790" s="173"/>
      <c r="F790" s="173"/>
      <c r="G790" s="173"/>
      <c r="H790" s="173"/>
      <c r="I790" s="173"/>
      <c r="J790" s="173"/>
      <c r="K790" s="173"/>
      <c r="L790" s="173"/>
      <c r="M790" s="173"/>
    </row>
    <row r="791" spans="1:13" s="27" customFormat="1" x14ac:dyDescent="0.3">
      <c r="A791" s="173"/>
      <c r="E791" s="173"/>
      <c r="F791" s="173"/>
      <c r="G791" s="173"/>
      <c r="H791" s="173"/>
      <c r="I791" s="173"/>
      <c r="J791" s="173"/>
      <c r="K791" s="173"/>
      <c r="L791" s="173"/>
      <c r="M791" s="173"/>
    </row>
    <row r="792" spans="1:13" s="27" customFormat="1" x14ac:dyDescent="0.3">
      <c r="A792" s="173"/>
      <c r="E792" s="173"/>
      <c r="F792" s="173"/>
      <c r="G792" s="173"/>
      <c r="H792" s="173"/>
      <c r="I792" s="173"/>
      <c r="J792" s="173"/>
      <c r="K792" s="173"/>
      <c r="L792" s="173"/>
      <c r="M792" s="173"/>
    </row>
    <row r="793" spans="1:13" s="27" customFormat="1" x14ac:dyDescent="0.3">
      <c r="A793" s="173"/>
      <c r="E793" s="173"/>
      <c r="F793" s="173"/>
      <c r="G793" s="173"/>
      <c r="H793" s="173"/>
      <c r="I793" s="173"/>
      <c r="J793" s="173"/>
      <c r="K793" s="173"/>
      <c r="L793" s="173"/>
      <c r="M793" s="173"/>
    </row>
    <row r="794" spans="1:13" s="27" customFormat="1" x14ac:dyDescent="0.3">
      <c r="A794" s="173"/>
      <c r="E794" s="173"/>
      <c r="F794" s="173"/>
      <c r="G794" s="173"/>
      <c r="H794" s="173"/>
      <c r="I794" s="173"/>
      <c r="J794" s="173"/>
      <c r="K794" s="173"/>
      <c r="L794" s="173"/>
      <c r="M794" s="173"/>
    </row>
    <row r="795" spans="1:13" s="27" customFormat="1" x14ac:dyDescent="0.3">
      <c r="A795" s="173"/>
      <c r="E795" s="173"/>
      <c r="F795" s="173"/>
      <c r="G795" s="173"/>
      <c r="H795" s="173"/>
      <c r="I795" s="173"/>
      <c r="J795" s="173"/>
      <c r="K795" s="173"/>
      <c r="L795" s="173"/>
      <c r="M795" s="173"/>
    </row>
    <row r="796" spans="1:13" s="27" customFormat="1" x14ac:dyDescent="0.3">
      <c r="A796" s="173"/>
      <c r="E796" s="173"/>
      <c r="F796" s="173"/>
      <c r="G796" s="173"/>
      <c r="H796" s="173"/>
      <c r="I796" s="173"/>
      <c r="J796" s="173"/>
      <c r="K796" s="173"/>
      <c r="L796" s="173"/>
      <c r="M796" s="173"/>
    </row>
    <row r="797" spans="1:13" s="27" customFormat="1" x14ac:dyDescent="0.3">
      <c r="A797" s="173"/>
      <c r="E797" s="173"/>
      <c r="F797" s="173"/>
      <c r="G797" s="173"/>
      <c r="H797" s="173"/>
      <c r="I797" s="173"/>
      <c r="J797" s="173"/>
      <c r="K797" s="173"/>
      <c r="L797" s="173"/>
      <c r="M797" s="173"/>
    </row>
    <row r="798" spans="1:13" s="27" customFormat="1" x14ac:dyDescent="0.3">
      <c r="A798" s="173"/>
      <c r="E798" s="173"/>
      <c r="F798" s="173"/>
      <c r="G798" s="173"/>
      <c r="H798" s="173"/>
      <c r="I798" s="173"/>
      <c r="J798" s="173"/>
      <c r="K798" s="173"/>
      <c r="L798" s="173"/>
      <c r="M798" s="173"/>
    </row>
    <row r="799" spans="1:13" s="27" customFormat="1" x14ac:dyDescent="0.3">
      <c r="A799" s="173"/>
      <c r="E799" s="173"/>
      <c r="F799" s="173"/>
      <c r="G799" s="173"/>
      <c r="H799" s="173"/>
      <c r="I799" s="173"/>
      <c r="J799" s="173"/>
      <c r="K799" s="173"/>
      <c r="L799" s="173"/>
      <c r="M799" s="173"/>
    </row>
    <row r="800" spans="1:13" s="27" customFormat="1" x14ac:dyDescent="0.3">
      <c r="A800" s="173"/>
      <c r="E800" s="173"/>
      <c r="F800" s="173"/>
      <c r="G800" s="173"/>
      <c r="H800" s="173"/>
      <c r="I800" s="173"/>
      <c r="J800" s="173"/>
      <c r="K800" s="173"/>
      <c r="L800" s="173"/>
      <c r="M800" s="173"/>
    </row>
    <row r="801" spans="1:13" s="27" customFormat="1" x14ac:dyDescent="0.3">
      <c r="A801" s="173"/>
      <c r="E801" s="173"/>
      <c r="F801" s="173"/>
      <c r="G801" s="173"/>
      <c r="H801" s="173"/>
      <c r="I801" s="173"/>
      <c r="J801" s="173"/>
      <c r="K801" s="173"/>
      <c r="L801" s="173"/>
      <c r="M801" s="173"/>
    </row>
    <row r="802" spans="1:13" s="27" customFormat="1" x14ac:dyDescent="0.3">
      <c r="A802" s="173"/>
      <c r="E802" s="173"/>
      <c r="F802" s="173"/>
      <c r="G802" s="173"/>
      <c r="H802" s="173"/>
      <c r="I802" s="173"/>
      <c r="J802" s="173"/>
      <c r="K802" s="173"/>
      <c r="L802" s="173"/>
      <c r="M802" s="173"/>
    </row>
    <row r="803" spans="1:13" s="27" customFormat="1" x14ac:dyDescent="0.3">
      <c r="A803" s="173"/>
      <c r="E803" s="173"/>
      <c r="F803" s="173"/>
      <c r="G803" s="173"/>
      <c r="H803" s="173"/>
      <c r="I803" s="173"/>
      <c r="J803" s="173"/>
      <c r="K803" s="173"/>
      <c r="L803" s="173"/>
      <c r="M803" s="173"/>
    </row>
    <row r="804" spans="1:13" s="27" customFormat="1" x14ac:dyDescent="0.3">
      <c r="A804" s="173"/>
      <c r="E804" s="173"/>
      <c r="F804" s="173"/>
      <c r="G804" s="173"/>
      <c r="H804" s="173"/>
      <c r="I804" s="173"/>
      <c r="J804" s="173"/>
      <c r="K804" s="173"/>
      <c r="L804" s="173"/>
      <c r="M804" s="173"/>
    </row>
    <row r="805" spans="1:13" s="27" customFormat="1" x14ac:dyDescent="0.3">
      <c r="A805" s="173"/>
      <c r="E805" s="173"/>
      <c r="F805" s="173"/>
      <c r="G805" s="173"/>
      <c r="H805" s="173"/>
      <c r="I805" s="173"/>
      <c r="J805" s="173"/>
      <c r="K805" s="173"/>
      <c r="L805" s="173"/>
      <c r="M805" s="173"/>
    </row>
    <row r="806" spans="1:13" s="27" customFormat="1" x14ac:dyDescent="0.3">
      <c r="A806" s="173"/>
      <c r="E806" s="173"/>
      <c r="F806" s="173"/>
      <c r="G806" s="173"/>
      <c r="H806" s="173"/>
      <c r="I806" s="173"/>
      <c r="J806" s="173"/>
      <c r="K806" s="173"/>
      <c r="L806" s="173"/>
      <c r="M806" s="173"/>
    </row>
    <row r="807" spans="1:13" s="27" customFormat="1" x14ac:dyDescent="0.3">
      <c r="A807" s="173"/>
      <c r="E807" s="173"/>
      <c r="F807" s="173"/>
      <c r="G807" s="173"/>
      <c r="H807" s="173"/>
      <c r="I807" s="173"/>
      <c r="J807" s="173"/>
      <c r="K807" s="173"/>
      <c r="L807" s="173"/>
      <c r="M807" s="173"/>
    </row>
    <row r="808" spans="1:13" s="27" customFormat="1" x14ac:dyDescent="0.3">
      <c r="A808" s="173"/>
      <c r="E808" s="173"/>
      <c r="F808" s="173"/>
      <c r="G808" s="173"/>
      <c r="H808" s="173"/>
      <c r="I808" s="173"/>
      <c r="J808" s="173"/>
      <c r="K808" s="173"/>
      <c r="L808" s="173"/>
      <c r="M808" s="173"/>
    </row>
    <row r="809" spans="1:13" s="27" customFormat="1" x14ac:dyDescent="0.3">
      <c r="A809" s="173"/>
      <c r="E809" s="173"/>
      <c r="F809" s="173"/>
      <c r="G809" s="173"/>
      <c r="H809" s="173"/>
      <c r="I809" s="173"/>
      <c r="J809" s="173"/>
      <c r="K809" s="173"/>
      <c r="L809" s="173"/>
      <c r="M809" s="173"/>
    </row>
    <row r="810" spans="1:13" s="27" customFormat="1" x14ac:dyDescent="0.3">
      <c r="A810" s="173"/>
      <c r="E810" s="173"/>
      <c r="F810" s="173"/>
      <c r="G810" s="173"/>
      <c r="H810" s="173"/>
      <c r="I810" s="173"/>
      <c r="J810" s="173"/>
      <c r="K810" s="173"/>
      <c r="L810" s="173"/>
      <c r="M810" s="173"/>
    </row>
    <row r="811" spans="1:13" s="27" customFormat="1" x14ac:dyDescent="0.3">
      <c r="A811" s="173"/>
      <c r="E811" s="173"/>
      <c r="F811" s="173"/>
      <c r="G811" s="173"/>
      <c r="H811" s="173"/>
      <c r="I811" s="173"/>
      <c r="J811" s="173"/>
      <c r="K811" s="173"/>
      <c r="L811" s="173"/>
      <c r="M811" s="173"/>
    </row>
    <row r="812" spans="1:13" s="27" customFormat="1" x14ac:dyDescent="0.3">
      <c r="A812" s="173"/>
      <c r="E812" s="173"/>
      <c r="F812" s="173"/>
      <c r="G812" s="173"/>
      <c r="H812" s="173"/>
      <c r="I812" s="173"/>
      <c r="J812" s="173"/>
      <c r="K812" s="173"/>
      <c r="L812" s="173"/>
      <c r="M812" s="173"/>
    </row>
    <row r="813" spans="1:13" s="27" customFormat="1" x14ac:dyDescent="0.3">
      <c r="A813" s="173"/>
      <c r="E813" s="173"/>
      <c r="F813" s="173"/>
      <c r="G813" s="173"/>
      <c r="H813" s="173"/>
      <c r="I813" s="173"/>
      <c r="J813" s="173"/>
      <c r="K813" s="173"/>
      <c r="L813" s="173"/>
      <c r="M813" s="173"/>
    </row>
    <row r="814" spans="1:13" s="27" customFormat="1" x14ac:dyDescent="0.3">
      <c r="A814" s="173"/>
      <c r="E814" s="173"/>
      <c r="F814" s="173"/>
      <c r="G814" s="173"/>
      <c r="H814" s="173"/>
      <c r="I814" s="173"/>
      <c r="J814" s="173"/>
      <c r="K814" s="173"/>
      <c r="L814" s="173"/>
      <c r="M814" s="173"/>
    </row>
    <row r="815" spans="1:13" s="27" customFormat="1" x14ac:dyDescent="0.3">
      <c r="A815" s="173"/>
      <c r="E815" s="173"/>
      <c r="F815" s="173"/>
      <c r="G815" s="173"/>
      <c r="H815" s="173"/>
      <c r="I815" s="173"/>
      <c r="J815" s="173"/>
      <c r="K815" s="173"/>
      <c r="L815" s="173"/>
      <c r="M815" s="173"/>
    </row>
    <row r="816" spans="1:13" s="27" customFormat="1" x14ac:dyDescent="0.3">
      <c r="A816" s="173"/>
      <c r="E816" s="173"/>
      <c r="F816" s="173"/>
      <c r="G816" s="173"/>
      <c r="H816" s="173"/>
      <c r="I816" s="173"/>
      <c r="J816" s="173"/>
      <c r="K816" s="173"/>
      <c r="L816" s="173"/>
      <c r="M816" s="173"/>
    </row>
    <row r="817" spans="1:13" s="27" customFormat="1" x14ac:dyDescent="0.3">
      <c r="A817" s="173"/>
      <c r="E817" s="173"/>
      <c r="F817" s="173"/>
      <c r="G817" s="173"/>
      <c r="H817" s="173"/>
      <c r="I817" s="173"/>
      <c r="J817" s="173"/>
      <c r="K817" s="173"/>
      <c r="L817" s="173"/>
      <c r="M817" s="173"/>
    </row>
    <row r="818" spans="1:13" s="27" customFormat="1" x14ac:dyDescent="0.3">
      <c r="A818" s="173"/>
      <c r="E818" s="173"/>
      <c r="F818" s="173"/>
      <c r="G818" s="173"/>
      <c r="H818" s="173"/>
      <c r="I818" s="173"/>
      <c r="J818" s="173"/>
      <c r="K818" s="173"/>
      <c r="L818" s="173"/>
      <c r="M818" s="173"/>
    </row>
    <row r="819" spans="1:13" s="27" customFormat="1" x14ac:dyDescent="0.3">
      <c r="A819" s="173"/>
      <c r="E819" s="173"/>
      <c r="F819" s="173"/>
      <c r="G819" s="173"/>
      <c r="H819" s="173"/>
      <c r="I819" s="173"/>
      <c r="J819" s="173"/>
      <c r="K819" s="173"/>
      <c r="L819" s="173"/>
      <c r="M819" s="173"/>
    </row>
    <row r="820" spans="1:13" s="27" customFormat="1" x14ac:dyDescent="0.3">
      <c r="A820" s="173"/>
      <c r="E820" s="173"/>
      <c r="F820" s="173"/>
      <c r="G820" s="173"/>
      <c r="H820" s="173"/>
      <c r="I820" s="173"/>
      <c r="J820" s="173"/>
      <c r="K820" s="173"/>
      <c r="L820" s="173"/>
      <c r="M820" s="173"/>
    </row>
    <row r="821" spans="1:13" s="27" customFormat="1" x14ac:dyDescent="0.3">
      <c r="A821" s="173"/>
      <c r="E821" s="173"/>
      <c r="F821" s="173"/>
      <c r="G821" s="173"/>
      <c r="H821" s="173"/>
      <c r="I821" s="173"/>
      <c r="J821" s="173"/>
      <c r="K821" s="173"/>
      <c r="L821" s="173"/>
      <c r="M821" s="173"/>
    </row>
    <row r="822" spans="1:13" s="27" customFormat="1" x14ac:dyDescent="0.3">
      <c r="A822" s="173"/>
      <c r="E822" s="173"/>
      <c r="F822" s="173"/>
      <c r="G822" s="173"/>
      <c r="H822" s="173"/>
      <c r="I822" s="173"/>
      <c r="J822" s="173"/>
      <c r="K822" s="173"/>
      <c r="L822" s="173"/>
      <c r="M822" s="173"/>
    </row>
    <row r="823" spans="1:13" s="27" customFormat="1" x14ac:dyDescent="0.3">
      <c r="A823" s="173"/>
      <c r="E823" s="173"/>
      <c r="F823" s="173"/>
      <c r="G823" s="173"/>
      <c r="H823" s="173"/>
      <c r="I823" s="173"/>
      <c r="J823" s="173"/>
      <c r="K823" s="173"/>
      <c r="L823" s="173"/>
      <c r="M823" s="173"/>
    </row>
    <row r="824" spans="1:13" s="27" customFormat="1" x14ac:dyDescent="0.3">
      <c r="A824" s="173"/>
      <c r="E824" s="173"/>
      <c r="F824" s="173"/>
      <c r="G824" s="173"/>
      <c r="H824" s="173"/>
      <c r="I824" s="173"/>
      <c r="J824" s="173"/>
      <c r="K824" s="173"/>
      <c r="L824" s="173"/>
      <c r="M824" s="173"/>
    </row>
    <row r="825" spans="1:13" s="27" customFormat="1" x14ac:dyDescent="0.3">
      <c r="A825" s="173"/>
      <c r="E825" s="173"/>
      <c r="F825" s="173"/>
      <c r="G825" s="173"/>
      <c r="H825" s="173"/>
      <c r="I825" s="173"/>
      <c r="J825" s="173"/>
      <c r="K825" s="173"/>
      <c r="L825" s="173"/>
      <c r="M825" s="173"/>
    </row>
    <row r="826" spans="1:13" s="27" customFormat="1" x14ac:dyDescent="0.3">
      <c r="A826" s="173"/>
      <c r="E826" s="173"/>
      <c r="F826" s="173"/>
      <c r="G826" s="173"/>
      <c r="H826" s="173"/>
      <c r="I826" s="173"/>
      <c r="J826" s="173"/>
      <c r="K826" s="173"/>
      <c r="L826" s="173"/>
      <c r="M826" s="173"/>
    </row>
    <row r="827" spans="1:13" s="27" customFormat="1" x14ac:dyDescent="0.3">
      <c r="A827" s="173"/>
      <c r="E827" s="173"/>
      <c r="F827" s="173"/>
      <c r="G827" s="173"/>
      <c r="H827" s="173"/>
      <c r="I827" s="173"/>
      <c r="J827" s="173"/>
      <c r="K827" s="173"/>
      <c r="L827" s="173"/>
      <c r="M827" s="173"/>
    </row>
    <row r="828" spans="1:13" s="27" customFormat="1" x14ac:dyDescent="0.3">
      <c r="A828" s="173"/>
      <c r="E828" s="173"/>
      <c r="F828" s="173"/>
      <c r="G828" s="173"/>
      <c r="H828" s="173"/>
      <c r="I828" s="173"/>
      <c r="J828" s="173"/>
      <c r="K828" s="173"/>
      <c r="L828" s="173"/>
      <c r="M828" s="173"/>
    </row>
    <row r="829" spans="1:13" s="27" customFormat="1" x14ac:dyDescent="0.3">
      <c r="A829" s="173"/>
      <c r="E829" s="173"/>
      <c r="F829" s="173"/>
      <c r="G829" s="173"/>
      <c r="H829" s="173"/>
      <c r="I829" s="173"/>
      <c r="J829" s="173"/>
      <c r="K829" s="173"/>
      <c r="L829" s="173"/>
      <c r="M829" s="173"/>
    </row>
    <row r="830" spans="1:13" s="27" customFormat="1" x14ac:dyDescent="0.3">
      <c r="A830" s="173"/>
      <c r="E830" s="173"/>
      <c r="F830" s="173"/>
      <c r="G830" s="173"/>
      <c r="H830" s="173"/>
      <c r="I830" s="173"/>
      <c r="J830" s="173"/>
      <c r="K830" s="173"/>
      <c r="L830" s="173"/>
      <c r="M830" s="173"/>
    </row>
    <row r="831" spans="1:13" s="27" customFormat="1" x14ac:dyDescent="0.3">
      <c r="A831" s="173"/>
      <c r="E831" s="173"/>
      <c r="F831" s="173"/>
      <c r="G831" s="173"/>
      <c r="H831" s="173"/>
      <c r="I831" s="173"/>
      <c r="J831" s="173"/>
      <c r="K831" s="173"/>
      <c r="L831" s="173"/>
      <c r="M831" s="173"/>
    </row>
    <row r="832" spans="1:13" s="27" customFormat="1" x14ac:dyDescent="0.3">
      <c r="A832" s="173"/>
      <c r="E832" s="173"/>
      <c r="F832" s="173"/>
      <c r="G832" s="173"/>
      <c r="H832" s="173"/>
      <c r="I832" s="173"/>
      <c r="J832" s="173"/>
      <c r="K832" s="173"/>
      <c r="L832" s="173"/>
      <c r="M832" s="173"/>
    </row>
    <row r="833" spans="1:13" s="27" customFormat="1" x14ac:dyDescent="0.3">
      <c r="A833" s="173"/>
      <c r="E833" s="173"/>
      <c r="F833" s="173"/>
      <c r="G833" s="173"/>
      <c r="H833" s="173"/>
      <c r="I833" s="173"/>
      <c r="J833" s="173"/>
      <c r="K833" s="173"/>
      <c r="L833" s="173"/>
      <c r="M833" s="173"/>
    </row>
    <row r="834" spans="1:13" s="27" customFormat="1" x14ac:dyDescent="0.3">
      <c r="A834" s="173"/>
      <c r="E834" s="173"/>
      <c r="F834" s="173"/>
      <c r="G834" s="173"/>
      <c r="H834" s="173"/>
      <c r="I834" s="173"/>
      <c r="J834" s="173"/>
      <c r="K834" s="173"/>
      <c r="L834" s="173"/>
      <c r="M834" s="173"/>
    </row>
    <row r="835" spans="1:13" s="27" customFormat="1" x14ac:dyDescent="0.3">
      <c r="A835" s="173"/>
      <c r="E835" s="173"/>
      <c r="F835" s="173"/>
      <c r="G835" s="173"/>
      <c r="H835" s="173"/>
      <c r="I835" s="173"/>
      <c r="J835" s="173"/>
      <c r="K835" s="173"/>
      <c r="L835" s="173"/>
      <c r="M835" s="173"/>
    </row>
    <row r="836" spans="1:13" s="27" customFormat="1" x14ac:dyDescent="0.3">
      <c r="A836" s="173"/>
      <c r="E836" s="173"/>
      <c r="F836" s="173"/>
      <c r="G836" s="173"/>
      <c r="H836" s="173"/>
      <c r="I836" s="173"/>
      <c r="J836" s="173"/>
      <c r="K836" s="173"/>
      <c r="L836" s="173"/>
      <c r="M836" s="173"/>
    </row>
    <row r="837" spans="1:13" s="27" customFormat="1" x14ac:dyDescent="0.3">
      <c r="A837" s="173"/>
      <c r="E837" s="173"/>
      <c r="F837" s="173"/>
      <c r="G837" s="173"/>
      <c r="H837" s="173"/>
      <c r="I837" s="173"/>
      <c r="J837" s="173"/>
      <c r="K837" s="173"/>
      <c r="L837" s="173"/>
      <c r="M837" s="173"/>
    </row>
    <row r="838" spans="1:13" s="27" customFormat="1" x14ac:dyDescent="0.3">
      <c r="A838" s="173"/>
      <c r="E838" s="173"/>
      <c r="F838" s="173"/>
      <c r="G838" s="173"/>
      <c r="H838" s="173"/>
      <c r="I838" s="173"/>
      <c r="J838" s="173"/>
      <c r="K838" s="173"/>
      <c r="L838" s="173"/>
      <c r="M838" s="173"/>
    </row>
    <row r="839" spans="1:13" s="27" customFormat="1" x14ac:dyDescent="0.3">
      <c r="A839" s="173"/>
      <c r="E839" s="173"/>
      <c r="F839" s="173"/>
      <c r="G839" s="173"/>
      <c r="H839" s="173"/>
      <c r="I839" s="173"/>
      <c r="J839" s="173"/>
      <c r="K839" s="173"/>
      <c r="L839" s="173"/>
      <c r="M839" s="173"/>
    </row>
    <row r="840" spans="1:13" s="27" customFormat="1" x14ac:dyDescent="0.3">
      <c r="A840" s="173"/>
      <c r="E840" s="173"/>
      <c r="F840" s="173"/>
      <c r="G840" s="173"/>
      <c r="H840" s="173"/>
      <c r="I840" s="173"/>
      <c r="J840" s="173"/>
      <c r="K840" s="173"/>
      <c r="L840" s="173"/>
      <c r="M840" s="173"/>
    </row>
    <row r="841" spans="1:13" s="27" customFormat="1" x14ac:dyDescent="0.3">
      <c r="A841" s="173"/>
      <c r="E841" s="173"/>
      <c r="F841" s="173"/>
      <c r="G841" s="173"/>
      <c r="H841" s="173"/>
      <c r="I841" s="173"/>
      <c r="J841" s="173"/>
      <c r="K841" s="173"/>
      <c r="L841" s="173"/>
      <c r="M841" s="173"/>
    </row>
    <row r="842" spans="1:13" s="27" customFormat="1" x14ac:dyDescent="0.3">
      <c r="A842" s="173"/>
      <c r="E842" s="173"/>
      <c r="F842" s="173"/>
      <c r="G842" s="173"/>
      <c r="H842" s="173"/>
      <c r="I842" s="173"/>
      <c r="J842" s="173"/>
      <c r="K842" s="173"/>
      <c r="L842" s="173"/>
      <c r="M842" s="173"/>
    </row>
    <row r="843" spans="1:13" s="27" customFormat="1" x14ac:dyDescent="0.3">
      <c r="A843" s="173"/>
      <c r="E843" s="173"/>
      <c r="F843" s="173"/>
      <c r="G843" s="173"/>
      <c r="H843" s="173"/>
      <c r="I843" s="173"/>
      <c r="J843" s="173"/>
      <c r="K843" s="173"/>
      <c r="L843" s="173"/>
      <c r="M843" s="173"/>
    </row>
    <row r="844" spans="1:13" s="27" customFormat="1" x14ac:dyDescent="0.3">
      <c r="A844" s="173"/>
      <c r="E844" s="173"/>
      <c r="F844" s="173"/>
      <c r="G844" s="173"/>
      <c r="H844" s="173"/>
      <c r="I844" s="173"/>
      <c r="J844" s="173"/>
      <c r="K844" s="173"/>
      <c r="L844" s="173"/>
      <c r="M844" s="173"/>
    </row>
    <row r="845" spans="1:13" s="27" customFormat="1" x14ac:dyDescent="0.3">
      <c r="A845" s="173"/>
      <c r="E845" s="173"/>
      <c r="F845" s="173"/>
      <c r="G845" s="173"/>
      <c r="H845" s="173"/>
      <c r="I845" s="173"/>
      <c r="J845" s="173"/>
      <c r="K845" s="173"/>
      <c r="L845" s="173"/>
      <c r="M845" s="173"/>
    </row>
    <row r="846" spans="1:13" s="27" customFormat="1" x14ac:dyDescent="0.3">
      <c r="A846" s="173"/>
      <c r="E846" s="173"/>
      <c r="F846" s="173"/>
      <c r="G846" s="173"/>
      <c r="H846" s="173"/>
      <c r="I846" s="173"/>
      <c r="J846" s="173"/>
      <c r="K846" s="173"/>
      <c r="L846" s="173"/>
      <c r="M846" s="173"/>
    </row>
    <row r="847" spans="1:13" s="27" customFormat="1" x14ac:dyDescent="0.3">
      <c r="A847" s="173"/>
      <c r="E847" s="173"/>
      <c r="F847" s="173"/>
      <c r="G847" s="173"/>
      <c r="H847" s="173"/>
      <c r="I847" s="173"/>
      <c r="J847" s="173"/>
      <c r="K847" s="173"/>
      <c r="L847" s="173"/>
      <c r="M847" s="173"/>
    </row>
    <row r="848" spans="1:13" s="27" customFormat="1" x14ac:dyDescent="0.3">
      <c r="A848" s="173"/>
      <c r="E848" s="173"/>
      <c r="F848" s="173"/>
      <c r="G848" s="173"/>
      <c r="H848" s="173"/>
      <c r="I848" s="173"/>
      <c r="J848" s="173"/>
      <c r="K848" s="173"/>
      <c r="L848" s="173"/>
      <c r="M848" s="173"/>
    </row>
    <row r="849" spans="1:13" s="27" customFormat="1" x14ac:dyDescent="0.3">
      <c r="A849" s="173"/>
      <c r="E849" s="173"/>
      <c r="F849" s="173"/>
      <c r="G849" s="173"/>
      <c r="H849" s="173"/>
      <c r="I849" s="173"/>
      <c r="J849" s="173"/>
      <c r="K849" s="173"/>
      <c r="L849" s="173"/>
      <c r="M849" s="173"/>
    </row>
    <row r="850" spans="1:13" s="27" customFormat="1" x14ac:dyDescent="0.3">
      <c r="A850" s="173"/>
      <c r="E850" s="173"/>
      <c r="F850" s="173"/>
      <c r="G850" s="173"/>
      <c r="H850" s="173"/>
      <c r="I850" s="173"/>
      <c r="J850" s="173"/>
      <c r="K850" s="173"/>
      <c r="L850" s="173"/>
      <c r="M850" s="173"/>
    </row>
    <row r="851" spans="1:13" s="27" customFormat="1" x14ac:dyDescent="0.3">
      <c r="A851" s="173"/>
      <c r="E851" s="173"/>
      <c r="F851" s="173"/>
      <c r="G851" s="173"/>
      <c r="H851" s="173"/>
      <c r="I851" s="173"/>
      <c r="J851" s="173"/>
      <c r="K851" s="173"/>
      <c r="L851" s="173"/>
      <c r="M851" s="173"/>
    </row>
    <row r="852" spans="1:13" s="27" customFormat="1" x14ac:dyDescent="0.3">
      <c r="A852" s="173"/>
      <c r="E852" s="173"/>
      <c r="F852" s="173"/>
      <c r="G852" s="173"/>
      <c r="H852" s="173"/>
      <c r="I852" s="173"/>
      <c r="J852" s="173"/>
      <c r="K852" s="173"/>
      <c r="L852" s="173"/>
      <c r="M852" s="173"/>
    </row>
    <row r="853" spans="1:13" s="27" customFormat="1" x14ac:dyDescent="0.3">
      <c r="A853" s="173"/>
      <c r="E853" s="173"/>
      <c r="F853" s="173"/>
      <c r="G853" s="173"/>
      <c r="H853" s="173"/>
      <c r="I853" s="173"/>
      <c r="J853" s="173"/>
      <c r="K853" s="173"/>
      <c r="L853" s="173"/>
      <c r="M853" s="173"/>
    </row>
    <row r="854" spans="1:13" s="27" customFormat="1" x14ac:dyDescent="0.3">
      <c r="A854" s="173"/>
      <c r="E854" s="173"/>
      <c r="F854" s="173"/>
      <c r="G854" s="173"/>
      <c r="H854" s="173"/>
      <c r="I854" s="173"/>
      <c r="J854" s="173"/>
      <c r="K854" s="173"/>
      <c r="L854" s="173"/>
      <c r="M854" s="173"/>
    </row>
    <row r="855" spans="1:13" s="27" customFormat="1" x14ac:dyDescent="0.3">
      <c r="A855" s="173"/>
      <c r="E855" s="173"/>
      <c r="F855" s="173"/>
      <c r="G855" s="173"/>
      <c r="H855" s="173"/>
      <c r="I855" s="173"/>
      <c r="J855" s="173"/>
      <c r="K855" s="173"/>
      <c r="L855" s="173"/>
      <c r="M855" s="173"/>
    </row>
    <row r="856" spans="1:13" s="27" customFormat="1" x14ac:dyDescent="0.3">
      <c r="A856" s="173"/>
      <c r="E856" s="173"/>
      <c r="F856" s="173"/>
      <c r="G856" s="173"/>
      <c r="H856" s="173"/>
      <c r="I856" s="173"/>
      <c r="J856" s="173"/>
      <c r="K856" s="173"/>
      <c r="L856" s="173"/>
      <c r="M856" s="173"/>
    </row>
    <row r="857" spans="1:13" s="27" customFormat="1" x14ac:dyDescent="0.3">
      <c r="A857" s="173"/>
      <c r="E857" s="173"/>
      <c r="F857" s="173"/>
      <c r="G857" s="173"/>
      <c r="H857" s="173"/>
      <c r="I857" s="173"/>
      <c r="J857" s="173"/>
      <c r="K857" s="173"/>
      <c r="L857" s="173"/>
      <c r="M857" s="173"/>
    </row>
    <row r="858" spans="1:13" s="27" customFormat="1" x14ac:dyDescent="0.3">
      <c r="A858" s="173"/>
      <c r="E858" s="173"/>
      <c r="F858" s="173"/>
      <c r="G858" s="173"/>
      <c r="H858" s="173"/>
      <c r="I858" s="173"/>
      <c r="J858" s="173"/>
      <c r="K858" s="173"/>
      <c r="L858" s="173"/>
      <c r="M858" s="173"/>
    </row>
    <row r="859" spans="1:13" s="27" customFormat="1" x14ac:dyDescent="0.3">
      <c r="A859" s="173"/>
      <c r="E859" s="173"/>
      <c r="F859" s="173"/>
      <c r="G859" s="173"/>
      <c r="H859" s="173"/>
      <c r="I859" s="173"/>
      <c r="J859" s="173"/>
      <c r="K859" s="173"/>
      <c r="L859" s="173"/>
      <c r="M859" s="173"/>
    </row>
    <row r="860" spans="1:13" s="27" customFormat="1" x14ac:dyDescent="0.3">
      <c r="A860" s="173"/>
      <c r="E860" s="173"/>
      <c r="F860" s="173"/>
      <c r="G860" s="173"/>
      <c r="H860" s="173"/>
      <c r="I860" s="173"/>
      <c r="J860" s="173"/>
      <c r="K860" s="173"/>
      <c r="L860" s="173"/>
      <c r="M860" s="173"/>
    </row>
    <row r="861" spans="1:13" s="27" customFormat="1" x14ac:dyDescent="0.3">
      <c r="A861" s="173"/>
      <c r="E861" s="173"/>
      <c r="F861" s="173"/>
      <c r="G861" s="173"/>
      <c r="H861" s="173"/>
      <c r="I861" s="173"/>
      <c r="J861" s="173"/>
      <c r="K861" s="173"/>
      <c r="L861" s="173"/>
      <c r="M861" s="173"/>
    </row>
    <row r="862" spans="1:13" s="27" customFormat="1" x14ac:dyDescent="0.3">
      <c r="A862" s="173"/>
      <c r="E862" s="173"/>
      <c r="F862" s="173"/>
      <c r="G862" s="173"/>
      <c r="H862" s="173"/>
      <c r="I862" s="173"/>
      <c r="J862" s="173"/>
      <c r="K862" s="173"/>
      <c r="L862" s="173"/>
      <c r="M862" s="173"/>
    </row>
    <row r="863" spans="1:13" s="27" customFormat="1" x14ac:dyDescent="0.3">
      <c r="A863" s="173"/>
      <c r="E863" s="173"/>
      <c r="F863" s="173"/>
      <c r="G863" s="173"/>
      <c r="H863" s="173"/>
      <c r="I863" s="173"/>
      <c r="J863" s="173"/>
      <c r="K863" s="173"/>
      <c r="L863" s="173"/>
      <c r="M863" s="173"/>
    </row>
    <row r="864" spans="1:13" s="27" customFormat="1" x14ac:dyDescent="0.3">
      <c r="A864" s="173"/>
      <c r="E864" s="173"/>
      <c r="F864" s="173"/>
      <c r="G864" s="173"/>
      <c r="H864" s="173"/>
      <c r="I864" s="173"/>
      <c r="J864" s="173"/>
      <c r="K864" s="173"/>
      <c r="L864" s="173"/>
      <c r="M864" s="173"/>
    </row>
    <row r="865" spans="1:13" s="27" customFormat="1" x14ac:dyDescent="0.3">
      <c r="A865" s="173"/>
      <c r="E865" s="173"/>
      <c r="F865" s="173"/>
      <c r="G865" s="173"/>
      <c r="H865" s="173"/>
      <c r="I865" s="173"/>
      <c r="J865" s="173"/>
      <c r="K865" s="173"/>
      <c r="L865" s="173"/>
      <c r="M865" s="173"/>
    </row>
    <row r="866" spans="1:13" s="27" customFormat="1" x14ac:dyDescent="0.3">
      <c r="A866" s="173"/>
      <c r="E866" s="173"/>
      <c r="F866" s="173"/>
      <c r="G866" s="173"/>
      <c r="H866" s="173"/>
      <c r="I866" s="173"/>
      <c r="J866" s="173"/>
      <c r="K866" s="173"/>
      <c r="L866" s="173"/>
      <c r="M866" s="173"/>
    </row>
    <row r="867" spans="1:13" s="27" customFormat="1" x14ac:dyDescent="0.3">
      <c r="A867" s="173"/>
      <c r="E867" s="173"/>
      <c r="F867" s="173"/>
      <c r="G867" s="173"/>
      <c r="H867" s="173"/>
      <c r="I867" s="173"/>
      <c r="J867" s="173"/>
      <c r="K867" s="173"/>
      <c r="L867" s="173"/>
      <c r="M867" s="173"/>
    </row>
    <row r="868" spans="1:13" s="27" customFormat="1" x14ac:dyDescent="0.3">
      <c r="A868" s="173"/>
      <c r="E868" s="173"/>
      <c r="F868" s="173"/>
      <c r="G868" s="173"/>
      <c r="H868" s="173"/>
      <c r="I868" s="173"/>
      <c r="J868" s="173"/>
      <c r="K868" s="173"/>
      <c r="L868" s="173"/>
      <c r="M868" s="173"/>
    </row>
    <row r="869" spans="1:13" s="27" customFormat="1" x14ac:dyDescent="0.3">
      <c r="A869" s="173"/>
      <c r="E869" s="173"/>
      <c r="F869" s="173"/>
      <c r="G869" s="173"/>
      <c r="H869" s="173"/>
      <c r="I869" s="173"/>
      <c r="J869" s="173"/>
      <c r="K869" s="173"/>
      <c r="L869" s="173"/>
      <c r="M869" s="173"/>
    </row>
    <row r="870" spans="1:13" s="27" customFormat="1" x14ac:dyDescent="0.3">
      <c r="A870" s="173"/>
      <c r="E870" s="173"/>
      <c r="F870" s="173"/>
      <c r="G870" s="173"/>
      <c r="H870" s="173"/>
      <c r="I870" s="173"/>
      <c r="J870" s="173"/>
      <c r="K870" s="173"/>
      <c r="L870" s="173"/>
      <c r="M870" s="173"/>
    </row>
    <row r="871" spans="1:13" s="27" customFormat="1" x14ac:dyDescent="0.3">
      <c r="A871" s="173"/>
      <c r="E871" s="173"/>
      <c r="F871" s="173"/>
      <c r="G871" s="173"/>
      <c r="H871" s="173"/>
      <c r="I871" s="173"/>
      <c r="J871" s="173"/>
      <c r="K871" s="173"/>
      <c r="L871" s="173"/>
      <c r="M871" s="173"/>
    </row>
    <row r="872" spans="1:13" s="27" customFormat="1" x14ac:dyDescent="0.3">
      <c r="A872" s="173"/>
      <c r="E872" s="173"/>
      <c r="F872" s="173"/>
      <c r="G872" s="173"/>
      <c r="H872" s="173"/>
      <c r="I872" s="173"/>
      <c r="J872" s="173"/>
      <c r="K872" s="173"/>
      <c r="L872" s="173"/>
      <c r="M872" s="173"/>
    </row>
    <row r="873" spans="1:13" s="27" customFormat="1" x14ac:dyDescent="0.3">
      <c r="A873" s="173"/>
      <c r="E873" s="173"/>
      <c r="F873" s="173"/>
      <c r="G873" s="173"/>
      <c r="H873" s="173"/>
      <c r="I873" s="173"/>
      <c r="J873" s="173"/>
      <c r="K873" s="173"/>
      <c r="L873" s="173"/>
      <c r="M873" s="173"/>
    </row>
    <row r="874" spans="1:13" s="27" customFormat="1" x14ac:dyDescent="0.3">
      <c r="A874" s="173"/>
      <c r="E874" s="173"/>
      <c r="F874" s="173"/>
      <c r="G874" s="173"/>
      <c r="H874" s="173"/>
      <c r="I874" s="173"/>
      <c r="J874" s="173"/>
      <c r="K874" s="173"/>
      <c r="L874" s="173"/>
      <c r="M874" s="173"/>
    </row>
    <row r="875" spans="1:13" s="27" customFormat="1" x14ac:dyDescent="0.3">
      <c r="A875" s="173"/>
      <c r="E875" s="173"/>
      <c r="F875" s="173"/>
      <c r="G875" s="173"/>
      <c r="H875" s="173"/>
      <c r="I875" s="173"/>
      <c r="J875" s="173"/>
      <c r="K875" s="173"/>
      <c r="L875" s="173"/>
      <c r="M875" s="173"/>
    </row>
    <row r="876" spans="1:13" s="27" customFormat="1" x14ac:dyDescent="0.3">
      <c r="A876" s="173"/>
      <c r="E876" s="173"/>
      <c r="F876" s="173"/>
      <c r="G876" s="173"/>
      <c r="H876" s="173"/>
      <c r="I876" s="173"/>
      <c r="J876" s="173"/>
      <c r="K876" s="173"/>
      <c r="L876" s="173"/>
      <c r="M876" s="173"/>
    </row>
    <row r="877" spans="1:13" s="27" customFormat="1" x14ac:dyDescent="0.3">
      <c r="A877" s="173"/>
      <c r="E877" s="173"/>
      <c r="F877" s="173"/>
      <c r="G877" s="173"/>
      <c r="H877" s="173"/>
      <c r="I877" s="173"/>
      <c r="J877" s="173"/>
      <c r="K877" s="173"/>
      <c r="L877" s="173"/>
      <c r="M877" s="173"/>
    </row>
    <row r="878" spans="1:13" s="27" customFormat="1" x14ac:dyDescent="0.3">
      <c r="A878" s="173"/>
      <c r="E878" s="173"/>
      <c r="F878" s="173"/>
      <c r="G878" s="173"/>
      <c r="H878" s="173"/>
      <c r="I878" s="173"/>
      <c r="J878" s="173"/>
      <c r="K878" s="173"/>
      <c r="L878" s="173"/>
      <c r="M878" s="173"/>
    </row>
    <row r="879" spans="1:13" s="27" customFormat="1" x14ac:dyDescent="0.3">
      <c r="A879" s="173"/>
      <c r="E879" s="173"/>
      <c r="F879" s="173"/>
      <c r="G879" s="173"/>
      <c r="H879" s="173"/>
      <c r="I879" s="173"/>
      <c r="J879" s="173"/>
      <c r="K879" s="173"/>
      <c r="L879" s="173"/>
      <c r="M879" s="173"/>
    </row>
    <row r="880" spans="1:13" s="27" customFormat="1" x14ac:dyDescent="0.3">
      <c r="A880" s="173"/>
      <c r="E880" s="173"/>
      <c r="F880" s="173"/>
      <c r="G880" s="173"/>
      <c r="H880" s="173"/>
      <c r="I880" s="173"/>
      <c r="J880" s="173"/>
      <c r="K880" s="173"/>
      <c r="L880" s="173"/>
      <c r="M880" s="173"/>
    </row>
    <row r="881" spans="1:13" s="27" customFormat="1" x14ac:dyDescent="0.3">
      <c r="A881" s="173"/>
      <c r="E881" s="173"/>
      <c r="F881" s="173"/>
      <c r="G881" s="173"/>
      <c r="H881" s="173"/>
      <c r="I881" s="173"/>
      <c r="J881" s="173"/>
      <c r="K881" s="173"/>
      <c r="L881" s="173"/>
      <c r="M881" s="173"/>
    </row>
    <row r="882" spans="1:13" s="27" customFormat="1" x14ac:dyDescent="0.3">
      <c r="A882" s="173"/>
      <c r="E882" s="173"/>
      <c r="F882" s="173"/>
      <c r="G882" s="173"/>
      <c r="H882" s="173"/>
      <c r="I882" s="173"/>
      <c r="J882" s="173"/>
      <c r="K882" s="173"/>
      <c r="L882" s="173"/>
      <c r="M882" s="173"/>
    </row>
    <row r="883" spans="1:13" s="27" customFormat="1" x14ac:dyDescent="0.3">
      <c r="A883" s="173"/>
      <c r="E883" s="173"/>
      <c r="F883" s="173"/>
      <c r="G883" s="173"/>
      <c r="H883" s="173"/>
      <c r="I883" s="173"/>
      <c r="J883" s="173"/>
      <c r="K883" s="173"/>
      <c r="L883" s="173"/>
      <c r="M883" s="173"/>
    </row>
    <row r="884" spans="1:13" s="27" customFormat="1" x14ac:dyDescent="0.3">
      <c r="A884" s="173"/>
      <c r="E884" s="173"/>
      <c r="F884" s="173"/>
      <c r="G884" s="173"/>
      <c r="H884" s="173"/>
      <c r="I884" s="173"/>
      <c r="J884" s="173"/>
      <c r="K884" s="173"/>
      <c r="L884" s="173"/>
      <c r="M884" s="173"/>
    </row>
    <row r="885" spans="1:13" s="27" customFormat="1" x14ac:dyDescent="0.3">
      <c r="A885" s="173"/>
      <c r="E885" s="173"/>
      <c r="F885" s="173"/>
      <c r="G885" s="173"/>
      <c r="H885" s="173"/>
      <c r="I885" s="173"/>
      <c r="J885" s="173"/>
      <c r="K885" s="173"/>
      <c r="L885" s="173"/>
      <c r="M885" s="173"/>
    </row>
    <row r="886" spans="1:13" s="27" customFormat="1" x14ac:dyDescent="0.3">
      <c r="A886" s="173"/>
      <c r="E886" s="173"/>
      <c r="F886" s="173"/>
      <c r="G886" s="173"/>
      <c r="H886" s="173"/>
      <c r="I886" s="173"/>
      <c r="J886" s="173"/>
      <c r="K886" s="173"/>
      <c r="L886" s="173"/>
      <c r="M886" s="173"/>
    </row>
    <row r="887" spans="1:13" s="27" customFormat="1" x14ac:dyDescent="0.3">
      <c r="A887" s="173"/>
      <c r="E887" s="173"/>
      <c r="F887" s="173"/>
      <c r="G887" s="173"/>
      <c r="H887" s="173"/>
      <c r="I887" s="173"/>
      <c r="J887" s="173"/>
      <c r="K887" s="173"/>
      <c r="L887" s="173"/>
      <c r="M887" s="173"/>
    </row>
    <row r="888" spans="1:13" s="27" customFormat="1" x14ac:dyDescent="0.3">
      <c r="A888" s="173"/>
      <c r="E888" s="173"/>
      <c r="F888" s="173"/>
      <c r="G888" s="173"/>
      <c r="H888" s="173"/>
      <c r="I888" s="173"/>
      <c r="J888" s="173"/>
      <c r="K888" s="173"/>
      <c r="L888" s="173"/>
      <c r="M888" s="173"/>
    </row>
    <row r="889" spans="1:13" s="27" customFormat="1" x14ac:dyDescent="0.3">
      <c r="A889" s="173"/>
      <c r="E889" s="173"/>
      <c r="F889" s="173"/>
      <c r="G889" s="173"/>
      <c r="H889" s="173"/>
      <c r="I889" s="173"/>
      <c r="J889" s="173"/>
      <c r="K889" s="173"/>
      <c r="L889" s="173"/>
      <c r="M889" s="173"/>
    </row>
    <row r="890" spans="1:13" s="27" customFormat="1" x14ac:dyDescent="0.3">
      <c r="A890" s="173"/>
      <c r="E890" s="173"/>
      <c r="F890" s="173"/>
      <c r="G890" s="173"/>
      <c r="H890" s="173"/>
      <c r="I890" s="173"/>
      <c r="J890" s="173"/>
      <c r="K890" s="173"/>
      <c r="L890" s="173"/>
      <c r="M890" s="173"/>
    </row>
    <row r="891" spans="1:13" s="27" customFormat="1" x14ac:dyDescent="0.3">
      <c r="A891" s="173"/>
      <c r="E891" s="173"/>
      <c r="F891" s="173"/>
      <c r="G891" s="173"/>
      <c r="H891" s="173"/>
      <c r="I891" s="173"/>
      <c r="J891" s="173"/>
      <c r="K891" s="173"/>
      <c r="L891" s="173"/>
      <c r="M891" s="173"/>
    </row>
    <row r="892" spans="1:13" s="27" customFormat="1" x14ac:dyDescent="0.3">
      <c r="A892" s="173"/>
      <c r="E892" s="173"/>
      <c r="F892" s="173"/>
      <c r="G892" s="173"/>
      <c r="H892" s="173"/>
      <c r="I892" s="173"/>
      <c r="J892" s="173"/>
      <c r="K892" s="173"/>
      <c r="L892" s="173"/>
      <c r="M892" s="173"/>
    </row>
    <row r="893" spans="1:13" s="27" customFormat="1" x14ac:dyDescent="0.3">
      <c r="A893" s="173"/>
      <c r="E893" s="173"/>
      <c r="F893" s="173"/>
      <c r="G893" s="173"/>
      <c r="H893" s="173"/>
      <c r="I893" s="173"/>
      <c r="J893" s="173"/>
      <c r="K893" s="173"/>
      <c r="L893" s="173"/>
      <c r="M893" s="173"/>
    </row>
    <row r="894" spans="1:13" s="27" customFormat="1" x14ac:dyDescent="0.3">
      <c r="A894" s="173"/>
      <c r="E894" s="173"/>
      <c r="F894" s="173"/>
      <c r="G894" s="173"/>
      <c r="H894" s="173"/>
      <c r="I894" s="173"/>
      <c r="J894" s="173"/>
      <c r="K894" s="173"/>
      <c r="L894" s="173"/>
      <c r="M894" s="173"/>
    </row>
    <row r="895" spans="1:13" s="27" customFormat="1" x14ac:dyDescent="0.3">
      <c r="A895" s="173"/>
      <c r="E895" s="173"/>
      <c r="F895" s="173"/>
      <c r="G895" s="173"/>
      <c r="H895" s="173"/>
      <c r="I895" s="173"/>
      <c r="J895" s="173"/>
      <c r="K895" s="173"/>
      <c r="L895" s="173"/>
      <c r="M895" s="173"/>
    </row>
    <row r="896" spans="1:13" s="27" customFormat="1" x14ac:dyDescent="0.3">
      <c r="A896" s="173"/>
      <c r="E896" s="173"/>
      <c r="F896" s="173"/>
      <c r="G896" s="173"/>
      <c r="H896" s="173"/>
      <c r="I896" s="173"/>
      <c r="J896" s="173"/>
      <c r="K896" s="173"/>
      <c r="L896" s="173"/>
      <c r="M896" s="173"/>
    </row>
    <row r="897" spans="1:13" s="27" customFormat="1" x14ac:dyDescent="0.3">
      <c r="A897" s="173"/>
      <c r="E897" s="173"/>
      <c r="F897" s="173"/>
      <c r="G897" s="173"/>
      <c r="H897" s="173"/>
      <c r="I897" s="173"/>
      <c r="J897" s="173"/>
      <c r="K897" s="173"/>
      <c r="L897" s="173"/>
      <c r="M897" s="173"/>
    </row>
    <row r="898" spans="1:13" s="27" customFormat="1" x14ac:dyDescent="0.3">
      <c r="A898" s="173"/>
      <c r="E898" s="173"/>
      <c r="F898" s="173"/>
      <c r="G898" s="173"/>
      <c r="H898" s="173"/>
      <c r="I898" s="173"/>
      <c r="J898" s="173"/>
      <c r="K898" s="173"/>
      <c r="L898" s="173"/>
      <c r="M898" s="173"/>
    </row>
    <row r="899" spans="1:13" s="27" customFormat="1" x14ac:dyDescent="0.3">
      <c r="A899" s="173"/>
      <c r="E899" s="173"/>
      <c r="F899" s="173"/>
      <c r="G899" s="173"/>
      <c r="H899" s="173"/>
      <c r="I899" s="173"/>
      <c r="J899" s="173"/>
      <c r="K899" s="173"/>
      <c r="L899" s="173"/>
      <c r="M899" s="173"/>
    </row>
    <row r="900" spans="1:13" s="27" customFormat="1" x14ac:dyDescent="0.3">
      <c r="A900" s="173"/>
      <c r="E900" s="173"/>
      <c r="F900" s="173"/>
      <c r="G900" s="173"/>
      <c r="H900" s="173"/>
      <c r="I900" s="173"/>
      <c r="J900" s="173"/>
      <c r="K900" s="173"/>
      <c r="L900" s="173"/>
      <c r="M900" s="173"/>
    </row>
    <row r="901" spans="1:13" s="27" customFormat="1" x14ac:dyDescent="0.3">
      <c r="A901" s="173"/>
      <c r="E901" s="173"/>
      <c r="F901" s="173"/>
      <c r="G901" s="173"/>
      <c r="H901" s="173"/>
      <c r="I901" s="173"/>
      <c r="J901" s="173"/>
      <c r="K901" s="173"/>
      <c r="L901" s="173"/>
      <c r="M901" s="173"/>
    </row>
    <row r="902" spans="1:13" s="27" customFormat="1" x14ac:dyDescent="0.3">
      <c r="A902" s="173"/>
      <c r="E902" s="173"/>
      <c r="F902" s="173"/>
      <c r="G902" s="173"/>
      <c r="H902" s="173"/>
      <c r="I902" s="173"/>
      <c r="J902" s="173"/>
      <c r="K902" s="173"/>
      <c r="L902" s="173"/>
      <c r="M902" s="173"/>
    </row>
    <row r="903" spans="1:13" s="27" customFormat="1" x14ac:dyDescent="0.3">
      <c r="A903" s="173"/>
      <c r="E903" s="173"/>
      <c r="F903" s="173"/>
      <c r="G903" s="173"/>
      <c r="H903" s="173"/>
      <c r="I903" s="173"/>
      <c r="J903" s="173"/>
      <c r="K903" s="173"/>
      <c r="L903" s="173"/>
      <c r="M903" s="173"/>
    </row>
    <row r="904" spans="1:13" s="27" customFormat="1" x14ac:dyDescent="0.3">
      <c r="A904" s="173"/>
      <c r="E904" s="173"/>
      <c r="F904" s="173"/>
      <c r="G904" s="173"/>
      <c r="H904" s="173"/>
      <c r="I904" s="173"/>
      <c r="J904" s="173"/>
      <c r="K904" s="173"/>
      <c r="L904" s="173"/>
      <c r="M904" s="173"/>
    </row>
    <row r="905" spans="1:13" s="27" customFormat="1" x14ac:dyDescent="0.3">
      <c r="A905" s="173"/>
      <c r="E905" s="173"/>
      <c r="F905" s="173"/>
      <c r="G905" s="173"/>
      <c r="H905" s="173"/>
      <c r="I905" s="173"/>
      <c r="J905" s="173"/>
      <c r="K905" s="173"/>
      <c r="L905" s="173"/>
      <c r="M905" s="173"/>
    </row>
    <row r="906" spans="1:13" s="27" customFormat="1" x14ac:dyDescent="0.3">
      <c r="A906" s="173"/>
      <c r="E906" s="173"/>
      <c r="F906" s="173"/>
      <c r="G906" s="173"/>
      <c r="H906" s="173"/>
      <c r="I906" s="173"/>
      <c r="J906" s="173"/>
      <c r="K906" s="173"/>
      <c r="L906" s="173"/>
      <c r="M906" s="173"/>
    </row>
    <row r="907" spans="1:13" s="27" customFormat="1" x14ac:dyDescent="0.3">
      <c r="A907" s="173"/>
      <c r="E907" s="173"/>
      <c r="F907" s="173"/>
      <c r="G907" s="173"/>
      <c r="H907" s="173"/>
      <c r="I907" s="173"/>
      <c r="J907" s="173"/>
      <c r="K907" s="173"/>
      <c r="L907" s="173"/>
      <c r="M907" s="173"/>
    </row>
    <row r="908" spans="1:13" s="27" customFormat="1" x14ac:dyDescent="0.3">
      <c r="A908" s="173"/>
      <c r="E908" s="173"/>
      <c r="F908" s="173"/>
      <c r="G908" s="173"/>
      <c r="H908" s="173"/>
      <c r="I908" s="173"/>
      <c r="J908" s="173"/>
      <c r="K908" s="173"/>
      <c r="L908" s="173"/>
      <c r="M908" s="173"/>
    </row>
    <row r="909" spans="1:13" s="27" customFormat="1" x14ac:dyDescent="0.3">
      <c r="A909" s="173"/>
      <c r="E909" s="173"/>
      <c r="F909" s="173"/>
      <c r="G909" s="173"/>
      <c r="H909" s="173"/>
      <c r="I909" s="173"/>
      <c r="J909" s="173"/>
      <c r="K909" s="173"/>
      <c r="L909" s="173"/>
      <c r="M909" s="173"/>
    </row>
    <row r="910" spans="1:13" s="27" customFormat="1" x14ac:dyDescent="0.3">
      <c r="A910" s="173"/>
      <c r="E910" s="173"/>
      <c r="F910" s="173"/>
      <c r="G910" s="173"/>
      <c r="H910" s="173"/>
      <c r="I910" s="173"/>
      <c r="J910" s="173"/>
      <c r="K910" s="173"/>
      <c r="L910" s="173"/>
      <c r="M910" s="173"/>
    </row>
    <row r="911" spans="1:13" s="27" customFormat="1" x14ac:dyDescent="0.3">
      <c r="A911" s="173"/>
      <c r="E911" s="173"/>
      <c r="F911" s="173"/>
      <c r="G911" s="173"/>
      <c r="H911" s="173"/>
      <c r="I911" s="173"/>
      <c r="J911" s="173"/>
      <c r="K911" s="173"/>
      <c r="L911" s="173"/>
      <c r="M911" s="173"/>
    </row>
    <row r="912" spans="1:13" s="27" customFormat="1" x14ac:dyDescent="0.3">
      <c r="A912" s="173"/>
      <c r="E912" s="173"/>
      <c r="F912" s="173"/>
      <c r="G912" s="173"/>
      <c r="H912" s="173"/>
      <c r="I912" s="173"/>
      <c r="J912" s="173"/>
      <c r="K912" s="173"/>
      <c r="L912" s="173"/>
      <c r="M912" s="173"/>
    </row>
    <row r="913" spans="1:13" s="27" customFormat="1" x14ac:dyDescent="0.3">
      <c r="A913" s="173"/>
      <c r="E913" s="173"/>
      <c r="F913" s="173"/>
      <c r="G913" s="173"/>
      <c r="H913" s="173"/>
      <c r="I913" s="173"/>
      <c r="J913" s="173"/>
      <c r="K913" s="173"/>
      <c r="L913" s="173"/>
      <c r="M913" s="173"/>
    </row>
    <row r="914" spans="1:13" s="27" customFormat="1" x14ac:dyDescent="0.3">
      <c r="A914" s="173"/>
      <c r="E914" s="173"/>
      <c r="F914" s="173"/>
      <c r="G914" s="173"/>
      <c r="H914" s="173"/>
      <c r="I914" s="173"/>
      <c r="J914" s="173"/>
      <c r="K914" s="173"/>
      <c r="L914" s="173"/>
      <c r="M914" s="173"/>
    </row>
    <row r="915" spans="1:13" s="27" customFormat="1" x14ac:dyDescent="0.3">
      <c r="A915" s="173"/>
      <c r="E915" s="173"/>
      <c r="F915" s="173"/>
      <c r="G915" s="173"/>
      <c r="H915" s="173"/>
      <c r="I915" s="173"/>
      <c r="J915" s="173"/>
      <c r="K915" s="173"/>
      <c r="L915" s="173"/>
      <c r="M915" s="173"/>
    </row>
    <row r="916" spans="1:13" s="27" customFormat="1" x14ac:dyDescent="0.3">
      <c r="A916" s="173"/>
      <c r="E916" s="173"/>
      <c r="F916" s="173"/>
      <c r="G916" s="173"/>
      <c r="H916" s="173"/>
      <c r="I916" s="173"/>
      <c r="J916" s="173"/>
      <c r="K916" s="173"/>
      <c r="L916" s="173"/>
      <c r="M916" s="173"/>
    </row>
    <row r="917" spans="1:13" s="27" customFormat="1" x14ac:dyDescent="0.3">
      <c r="A917" s="173"/>
      <c r="E917" s="173"/>
      <c r="F917" s="173"/>
      <c r="G917" s="173"/>
      <c r="H917" s="173"/>
      <c r="I917" s="173"/>
      <c r="J917" s="173"/>
      <c r="K917" s="173"/>
      <c r="L917" s="173"/>
      <c r="M917" s="173"/>
    </row>
    <row r="918" spans="1:13" s="27" customFormat="1" x14ac:dyDescent="0.3">
      <c r="A918" s="173"/>
      <c r="E918" s="173"/>
      <c r="F918" s="173"/>
      <c r="G918" s="173"/>
      <c r="H918" s="173"/>
      <c r="I918" s="173"/>
      <c r="J918" s="173"/>
      <c r="K918" s="173"/>
      <c r="L918" s="173"/>
      <c r="M918" s="173"/>
    </row>
    <row r="919" spans="1:13" s="27" customFormat="1" x14ac:dyDescent="0.3">
      <c r="A919" s="173"/>
      <c r="E919" s="173"/>
      <c r="F919" s="173"/>
      <c r="G919" s="173"/>
      <c r="H919" s="173"/>
      <c r="I919" s="173"/>
      <c r="J919" s="173"/>
      <c r="K919" s="173"/>
      <c r="L919" s="173"/>
      <c r="M919" s="173"/>
    </row>
    <row r="920" spans="1:13" s="27" customFormat="1" x14ac:dyDescent="0.3">
      <c r="A920" s="173"/>
      <c r="E920" s="173"/>
      <c r="F920" s="173"/>
      <c r="G920" s="173"/>
      <c r="H920" s="173"/>
      <c r="I920" s="173"/>
      <c r="J920" s="173"/>
      <c r="K920" s="173"/>
      <c r="L920" s="173"/>
      <c r="M920" s="173"/>
    </row>
    <row r="921" spans="1:13" s="27" customFormat="1" x14ac:dyDescent="0.3">
      <c r="A921" s="173"/>
      <c r="E921" s="173"/>
      <c r="F921" s="173"/>
      <c r="G921" s="173"/>
      <c r="H921" s="173"/>
      <c r="I921" s="173"/>
      <c r="J921" s="173"/>
      <c r="K921" s="173"/>
      <c r="L921" s="173"/>
      <c r="M921" s="173"/>
    </row>
    <row r="922" spans="1:13" s="27" customFormat="1" x14ac:dyDescent="0.3">
      <c r="A922" s="173"/>
      <c r="E922" s="173"/>
      <c r="F922" s="173"/>
      <c r="G922" s="173"/>
      <c r="H922" s="173"/>
      <c r="I922" s="173"/>
      <c r="J922" s="173"/>
      <c r="K922" s="173"/>
      <c r="L922" s="173"/>
      <c r="M922" s="173"/>
    </row>
    <row r="923" spans="1:13" s="27" customFormat="1" x14ac:dyDescent="0.3">
      <c r="A923" s="173"/>
      <c r="E923" s="173"/>
      <c r="F923" s="173"/>
      <c r="G923" s="173"/>
      <c r="H923" s="173"/>
      <c r="I923" s="173"/>
      <c r="J923" s="173"/>
      <c r="K923" s="173"/>
      <c r="L923" s="173"/>
      <c r="M923" s="173"/>
    </row>
    <row r="924" spans="1:13" s="27" customFormat="1" x14ac:dyDescent="0.3">
      <c r="A924" s="173"/>
      <c r="E924" s="173"/>
      <c r="F924" s="173"/>
      <c r="G924" s="173"/>
      <c r="H924" s="173"/>
      <c r="I924" s="173"/>
      <c r="J924" s="173"/>
      <c r="K924" s="173"/>
      <c r="L924" s="173"/>
      <c r="M924" s="173"/>
    </row>
    <row r="925" spans="1:13" s="27" customFormat="1" x14ac:dyDescent="0.3">
      <c r="A925" s="173"/>
      <c r="E925" s="173"/>
      <c r="F925" s="173"/>
      <c r="G925" s="173"/>
      <c r="H925" s="173"/>
      <c r="I925" s="173"/>
      <c r="J925" s="173"/>
      <c r="K925" s="173"/>
      <c r="L925" s="173"/>
      <c r="M925" s="173"/>
    </row>
    <row r="926" spans="1:13" s="27" customFormat="1" x14ac:dyDescent="0.3">
      <c r="A926" s="173"/>
      <c r="E926" s="173"/>
      <c r="F926" s="173"/>
      <c r="G926" s="173"/>
      <c r="H926" s="173"/>
      <c r="I926" s="173"/>
      <c r="J926" s="173"/>
      <c r="K926" s="173"/>
      <c r="L926" s="173"/>
      <c r="M926" s="173"/>
    </row>
    <row r="927" spans="1:13" s="27" customFormat="1" x14ac:dyDescent="0.3">
      <c r="A927" s="173"/>
      <c r="E927" s="173"/>
      <c r="F927" s="173"/>
      <c r="G927" s="173"/>
      <c r="H927" s="173"/>
      <c r="I927" s="173"/>
      <c r="J927" s="173"/>
      <c r="K927" s="173"/>
      <c r="L927" s="173"/>
      <c r="M927" s="173"/>
    </row>
    <row r="928" spans="1:13" s="27" customFormat="1" x14ac:dyDescent="0.3">
      <c r="A928" s="173"/>
      <c r="E928" s="173"/>
      <c r="F928" s="173"/>
      <c r="G928" s="173"/>
      <c r="H928" s="173"/>
      <c r="I928" s="173"/>
      <c r="J928" s="173"/>
      <c r="K928" s="173"/>
      <c r="L928" s="173"/>
      <c r="M928" s="173"/>
    </row>
    <row r="929" spans="1:13" s="27" customFormat="1" x14ac:dyDescent="0.3">
      <c r="A929" s="173"/>
      <c r="E929" s="173"/>
      <c r="F929" s="173"/>
      <c r="G929" s="173"/>
      <c r="H929" s="173"/>
      <c r="I929" s="173"/>
      <c r="J929" s="173"/>
      <c r="K929" s="173"/>
      <c r="L929" s="173"/>
      <c r="M929" s="173"/>
    </row>
    <row r="930" spans="1:13" s="27" customFormat="1" x14ac:dyDescent="0.3">
      <c r="A930" s="173"/>
      <c r="E930" s="173"/>
      <c r="F930" s="173"/>
      <c r="G930" s="173"/>
      <c r="H930" s="173"/>
      <c r="I930" s="173"/>
      <c r="J930" s="173"/>
      <c r="K930" s="173"/>
      <c r="L930" s="173"/>
      <c r="M930" s="173"/>
    </row>
    <row r="931" spans="1:13" s="27" customFormat="1" x14ac:dyDescent="0.3">
      <c r="A931" s="173"/>
      <c r="E931" s="173"/>
      <c r="F931" s="173"/>
      <c r="G931" s="173"/>
      <c r="H931" s="173"/>
      <c r="I931" s="173"/>
      <c r="J931" s="173"/>
      <c r="K931" s="173"/>
      <c r="L931" s="173"/>
      <c r="M931" s="173"/>
    </row>
    <row r="932" spans="1:13" s="27" customFormat="1" x14ac:dyDescent="0.3">
      <c r="A932" s="173"/>
      <c r="E932" s="173"/>
      <c r="F932" s="173"/>
      <c r="G932" s="173"/>
      <c r="H932" s="173"/>
      <c r="I932" s="173"/>
      <c r="J932" s="173"/>
      <c r="K932" s="173"/>
      <c r="L932" s="173"/>
      <c r="M932" s="173"/>
    </row>
    <row r="933" spans="1:13" s="27" customFormat="1" x14ac:dyDescent="0.3">
      <c r="A933" s="173"/>
      <c r="E933" s="173"/>
      <c r="F933" s="173"/>
      <c r="G933" s="173"/>
      <c r="H933" s="173"/>
      <c r="I933" s="173"/>
      <c r="J933" s="173"/>
      <c r="K933" s="173"/>
      <c r="L933" s="173"/>
      <c r="M933" s="173"/>
    </row>
    <row r="934" spans="1:13" s="27" customFormat="1" x14ac:dyDescent="0.3">
      <c r="A934" s="173"/>
      <c r="E934" s="173"/>
      <c r="F934" s="173"/>
      <c r="G934" s="173"/>
      <c r="H934" s="173"/>
      <c r="I934" s="173"/>
      <c r="J934" s="173"/>
      <c r="K934" s="173"/>
      <c r="L934" s="173"/>
      <c r="M934" s="173"/>
    </row>
    <row r="935" spans="1:13" s="27" customFormat="1" x14ac:dyDescent="0.3">
      <c r="A935" s="173"/>
      <c r="E935" s="173"/>
      <c r="F935" s="173"/>
      <c r="G935" s="173"/>
      <c r="H935" s="173"/>
      <c r="I935" s="173"/>
      <c r="J935" s="173"/>
      <c r="K935" s="173"/>
      <c r="L935" s="173"/>
      <c r="M935" s="173"/>
    </row>
    <row r="936" spans="1:13" s="27" customFormat="1" x14ac:dyDescent="0.3">
      <c r="A936" s="173"/>
      <c r="E936" s="173"/>
      <c r="F936" s="173"/>
      <c r="G936" s="173"/>
      <c r="H936" s="173"/>
      <c r="I936" s="173"/>
      <c r="J936" s="173"/>
      <c r="K936" s="173"/>
      <c r="L936" s="173"/>
      <c r="M936" s="173"/>
    </row>
    <row r="937" spans="1:13" s="27" customFormat="1" x14ac:dyDescent="0.3">
      <c r="A937" s="173"/>
      <c r="E937" s="173"/>
      <c r="F937" s="173"/>
      <c r="G937" s="173"/>
      <c r="H937" s="173"/>
      <c r="I937" s="173"/>
      <c r="J937" s="173"/>
      <c r="K937" s="173"/>
      <c r="L937" s="173"/>
      <c r="M937" s="173"/>
    </row>
    <row r="938" spans="1:13" s="27" customFormat="1" x14ac:dyDescent="0.3">
      <c r="A938" s="173"/>
      <c r="E938" s="173"/>
      <c r="F938" s="173"/>
      <c r="G938" s="173"/>
      <c r="H938" s="173"/>
      <c r="I938" s="173"/>
      <c r="J938" s="173"/>
      <c r="K938" s="173"/>
      <c r="L938" s="173"/>
      <c r="M938" s="173"/>
    </row>
    <row r="939" spans="1:13" s="27" customFormat="1" x14ac:dyDescent="0.3">
      <c r="A939" s="173"/>
      <c r="E939" s="173"/>
      <c r="F939" s="173"/>
      <c r="G939" s="173"/>
      <c r="H939" s="173"/>
      <c r="I939" s="173"/>
      <c r="J939" s="173"/>
      <c r="K939" s="173"/>
      <c r="L939" s="173"/>
      <c r="M939" s="173"/>
    </row>
    <row r="940" spans="1:13" s="27" customFormat="1" x14ac:dyDescent="0.3">
      <c r="A940" s="173"/>
      <c r="E940" s="173"/>
      <c r="F940" s="173"/>
      <c r="G940" s="173"/>
      <c r="H940" s="173"/>
      <c r="I940" s="173"/>
      <c r="J940" s="173"/>
      <c r="K940" s="173"/>
      <c r="L940" s="173"/>
      <c r="M940" s="173"/>
    </row>
    <row r="941" spans="1:13" s="27" customFormat="1" x14ac:dyDescent="0.3">
      <c r="A941" s="173"/>
      <c r="E941" s="173"/>
      <c r="F941" s="173"/>
      <c r="G941" s="173"/>
      <c r="H941" s="173"/>
      <c r="I941" s="173"/>
      <c r="J941" s="173"/>
      <c r="K941" s="173"/>
      <c r="L941" s="173"/>
      <c r="M941" s="173"/>
    </row>
    <row r="942" spans="1:13" s="27" customFormat="1" x14ac:dyDescent="0.3">
      <c r="A942" s="173"/>
      <c r="E942" s="173"/>
      <c r="F942" s="173"/>
      <c r="G942" s="173"/>
      <c r="H942" s="173"/>
      <c r="I942" s="173"/>
      <c r="J942" s="173"/>
      <c r="K942" s="173"/>
      <c r="L942" s="173"/>
      <c r="M942" s="173"/>
    </row>
    <row r="943" spans="1:13" s="27" customFormat="1" x14ac:dyDescent="0.3">
      <c r="A943" s="173"/>
      <c r="E943" s="173"/>
      <c r="F943" s="173"/>
      <c r="G943" s="173"/>
      <c r="H943" s="173"/>
      <c r="I943" s="173"/>
      <c r="J943" s="173"/>
      <c r="K943" s="173"/>
      <c r="L943" s="173"/>
      <c r="M943" s="173"/>
    </row>
    <row r="944" spans="1:13" s="27" customFormat="1" x14ac:dyDescent="0.3">
      <c r="A944" s="173"/>
      <c r="E944" s="173"/>
      <c r="F944" s="173"/>
      <c r="G944" s="173"/>
      <c r="H944" s="173"/>
      <c r="I944" s="173"/>
      <c r="J944" s="173"/>
      <c r="K944" s="173"/>
      <c r="L944" s="173"/>
      <c r="M944" s="173"/>
    </row>
    <row r="945" spans="1:13" s="27" customFormat="1" x14ac:dyDescent="0.3">
      <c r="A945" s="173"/>
      <c r="E945" s="173"/>
      <c r="F945" s="173"/>
      <c r="G945" s="173"/>
      <c r="H945" s="173"/>
      <c r="I945" s="173"/>
      <c r="J945" s="173"/>
      <c r="K945" s="173"/>
      <c r="L945" s="173"/>
      <c r="M945" s="173"/>
    </row>
    <row r="946" spans="1:13" s="27" customFormat="1" x14ac:dyDescent="0.3">
      <c r="A946" s="173"/>
      <c r="E946" s="173"/>
      <c r="F946" s="173"/>
      <c r="G946" s="173"/>
      <c r="H946" s="173"/>
      <c r="I946" s="173"/>
      <c r="J946" s="173"/>
      <c r="K946" s="173"/>
      <c r="L946" s="173"/>
      <c r="M946" s="173"/>
    </row>
    <row r="947" spans="1:13" s="27" customFormat="1" x14ac:dyDescent="0.3">
      <c r="A947" s="173"/>
      <c r="E947" s="173"/>
      <c r="F947" s="173"/>
      <c r="G947" s="173"/>
      <c r="H947" s="173"/>
      <c r="I947" s="173"/>
      <c r="J947" s="173"/>
      <c r="K947" s="173"/>
      <c r="L947" s="173"/>
      <c r="M947" s="173"/>
    </row>
    <row r="948" spans="1:13" s="27" customFormat="1" x14ac:dyDescent="0.3">
      <c r="A948" s="173"/>
      <c r="E948" s="173"/>
      <c r="F948" s="173"/>
      <c r="G948" s="173"/>
      <c r="H948" s="173"/>
      <c r="I948" s="173"/>
      <c r="J948" s="173"/>
      <c r="K948" s="173"/>
      <c r="L948" s="173"/>
      <c r="M948" s="173"/>
    </row>
    <row r="949" spans="1:13" s="27" customFormat="1" x14ac:dyDescent="0.3">
      <c r="A949" s="173"/>
      <c r="E949" s="173"/>
      <c r="F949" s="173"/>
      <c r="G949" s="173"/>
      <c r="H949" s="173"/>
      <c r="I949" s="173"/>
      <c r="J949" s="173"/>
      <c r="K949" s="173"/>
      <c r="L949" s="173"/>
      <c r="M949" s="173"/>
    </row>
    <row r="950" spans="1:13" s="27" customFormat="1" x14ac:dyDescent="0.3">
      <c r="A950" s="173"/>
      <c r="E950" s="173"/>
      <c r="F950" s="173"/>
      <c r="G950" s="173"/>
      <c r="H950" s="173"/>
      <c r="I950" s="173"/>
      <c r="J950" s="173"/>
      <c r="K950" s="173"/>
      <c r="L950" s="173"/>
      <c r="M950" s="173"/>
    </row>
    <row r="951" spans="1:13" s="27" customFormat="1" x14ac:dyDescent="0.3">
      <c r="A951" s="173"/>
      <c r="E951" s="173"/>
      <c r="F951" s="173"/>
      <c r="G951" s="173"/>
      <c r="H951" s="173"/>
      <c r="I951" s="173"/>
      <c r="J951" s="173"/>
      <c r="K951" s="173"/>
      <c r="L951" s="173"/>
      <c r="M951" s="173"/>
    </row>
    <row r="952" spans="1:13" s="27" customFormat="1" x14ac:dyDescent="0.3">
      <c r="A952" s="173"/>
      <c r="E952" s="173"/>
      <c r="F952" s="173"/>
      <c r="G952" s="173"/>
      <c r="H952" s="173"/>
      <c r="I952" s="173"/>
      <c r="J952" s="173"/>
      <c r="K952" s="173"/>
      <c r="L952" s="173"/>
      <c r="M952" s="173"/>
    </row>
    <row r="953" spans="1:13" s="27" customFormat="1" x14ac:dyDescent="0.3">
      <c r="A953" s="173"/>
      <c r="E953" s="173"/>
      <c r="F953" s="173"/>
      <c r="G953" s="173"/>
      <c r="H953" s="173"/>
      <c r="I953" s="173"/>
      <c r="J953" s="173"/>
      <c r="K953" s="173"/>
      <c r="L953" s="173"/>
      <c r="M953" s="173"/>
    </row>
    <row r="954" spans="1:13" s="27" customFormat="1" x14ac:dyDescent="0.3">
      <c r="A954" s="173"/>
      <c r="E954" s="173"/>
      <c r="F954" s="173"/>
      <c r="G954" s="173"/>
      <c r="H954" s="173"/>
      <c r="I954" s="173"/>
      <c r="J954" s="173"/>
      <c r="K954" s="173"/>
      <c r="L954" s="173"/>
      <c r="M954" s="173"/>
    </row>
    <row r="955" spans="1:13" s="27" customFormat="1" x14ac:dyDescent="0.3">
      <c r="A955" s="173"/>
      <c r="E955" s="173"/>
      <c r="F955" s="173"/>
      <c r="G955" s="173"/>
      <c r="H955" s="173"/>
      <c r="I955" s="173"/>
      <c r="J955" s="173"/>
      <c r="K955" s="173"/>
      <c r="L955" s="173"/>
      <c r="M955" s="173"/>
    </row>
    <row r="956" spans="1:13" s="27" customFormat="1" x14ac:dyDescent="0.3">
      <c r="A956" s="173"/>
      <c r="E956" s="173"/>
      <c r="F956" s="173"/>
      <c r="G956" s="173"/>
      <c r="H956" s="173"/>
      <c r="I956" s="173"/>
      <c r="J956" s="173"/>
      <c r="K956" s="173"/>
      <c r="L956" s="173"/>
      <c r="M956" s="173"/>
    </row>
    <row r="957" spans="1:13" s="27" customFormat="1" x14ac:dyDescent="0.3">
      <c r="A957" s="173"/>
      <c r="E957" s="173"/>
      <c r="F957" s="173"/>
      <c r="G957" s="173"/>
      <c r="H957" s="173"/>
      <c r="I957" s="173"/>
      <c r="J957" s="173"/>
      <c r="K957" s="173"/>
      <c r="L957" s="173"/>
      <c r="M957" s="173"/>
    </row>
    <row r="958" spans="1:13" s="27" customFormat="1" x14ac:dyDescent="0.3">
      <c r="A958" s="173"/>
      <c r="E958" s="173"/>
      <c r="F958" s="173"/>
      <c r="G958" s="173"/>
      <c r="H958" s="173"/>
      <c r="I958" s="173"/>
      <c r="J958" s="173"/>
      <c r="K958" s="173"/>
      <c r="L958" s="173"/>
      <c r="M958" s="173"/>
    </row>
    <row r="959" spans="1:13" s="27" customFormat="1" x14ac:dyDescent="0.3">
      <c r="A959" s="173"/>
      <c r="E959" s="173"/>
      <c r="F959" s="173"/>
      <c r="G959" s="173"/>
      <c r="H959" s="173"/>
      <c r="I959" s="173"/>
      <c r="J959" s="173"/>
      <c r="K959" s="173"/>
      <c r="L959" s="173"/>
      <c r="M959" s="173"/>
    </row>
    <row r="960" spans="1:13" s="27" customFormat="1" x14ac:dyDescent="0.3">
      <c r="A960" s="173"/>
      <c r="E960" s="173"/>
      <c r="F960" s="173"/>
      <c r="G960" s="173"/>
      <c r="H960" s="173"/>
      <c r="I960" s="173"/>
      <c r="J960" s="173"/>
      <c r="K960" s="173"/>
      <c r="L960" s="173"/>
      <c r="M960" s="173"/>
    </row>
    <row r="961" spans="1:13" s="27" customFormat="1" x14ac:dyDescent="0.3">
      <c r="A961" s="173"/>
      <c r="E961" s="173"/>
      <c r="F961" s="173"/>
      <c r="G961" s="173"/>
      <c r="H961" s="173"/>
      <c r="I961" s="173"/>
      <c r="J961" s="173"/>
      <c r="K961" s="173"/>
      <c r="L961" s="173"/>
      <c r="M961" s="173"/>
    </row>
    <row r="962" spans="1:13" s="27" customFormat="1" x14ac:dyDescent="0.3">
      <c r="A962" s="173"/>
      <c r="E962" s="173"/>
      <c r="F962" s="173"/>
      <c r="G962" s="173"/>
      <c r="H962" s="173"/>
      <c r="I962" s="173"/>
      <c r="J962" s="173"/>
      <c r="K962" s="173"/>
      <c r="L962" s="173"/>
      <c r="M962" s="173"/>
    </row>
    <row r="963" spans="1:13" s="27" customFormat="1" x14ac:dyDescent="0.3">
      <c r="A963" s="173"/>
      <c r="E963" s="173"/>
      <c r="F963" s="173"/>
      <c r="G963" s="173"/>
      <c r="H963" s="173"/>
      <c r="I963" s="173"/>
      <c r="J963" s="173"/>
      <c r="K963" s="173"/>
      <c r="L963" s="173"/>
      <c r="M963" s="173"/>
    </row>
    <row r="964" spans="1:13" s="27" customFormat="1" x14ac:dyDescent="0.3">
      <c r="A964" s="173"/>
      <c r="E964" s="173"/>
      <c r="F964" s="173"/>
      <c r="G964" s="173"/>
      <c r="H964" s="173"/>
      <c r="I964" s="173"/>
      <c r="J964" s="173"/>
      <c r="K964" s="173"/>
      <c r="L964" s="173"/>
      <c r="M964" s="173"/>
    </row>
    <row r="965" spans="1:13" s="27" customFormat="1" x14ac:dyDescent="0.3">
      <c r="A965" s="173"/>
      <c r="E965" s="173"/>
      <c r="F965" s="173"/>
      <c r="G965" s="173"/>
      <c r="H965" s="173"/>
      <c r="I965" s="173"/>
      <c r="J965" s="173"/>
      <c r="K965" s="173"/>
      <c r="L965" s="173"/>
      <c r="M965" s="173"/>
    </row>
    <row r="966" spans="1:13" s="27" customFormat="1" x14ac:dyDescent="0.3">
      <c r="A966" s="173"/>
      <c r="E966" s="173"/>
      <c r="F966" s="173"/>
      <c r="G966" s="173"/>
      <c r="H966" s="173"/>
      <c r="I966" s="173"/>
      <c r="J966" s="173"/>
      <c r="K966" s="173"/>
      <c r="L966" s="173"/>
      <c r="M966" s="173"/>
    </row>
    <row r="967" spans="1:13" s="27" customFormat="1" x14ac:dyDescent="0.3">
      <c r="A967" s="173"/>
      <c r="E967" s="173"/>
      <c r="F967" s="173"/>
      <c r="G967" s="173"/>
      <c r="H967" s="173"/>
      <c r="I967" s="173"/>
      <c r="J967" s="173"/>
      <c r="K967" s="173"/>
      <c r="L967" s="173"/>
      <c r="M967" s="173"/>
    </row>
    <row r="968" spans="1:13" s="27" customFormat="1" x14ac:dyDescent="0.3">
      <c r="A968" s="173"/>
      <c r="E968" s="173"/>
      <c r="F968" s="173"/>
      <c r="G968" s="173"/>
      <c r="H968" s="173"/>
      <c r="I968" s="173"/>
      <c r="J968" s="173"/>
      <c r="K968" s="173"/>
      <c r="L968" s="173"/>
      <c r="M968" s="173"/>
    </row>
    <row r="969" spans="1:13" s="27" customFormat="1" x14ac:dyDescent="0.3">
      <c r="A969" s="173"/>
      <c r="E969" s="173"/>
      <c r="F969" s="173"/>
      <c r="G969" s="173"/>
      <c r="H969" s="173"/>
      <c r="I969" s="173"/>
      <c r="J969" s="173"/>
      <c r="K969" s="173"/>
      <c r="L969" s="173"/>
      <c r="M969" s="173"/>
    </row>
    <row r="970" spans="1:13" s="27" customFormat="1" x14ac:dyDescent="0.3">
      <c r="A970" s="173"/>
      <c r="E970" s="173"/>
      <c r="F970" s="173"/>
      <c r="G970" s="173"/>
      <c r="H970" s="173"/>
      <c r="I970" s="173"/>
      <c r="J970" s="173"/>
      <c r="K970" s="173"/>
      <c r="L970" s="173"/>
      <c r="M970" s="173"/>
    </row>
    <row r="971" spans="1:13" s="27" customFormat="1" x14ac:dyDescent="0.3">
      <c r="A971" s="173"/>
      <c r="E971" s="173"/>
      <c r="F971" s="173"/>
      <c r="G971" s="173"/>
      <c r="H971" s="173"/>
      <c r="I971" s="173"/>
      <c r="J971" s="173"/>
      <c r="K971" s="173"/>
      <c r="L971" s="173"/>
      <c r="M971" s="173"/>
    </row>
    <row r="972" spans="1:13" s="27" customFormat="1" x14ac:dyDescent="0.3">
      <c r="A972" s="173"/>
      <c r="E972" s="173"/>
      <c r="F972" s="173"/>
      <c r="G972" s="173"/>
      <c r="H972" s="173"/>
      <c r="I972" s="173"/>
      <c r="J972" s="173"/>
      <c r="K972" s="173"/>
      <c r="L972" s="173"/>
      <c r="M972" s="173"/>
    </row>
    <row r="973" spans="1:13" s="27" customFormat="1" x14ac:dyDescent="0.3">
      <c r="A973" s="173"/>
      <c r="E973" s="173"/>
      <c r="F973" s="173"/>
      <c r="G973" s="173"/>
      <c r="H973" s="173"/>
      <c r="I973" s="173"/>
      <c r="J973" s="173"/>
      <c r="K973" s="173"/>
      <c r="L973" s="173"/>
      <c r="M973" s="173"/>
    </row>
    <row r="974" spans="1:13" s="27" customFormat="1" x14ac:dyDescent="0.3">
      <c r="A974" s="173"/>
      <c r="E974" s="173"/>
      <c r="F974" s="173"/>
      <c r="G974" s="173"/>
      <c r="H974" s="173"/>
      <c r="I974" s="173"/>
      <c r="J974" s="173"/>
      <c r="K974" s="173"/>
      <c r="L974" s="173"/>
      <c r="M974" s="173"/>
    </row>
    <row r="975" spans="1:13" s="27" customFormat="1" x14ac:dyDescent="0.3">
      <c r="A975" s="173"/>
      <c r="E975" s="173"/>
      <c r="F975" s="173"/>
      <c r="G975" s="173"/>
      <c r="H975" s="173"/>
      <c r="I975" s="173"/>
      <c r="J975" s="173"/>
      <c r="K975" s="173"/>
      <c r="L975" s="173"/>
      <c r="M975" s="173"/>
    </row>
    <row r="976" spans="1:13" s="27" customFormat="1" x14ac:dyDescent="0.3">
      <c r="A976" s="173"/>
      <c r="E976" s="173"/>
      <c r="F976" s="173"/>
      <c r="G976" s="173"/>
      <c r="H976" s="173"/>
      <c r="I976" s="173"/>
      <c r="J976" s="173"/>
      <c r="K976" s="173"/>
      <c r="L976" s="173"/>
      <c r="M976" s="173"/>
    </row>
    <row r="977" spans="1:13" s="27" customFormat="1" x14ac:dyDescent="0.3">
      <c r="A977" s="173"/>
      <c r="E977" s="173"/>
      <c r="F977" s="173"/>
      <c r="G977" s="173"/>
      <c r="H977" s="173"/>
      <c r="I977" s="173"/>
      <c r="J977" s="173"/>
      <c r="K977" s="173"/>
      <c r="L977" s="173"/>
      <c r="M977" s="173"/>
    </row>
    <row r="978" spans="1:13" s="27" customFormat="1" x14ac:dyDescent="0.3">
      <c r="A978" s="173"/>
      <c r="E978" s="173"/>
      <c r="F978" s="173"/>
      <c r="G978" s="173"/>
      <c r="H978" s="173"/>
      <c r="I978" s="173"/>
      <c r="J978" s="173"/>
      <c r="K978" s="173"/>
      <c r="L978" s="173"/>
      <c r="M978" s="173"/>
    </row>
    <row r="979" spans="1:13" s="27" customFormat="1" x14ac:dyDescent="0.3">
      <c r="A979" s="173"/>
      <c r="E979" s="173"/>
      <c r="F979" s="173"/>
      <c r="G979" s="173"/>
      <c r="H979" s="173"/>
      <c r="I979" s="173"/>
      <c r="J979" s="173"/>
      <c r="K979" s="173"/>
      <c r="L979" s="173"/>
      <c r="M979" s="173"/>
    </row>
    <row r="980" spans="1:13" s="27" customFormat="1" x14ac:dyDescent="0.3">
      <c r="A980" s="173"/>
      <c r="E980" s="173"/>
      <c r="F980" s="173"/>
      <c r="G980" s="173"/>
      <c r="H980" s="173"/>
      <c r="I980" s="173"/>
      <c r="J980" s="173"/>
      <c r="K980" s="173"/>
      <c r="L980" s="173"/>
      <c r="M980" s="173"/>
    </row>
    <row r="981" spans="1:13" s="27" customFormat="1" x14ac:dyDescent="0.3">
      <c r="A981" s="173"/>
      <c r="E981" s="173"/>
      <c r="F981" s="173"/>
      <c r="G981" s="173"/>
      <c r="H981" s="173"/>
      <c r="I981" s="173"/>
      <c r="J981" s="173"/>
      <c r="K981" s="173"/>
      <c r="L981" s="173"/>
      <c r="M981" s="173"/>
    </row>
    <row r="982" spans="1:13" s="27" customFormat="1" x14ac:dyDescent="0.3">
      <c r="A982" s="173"/>
      <c r="E982" s="173"/>
      <c r="F982" s="173"/>
      <c r="G982" s="173"/>
      <c r="H982" s="173"/>
      <c r="I982" s="173"/>
      <c r="J982" s="173"/>
      <c r="K982" s="173"/>
      <c r="L982" s="173"/>
      <c r="M982" s="173"/>
    </row>
    <row r="983" spans="1:13" s="27" customFormat="1" x14ac:dyDescent="0.3">
      <c r="A983" s="173"/>
      <c r="E983" s="173"/>
      <c r="F983" s="173"/>
      <c r="G983" s="173"/>
      <c r="H983" s="173"/>
      <c r="I983" s="173"/>
      <c r="J983" s="173"/>
      <c r="K983" s="173"/>
      <c r="L983" s="173"/>
      <c r="M983" s="173"/>
    </row>
    <row r="984" spans="1:13" s="27" customFormat="1" x14ac:dyDescent="0.3">
      <c r="A984" s="173"/>
      <c r="E984" s="173"/>
      <c r="F984" s="173"/>
      <c r="G984" s="173"/>
      <c r="H984" s="173"/>
      <c r="I984" s="173"/>
      <c r="J984" s="173"/>
      <c r="K984" s="173"/>
      <c r="L984" s="173"/>
      <c r="M984" s="173"/>
    </row>
    <row r="985" spans="1:13" s="27" customFormat="1" x14ac:dyDescent="0.3">
      <c r="A985" s="173"/>
      <c r="E985" s="173"/>
      <c r="F985" s="173"/>
      <c r="G985" s="173"/>
      <c r="H985" s="173"/>
      <c r="I985" s="173"/>
      <c r="J985" s="173"/>
      <c r="K985" s="173"/>
      <c r="L985" s="173"/>
      <c r="M985" s="173"/>
    </row>
    <row r="986" spans="1:13" s="27" customFormat="1" x14ac:dyDescent="0.3">
      <c r="A986" s="173"/>
      <c r="E986" s="173"/>
      <c r="F986" s="173"/>
      <c r="G986" s="173"/>
      <c r="H986" s="173"/>
      <c r="I986" s="173"/>
      <c r="J986" s="173"/>
      <c r="K986" s="173"/>
      <c r="L986" s="173"/>
      <c r="M986" s="173"/>
    </row>
    <row r="987" spans="1:13" s="27" customFormat="1" x14ac:dyDescent="0.3">
      <c r="A987" s="173"/>
      <c r="E987" s="173"/>
      <c r="F987" s="173"/>
      <c r="G987" s="173"/>
      <c r="H987" s="173"/>
      <c r="I987" s="173"/>
      <c r="J987" s="173"/>
      <c r="K987" s="173"/>
      <c r="L987" s="173"/>
      <c r="M987" s="173"/>
    </row>
    <row r="988" spans="1:13" s="27" customFormat="1" x14ac:dyDescent="0.3">
      <c r="A988" s="173"/>
      <c r="E988" s="173"/>
      <c r="F988" s="173"/>
      <c r="G988" s="173"/>
      <c r="H988" s="173"/>
      <c r="I988" s="173"/>
      <c r="J988" s="173"/>
      <c r="K988" s="173"/>
      <c r="L988" s="173"/>
      <c r="M988" s="173"/>
    </row>
    <row r="989" spans="1:13" s="27" customFormat="1" x14ac:dyDescent="0.3">
      <c r="A989" s="173"/>
      <c r="E989" s="173"/>
      <c r="F989" s="173"/>
      <c r="G989" s="173"/>
      <c r="H989" s="173"/>
      <c r="I989" s="173"/>
      <c r="J989" s="173"/>
      <c r="K989" s="173"/>
      <c r="L989" s="173"/>
      <c r="M989" s="173"/>
    </row>
    <row r="990" spans="1:13" s="27" customFormat="1" x14ac:dyDescent="0.3">
      <c r="A990" s="173"/>
      <c r="E990" s="173"/>
      <c r="F990" s="173"/>
      <c r="G990" s="173"/>
      <c r="H990" s="173"/>
      <c r="I990" s="173"/>
      <c r="J990" s="173"/>
      <c r="K990" s="173"/>
      <c r="L990" s="173"/>
      <c r="M990" s="173"/>
    </row>
    <row r="991" spans="1:13" s="27" customFormat="1" x14ac:dyDescent="0.3">
      <c r="A991" s="173"/>
      <c r="E991" s="173"/>
      <c r="F991" s="173"/>
      <c r="G991" s="173"/>
      <c r="H991" s="173"/>
      <c r="I991" s="173"/>
      <c r="J991" s="173"/>
      <c r="K991" s="173"/>
      <c r="L991" s="173"/>
      <c r="M991" s="173"/>
    </row>
    <row r="992" spans="1:13" s="27" customFormat="1" x14ac:dyDescent="0.3">
      <c r="A992" s="173"/>
      <c r="E992" s="173"/>
      <c r="F992" s="173"/>
      <c r="G992" s="173"/>
      <c r="H992" s="173"/>
      <c r="I992" s="173"/>
      <c r="J992" s="173"/>
      <c r="K992" s="173"/>
      <c r="L992" s="173"/>
      <c r="M992" s="173"/>
    </row>
    <row r="993" spans="1:13" s="27" customFormat="1" x14ac:dyDescent="0.3">
      <c r="A993" s="173"/>
      <c r="E993" s="173"/>
      <c r="F993" s="173"/>
      <c r="G993" s="173"/>
      <c r="H993" s="173"/>
      <c r="I993" s="173"/>
      <c r="J993" s="173"/>
      <c r="K993" s="173"/>
      <c r="L993" s="173"/>
      <c r="M993" s="173"/>
    </row>
    <row r="994" spans="1:13" s="27" customFormat="1" x14ac:dyDescent="0.3">
      <c r="A994" s="173"/>
      <c r="E994" s="173"/>
      <c r="F994" s="173"/>
      <c r="G994" s="173"/>
      <c r="H994" s="173"/>
      <c r="I994" s="173"/>
      <c r="J994" s="173"/>
      <c r="K994" s="173"/>
      <c r="L994" s="173"/>
      <c r="M994" s="173"/>
    </row>
    <row r="995" spans="1:13" s="27" customFormat="1" x14ac:dyDescent="0.3">
      <c r="A995" s="173"/>
      <c r="E995" s="173"/>
      <c r="F995" s="173"/>
      <c r="G995" s="173"/>
      <c r="H995" s="173"/>
      <c r="I995" s="173"/>
      <c r="J995" s="173"/>
      <c r="K995" s="173"/>
      <c r="L995" s="173"/>
      <c r="M995" s="173"/>
    </row>
    <row r="996" spans="1:13" s="27" customFormat="1" x14ac:dyDescent="0.3">
      <c r="A996" s="173"/>
      <c r="E996" s="173"/>
      <c r="F996" s="173"/>
      <c r="G996" s="173"/>
      <c r="H996" s="173"/>
      <c r="I996" s="173"/>
      <c r="J996" s="173"/>
      <c r="K996" s="173"/>
      <c r="L996" s="173"/>
      <c r="M996" s="173"/>
    </row>
    <row r="997" spans="1:13" s="27" customFormat="1" x14ac:dyDescent="0.3">
      <c r="A997" s="173"/>
      <c r="E997" s="173"/>
      <c r="F997" s="173"/>
      <c r="G997" s="173"/>
      <c r="H997" s="173"/>
      <c r="I997" s="173"/>
      <c r="J997" s="173"/>
      <c r="K997" s="173"/>
      <c r="L997" s="173"/>
      <c r="M997" s="173"/>
    </row>
    <row r="998" spans="1:13" s="27" customFormat="1" x14ac:dyDescent="0.3">
      <c r="A998" s="173"/>
      <c r="E998" s="173"/>
      <c r="F998" s="173"/>
      <c r="G998" s="173"/>
      <c r="H998" s="173"/>
      <c r="I998" s="173"/>
      <c r="J998" s="173"/>
      <c r="K998" s="173"/>
      <c r="L998" s="173"/>
      <c r="M998" s="173"/>
    </row>
    <row r="999" spans="1:13" s="27" customFormat="1" x14ac:dyDescent="0.3">
      <c r="A999" s="173"/>
      <c r="E999" s="173"/>
      <c r="F999" s="173"/>
      <c r="G999" s="173"/>
      <c r="H999" s="173"/>
      <c r="I999" s="173"/>
      <c r="J999" s="173"/>
      <c r="K999" s="173"/>
      <c r="L999" s="173"/>
      <c r="M999" s="173"/>
    </row>
    <row r="1000" spans="1:13" s="27" customFormat="1" x14ac:dyDescent="0.3">
      <c r="A1000" s="173"/>
      <c r="E1000" s="173"/>
      <c r="F1000" s="173"/>
      <c r="G1000" s="173"/>
      <c r="H1000" s="173"/>
      <c r="I1000" s="173"/>
      <c r="J1000" s="173"/>
      <c r="K1000" s="173"/>
      <c r="L1000" s="173"/>
      <c r="M1000" s="173"/>
    </row>
    <row r="1001" spans="1:13" s="27" customFormat="1" x14ac:dyDescent="0.3">
      <c r="A1001" s="173"/>
      <c r="E1001" s="173"/>
      <c r="F1001" s="173"/>
      <c r="G1001" s="173"/>
      <c r="H1001" s="173"/>
      <c r="I1001" s="173"/>
      <c r="J1001" s="173"/>
      <c r="K1001" s="173"/>
      <c r="L1001" s="173"/>
      <c r="M1001" s="173"/>
    </row>
    <row r="1002" spans="1:13" s="27" customFormat="1" x14ac:dyDescent="0.3">
      <c r="A1002" s="173"/>
      <c r="E1002" s="173"/>
      <c r="F1002" s="173"/>
      <c r="G1002" s="173"/>
      <c r="H1002" s="173"/>
      <c r="I1002" s="173"/>
      <c r="J1002" s="173"/>
      <c r="K1002" s="173"/>
      <c r="L1002" s="173"/>
      <c r="M1002" s="173"/>
    </row>
    <row r="1003" spans="1:13" s="27" customFormat="1" x14ac:dyDescent="0.3">
      <c r="A1003" s="173"/>
      <c r="E1003" s="173"/>
      <c r="F1003" s="173"/>
      <c r="G1003" s="173"/>
      <c r="H1003" s="173"/>
      <c r="I1003" s="173"/>
      <c r="J1003" s="173"/>
      <c r="K1003" s="173"/>
      <c r="L1003" s="173"/>
      <c r="M1003" s="173"/>
    </row>
    <row r="1004" spans="1:13" s="27" customFormat="1" x14ac:dyDescent="0.3">
      <c r="A1004" s="173"/>
      <c r="E1004" s="173"/>
      <c r="F1004" s="173"/>
      <c r="G1004" s="173"/>
      <c r="H1004" s="173"/>
      <c r="I1004" s="173"/>
      <c r="J1004" s="173"/>
      <c r="K1004" s="173"/>
      <c r="L1004" s="173"/>
      <c r="M1004" s="173"/>
    </row>
    <row r="1005" spans="1:13" s="27" customFormat="1" x14ac:dyDescent="0.3">
      <c r="A1005" s="173"/>
      <c r="E1005" s="173"/>
      <c r="F1005" s="173"/>
      <c r="G1005" s="173"/>
      <c r="H1005" s="173"/>
      <c r="I1005" s="173"/>
      <c r="J1005" s="173"/>
      <c r="K1005" s="173"/>
      <c r="L1005" s="173"/>
      <c r="M1005" s="173"/>
    </row>
    <row r="1006" spans="1:13" s="27" customFormat="1" x14ac:dyDescent="0.3">
      <c r="A1006" s="173"/>
      <c r="E1006" s="173"/>
      <c r="F1006" s="173"/>
      <c r="G1006" s="173"/>
      <c r="H1006" s="173"/>
      <c r="I1006" s="173"/>
      <c r="J1006" s="173"/>
      <c r="K1006" s="173"/>
      <c r="L1006" s="173"/>
      <c r="M1006" s="173"/>
    </row>
    <row r="1007" spans="1:13" s="27" customFormat="1" x14ac:dyDescent="0.3">
      <c r="A1007" s="173"/>
      <c r="E1007" s="173"/>
      <c r="F1007" s="173"/>
      <c r="G1007" s="173"/>
      <c r="H1007" s="173"/>
      <c r="I1007" s="173"/>
      <c r="J1007" s="173"/>
      <c r="K1007" s="173"/>
      <c r="L1007" s="173"/>
      <c r="M1007" s="173"/>
    </row>
    <row r="1008" spans="1:13" s="27" customFormat="1" x14ac:dyDescent="0.3">
      <c r="A1008" s="173"/>
      <c r="E1008" s="173"/>
      <c r="F1008" s="173"/>
      <c r="G1008" s="173"/>
      <c r="H1008" s="173"/>
      <c r="I1008" s="173"/>
      <c r="J1008" s="173"/>
      <c r="K1008" s="173"/>
      <c r="L1008" s="173"/>
      <c r="M1008" s="173"/>
    </row>
    <row r="1009" spans="1:13" s="27" customFormat="1" x14ac:dyDescent="0.3">
      <c r="A1009" s="173"/>
      <c r="E1009" s="173"/>
      <c r="F1009" s="173"/>
      <c r="G1009" s="173"/>
      <c r="H1009" s="173"/>
      <c r="I1009" s="173"/>
      <c r="J1009" s="173"/>
      <c r="K1009" s="173"/>
      <c r="L1009" s="173"/>
      <c r="M1009" s="173"/>
    </row>
    <row r="1010" spans="1:13" s="27" customFormat="1" x14ac:dyDescent="0.3">
      <c r="A1010" s="173"/>
      <c r="E1010" s="173"/>
      <c r="F1010" s="173"/>
      <c r="G1010" s="173"/>
      <c r="H1010" s="173"/>
      <c r="I1010" s="173"/>
      <c r="J1010" s="173"/>
      <c r="K1010" s="173"/>
      <c r="L1010" s="173"/>
      <c r="M1010" s="173"/>
    </row>
    <row r="1011" spans="1:13" s="27" customFormat="1" x14ac:dyDescent="0.3">
      <c r="A1011" s="173"/>
      <c r="E1011" s="173"/>
      <c r="F1011" s="173"/>
      <c r="G1011" s="173"/>
      <c r="H1011" s="173"/>
      <c r="I1011" s="173"/>
      <c r="J1011" s="173"/>
      <c r="K1011" s="173"/>
      <c r="L1011" s="173"/>
      <c r="M1011" s="173"/>
    </row>
    <row r="1012" spans="1:13" s="27" customFormat="1" x14ac:dyDescent="0.3">
      <c r="A1012" s="173"/>
      <c r="E1012" s="173"/>
      <c r="F1012" s="173"/>
      <c r="G1012" s="173"/>
      <c r="H1012" s="173"/>
      <c r="I1012" s="173"/>
      <c r="J1012" s="173"/>
      <c r="K1012" s="173"/>
      <c r="L1012" s="173"/>
      <c r="M1012" s="173"/>
    </row>
    <row r="1013" spans="1:13" s="27" customFormat="1" x14ac:dyDescent="0.3">
      <c r="A1013" s="173"/>
      <c r="E1013" s="173"/>
      <c r="F1013" s="173"/>
      <c r="G1013" s="173"/>
      <c r="H1013" s="173"/>
      <c r="I1013" s="173"/>
      <c r="J1013" s="173"/>
      <c r="K1013" s="173"/>
      <c r="L1013" s="173"/>
      <c r="M1013" s="173"/>
    </row>
    <row r="1014" spans="1:13" s="27" customFormat="1" x14ac:dyDescent="0.3">
      <c r="A1014" s="173"/>
      <c r="E1014" s="173"/>
      <c r="F1014" s="173"/>
      <c r="G1014" s="173"/>
      <c r="H1014" s="173"/>
      <c r="I1014" s="173"/>
      <c r="J1014" s="173"/>
      <c r="K1014" s="173"/>
      <c r="L1014" s="173"/>
      <c r="M1014" s="173"/>
    </row>
    <row r="1015" spans="1:13" s="27" customFormat="1" x14ac:dyDescent="0.3">
      <c r="A1015" s="173"/>
      <c r="E1015" s="173"/>
      <c r="F1015" s="173"/>
      <c r="G1015" s="173"/>
      <c r="H1015" s="173"/>
      <c r="I1015" s="173"/>
      <c r="J1015" s="173"/>
      <c r="K1015" s="173"/>
      <c r="L1015" s="173"/>
      <c r="M1015" s="173"/>
    </row>
    <row r="1016" spans="1:13" s="27" customFormat="1" x14ac:dyDescent="0.3">
      <c r="A1016" s="173"/>
      <c r="E1016" s="173"/>
      <c r="F1016" s="173"/>
      <c r="G1016" s="173"/>
      <c r="H1016" s="173"/>
      <c r="I1016" s="173"/>
      <c r="J1016" s="173"/>
      <c r="K1016" s="173"/>
      <c r="L1016" s="173"/>
      <c r="M1016" s="173"/>
    </row>
    <row r="1017" spans="1:13" s="27" customFormat="1" x14ac:dyDescent="0.3">
      <c r="A1017" s="173"/>
      <c r="E1017" s="173"/>
      <c r="F1017" s="173"/>
      <c r="G1017" s="173"/>
      <c r="H1017" s="173"/>
      <c r="I1017" s="173"/>
      <c r="J1017" s="173"/>
      <c r="K1017" s="173"/>
      <c r="L1017" s="173"/>
      <c r="M1017" s="173"/>
    </row>
    <row r="1018" spans="1:13" s="27" customFormat="1" x14ac:dyDescent="0.3">
      <c r="A1018" s="173"/>
      <c r="E1018" s="173"/>
      <c r="F1018" s="173"/>
      <c r="G1018" s="173"/>
      <c r="H1018" s="173"/>
      <c r="I1018" s="173"/>
      <c r="J1018" s="173"/>
      <c r="K1018" s="173"/>
      <c r="L1018" s="173"/>
      <c r="M1018" s="173"/>
    </row>
    <row r="1019" spans="1:13" s="27" customFormat="1" x14ac:dyDescent="0.3">
      <c r="A1019" s="173"/>
      <c r="E1019" s="173"/>
      <c r="F1019" s="173"/>
      <c r="G1019" s="173"/>
      <c r="H1019" s="173"/>
      <c r="I1019" s="173"/>
      <c r="J1019" s="173"/>
      <c r="K1019" s="173"/>
      <c r="L1019" s="173"/>
      <c r="M1019" s="173"/>
    </row>
    <row r="1020" spans="1:13" s="27" customFormat="1" x14ac:dyDescent="0.3">
      <c r="A1020" s="173"/>
      <c r="E1020" s="173"/>
      <c r="F1020" s="173"/>
      <c r="G1020" s="173"/>
      <c r="H1020" s="173"/>
      <c r="I1020" s="173"/>
      <c r="J1020" s="173"/>
      <c r="K1020" s="173"/>
      <c r="L1020" s="173"/>
      <c r="M1020" s="173"/>
    </row>
    <row r="1021" spans="1:13" s="27" customFormat="1" x14ac:dyDescent="0.3">
      <c r="A1021" s="173"/>
      <c r="E1021" s="173"/>
      <c r="F1021" s="173"/>
      <c r="G1021" s="173"/>
      <c r="H1021" s="173"/>
      <c r="I1021" s="173"/>
      <c r="J1021" s="173"/>
      <c r="K1021" s="173"/>
      <c r="L1021" s="173"/>
      <c r="M1021" s="173"/>
    </row>
    <row r="1022" spans="1:13" s="27" customFormat="1" x14ac:dyDescent="0.3">
      <c r="A1022" s="173"/>
      <c r="E1022" s="173"/>
      <c r="F1022" s="173"/>
      <c r="G1022" s="173"/>
      <c r="H1022" s="173"/>
      <c r="I1022" s="173"/>
      <c r="J1022" s="173"/>
      <c r="K1022" s="173"/>
      <c r="L1022" s="173"/>
      <c r="M1022" s="173"/>
    </row>
    <row r="1023" spans="1:13" s="27" customFormat="1" x14ac:dyDescent="0.3">
      <c r="A1023" s="173"/>
      <c r="E1023" s="173"/>
      <c r="F1023" s="173"/>
      <c r="G1023" s="173"/>
      <c r="H1023" s="173"/>
      <c r="I1023" s="173"/>
      <c r="J1023" s="173"/>
      <c r="K1023" s="173"/>
      <c r="L1023" s="173"/>
      <c r="M1023" s="173"/>
    </row>
    <row r="1024" spans="1:13" s="27" customFormat="1" x14ac:dyDescent="0.3">
      <c r="A1024" s="173"/>
      <c r="E1024" s="173"/>
      <c r="F1024" s="173"/>
      <c r="G1024" s="173"/>
      <c r="H1024" s="173"/>
      <c r="I1024" s="173"/>
      <c r="J1024" s="173"/>
      <c r="K1024" s="173"/>
      <c r="L1024" s="173"/>
      <c r="M1024" s="173"/>
    </row>
    <row r="1025" spans="1:13" s="27" customFormat="1" x14ac:dyDescent="0.3">
      <c r="A1025" s="173"/>
      <c r="E1025" s="173"/>
      <c r="F1025" s="173"/>
      <c r="G1025" s="173"/>
      <c r="H1025" s="173"/>
      <c r="I1025" s="173"/>
      <c r="J1025" s="173"/>
      <c r="K1025" s="173"/>
      <c r="L1025" s="173"/>
      <c r="M1025" s="173"/>
    </row>
    <row r="1026" spans="1:13" s="27" customFormat="1" x14ac:dyDescent="0.3">
      <c r="A1026" s="173"/>
      <c r="E1026" s="173"/>
      <c r="F1026" s="173"/>
      <c r="G1026" s="173"/>
      <c r="H1026" s="173"/>
      <c r="I1026" s="173"/>
      <c r="J1026" s="173"/>
      <c r="K1026" s="173"/>
      <c r="L1026" s="173"/>
      <c r="M1026" s="173"/>
    </row>
    <row r="1027" spans="1:13" s="27" customFormat="1" x14ac:dyDescent="0.3">
      <c r="A1027" s="173"/>
      <c r="E1027" s="173"/>
      <c r="F1027" s="173"/>
      <c r="G1027" s="173"/>
      <c r="H1027" s="173"/>
      <c r="I1027" s="173"/>
      <c r="J1027" s="173"/>
      <c r="K1027" s="173"/>
      <c r="L1027" s="173"/>
      <c r="M1027" s="173"/>
    </row>
    <row r="1028" spans="1:13" s="27" customFormat="1" x14ac:dyDescent="0.3">
      <c r="A1028" s="173"/>
      <c r="E1028" s="173"/>
      <c r="F1028" s="173"/>
      <c r="G1028" s="173"/>
      <c r="H1028" s="173"/>
      <c r="I1028" s="173"/>
      <c r="J1028" s="173"/>
      <c r="K1028" s="173"/>
      <c r="L1028" s="173"/>
      <c r="M1028" s="173"/>
    </row>
    <row r="1029" spans="1:13" s="27" customFormat="1" x14ac:dyDescent="0.3">
      <c r="A1029" s="173"/>
      <c r="E1029" s="173"/>
      <c r="F1029" s="173"/>
      <c r="G1029" s="173"/>
      <c r="H1029" s="173"/>
      <c r="I1029" s="173"/>
      <c r="J1029" s="173"/>
      <c r="K1029" s="173"/>
      <c r="L1029" s="173"/>
      <c r="M1029" s="173"/>
    </row>
    <row r="1030" spans="1:13" s="27" customFormat="1" x14ac:dyDescent="0.3">
      <c r="A1030" s="173"/>
      <c r="E1030" s="173"/>
      <c r="F1030" s="173"/>
      <c r="G1030" s="173"/>
      <c r="H1030" s="173"/>
      <c r="I1030" s="173"/>
      <c r="J1030" s="173"/>
      <c r="K1030" s="173"/>
      <c r="L1030" s="173"/>
      <c r="M1030" s="173"/>
    </row>
    <row r="1031" spans="1:13" s="27" customFormat="1" x14ac:dyDescent="0.3">
      <c r="A1031" s="173"/>
      <c r="E1031" s="173"/>
      <c r="F1031" s="173"/>
      <c r="G1031" s="173"/>
      <c r="H1031" s="173"/>
      <c r="I1031" s="173"/>
      <c r="J1031" s="173"/>
      <c r="K1031" s="173"/>
      <c r="L1031" s="173"/>
      <c r="M1031" s="173"/>
    </row>
    <row r="1032" spans="1:13" s="27" customFormat="1" x14ac:dyDescent="0.3">
      <c r="A1032" s="173"/>
      <c r="E1032" s="173"/>
      <c r="F1032" s="173"/>
      <c r="G1032" s="173"/>
      <c r="H1032" s="173"/>
      <c r="I1032" s="173"/>
      <c r="J1032" s="173"/>
      <c r="K1032" s="173"/>
      <c r="L1032" s="173"/>
      <c r="M1032" s="173"/>
    </row>
    <row r="1033" spans="1:13" s="27" customFormat="1" x14ac:dyDescent="0.3">
      <c r="A1033" s="173"/>
      <c r="E1033" s="173"/>
      <c r="F1033" s="173"/>
      <c r="G1033" s="173"/>
      <c r="H1033" s="173"/>
      <c r="I1033" s="173"/>
      <c r="J1033" s="173"/>
      <c r="K1033" s="173"/>
      <c r="L1033" s="173"/>
      <c r="M1033" s="173"/>
    </row>
    <row r="1034" spans="1:13" s="27" customFormat="1" x14ac:dyDescent="0.3">
      <c r="A1034" s="173"/>
      <c r="E1034" s="173"/>
      <c r="F1034" s="173"/>
      <c r="G1034" s="173"/>
      <c r="H1034" s="173"/>
      <c r="I1034" s="173"/>
      <c r="J1034" s="173"/>
      <c r="K1034" s="173"/>
      <c r="L1034" s="173"/>
      <c r="M1034" s="173"/>
    </row>
    <row r="1035" spans="1:13" s="27" customFormat="1" x14ac:dyDescent="0.3">
      <c r="A1035" s="173"/>
      <c r="E1035" s="173"/>
      <c r="F1035" s="173"/>
      <c r="G1035" s="173"/>
      <c r="H1035" s="173"/>
      <c r="I1035" s="173"/>
      <c r="J1035" s="173"/>
      <c r="K1035" s="173"/>
      <c r="L1035" s="173"/>
      <c r="M1035" s="173"/>
    </row>
    <row r="1036" spans="1:13" s="27" customFormat="1" x14ac:dyDescent="0.3">
      <c r="A1036" s="173"/>
      <c r="E1036" s="173"/>
      <c r="F1036" s="173"/>
      <c r="G1036" s="173"/>
      <c r="H1036" s="173"/>
      <c r="I1036" s="173"/>
      <c r="J1036" s="173"/>
      <c r="K1036" s="173"/>
      <c r="L1036" s="173"/>
      <c r="M1036" s="173"/>
    </row>
    <row r="1037" spans="1:13" s="27" customFormat="1" x14ac:dyDescent="0.3">
      <c r="A1037" s="173"/>
      <c r="E1037" s="173"/>
      <c r="F1037" s="173"/>
      <c r="G1037" s="173"/>
      <c r="H1037" s="173"/>
      <c r="I1037" s="173"/>
      <c r="J1037" s="173"/>
      <c r="K1037" s="173"/>
      <c r="L1037" s="173"/>
      <c r="M1037" s="173"/>
    </row>
    <row r="1038" spans="1:13" s="27" customFormat="1" x14ac:dyDescent="0.3">
      <c r="A1038" s="173"/>
      <c r="E1038" s="173"/>
      <c r="F1038" s="173"/>
      <c r="G1038" s="173"/>
      <c r="H1038" s="173"/>
      <c r="I1038" s="173"/>
      <c r="J1038" s="173"/>
      <c r="K1038" s="173"/>
      <c r="L1038" s="173"/>
      <c r="M1038" s="173"/>
    </row>
    <row r="1039" spans="1:13" s="27" customFormat="1" x14ac:dyDescent="0.3">
      <c r="A1039" s="173"/>
      <c r="E1039" s="173"/>
      <c r="F1039" s="173"/>
      <c r="G1039" s="173"/>
      <c r="H1039" s="173"/>
      <c r="I1039" s="173"/>
      <c r="J1039" s="173"/>
      <c r="K1039" s="173"/>
      <c r="L1039" s="173"/>
      <c r="M1039" s="173"/>
    </row>
    <row r="1040" spans="1:13" s="27" customFormat="1" x14ac:dyDescent="0.3">
      <c r="A1040" s="173"/>
      <c r="E1040" s="173"/>
      <c r="F1040" s="173"/>
      <c r="G1040" s="173"/>
      <c r="H1040" s="173"/>
      <c r="I1040" s="173"/>
      <c r="J1040" s="173"/>
      <c r="K1040" s="173"/>
      <c r="L1040" s="173"/>
      <c r="M1040" s="173"/>
    </row>
    <row r="1041" spans="1:13" s="27" customFormat="1" x14ac:dyDescent="0.3">
      <c r="A1041" s="173"/>
      <c r="E1041" s="173"/>
      <c r="F1041" s="173"/>
      <c r="G1041" s="173"/>
      <c r="H1041" s="173"/>
      <c r="I1041" s="173"/>
      <c r="J1041" s="173"/>
      <c r="K1041" s="173"/>
      <c r="L1041" s="173"/>
      <c r="M1041" s="173"/>
    </row>
    <row r="1042" spans="1:13" s="27" customFormat="1" x14ac:dyDescent="0.3">
      <c r="A1042" s="173"/>
      <c r="E1042" s="173"/>
      <c r="F1042" s="173"/>
      <c r="G1042" s="173"/>
      <c r="H1042" s="173"/>
      <c r="I1042" s="173"/>
      <c r="J1042" s="173"/>
      <c r="K1042" s="173"/>
      <c r="L1042" s="173"/>
      <c r="M1042" s="173"/>
    </row>
    <row r="1043" spans="1:13" s="27" customFormat="1" x14ac:dyDescent="0.3">
      <c r="A1043" s="173"/>
      <c r="E1043" s="173"/>
      <c r="F1043" s="173"/>
      <c r="G1043" s="173"/>
      <c r="H1043" s="173"/>
      <c r="I1043" s="173"/>
      <c r="J1043" s="173"/>
      <c r="K1043" s="173"/>
      <c r="L1043" s="173"/>
      <c r="M1043" s="173"/>
    </row>
    <row r="1044" spans="1:13" s="27" customFormat="1" x14ac:dyDescent="0.3">
      <c r="A1044" s="173"/>
      <c r="E1044" s="173"/>
      <c r="F1044" s="173"/>
      <c r="G1044" s="173"/>
      <c r="H1044" s="173"/>
      <c r="I1044" s="173"/>
      <c r="J1044" s="173"/>
      <c r="K1044" s="173"/>
      <c r="L1044" s="173"/>
      <c r="M1044" s="173"/>
    </row>
    <row r="1045" spans="1:13" s="27" customFormat="1" x14ac:dyDescent="0.3">
      <c r="A1045" s="173"/>
      <c r="E1045" s="173"/>
      <c r="F1045" s="173"/>
      <c r="G1045" s="173"/>
      <c r="H1045" s="173"/>
      <c r="I1045" s="173"/>
      <c r="J1045" s="173"/>
      <c r="K1045" s="173"/>
      <c r="L1045" s="173"/>
      <c r="M1045" s="173"/>
    </row>
    <row r="1046" spans="1:13" s="27" customFormat="1" x14ac:dyDescent="0.3">
      <c r="A1046" s="173"/>
      <c r="E1046" s="173"/>
      <c r="F1046" s="173"/>
      <c r="G1046" s="173"/>
      <c r="H1046" s="173"/>
      <c r="I1046" s="173"/>
      <c r="J1046" s="173"/>
      <c r="K1046" s="173"/>
      <c r="L1046" s="173"/>
      <c r="M1046" s="173"/>
    </row>
    <row r="1047" spans="1:13" s="27" customFormat="1" x14ac:dyDescent="0.3">
      <c r="A1047" s="173"/>
      <c r="E1047" s="173"/>
      <c r="F1047" s="173"/>
      <c r="G1047" s="173"/>
      <c r="H1047" s="173"/>
      <c r="I1047" s="173"/>
      <c r="J1047" s="173"/>
      <c r="K1047" s="173"/>
      <c r="L1047" s="173"/>
      <c r="M1047" s="173"/>
    </row>
    <row r="1048" spans="1:13" s="27" customFormat="1" x14ac:dyDescent="0.3">
      <c r="A1048" s="173"/>
      <c r="E1048" s="173"/>
      <c r="F1048" s="173"/>
      <c r="G1048" s="173"/>
      <c r="H1048" s="173"/>
      <c r="I1048" s="173"/>
      <c r="J1048" s="173"/>
      <c r="K1048" s="173"/>
      <c r="L1048" s="173"/>
      <c r="M1048" s="173"/>
    </row>
    <row r="1049" spans="1:13" s="27" customFormat="1" x14ac:dyDescent="0.3">
      <c r="A1049" s="173"/>
      <c r="E1049" s="173"/>
      <c r="F1049" s="173"/>
      <c r="G1049" s="173"/>
      <c r="H1049" s="173"/>
      <c r="I1049" s="173"/>
      <c r="J1049" s="173"/>
      <c r="K1049" s="173"/>
      <c r="L1049" s="173"/>
      <c r="M1049" s="173"/>
    </row>
    <row r="1050" spans="1:13" s="27" customFormat="1" x14ac:dyDescent="0.3">
      <c r="A1050" s="173"/>
      <c r="E1050" s="173"/>
      <c r="F1050" s="173"/>
      <c r="G1050" s="173"/>
      <c r="H1050" s="173"/>
      <c r="I1050" s="173"/>
      <c r="J1050" s="173"/>
      <c r="K1050" s="173"/>
      <c r="L1050" s="173"/>
      <c r="M1050" s="173"/>
    </row>
    <row r="1051" spans="1:13" s="27" customFormat="1" x14ac:dyDescent="0.3">
      <c r="A1051" s="173"/>
      <c r="E1051" s="173"/>
      <c r="F1051" s="173"/>
      <c r="G1051" s="173"/>
      <c r="H1051" s="173"/>
      <c r="I1051" s="173"/>
      <c r="J1051" s="173"/>
      <c r="K1051" s="173"/>
      <c r="L1051" s="173"/>
      <c r="M1051" s="173"/>
    </row>
    <row r="1052" spans="1:13" s="27" customFormat="1" x14ac:dyDescent="0.3">
      <c r="A1052" s="173"/>
      <c r="E1052" s="173"/>
      <c r="F1052" s="173"/>
      <c r="G1052" s="173"/>
      <c r="H1052" s="173"/>
      <c r="I1052" s="173"/>
      <c r="J1052" s="173"/>
      <c r="K1052" s="173"/>
      <c r="L1052" s="173"/>
      <c r="M1052" s="173"/>
    </row>
    <row r="1053" spans="1:13" s="27" customFormat="1" x14ac:dyDescent="0.3">
      <c r="A1053" s="173"/>
      <c r="E1053" s="173"/>
      <c r="F1053" s="173"/>
      <c r="G1053" s="173"/>
      <c r="H1053" s="173"/>
      <c r="I1053" s="173"/>
      <c r="J1053" s="173"/>
      <c r="K1053" s="173"/>
      <c r="L1053" s="173"/>
      <c r="M1053" s="173"/>
    </row>
    <row r="1054" spans="1:13" s="27" customFormat="1" x14ac:dyDescent="0.3">
      <c r="A1054" s="173"/>
      <c r="E1054" s="173"/>
      <c r="F1054" s="173"/>
      <c r="G1054" s="173"/>
      <c r="H1054" s="173"/>
      <c r="I1054" s="173"/>
      <c r="J1054" s="173"/>
      <c r="K1054" s="173"/>
      <c r="L1054" s="173"/>
      <c r="M1054" s="173"/>
    </row>
    <row r="1055" spans="1:13" s="27" customFormat="1" x14ac:dyDescent="0.3">
      <c r="A1055" s="173"/>
      <c r="E1055" s="173"/>
      <c r="F1055" s="173"/>
      <c r="G1055" s="173"/>
      <c r="H1055" s="173"/>
      <c r="I1055" s="173"/>
      <c r="J1055" s="173"/>
      <c r="K1055" s="173"/>
      <c r="L1055" s="173"/>
      <c r="M1055" s="173"/>
    </row>
    <row r="1056" spans="1:13" s="27" customFormat="1" x14ac:dyDescent="0.3">
      <c r="A1056" s="173"/>
      <c r="E1056" s="173"/>
      <c r="F1056" s="173"/>
      <c r="G1056" s="173"/>
      <c r="H1056" s="173"/>
      <c r="I1056" s="173"/>
      <c r="J1056" s="173"/>
      <c r="K1056" s="173"/>
      <c r="L1056" s="173"/>
      <c r="M1056" s="173"/>
    </row>
    <row r="1057" spans="1:13" s="27" customFormat="1" x14ac:dyDescent="0.3">
      <c r="A1057" s="173"/>
      <c r="E1057" s="173"/>
      <c r="F1057" s="173"/>
      <c r="G1057" s="173"/>
      <c r="H1057" s="173"/>
      <c r="I1057" s="173"/>
      <c r="J1057" s="173"/>
      <c r="K1057" s="173"/>
      <c r="L1057" s="173"/>
      <c r="M1057" s="173"/>
    </row>
    <row r="1058" spans="1:13" s="27" customFormat="1" x14ac:dyDescent="0.3">
      <c r="A1058" s="173"/>
      <c r="E1058" s="173"/>
      <c r="F1058" s="173"/>
      <c r="G1058" s="173"/>
      <c r="H1058" s="173"/>
      <c r="I1058" s="173"/>
      <c r="J1058" s="173"/>
      <c r="K1058" s="173"/>
      <c r="L1058" s="173"/>
      <c r="M1058" s="173"/>
    </row>
    <row r="1059" spans="1:13" s="27" customFormat="1" x14ac:dyDescent="0.3">
      <c r="A1059" s="173"/>
      <c r="E1059" s="173"/>
      <c r="F1059" s="173"/>
      <c r="G1059" s="173"/>
      <c r="H1059" s="173"/>
      <c r="I1059" s="173"/>
      <c r="J1059" s="173"/>
      <c r="K1059" s="173"/>
      <c r="L1059" s="173"/>
      <c r="M1059" s="173"/>
    </row>
    <row r="1060" spans="1:13" s="27" customFormat="1" x14ac:dyDescent="0.3">
      <c r="A1060" s="173"/>
      <c r="E1060" s="173"/>
      <c r="F1060" s="173"/>
      <c r="G1060" s="173"/>
      <c r="H1060" s="173"/>
      <c r="I1060" s="173"/>
      <c r="J1060" s="173"/>
      <c r="K1060" s="173"/>
      <c r="L1060" s="173"/>
      <c r="M1060" s="173"/>
    </row>
    <row r="1061" spans="1:13" s="27" customFormat="1" x14ac:dyDescent="0.3">
      <c r="A1061" s="173"/>
      <c r="E1061" s="173"/>
      <c r="F1061" s="173"/>
      <c r="G1061" s="173"/>
      <c r="H1061" s="173"/>
      <c r="I1061" s="173"/>
      <c r="J1061" s="173"/>
      <c r="K1061" s="173"/>
      <c r="L1061" s="173"/>
      <c r="M1061" s="173"/>
    </row>
    <row r="1062" spans="1:13" s="27" customFormat="1" x14ac:dyDescent="0.3">
      <c r="A1062" s="173"/>
      <c r="E1062" s="173"/>
      <c r="F1062" s="173"/>
      <c r="G1062" s="173"/>
      <c r="H1062" s="173"/>
      <c r="I1062" s="173"/>
      <c r="J1062" s="173"/>
      <c r="K1062" s="173"/>
      <c r="L1062" s="173"/>
      <c r="M1062" s="173"/>
    </row>
    <row r="1063" spans="1:13" s="27" customFormat="1" x14ac:dyDescent="0.3">
      <c r="A1063" s="173"/>
      <c r="E1063" s="173"/>
      <c r="F1063" s="173"/>
      <c r="G1063" s="173"/>
      <c r="H1063" s="173"/>
      <c r="I1063" s="173"/>
      <c r="J1063" s="173"/>
      <c r="K1063" s="173"/>
      <c r="L1063" s="173"/>
      <c r="M1063" s="173"/>
    </row>
    <row r="1064" spans="1:13" s="27" customFormat="1" x14ac:dyDescent="0.3">
      <c r="A1064" s="173"/>
      <c r="E1064" s="173"/>
      <c r="F1064" s="173"/>
      <c r="G1064" s="173"/>
      <c r="H1064" s="173"/>
      <c r="I1064" s="173"/>
      <c r="J1064" s="173"/>
      <c r="K1064" s="173"/>
      <c r="L1064" s="173"/>
      <c r="M1064" s="173"/>
    </row>
    <row r="1065" spans="1:13" s="27" customFormat="1" x14ac:dyDescent="0.3">
      <c r="A1065" s="173"/>
      <c r="E1065" s="173"/>
      <c r="F1065" s="173"/>
      <c r="G1065" s="173"/>
      <c r="H1065" s="173"/>
      <c r="I1065" s="173"/>
      <c r="J1065" s="173"/>
      <c r="K1065" s="173"/>
      <c r="L1065" s="173"/>
      <c r="M1065" s="173"/>
    </row>
    <row r="1066" spans="1:13" s="27" customFormat="1" x14ac:dyDescent="0.3">
      <c r="A1066" s="173"/>
      <c r="E1066" s="173"/>
      <c r="F1066" s="173"/>
      <c r="G1066" s="173"/>
      <c r="H1066" s="173"/>
      <c r="I1066" s="173"/>
      <c r="J1066" s="173"/>
      <c r="K1066" s="173"/>
      <c r="L1066" s="173"/>
      <c r="M1066" s="173"/>
    </row>
    <row r="1067" spans="1:13" s="27" customFormat="1" x14ac:dyDescent="0.3">
      <c r="A1067" s="173"/>
      <c r="E1067" s="173"/>
      <c r="F1067" s="173"/>
      <c r="G1067" s="173"/>
      <c r="H1067" s="173"/>
      <c r="I1067" s="173"/>
      <c r="J1067" s="173"/>
      <c r="K1067" s="173"/>
      <c r="L1067" s="173"/>
      <c r="M1067" s="173"/>
    </row>
    <row r="1068" spans="1:13" s="27" customFormat="1" x14ac:dyDescent="0.3">
      <c r="A1068" s="173"/>
      <c r="E1068" s="173"/>
      <c r="F1068" s="173"/>
      <c r="G1068" s="173"/>
      <c r="H1068" s="173"/>
      <c r="I1068" s="173"/>
      <c r="J1068" s="173"/>
      <c r="K1068" s="173"/>
      <c r="L1068" s="173"/>
      <c r="M1068" s="173"/>
    </row>
    <row r="1069" spans="1:13" s="27" customFormat="1" x14ac:dyDescent="0.3">
      <c r="A1069" s="173"/>
      <c r="E1069" s="173"/>
      <c r="F1069" s="173"/>
      <c r="G1069" s="173"/>
      <c r="H1069" s="173"/>
      <c r="I1069" s="173"/>
      <c r="J1069" s="173"/>
      <c r="K1069" s="173"/>
      <c r="L1069" s="173"/>
      <c r="M1069" s="173"/>
    </row>
    <row r="1070" spans="1:13" s="27" customFormat="1" x14ac:dyDescent="0.3">
      <c r="A1070" s="173"/>
      <c r="E1070" s="173"/>
      <c r="F1070" s="173"/>
      <c r="G1070" s="173"/>
      <c r="H1070" s="173"/>
      <c r="I1070" s="173"/>
      <c r="J1070" s="173"/>
      <c r="K1070" s="173"/>
      <c r="L1070" s="173"/>
      <c r="M1070" s="173"/>
    </row>
    <row r="1071" spans="1:13" s="27" customFormat="1" x14ac:dyDescent="0.3">
      <c r="A1071" s="173"/>
      <c r="E1071" s="173"/>
      <c r="F1071" s="173"/>
      <c r="G1071" s="173"/>
      <c r="H1071" s="173"/>
      <c r="I1071" s="173"/>
      <c r="J1071" s="173"/>
      <c r="K1071" s="173"/>
      <c r="L1071" s="173"/>
      <c r="M1071" s="173"/>
    </row>
    <row r="1072" spans="1:13" s="27" customFormat="1" x14ac:dyDescent="0.3">
      <c r="A1072" s="173"/>
      <c r="E1072" s="173"/>
      <c r="F1072" s="173"/>
      <c r="G1072" s="173"/>
      <c r="H1072" s="173"/>
      <c r="I1072" s="173"/>
      <c r="J1072" s="173"/>
      <c r="K1072" s="173"/>
      <c r="L1072" s="173"/>
      <c r="M1072" s="173"/>
    </row>
    <row r="1073" spans="1:13" s="27" customFormat="1" x14ac:dyDescent="0.3">
      <c r="A1073" s="173"/>
      <c r="E1073" s="173"/>
      <c r="F1073" s="173"/>
      <c r="G1073" s="173"/>
      <c r="H1073" s="173"/>
      <c r="I1073" s="173"/>
      <c r="J1073" s="173"/>
      <c r="K1073" s="173"/>
      <c r="L1073" s="173"/>
      <c r="M1073" s="173"/>
    </row>
    <row r="1074" spans="1:13" s="27" customFormat="1" x14ac:dyDescent="0.3">
      <c r="A1074" s="173"/>
      <c r="E1074" s="173"/>
      <c r="F1074" s="173"/>
      <c r="G1074" s="173"/>
      <c r="H1074" s="173"/>
      <c r="I1074" s="173"/>
      <c r="J1074" s="173"/>
      <c r="K1074" s="173"/>
      <c r="L1074" s="173"/>
      <c r="M1074" s="173"/>
    </row>
    <row r="1075" spans="1:13" s="27" customFormat="1" x14ac:dyDescent="0.3">
      <c r="A1075" s="173"/>
      <c r="E1075" s="173"/>
      <c r="F1075" s="173"/>
      <c r="G1075" s="173"/>
      <c r="H1075" s="173"/>
      <c r="I1075" s="173"/>
      <c r="J1075" s="173"/>
      <c r="K1075" s="173"/>
      <c r="L1075" s="173"/>
      <c r="M1075" s="173"/>
    </row>
    <row r="1076" spans="1:13" s="27" customFormat="1" x14ac:dyDescent="0.3">
      <c r="A1076" s="173"/>
      <c r="E1076" s="173"/>
      <c r="F1076" s="173"/>
      <c r="G1076" s="173"/>
      <c r="H1076" s="173"/>
      <c r="I1076" s="173"/>
      <c r="J1076" s="173"/>
      <c r="K1076" s="173"/>
      <c r="L1076" s="173"/>
      <c r="M1076" s="173"/>
    </row>
    <row r="1077" spans="1:13" s="27" customFormat="1" x14ac:dyDescent="0.3">
      <c r="A1077" s="173"/>
      <c r="E1077" s="173"/>
      <c r="F1077" s="173"/>
      <c r="G1077" s="173"/>
      <c r="H1077" s="173"/>
      <c r="I1077" s="173"/>
      <c r="J1077" s="173"/>
      <c r="K1077" s="173"/>
      <c r="L1077" s="173"/>
      <c r="M1077" s="173"/>
    </row>
    <row r="1078" spans="1:13" s="27" customFormat="1" x14ac:dyDescent="0.3">
      <c r="A1078" s="173"/>
      <c r="E1078" s="173"/>
      <c r="F1078" s="173"/>
      <c r="G1078" s="173"/>
      <c r="H1078" s="173"/>
      <c r="I1078" s="173"/>
      <c r="J1078" s="173"/>
      <c r="K1078" s="173"/>
      <c r="L1078" s="173"/>
      <c r="M1078" s="173"/>
    </row>
    <row r="1079" spans="1:13" s="27" customFormat="1" x14ac:dyDescent="0.3">
      <c r="A1079" s="173"/>
      <c r="E1079" s="173"/>
      <c r="F1079" s="173"/>
      <c r="G1079" s="173"/>
      <c r="H1079" s="173"/>
      <c r="I1079" s="173"/>
      <c r="J1079" s="173"/>
      <c r="K1079" s="173"/>
      <c r="L1079" s="173"/>
      <c r="M1079" s="173"/>
    </row>
    <row r="1080" spans="1:13" s="27" customFormat="1" x14ac:dyDescent="0.3">
      <c r="A1080" s="173"/>
      <c r="E1080" s="173"/>
      <c r="F1080" s="173"/>
      <c r="G1080" s="173"/>
      <c r="H1080" s="173"/>
      <c r="I1080" s="173"/>
      <c r="J1080" s="173"/>
      <c r="K1080" s="173"/>
      <c r="L1080" s="173"/>
      <c r="M1080" s="173"/>
    </row>
    <row r="1081" spans="1:13" s="27" customFormat="1" x14ac:dyDescent="0.3">
      <c r="A1081" s="173"/>
      <c r="E1081" s="173"/>
      <c r="F1081" s="173"/>
      <c r="G1081" s="173"/>
      <c r="H1081" s="173"/>
      <c r="I1081" s="173"/>
      <c r="J1081" s="173"/>
      <c r="K1081" s="173"/>
      <c r="L1081" s="173"/>
      <c r="M1081" s="173"/>
    </row>
    <row r="1082" spans="1:13" s="27" customFormat="1" x14ac:dyDescent="0.3">
      <c r="A1082" s="173"/>
      <c r="E1082" s="173"/>
      <c r="F1082" s="173"/>
      <c r="G1082" s="173"/>
      <c r="H1082" s="173"/>
      <c r="I1082" s="173"/>
      <c r="J1082" s="173"/>
      <c r="K1082" s="173"/>
      <c r="L1082" s="173"/>
      <c r="M1082" s="173"/>
    </row>
    <row r="1083" spans="1:13" s="27" customFormat="1" x14ac:dyDescent="0.3">
      <c r="A1083" s="173"/>
      <c r="E1083" s="173"/>
      <c r="F1083" s="173"/>
      <c r="G1083" s="173"/>
      <c r="H1083" s="173"/>
      <c r="I1083" s="173"/>
      <c r="J1083" s="173"/>
      <c r="K1083" s="173"/>
      <c r="L1083" s="173"/>
      <c r="M1083" s="173"/>
    </row>
    <row r="1084" spans="1:13" s="27" customFormat="1" x14ac:dyDescent="0.3">
      <c r="A1084" s="173"/>
      <c r="E1084" s="173"/>
      <c r="F1084" s="173"/>
      <c r="G1084" s="173"/>
      <c r="H1084" s="173"/>
      <c r="I1084" s="173"/>
      <c r="J1084" s="173"/>
      <c r="K1084" s="173"/>
      <c r="L1084" s="173"/>
      <c r="M1084" s="173"/>
    </row>
    <row r="1085" spans="1:13" s="27" customFormat="1" x14ac:dyDescent="0.3">
      <c r="A1085" s="173"/>
      <c r="E1085" s="173"/>
      <c r="F1085" s="173"/>
      <c r="G1085" s="173"/>
      <c r="H1085" s="173"/>
      <c r="I1085" s="173"/>
      <c r="J1085" s="173"/>
      <c r="K1085" s="173"/>
      <c r="L1085" s="173"/>
      <c r="M1085" s="173"/>
    </row>
    <row r="1086" spans="1:13" s="27" customFormat="1" x14ac:dyDescent="0.3">
      <c r="A1086" s="173"/>
      <c r="E1086" s="173"/>
      <c r="F1086" s="173"/>
      <c r="G1086" s="173"/>
      <c r="H1086" s="173"/>
      <c r="I1086" s="173"/>
      <c r="J1086" s="173"/>
      <c r="K1086" s="173"/>
      <c r="L1086" s="173"/>
      <c r="M1086" s="173"/>
    </row>
    <row r="1087" spans="1:13" s="27" customFormat="1" x14ac:dyDescent="0.3">
      <c r="A1087" s="173"/>
      <c r="E1087" s="173"/>
      <c r="F1087" s="173"/>
      <c r="G1087" s="173"/>
      <c r="H1087" s="173"/>
      <c r="I1087" s="173"/>
      <c r="J1087" s="173"/>
      <c r="K1087" s="173"/>
      <c r="L1087" s="173"/>
      <c r="M1087" s="173"/>
    </row>
    <row r="1088" spans="1:13" s="27" customFormat="1" x14ac:dyDescent="0.3">
      <c r="A1088" s="173"/>
      <c r="E1088" s="173"/>
      <c r="F1088" s="173"/>
      <c r="G1088" s="173"/>
      <c r="H1088" s="173"/>
      <c r="I1088" s="173"/>
      <c r="J1088" s="173"/>
      <c r="K1088" s="173"/>
      <c r="L1088" s="173"/>
      <c r="M1088" s="173"/>
    </row>
    <row r="1089" spans="1:13" s="27" customFormat="1" x14ac:dyDescent="0.3">
      <c r="A1089" s="173"/>
      <c r="E1089" s="173"/>
      <c r="F1089" s="173"/>
      <c r="G1089" s="173"/>
      <c r="H1089" s="173"/>
      <c r="I1089" s="173"/>
      <c r="J1089" s="173"/>
      <c r="K1089" s="173"/>
      <c r="L1089" s="173"/>
      <c r="M1089" s="173"/>
    </row>
    <row r="1090" spans="1:13" s="27" customFormat="1" x14ac:dyDescent="0.3">
      <c r="A1090" s="173"/>
      <c r="E1090" s="173"/>
      <c r="F1090" s="173"/>
      <c r="G1090" s="173"/>
      <c r="H1090" s="173"/>
      <c r="I1090" s="173"/>
      <c r="J1090" s="173"/>
      <c r="K1090" s="173"/>
      <c r="L1090" s="173"/>
      <c r="M1090" s="173"/>
    </row>
    <row r="1091" spans="1:13" s="27" customFormat="1" x14ac:dyDescent="0.3">
      <c r="A1091" s="173"/>
      <c r="E1091" s="173"/>
      <c r="F1091" s="173"/>
      <c r="G1091" s="173"/>
      <c r="H1091" s="173"/>
      <c r="I1091" s="173"/>
      <c r="J1091" s="173"/>
      <c r="K1091" s="173"/>
      <c r="L1091" s="173"/>
      <c r="M1091" s="173"/>
    </row>
    <row r="1092" spans="1:13" s="27" customFormat="1" x14ac:dyDescent="0.3">
      <c r="A1092" s="173"/>
      <c r="E1092" s="173"/>
      <c r="F1092" s="173"/>
      <c r="G1092" s="173"/>
      <c r="H1092" s="173"/>
      <c r="I1092" s="173"/>
      <c r="J1092" s="173"/>
      <c r="K1092" s="173"/>
      <c r="L1092" s="173"/>
      <c r="M1092" s="173"/>
    </row>
    <row r="1093" spans="1:13" s="27" customFormat="1" x14ac:dyDescent="0.3">
      <c r="A1093" s="173"/>
      <c r="E1093" s="173"/>
      <c r="F1093" s="173"/>
      <c r="G1093" s="173"/>
      <c r="H1093" s="173"/>
      <c r="I1093" s="173"/>
      <c r="J1093" s="173"/>
      <c r="K1093" s="173"/>
      <c r="L1093" s="173"/>
      <c r="M1093" s="173"/>
    </row>
    <row r="1094" spans="1:13" s="27" customFormat="1" x14ac:dyDescent="0.3">
      <c r="A1094" s="173"/>
      <c r="E1094" s="173"/>
      <c r="F1094" s="173"/>
      <c r="G1094" s="173"/>
      <c r="H1094" s="173"/>
      <c r="I1094" s="173"/>
      <c r="J1094" s="173"/>
      <c r="K1094" s="173"/>
      <c r="L1094" s="173"/>
      <c r="M1094" s="173"/>
    </row>
    <row r="1095" spans="1:13" s="27" customFormat="1" x14ac:dyDescent="0.3">
      <c r="A1095" s="173"/>
      <c r="E1095" s="173"/>
      <c r="F1095" s="173"/>
      <c r="G1095" s="173"/>
      <c r="H1095" s="173"/>
      <c r="I1095" s="173"/>
      <c r="J1095" s="173"/>
      <c r="K1095" s="173"/>
      <c r="L1095" s="173"/>
      <c r="M1095" s="173"/>
    </row>
    <row r="1096" spans="1:13" s="27" customFormat="1" x14ac:dyDescent="0.3">
      <c r="A1096" s="173"/>
      <c r="E1096" s="173"/>
      <c r="F1096" s="173"/>
      <c r="G1096" s="173"/>
      <c r="H1096" s="173"/>
      <c r="I1096" s="173"/>
      <c r="J1096" s="173"/>
      <c r="K1096" s="173"/>
      <c r="L1096" s="173"/>
      <c r="M1096" s="173"/>
    </row>
    <row r="1097" spans="1:13" s="27" customFormat="1" x14ac:dyDescent="0.3">
      <c r="A1097" s="173"/>
      <c r="E1097" s="173"/>
      <c r="F1097" s="173"/>
      <c r="G1097" s="173"/>
      <c r="H1097" s="173"/>
      <c r="I1097" s="173"/>
      <c r="J1097" s="173"/>
      <c r="K1097" s="173"/>
      <c r="L1097" s="173"/>
      <c r="M1097" s="173"/>
    </row>
    <row r="1098" spans="1:13" s="27" customFormat="1" x14ac:dyDescent="0.3">
      <c r="A1098" s="173"/>
      <c r="E1098" s="173"/>
      <c r="F1098" s="173"/>
      <c r="G1098" s="173"/>
      <c r="H1098" s="173"/>
      <c r="I1098" s="173"/>
      <c r="J1098" s="173"/>
      <c r="K1098" s="173"/>
      <c r="L1098" s="173"/>
      <c r="M1098" s="173"/>
    </row>
    <row r="1099" spans="1:13" s="27" customFormat="1" x14ac:dyDescent="0.3">
      <c r="A1099" s="173"/>
      <c r="E1099" s="173"/>
      <c r="F1099" s="173"/>
      <c r="G1099" s="173"/>
      <c r="H1099" s="173"/>
      <c r="I1099" s="173"/>
      <c r="J1099" s="173"/>
      <c r="K1099" s="173"/>
      <c r="L1099" s="173"/>
      <c r="M1099" s="173"/>
    </row>
    <row r="1100" spans="1:13" s="27" customFormat="1" x14ac:dyDescent="0.3">
      <c r="A1100" s="173"/>
      <c r="E1100" s="173"/>
      <c r="F1100" s="173"/>
      <c r="G1100" s="173"/>
      <c r="H1100" s="173"/>
      <c r="I1100" s="173"/>
      <c r="J1100" s="173"/>
      <c r="K1100" s="173"/>
      <c r="L1100" s="173"/>
      <c r="M1100" s="173"/>
    </row>
    <row r="1101" spans="1:13" s="27" customFormat="1" x14ac:dyDescent="0.3">
      <c r="A1101" s="173"/>
      <c r="E1101" s="173"/>
      <c r="F1101" s="173"/>
      <c r="G1101" s="173"/>
      <c r="H1101" s="173"/>
      <c r="I1101" s="173"/>
      <c r="J1101" s="173"/>
      <c r="K1101" s="173"/>
      <c r="L1101" s="173"/>
      <c r="M1101" s="173"/>
    </row>
    <row r="1102" spans="1:13" s="27" customFormat="1" x14ac:dyDescent="0.3">
      <c r="A1102" s="173"/>
      <c r="E1102" s="173"/>
      <c r="F1102" s="173"/>
      <c r="G1102" s="173"/>
      <c r="H1102" s="173"/>
      <c r="I1102" s="173"/>
      <c r="J1102" s="173"/>
      <c r="K1102" s="173"/>
      <c r="L1102" s="173"/>
      <c r="M1102" s="173"/>
    </row>
    <row r="1103" spans="1:13" s="27" customFormat="1" x14ac:dyDescent="0.3">
      <c r="A1103" s="173"/>
      <c r="E1103" s="173"/>
      <c r="F1103" s="173"/>
      <c r="G1103" s="173"/>
      <c r="H1103" s="173"/>
      <c r="I1103" s="173"/>
      <c r="J1103" s="173"/>
      <c r="K1103" s="173"/>
      <c r="L1103" s="173"/>
      <c r="M1103" s="173"/>
    </row>
    <row r="1104" spans="1:13" s="27" customFormat="1" x14ac:dyDescent="0.3">
      <c r="A1104" s="173"/>
      <c r="E1104" s="173"/>
      <c r="F1104" s="173"/>
      <c r="G1104" s="173"/>
      <c r="H1104" s="173"/>
      <c r="I1104" s="173"/>
      <c r="J1104" s="173"/>
      <c r="K1104" s="173"/>
      <c r="L1104" s="173"/>
      <c r="M1104" s="173"/>
    </row>
    <row r="1105" spans="1:13" s="27" customFormat="1" x14ac:dyDescent="0.3">
      <c r="A1105" s="173"/>
      <c r="E1105" s="173"/>
      <c r="F1105" s="173"/>
      <c r="G1105" s="173"/>
      <c r="H1105" s="173"/>
      <c r="I1105" s="173"/>
      <c r="J1105" s="173"/>
      <c r="K1105" s="173"/>
      <c r="L1105" s="173"/>
      <c r="M1105" s="173"/>
    </row>
    <row r="1106" spans="1:13" s="27" customFormat="1" x14ac:dyDescent="0.3">
      <c r="A1106" s="173"/>
      <c r="E1106" s="173"/>
      <c r="F1106" s="173"/>
      <c r="G1106" s="173"/>
      <c r="H1106" s="173"/>
      <c r="I1106" s="173"/>
      <c r="J1106" s="173"/>
      <c r="K1106" s="173"/>
      <c r="L1106" s="173"/>
      <c r="M1106" s="173"/>
    </row>
    <row r="1107" spans="1:13" s="27" customFormat="1" x14ac:dyDescent="0.3">
      <c r="A1107" s="173"/>
      <c r="E1107" s="173"/>
      <c r="F1107" s="173"/>
      <c r="G1107" s="173"/>
      <c r="H1107" s="173"/>
      <c r="I1107" s="173"/>
      <c r="J1107" s="173"/>
      <c r="K1107" s="173"/>
      <c r="L1107" s="173"/>
      <c r="M1107" s="173"/>
    </row>
    <row r="1108" spans="1:13" s="27" customFormat="1" x14ac:dyDescent="0.3">
      <c r="A1108" s="173"/>
      <c r="E1108" s="173"/>
      <c r="F1108" s="173"/>
      <c r="G1108" s="173"/>
      <c r="H1108" s="173"/>
      <c r="I1108" s="173"/>
      <c r="J1108" s="173"/>
      <c r="K1108" s="173"/>
      <c r="L1108" s="173"/>
      <c r="M1108" s="173"/>
    </row>
    <row r="1109" spans="1:13" s="27" customFormat="1" x14ac:dyDescent="0.3">
      <c r="A1109" s="173"/>
      <c r="E1109" s="173"/>
      <c r="F1109" s="173"/>
      <c r="G1109" s="173"/>
      <c r="H1109" s="173"/>
      <c r="I1109" s="173"/>
      <c r="J1109" s="173"/>
      <c r="K1109" s="173"/>
      <c r="L1109" s="173"/>
      <c r="M1109" s="173"/>
    </row>
    <row r="1110" spans="1:13" s="27" customFormat="1" x14ac:dyDescent="0.3">
      <c r="A1110" s="173"/>
      <c r="E1110" s="173"/>
      <c r="F1110" s="173"/>
      <c r="G1110" s="173"/>
      <c r="H1110" s="173"/>
      <c r="I1110" s="173"/>
      <c r="J1110" s="173"/>
      <c r="K1110" s="173"/>
      <c r="L1110" s="173"/>
      <c r="M1110" s="173"/>
    </row>
    <row r="1111" spans="1:13" s="27" customFormat="1" x14ac:dyDescent="0.3">
      <c r="A1111" s="173"/>
      <c r="E1111" s="173"/>
      <c r="F1111" s="173"/>
      <c r="G1111" s="173"/>
      <c r="H1111" s="173"/>
      <c r="I1111" s="173"/>
      <c r="J1111" s="173"/>
      <c r="K1111" s="173"/>
      <c r="L1111" s="173"/>
      <c r="M1111" s="173"/>
    </row>
    <row r="1112" spans="1:13" s="27" customFormat="1" x14ac:dyDescent="0.3">
      <c r="A1112" s="173"/>
      <c r="E1112" s="173"/>
      <c r="F1112" s="173"/>
      <c r="G1112" s="173"/>
      <c r="H1112" s="173"/>
      <c r="I1112" s="173"/>
      <c r="J1112" s="173"/>
      <c r="K1112" s="173"/>
      <c r="L1112" s="173"/>
      <c r="M1112" s="173"/>
    </row>
    <row r="1113" spans="1:13" s="27" customFormat="1" x14ac:dyDescent="0.3">
      <c r="A1113" s="173"/>
      <c r="E1113" s="173"/>
      <c r="F1113" s="173"/>
      <c r="G1113" s="173"/>
      <c r="H1113" s="173"/>
      <c r="I1113" s="173"/>
      <c r="J1113" s="173"/>
      <c r="K1113" s="173"/>
      <c r="L1113" s="173"/>
      <c r="M1113" s="173"/>
    </row>
    <row r="1114" spans="1:13" s="27" customFormat="1" x14ac:dyDescent="0.3">
      <c r="A1114" s="173"/>
      <c r="E1114" s="173"/>
      <c r="F1114" s="173"/>
      <c r="G1114" s="173"/>
      <c r="H1114" s="173"/>
      <c r="I1114" s="173"/>
      <c r="J1114" s="173"/>
      <c r="K1114" s="173"/>
      <c r="L1114" s="173"/>
      <c r="M1114" s="173"/>
    </row>
    <row r="1115" spans="1:13" s="27" customFormat="1" x14ac:dyDescent="0.3">
      <c r="A1115" s="173"/>
      <c r="E1115" s="173"/>
      <c r="F1115" s="173"/>
      <c r="G1115" s="173"/>
      <c r="H1115" s="173"/>
      <c r="I1115" s="173"/>
      <c r="J1115" s="173"/>
      <c r="K1115" s="173"/>
      <c r="L1115" s="173"/>
      <c r="M1115" s="173"/>
    </row>
    <row r="1116" spans="1:13" s="27" customFormat="1" x14ac:dyDescent="0.3">
      <c r="A1116" s="173"/>
      <c r="E1116" s="173"/>
      <c r="F1116" s="173"/>
      <c r="G1116" s="173"/>
      <c r="H1116" s="173"/>
      <c r="I1116" s="173"/>
      <c r="J1116" s="173"/>
      <c r="K1116" s="173"/>
      <c r="L1116" s="173"/>
      <c r="M1116" s="173"/>
    </row>
    <row r="1117" spans="1:13" s="27" customFormat="1" x14ac:dyDescent="0.3">
      <c r="A1117" s="173"/>
      <c r="E1117" s="173"/>
      <c r="F1117" s="173"/>
      <c r="G1117" s="173"/>
      <c r="H1117" s="173"/>
      <c r="I1117" s="173"/>
      <c r="J1117" s="173"/>
      <c r="K1117" s="173"/>
      <c r="L1117" s="173"/>
      <c r="M1117" s="173"/>
    </row>
    <row r="1118" spans="1:13" s="27" customFormat="1" x14ac:dyDescent="0.3">
      <c r="A1118" s="173"/>
      <c r="E1118" s="173"/>
      <c r="F1118" s="173"/>
      <c r="G1118" s="173"/>
      <c r="H1118" s="173"/>
      <c r="I1118" s="173"/>
      <c r="J1118" s="173"/>
      <c r="K1118" s="173"/>
      <c r="L1118" s="173"/>
      <c r="M1118" s="173"/>
    </row>
    <row r="1119" spans="1:13" s="27" customFormat="1" x14ac:dyDescent="0.3">
      <c r="A1119" s="173"/>
      <c r="E1119" s="173"/>
      <c r="F1119" s="173"/>
      <c r="G1119" s="173"/>
      <c r="H1119" s="173"/>
      <c r="I1119" s="173"/>
      <c r="J1119" s="173"/>
      <c r="K1119" s="173"/>
      <c r="L1119" s="173"/>
      <c r="M1119" s="173"/>
    </row>
    <row r="1120" spans="1:13" s="27" customFormat="1" x14ac:dyDescent="0.3">
      <c r="A1120" s="173"/>
      <c r="E1120" s="173"/>
      <c r="F1120" s="173"/>
      <c r="G1120" s="173"/>
      <c r="H1120" s="173"/>
      <c r="I1120" s="173"/>
      <c r="J1120" s="173"/>
      <c r="K1120" s="173"/>
      <c r="L1120" s="173"/>
      <c r="M1120" s="173"/>
    </row>
    <row r="1121" spans="1:13" s="27" customFormat="1" x14ac:dyDescent="0.3">
      <c r="A1121" s="173"/>
      <c r="E1121" s="173"/>
      <c r="F1121" s="173"/>
      <c r="G1121" s="173"/>
      <c r="H1121" s="173"/>
      <c r="I1121" s="173"/>
      <c r="J1121" s="173"/>
      <c r="K1121" s="173"/>
      <c r="L1121" s="173"/>
      <c r="M1121" s="173"/>
    </row>
    <row r="1122" spans="1:13" s="27" customFormat="1" x14ac:dyDescent="0.3">
      <c r="A1122" s="173"/>
      <c r="E1122" s="173"/>
      <c r="F1122" s="173"/>
      <c r="G1122" s="173"/>
      <c r="H1122" s="173"/>
      <c r="I1122" s="173"/>
      <c r="J1122" s="173"/>
      <c r="K1122" s="173"/>
      <c r="L1122" s="173"/>
      <c r="M1122" s="173"/>
    </row>
    <row r="1123" spans="1:13" s="27" customFormat="1" x14ac:dyDescent="0.3">
      <c r="A1123" s="173"/>
      <c r="E1123" s="173"/>
      <c r="F1123" s="173"/>
      <c r="G1123" s="173"/>
      <c r="H1123" s="173"/>
      <c r="I1123" s="173"/>
      <c r="J1123" s="173"/>
      <c r="K1123" s="173"/>
      <c r="L1123" s="173"/>
      <c r="M1123" s="173"/>
    </row>
    <row r="1124" spans="1:13" s="27" customFormat="1" x14ac:dyDescent="0.3">
      <c r="A1124" s="173"/>
      <c r="E1124" s="173"/>
      <c r="F1124" s="173"/>
      <c r="G1124" s="173"/>
      <c r="H1124" s="173"/>
      <c r="I1124" s="173"/>
      <c r="J1124" s="173"/>
      <c r="K1124" s="173"/>
      <c r="L1124" s="173"/>
      <c r="M1124" s="173"/>
    </row>
    <row r="1125" spans="1:13" s="27" customFormat="1" x14ac:dyDescent="0.3">
      <c r="A1125" s="173"/>
      <c r="E1125" s="173"/>
      <c r="F1125" s="173"/>
      <c r="G1125" s="173"/>
      <c r="H1125" s="173"/>
      <c r="I1125" s="173"/>
      <c r="J1125" s="173"/>
      <c r="K1125" s="173"/>
      <c r="L1125" s="173"/>
      <c r="M1125" s="173"/>
    </row>
    <row r="1126" spans="1:13" s="27" customFormat="1" x14ac:dyDescent="0.3">
      <c r="A1126" s="173"/>
      <c r="E1126" s="173"/>
      <c r="F1126" s="173"/>
      <c r="G1126" s="173"/>
      <c r="H1126" s="173"/>
      <c r="I1126" s="173"/>
      <c r="J1126" s="173"/>
      <c r="K1126" s="173"/>
      <c r="L1126" s="173"/>
      <c r="M1126" s="173"/>
    </row>
    <row r="1127" spans="1:13" s="27" customFormat="1" x14ac:dyDescent="0.3">
      <c r="A1127" s="173"/>
      <c r="E1127" s="173"/>
      <c r="F1127" s="173"/>
      <c r="G1127" s="173"/>
      <c r="H1127" s="173"/>
      <c r="I1127" s="173"/>
      <c r="J1127" s="173"/>
      <c r="K1127" s="173"/>
      <c r="L1127" s="173"/>
      <c r="M1127" s="173"/>
    </row>
    <row r="1128" spans="1:13" s="27" customFormat="1" x14ac:dyDescent="0.3">
      <c r="A1128" s="173"/>
      <c r="E1128" s="173"/>
      <c r="F1128" s="173"/>
      <c r="G1128" s="173"/>
      <c r="H1128" s="173"/>
      <c r="I1128" s="173"/>
      <c r="J1128" s="173"/>
      <c r="K1128" s="173"/>
      <c r="L1128" s="173"/>
      <c r="M1128" s="173"/>
    </row>
    <row r="1129" spans="1:13" s="27" customFormat="1" x14ac:dyDescent="0.3">
      <c r="A1129" s="173"/>
      <c r="E1129" s="173"/>
      <c r="F1129" s="173"/>
      <c r="G1129" s="173"/>
      <c r="H1129" s="173"/>
      <c r="I1129" s="173"/>
      <c r="J1129" s="173"/>
      <c r="K1129" s="173"/>
      <c r="L1129" s="173"/>
      <c r="M1129" s="173"/>
    </row>
    <row r="1130" spans="1:13" s="27" customFormat="1" x14ac:dyDescent="0.3">
      <c r="A1130" s="173"/>
      <c r="E1130" s="173"/>
      <c r="F1130" s="173"/>
      <c r="G1130" s="173"/>
      <c r="H1130" s="173"/>
      <c r="I1130" s="173"/>
      <c r="J1130" s="173"/>
      <c r="K1130" s="173"/>
      <c r="L1130" s="173"/>
      <c r="M1130" s="173"/>
    </row>
    <row r="1131" spans="1:13" s="27" customFormat="1" x14ac:dyDescent="0.3">
      <c r="A1131" s="173"/>
      <c r="E1131" s="173"/>
      <c r="F1131" s="173"/>
      <c r="G1131" s="173"/>
      <c r="H1131" s="173"/>
      <c r="I1131" s="173"/>
      <c r="J1131" s="173"/>
      <c r="K1131" s="173"/>
      <c r="L1131" s="173"/>
      <c r="M1131" s="173"/>
    </row>
    <row r="1132" spans="1:13" s="27" customFormat="1" x14ac:dyDescent="0.3">
      <c r="A1132" s="173"/>
      <c r="E1132" s="173"/>
      <c r="F1132" s="173"/>
      <c r="G1132" s="173"/>
      <c r="H1132" s="173"/>
      <c r="I1132" s="173"/>
      <c r="J1132" s="173"/>
      <c r="K1132" s="173"/>
      <c r="L1132" s="173"/>
      <c r="M1132" s="173"/>
    </row>
    <row r="1133" spans="1:13" s="27" customFormat="1" x14ac:dyDescent="0.3">
      <c r="A1133" s="173"/>
      <c r="E1133" s="173"/>
      <c r="F1133" s="173"/>
      <c r="G1133" s="173"/>
      <c r="H1133" s="173"/>
      <c r="I1133" s="173"/>
      <c r="J1133" s="173"/>
      <c r="K1133" s="173"/>
      <c r="L1133" s="173"/>
      <c r="M1133" s="173"/>
    </row>
    <row r="1134" spans="1:13" s="27" customFormat="1" x14ac:dyDescent="0.3">
      <c r="A1134" s="173"/>
      <c r="E1134" s="173"/>
      <c r="F1134" s="173"/>
      <c r="G1134" s="173"/>
      <c r="H1134" s="173"/>
      <c r="I1134" s="173"/>
      <c r="J1134" s="173"/>
      <c r="K1134" s="173"/>
      <c r="L1134" s="173"/>
      <c r="M1134" s="173"/>
    </row>
    <row r="1135" spans="1:13" s="27" customFormat="1" x14ac:dyDescent="0.3">
      <c r="A1135" s="173"/>
      <c r="E1135" s="173"/>
      <c r="F1135" s="173"/>
      <c r="G1135" s="173"/>
      <c r="H1135" s="173"/>
      <c r="I1135" s="173"/>
      <c r="J1135" s="173"/>
      <c r="K1135" s="173"/>
      <c r="L1135" s="173"/>
      <c r="M1135" s="173"/>
    </row>
    <row r="1136" spans="1:13" s="27" customFormat="1" x14ac:dyDescent="0.3">
      <c r="A1136" s="173"/>
      <c r="E1136" s="173"/>
      <c r="F1136" s="173"/>
      <c r="G1136" s="173"/>
      <c r="H1136" s="173"/>
      <c r="I1136" s="173"/>
      <c r="J1136" s="173"/>
      <c r="K1136" s="173"/>
      <c r="L1136" s="173"/>
      <c r="M1136" s="173"/>
    </row>
    <row r="1137" spans="1:13" s="27" customFormat="1" x14ac:dyDescent="0.3">
      <c r="A1137" s="173"/>
      <c r="E1137" s="173"/>
      <c r="F1137" s="173"/>
      <c r="G1137" s="173"/>
      <c r="H1137" s="173"/>
      <c r="I1137" s="173"/>
      <c r="J1137" s="173"/>
      <c r="K1137" s="173"/>
      <c r="L1137" s="173"/>
      <c r="M1137" s="173"/>
    </row>
    <row r="1138" spans="1:13" s="27" customFormat="1" x14ac:dyDescent="0.3">
      <c r="A1138" s="173"/>
      <c r="E1138" s="173"/>
      <c r="F1138" s="173"/>
      <c r="G1138" s="173"/>
      <c r="H1138" s="173"/>
      <c r="I1138" s="173"/>
      <c r="J1138" s="173"/>
      <c r="K1138" s="173"/>
      <c r="L1138" s="173"/>
      <c r="M1138" s="173"/>
    </row>
    <row r="1139" spans="1:13" s="27" customFormat="1" x14ac:dyDescent="0.3">
      <c r="A1139" s="173"/>
      <c r="E1139" s="173"/>
      <c r="F1139" s="173"/>
      <c r="G1139" s="173"/>
      <c r="H1139" s="173"/>
      <c r="I1139" s="173"/>
      <c r="J1139" s="173"/>
      <c r="K1139" s="173"/>
      <c r="L1139" s="173"/>
      <c r="M1139" s="173"/>
    </row>
    <row r="1140" spans="1:13" s="27" customFormat="1" x14ac:dyDescent="0.3">
      <c r="A1140" s="173"/>
      <c r="E1140" s="173"/>
      <c r="F1140" s="173"/>
      <c r="G1140" s="173"/>
      <c r="H1140" s="173"/>
      <c r="I1140" s="173"/>
      <c r="J1140" s="173"/>
      <c r="K1140" s="173"/>
      <c r="L1140" s="173"/>
      <c r="M1140" s="173"/>
    </row>
    <row r="1141" spans="1:13" s="27" customFormat="1" x14ac:dyDescent="0.3">
      <c r="A1141" s="173"/>
      <c r="E1141" s="173"/>
      <c r="F1141" s="173"/>
      <c r="G1141" s="173"/>
      <c r="H1141" s="173"/>
      <c r="I1141" s="173"/>
      <c r="J1141" s="173"/>
      <c r="K1141" s="173"/>
      <c r="L1141" s="173"/>
      <c r="M1141" s="173"/>
    </row>
    <row r="1142" spans="1:13" s="27" customFormat="1" x14ac:dyDescent="0.3">
      <c r="A1142" s="173"/>
      <c r="E1142" s="173"/>
      <c r="F1142" s="173"/>
      <c r="G1142" s="173"/>
      <c r="H1142" s="173"/>
      <c r="I1142" s="173"/>
      <c r="J1142" s="173"/>
      <c r="K1142" s="173"/>
      <c r="L1142" s="173"/>
      <c r="M1142" s="173"/>
    </row>
    <row r="1143" spans="1:13" s="27" customFormat="1" x14ac:dyDescent="0.3">
      <c r="A1143" s="173"/>
      <c r="E1143" s="173"/>
      <c r="F1143" s="173"/>
      <c r="G1143" s="173"/>
      <c r="H1143" s="173"/>
      <c r="I1143" s="173"/>
      <c r="J1143" s="173"/>
      <c r="K1143" s="173"/>
      <c r="L1143" s="173"/>
      <c r="M1143" s="173"/>
    </row>
    <row r="1144" spans="1:13" s="27" customFormat="1" x14ac:dyDescent="0.3">
      <c r="A1144" s="173"/>
      <c r="E1144" s="173"/>
      <c r="F1144" s="173"/>
      <c r="G1144" s="173"/>
      <c r="H1144" s="173"/>
      <c r="I1144" s="173"/>
      <c r="J1144" s="173"/>
      <c r="K1144" s="173"/>
      <c r="L1144" s="173"/>
      <c r="M1144" s="173"/>
    </row>
    <row r="1145" spans="1:13" s="27" customFormat="1" x14ac:dyDescent="0.3">
      <c r="A1145" s="173"/>
      <c r="E1145" s="173"/>
      <c r="F1145" s="173"/>
      <c r="G1145" s="173"/>
      <c r="H1145" s="173"/>
      <c r="I1145" s="173"/>
      <c r="J1145" s="173"/>
      <c r="K1145" s="173"/>
      <c r="L1145" s="173"/>
      <c r="M1145" s="173"/>
    </row>
    <row r="1146" spans="1:13" s="27" customFormat="1" x14ac:dyDescent="0.3">
      <c r="A1146" s="173"/>
      <c r="E1146" s="173"/>
      <c r="F1146" s="173"/>
      <c r="G1146" s="173"/>
      <c r="H1146" s="173"/>
      <c r="I1146" s="173"/>
      <c r="J1146" s="173"/>
      <c r="K1146" s="173"/>
      <c r="L1146" s="173"/>
      <c r="M1146" s="173"/>
    </row>
    <row r="1147" spans="1:13" s="27" customFormat="1" x14ac:dyDescent="0.3">
      <c r="A1147" s="173"/>
      <c r="E1147" s="173"/>
      <c r="F1147" s="173"/>
      <c r="G1147" s="173"/>
      <c r="H1147" s="173"/>
      <c r="I1147" s="173"/>
      <c r="J1147" s="173"/>
      <c r="K1147" s="173"/>
      <c r="L1147" s="173"/>
      <c r="M1147" s="173"/>
    </row>
    <row r="1148" spans="1:13" s="27" customFormat="1" x14ac:dyDescent="0.3">
      <c r="A1148" s="173"/>
      <c r="E1148" s="173"/>
      <c r="F1148" s="173"/>
      <c r="G1148" s="173"/>
      <c r="H1148" s="173"/>
      <c r="I1148" s="173"/>
      <c r="J1148" s="173"/>
      <c r="K1148" s="173"/>
      <c r="L1148" s="173"/>
      <c r="M1148" s="173"/>
    </row>
    <row r="1149" spans="1:13" s="27" customFormat="1" x14ac:dyDescent="0.3">
      <c r="A1149" s="173"/>
      <c r="E1149" s="173"/>
      <c r="F1149" s="173"/>
      <c r="G1149" s="173"/>
      <c r="H1149" s="173"/>
      <c r="I1149" s="173"/>
      <c r="J1149" s="173"/>
      <c r="K1149" s="173"/>
      <c r="L1149" s="173"/>
      <c r="M1149" s="173"/>
    </row>
    <row r="1150" spans="1:13" s="27" customFormat="1" x14ac:dyDescent="0.3">
      <c r="A1150" s="173"/>
      <c r="E1150" s="173"/>
      <c r="F1150" s="173"/>
      <c r="G1150" s="173"/>
      <c r="H1150" s="173"/>
      <c r="I1150" s="173"/>
      <c r="J1150" s="173"/>
      <c r="K1150" s="173"/>
      <c r="L1150" s="173"/>
      <c r="M1150" s="173"/>
    </row>
    <row r="1151" spans="1:13" s="27" customFormat="1" x14ac:dyDescent="0.3">
      <c r="A1151" s="173"/>
      <c r="E1151" s="173"/>
      <c r="F1151" s="173"/>
      <c r="G1151" s="173"/>
      <c r="H1151" s="173"/>
      <c r="I1151" s="173"/>
      <c r="J1151" s="173"/>
      <c r="K1151" s="173"/>
      <c r="L1151" s="173"/>
      <c r="M1151" s="173"/>
    </row>
    <row r="1152" spans="1:13" s="27" customFormat="1" x14ac:dyDescent="0.3">
      <c r="A1152" s="173"/>
      <c r="E1152" s="173"/>
      <c r="F1152" s="173"/>
      <c r="G1152" s="173"/>
      <c r="H1152" s="173"/>
      <c r="I1152" s="173"/>
      <c r="J1152" s="173"/>
      <c r="K1152" s="173"/>
      <c r="L1152" s="173"/>
      <c r="M1152" s="173"/>
    </row>
    <row r="1153" spans="1:13" s="27" customFormat="1" x14ac:dyDescent="0.3">
      <c r="A1153" s="173"/>
      <c r="E1153" s="173"/>
      <c r="F1153" s="173"/>
      <c r="G1153" s="173"/>
      <c r="H1153" s="173"/>
      <c r="I1153" s="173"/>
      <c r="J1153" s="173"/>
      <c r="K1153" s="173"/>
      <c r="L1153" s="173"/>
      <c r="M1153" s="173"/>
    </row>
    <row r="1154" spans="1:13" s="27" customFormat="1" x14ac:dyDescent="0.3">
      <c r="A1154" s="173"/>
      <c r="E1154" s="173"/>
      <c r="F1154" s="173"/>
      <c r="G1154" s="173"/>
      <c r="H1154" s="173"/>
      <c r="I1154" s="173"/>
      <c r="J1154" s="173"/>
      <c r="K1154" s="173"/>
      <c r="L1154" s="173"/>
      <c r="M1154" s="173"/>
    </row>
    <row r="1155" spans="1:13" s="27" customFormat="1" x14ac:dyDescent="0.3">
      <c r="A1155" s="173"/>
      <c r="E1155" s="173"/>
      <c r="F1155" s="173"/>
      <c r="G1155" s="173"/>
      <c r="H1155" s="173"/>
      <c r="I1155" s="173"/>
      <c r="J1155" s="173"/>
      <c r="K1155" s="173"/>
      <c r="L1155" s="173"/>
      <c r="M1155" s="173"/>
    </row>
    <row r="1156" spans="1:13" s="27" customFormat="1" x14ac:dyDescent="0.3">
      <c r="A1156" s="173"/>
      <c r="E1156" s="173"/>
      <c r="F1156" s="173"/>
      <c r="G1156" s="173"/>
      <c r="H1156" s="173"/>
      <c r="I1156" s="173"/>
      <c r="J1156" s="173"/>
      <c r="K1156" s="173"/>
      <c r="L1156" s="173"/>
      <c r="M1156" s="173"/>
    </row>
    <row r="1157" spans="1:13" s="27" customFormat="1" x14ac:dyDescent="0.3">
      <c r="A1157" s="173"/>
      <c r="E1157" s="173"/>
      <c r="F1157" s="173"/>
      <c r="G1157" s="173"/>
      <c r="H1157" s="173"/>
      <c r="I1157" s="173"/>
      <c r="J1157" s="173"/>
      <c r="K1157" s="173"/>
      <c r="L1157" s="173"/>
      <c r="M1157" s="173"/>
    </row>
    <row r="1158" spans="1:13" s="27" customFormat="1" x14ac:dyDescent="0.3">
      <c r="A1158" s="173"/>
      <c r="E1158" s="173"/>
      <c r="F1158" s="173"/>
      <c r="G1158" s="173"/>
      <c r="H1158" s="173"/>
      <c r="I1158" s="173"/>
      <c r="J1158" s="173"/>
      <c r="K1158" s="173"/>
      <c r="L1158" s="173"/>
      <c r="M1158" s="173"/>
    </row>
    <row r="1159" spans="1:13" s="27" customFormat="1" x14ac:dyDescent="0.3">
      <c r="A1159" s="173"/>
      <c r="E1159" s="173"/>
      <c r="F1159" s="173"/>
      <c r="G1159" s="173"/>
      <c r="H1159" s="173"/>
      <c r="I1159" s="173"/>
      <c r="J1159" s="173"/>
      <c r="K1159" s="173"/>
      <c r="L1159" s="173"/>
      <c r="M1159" s="173"/>
    </row>
    <row r="1160" spans="1:13" s="27" customFormat="1" x14ac:dyDescent="0.3">
      <c r="A1160" s="173"/>
      <c r="E1160" s="173"/>
      <c r="F1160" s="173"/>
      <c r="G1160" s="173"/>
      <c r="H1160" s="173"/>
      <c r="I1160" s="173"/>
      <c r="J1160" s="173"/>
      <c r="K1160" s="173"/>
      <c r="L1160" s="173"/>
      <c r="M1160" s="173"/>
    </row>
    <row r="1161" spans="1:13" s="27" customFormat="1" x14ac:dyDescent="0.3">
      <c r="A1161" s="173"/>
      <c r="E1161" s="173"/>
      <c r="F1161" s="173"/>
      <c r="G1161" s="173"/>
      <c r="H1161" s="173"/>
      <c r="I1161" s="173"/>
      <c r="J1161" s="173"/>
      <c r="K1161" s="173"/>
      <c r="L1161" s="173"/>
      <c r="M1161" s="173"/>
    </row>
    <row r="1162" spans="1:13" s="27" customFormat="1" x14ac:dyDescent="0.3">
      <c r="A1162" s="173"/>
      <c r="E1162" s="173"/>
      <c r="F1162" s="173"/>
      <c r="G1162" s="173"/>
      <c r="H1162" s="173"/>
      <c r="I1162" s="173"/>
      <c r="J1162" s="173"/>
      <c r="K1162" s="173"/>
      <c r="L1162" s="173"/>
      <c r="M1162" s="173"/>
    </row>
    <row r="1163" spans="1:13" s="27" customFormat="1" x14ac:dyDescent="0.3">
      <c r="A1163" s="173"/>
      <c r="E1163" s="173"/>
      <c r="F1163" s="173"/>
      <c r="G1163" s="173"/>
      <c r="H1163" s="173"/>
      <c r="I1163" s="173"/>
      <c r="J1163" s="173"/>
      <c r="K1163" s="173"/>
      <c r="L1163" s="173"/>
      <c r="M1163" s="173"/>
    </row>
    <row r="1164" spans="1:13" s="27" customFormat="1" x14ac:dyDescent="0.3">
      <c r="A1164" s="173"/>
      <c r="E1164" s="173"/>
      <c r="F1164" s="173"/>
      <c r="G1164" s="173"/>
      <c r="H1164" s="173"/>
      <c r="I1164" s="173"/>
      <c r="J1164" s="173"/>
      <c r="K1164" s="173"/>
      <c r="L1164" s="173"/>
      <c r="M1164" s="173"/>
    </row>
    <row r="1165" spans="1:13" s="27" customFormat="1" x14ac:dyDescent="0.3">
      <c r="A1165" s="173"/>
      <c r="E1165" s="173"/>
      <c r="F1165" s="173"/>
      <c r="G1165" s="173"/>
      <c r="H1165" s="173"/>
      <c r="I1165" s="173"/>
      <c r="J1165" s="173"/>
      <c r="K1165" s="173"/>
      <c r="L1165" s="173"/>
      <c r="M1165" s="173"/>
    </row>
    <row r="1166" spans="1:13" s="27" customFormat="1" x14ac:dyDescent="0.3">
      <c r="A1166" s="173"/>
      <c r="E1166" s="173"/>
      <c r="F1166" s="173"/>
      <c r="G1166" s="173"/>
      <c r="H1166" s="173"/>
      <c r="I1166" s="173"/>
      <c r="J1166" s="173"/>
      <c r="K1166" s="173"/>
      <c r="L1166" s="173"/>
      <c r="M1166" s="173"/>
    </row>
    <row r="1167" spans="1:13" s="27" customFormat="1" x14ac:dyDescent="0.3">
      <c r="A1167" s="173"/>
      <c r="E1167" s="173"/>
      <c r="F1167" s="173"/>
      <c r="G1167" s="173"/>
      <c r="H1167" s="173"/>
      <c r="I1167" s="173"/>
      <c r="J1167" s="173"/>
      <c r="K1167" s="173"/>
      <c r="L1167" s="173"/>
      <c r="M1167" s="173"/>
    </row>
    <row r="1168" spans="1:13" s="27" customFormat="1" x14ac:dyDescent="0.3">
      <c r="A1168" s="173"/>
      <c r="E1168" s="173"/>
      <c r="F1168" s="173"/>
      <c r="G1168" s="173"/>
      <c r="H1168" s="173"/>
      <c r="I1168" s="173"/>
      <c r="J1168" s="173"/>
      <c r="K1168" s="173"/>
      <c r="L1168" s="173"/>
      <c r="M1168" s="173"/>
    </row>
    <row r="1169" spans="1:13" s="27" customFormat="1" x14ac:dyDescent="0.3">
      <c r="A1169" s="173"/>
      <c r="E1169" s="173"/>
      <c r="F1169" s="173"/>
      <c r="G1169" s="173"/>
      <c r="H1169" s="173"/>
      <c r="I1169" s="173"/>
      <c r="J1169" s="173"/>
      <c r="K1169" s="173"/>
      <c r="L1169" s="173"/>
      <c r="M1169" s="173"/>
    </row>
    <row r="1170" spans="1:13" s="27" customFormat="1" x14ac:dyDescent="0.3">
      <c r="A1170" s="173"/>
      <c r="E1170" s="173"/>
      <c r="F1170" s="173"/>
      <c r="G1170" s="173"/>
      <c r="H1170" s="173"/>
      <c r="I1170" s="173"/>
      <c r="J1170" s="173"/>
      <c r="K1170" s="173"/>
      <c r="L1170" s="173"/>
      <c r="M1170" s="173"/>
    </row>
    <row r="1171" spans="1:13" s="27" customFormat="1" x14ac:dyDescent="0.3">
      <c r="A1171" s="173"/>
      <c r="E1171" s="173"/>
      <c r="F1171" s="173"/>
      <c r="G1171" s="173"/>
      <c r="H1171" s="173"/>
      <c r="I1171" s="173"/>
      <c r="J1171" s="173"/>
      <c r="K1171" s="173"/>
      <c r="L1171" s="173"/>
      <c r="M1171" s="173"/>
    </row>
    <row r="1172" spans="1:13" s="27" customFormat="1" x14ac:dyDescent="0.3">
      <c r="A1172" s="173"/>
      <c r="E1172" s="173"/>
      <c r="F1172" s="173"/>
      <c r="G1172" s="173"/>
      <c r="H1172" s="173"/>
      <c r="I1172" s="173"/>
      <c r="J1172" s="173"/>
      <c r="K1172" s="173"/>
      <c r="L1172" s="173"/>
      <c r="M1172" s="173"/>
    </row>
    <row r="1173" spans="1:13" s="27" customFormat="1" x14ac:dyDescent="0.3">
      <c r="A1173" s="173"/>
      <c r="E1173" s="173"/>
      <c r="F1173" s="173"/>
      <c r="G1173" s="173"/>
      <c r="H1173" s="173"/>
      <c r="I1173" s="173"/>
      <c r="J1173" s="173"/>
      <c r="K1173" s="173"/>
      <c r="L1173" s="173"/>
      <c r="M1173" s="173"/>
    </row>
    <row r="1174" spans="1:13" s="27" customFormat="1" x14ac:dyDescent="0.3">
      <c r="A1174" s="173"/>
      <c r="E1174" s="173"/>
      <c r="F1174" s="173"/>
      <c r="G1174" s="173"/>
      <c r="H1174" s="173"/>
      <c r="I1174" s="173"/>
      <c r="J1174" s="173"/>
      <c r="K1174" s="173"/>
      <c r="L1174" s="173"/>
      <c r="M1174" s="173"/>
    </row>
    <row r="1175" spans="1:13" s="27" customFormat="1" x14ac:dyDescent="0.3">
      <c r="A1175" s="173"/>
      <c r="E1175" s="173"/>
      <c r="F1175" s="173"/>
      <c r="G1175" s="173"/>
      <c r="H1175" s="173"/>
      <c r="I1175" s="173"/>
      <c r="J1175" s="173"/>
      <c r="K1175" s="173"/>
      <c r="L1175" s="173"/>
      <c r="M1175" s="173"/>
    </row>
    <row r="1176" spans="1:13" s="27" customFormat="1" x14ac:dyDescent="0.3">
      <c r="A1176" s="173"/>
      <c r="E1176" s="173"/>
      <c r="F1176" s="173"/>
      <c r="G1176" s="173"/>
      <c r="H1176" s="173"/>
      <c r="I1176" s="173"/>
      <c r="J1176" s="173"/>
      <c r="K1176" s="173"/>
      <c r="L1176" s="173"/>
      <c r="M1176" s="173"/>
    </row>
    <row r="1177" spans="1:13" s="27" customFormat="1" x14ac:dyDescent="0.3">
      <c r="A1177" s="173"/>
      <c r="E1177" s="173"/>
      <c r="F1177" s="173"/>
      <c r="G1177" s="173"/>
      <c r="H1177" s="173"/>
      <c r="I1177" s="173"/>
      <c r="J1177" s="173"/>
      <c r="K1177" s="173"/>
      <c r="L1177" s="173"/>
      <c r="M1177" s="173"/>
    </row>
    <row r="1178" spans="1:13" s="27" customFormat="1" x14ac:dyDescent="0.3">
      <c r="A1178" s="173"/>
      <c r="E1178" s="173"/>
      <c r="F1178" s="173"/>
      <c r="G1178" s="173"/>
      <c r="H1178" s="173"/>
      <c r="I1178" s="173"/>
      <c r="J1178" s="173"/>
      <c r="K1178" s="173"/>
      <c r="L1178" s="173"/>
      <c r="M1178" s="173"/>
    </row>
    <row r="1179" spans="1:13" s="27" customFormat="1" x14ac:dyDescent="0.3">
      <c r="A1179" s="173"/>
      <c r="E1179" s="173"/>
      <c r="F1179" s="173"/>
      <c r="G1179" s="173"/>
      <c r="H1179" s="173"/>
      <c r="I1179" s="173"/>
      <c r="J1179" s="173"/>
      <c r="K1179" s="173"/>
      <c r="L1179" s="173"/>
      <c r="M1179" s="173"/>
    </row>
    <row r="1180" spans="1:13" s="27" customFormat="1" x14ac:dyDescent="0.3">
      <c r="A1180" s="173"/>
      <c r="E1180" s="173"/>
      <c r="F1180" s="173"/>
      <c r="G1180" s="173"/>
      <c r="H1180" s="173"/>
      <c r="I1180" s="173"/>
      <c r="J1180" s="173"/>
      <c r="K1180" s="173"/>
      <c r="L1180" s="173"/>
      <c r="M1180" s="173"/>
    </row>
    <row r="1181" spans="1:13" s="27" customFormat="1" x14ac:dyDescent="0.3">
      <c r="A1181" s="173"/>
      <c r="E1181" s="173"/>
      <c r="F1181" s="173"/>
      <c r="G1181" s="173"/>
      <c r="H1181" s="173"/>
      <c r="I1181" s="173"/>
      <c r="J1181" s="173"/>
      <c r="K1181" s="173"/>
      <c r="L1181" s="173"/>
      <c r="M1181" s="173"/>
    </row>
    <row r="1182" spans="1:13" s="27" customFormat="1" x14ac:dyDescent="0.3">
      <c r="A1182" s="173"/>
      <c r="E1182" s="173"/>
      <c r="F1182" s="173"/>
      <c r="G1182" s="173"/>
      <c r="H1182" s="173"/>
      <c r="I1182" s="173"/>
      <c r="J1182" s="173"/>
      <c r="K1182" s="173"/>
      <c r="L1182" s="173"/>
      <c r="M1182" s="173"/>
    </row>
    <row r="1183" spans="1:13" s="27" customFormat="1" x14ac:dyDescent="0.3">
      <c r="A1183" s="173"/>
      <c r="E1183" s="173"/>
      <c r="F1183" s="173"/>
      <c r="G1183" s="173"/>
      <c r="H1183" s="173"/>
      <c r="I1183" s="173"/>
      <c r="J1183" s="173"/>
      <c r="K1183" s="173"/>
      <c r="L1183" s="173"/>
      <c r="M1183" s="173"/>
    </row>
    <row r="1184" spans="1:13" s="27" customFormat="1" x14ac:dyDescent="0.3">
      <c r="A1184" s="173"/>
      <c r="E1184" s="173"/>
      <c r="F1184" s="173"/>
      <c r="G1184" s="173"/>
      <c r="H1184" s="173"/>
      <c r="I1184" s="173"/>
      <c r="J1184" s="173"/>
      <c r="K1184" s="173"/>
      <c r="L1184" s="173"/>
      <c r="M1184" s="173"/>
    </row>
    <row r="1185" spans="1:13" s="27" customFormat="1" x14ac:dyDescent="0.3">
      <c r="A1185" s="173"/>
      <c r="E1185" s="173"/>
      <c r="F1185" s="173"/>
      <c r="G1185" s="173"/>
      <c r="H1185" s="173"/>
      <c r="I1185" s="173"/>
      <c r="J1185" s="173"/>
      <c r="K1185" s="173"/>
      <c r="L1185" s="173"/>
      <c r="M1185" s="173"/>
    </row>
    <row r="1186" spans="1:13" s="27" customFormat="1" x14ac:dyDescent="0.3">
      <c r="A1186" s="173"/>
      <c r="E1186" s="173"/>
      <c r="F1186" s="173"/>
      <c r="G1186" s="173"/>
      <c r="H1186" s="173"/>
      <c r="I1186" s="173"/>
      <c r="J1186" s="173"/>
      <c r="K1186" s="173"/>
      <c r="L1186" s="173"/>
      <c r="M1186" s="173"/>
    </row>
    <row r="1187" spans="1:13" s="27" customFormat="1" x14ac:dyDescent="0.3">
      <c r="A1187" s="173"/>
      <c r="E1187" s="173"/>
      <c r="F1187" s="173"/>
      <c r="G1187" s="173"/>
      <c r="H1187" s="173"/>
      <c r="I1187" s="173"/>
      <c r="J1187" s="173"/>
      <c r="K1187" s="173"/>
      <c r="L1187" s="173"/>
      <c r="M1187" s="173"/>
    </row>
    <row r="1188" spans="1:13" s="27" customFormat="1" x14ac:dyDescent="0.3">
      <c r="A1188" s="173"/>
      <c r="E1188" s="173"/>
      <c r="F1188" s="173"/>
      <c r="G1188" s="173"/>
      <c r="H1188" s="173"/>
      <c r="I1188" s="173"/>
      <c r="J1188" s="173"/>
      <c r="K1188" s="173"/>
      <c r="L1188" s="173"/>
      <c r="M1188" s="173"/>
    </row>
    <row r="1189" spans="1:13" s="27" customFormat="1" x14ac:dyDescent="0.3">
      <c r="A1189" s="173"/>
      <c r="E1189" s="173"/>
      <c r="F1189" s="173"/>
      <c r="G1189" s="173"/>
      <c r="H1189" s="173"/>
      <c r="I1189" s="173"/>
      <c r="J1189" s="173"/>
      <c r="K1189" s="173"/>
      <c r="L1189" s="173"/>
      <c r="M1189" s="173"/>
    </row>
    <row r="1190" spans="1:13" s="27" customFormat="1" x14ac:dyDescent="0.3">
      <c r="A1190" s="173"/>
      <c r="E1190" s="173"/>
      <c r="F1190" s="173"/>
      <c r="G1190" s="173"/>
      <c r="H1190" s="173"/>
      <c r="I1190" s="173"/>
      <c r="J1190" s="173"/>
      <c r="K1190" s="173"/>
      <c r="L1190" s="173"/>
      <c r="M1190" s="173"/>
    </row>
    <row r="1191" spans="1:13" s="27" customFormat="1" x14ac:dyDescent="0.3">
      <c r="A1191" s="173"/>
      <c r="E1191" s="173"/>
      <c r="F1191" s="173"/>
      <c r="G1191" s="173"/>
      <c r="H1191" s="173"/>
      <c r="I1191" s="173"/>
      <c r="J1191" s="173"/>
      <c r="K1191" s="173"/>
      <c r="L1191" s="173"/>
      <c r="M1191" s="173"/>
    </row>
    <row r="1192" spans="1:13" s="27" customFormat="1" x14ac:dyDescent="0.3">
      <c r="A1192" s="173"/>
      <c r="E1192" s="173"/>
      <c r="F1192" s="173"/>
      <c r="G1192" s="173"/>
      <c r="H1192" s="173"/>
      <c r="I1192" s="173"/>
      <c r="J1192" s="173"/>
      <c r="K1192" s="173"/>
      <c r="L1192" s="173"/>
      <c r="M1192" s="173"/>
    </row>
    <row r="1193" spans="1:13" s="27" customFormat="1" x14ac:dyDescent="0.3">
      <c r="A1193" s="173"/>
      <c r="E1193" s="173"/>
      <c r="F1193" s="173"/>
      <c r="G1193" s="173"/>
      <c r="H1193" s="173"/>
      <c r="I1193" s="173"/>
      <c r="J1193" s="173"/>
      <c r="K1193" s="173"/>
      <c r="L1193" s="173"/>
      <c r="M1193" s="173"/>
    </row>
    <row r="1194" spans="1:13" s="27" customFormat="1" x14ac:dyDescent="0.3">
      <c r="A1194" s="173"/>
      <c r="E1194" s="173"/>
      <c r="F1194" s="173"/>
      <c r="G1194" s="173"/>
      <c r="H1194" s="173"/>
      <c r="I1194" s="173"/>
      <c r="J1194" s="173"/>
      <c r="K1194" s="173"/>
      <c r="L1194" s="173"/>
      <c r="M1194" s="173"/>
    </row>
    <row r="1195" spans="1:13" s="27" customFormat="1" x14ac:dyDescent="0.3">
      <c r="A1195" s="173"/>
      <c r="E1195" s="173"/>
      <c r="F1195" s="173"/>
      <c r="G1195" s="173"/>
      <c r="H1195" s="173"/>
      <c r="I1195" s="173"/>
      <c r="J1195" s="173"/>
      <c r="K1195" s="173"/>
      <c r="L1195" s="173"/>
      <c r="M1195" s="173"/>
    </row>
    <row r="1196" spans="1:13" s="27" customFormat="1" x14ac:dyDescent="0.3">
      <c r="A1196" s="173"/>
      <c r="E1196" s="173"/>
      <c r="F1196" s="173"/>
      <c r="G1196" s="173"/>
      <c r="H1196" s="173"/>
      <c r="I1196" s="173"/>
      <c r="J1196" s="173"/>
      <c r="K1196" s="173"/>
      <c r="L1196" s="173"/>
      <c r="M1196" s="173"/>
    </row>
    <row r="1197" spans="1:13" s="27" customFormat="1" x14ac:dyDescent="0.3">
      <c r="A1197" s="173"/>
      <c r="E1197" s="173"/>
      <c r="F1197" s="173"/>
      <c r="G1197" s="173"/>
      <c r="H1197" s="173"/>
      <c r="I1197" s="173"/>
      <c r="J1197" s="173"/>
      <c r="K1197" s="173"/>
      <c r="L1197" s="173"/>
      <c r="M1197" s="173"/>
    </row>
    <row r="1198" spans="1:13" s="27" customFormat="1" x14ac:dyDescent="0.3">
      <c r="A1198" s="173"/>
      <c r="E1198" s="173"/>
      <c r="F1198" s="173"/>
      <c r="G1198" s="173"/>
      <c r="H1198" s="173"/>
      <c r="I1198" s="173"/>
      <c r="J1198" s="173"/>
      <c r="K1198" s="173"/>
      <c r="L1198" s="173"/>
      <c r="M1198" s="173"/>
    </row>
    <row r="1199" spans="1:13" s="27" customFormat="1" x14ac:dyDescent="0.3">
      <c r="A1199" s="173"/>
      <c r="E1199" s="173"/>
      <c r="F1199" s="173"/>
      <c r="G1199" s="173"/>
      <c r="H1199" s="173"/>
      <c r="I1199" s="173"/>
      <c r="J1199" s="173"/>
      <c r="K1199" s="173"/>
      <c r="L1199" s="173"/>
      <c r="M1199" s="173"/>
    </row>
    <row r="1200" spans="1:13" s="27" customFormat="1" x14ac:dyDescent="0.3">
      <c r="A1200" s="173"/>
      <c r="E1200" s="173"/>
      <c r="F1200" s="173"/>
      <c r="G1200" s="173"/>
      <c r="H1200" s="173"/>
      <c r="I1200" s="173"/>
      <c r="J1200" s="173"/>
      <c r="K1200" s="173"/>
      <c r="L1200" s="173"/>
      <c r="M1200" s="173"/>
    </row>
    <row r="1201" spans="1:13" s="27" customFormat="1" x14ac:dyDescent="0.3">
      <c r="A1201" s="173"/>
      <c r="E1201" s="173"/>
      <c r="F1201" s="173"/>
      <c r="G1201" s="173"/>
      <c r="H1201" s="173"/>
      <c r="I1201" s="173"/>
      <c r="J1201" s="173"/>
      <c r="K1201" s="173"/>
      <c r="L1201" s="173"/>
      <c r="M1201" s="173"/>
    </row>
    <row r="1202" spans="1:13" s="27" customFormat="1" x14ac:dyDescent="0.3">
      <c r="A1202" s="173"/>
      <c r="E1202" s="173"/>
      <c r="F1202" s="173"/>
      <c r="G1202" s="173"/>
      <c r="H1202" s="173"/>
      <c r="I1202" s="173"/>
      <c r="J1202" s="173"/>
      <c r="K1202" s="173"/>
      <c r="L1202" s="173"/>
      <c r="M1202" s="173"/>
    </row>
    <row r="1203" spans="1:13" s="27" customFormat="1" x14ac:dyDescent="0.3">
      <c r="A1203" s="173"/>
      <c r="E1203" s="173"/>
      <c r="F1203" s="173"/>
      <c r="G1203" s="173"/>
      <c r="H1203" s="173"/>
      <c r="I1203" s="173"/>
      <c r="J1203" s="173"/>
      <c r="K1203" s="173"/>
      <c r="L1203" s="173"/>
      <c r="M1203" s="173"/>
    </row>
    <row r="1204" spans="1:13" s="27" customFormat="1" x14ac:dyDescent="0.3">
      <c r="A1204" s="173"/>
      <c r="E1204" s="173"/>
      <c r="F1204" s="173"/>
      <c r="G1204" s="173"/>
      <c r="H1204" s="173"/>
      <c r="I1204" s="173"/>
      <c r="J1204" s="173"/>
      <c r="K1204" s="173"/>
      <c r="L1204" s="173"/>
      <c r="M1204" s="173"/>
    </row>
    <row r="1205" spans="1:13" s="27" customFormat="1" x14ac:dyDescent="0.3">
      <c r="A1205" s="173"/>
      <c r="E1205" s="173"/>
      <c r="F1205" s="173"/>
      <c r="G1205" s="173"/>
      <c r="H1205" s="173"/>
      <c r="I1205" s="173"/>
      <c r="J1205" s="173"/>
      <c r="K1205" s="173"/>
      <c r="L1205" s="173"/>
      <c r="M1205" s="173"/>
    </row>
    <row r="1206" spans="1:13" s="27" customFormat="1" x14ac:dyDescent="0.3">
      <c r="A1206" s="173"/>
      <c r="E1206" s="173"/>
      <c r="F1206" s="173"/>
      <c r="G1206" s="173"/>
      <c r="H1206" s="173"/>
      <c r="I1206" s="173"/>
      <c r="J1206" s="173"/>
      <c r="K1206" s="173"/>
      <c r="L1206" s="173"/>
      <c r="M1206" s="173"/>
    </row>
    <row r="1207" spans="1:13" s="27" customFormat="1" x14ac:dyDescent="0.3">
      <c r="A1207" s="173"/>
      <c r="E1207" s="173"/>
      <c r="F1207" s="173"/>
      <c r="G1207" s="173"/>
      <c r="H1207" s="173"/>
      <c r="I1207" s="173"/>
      <c r="J1207" s="173"/>
      <c r="K1207" s="173"/>
      <c r="L1207" s="173"/>
      <c r="M1207" s="173"/>
    </row>
    <row r="1208" spans="1:13" s="27" customFormat="1" x14ac:dyDescent="0.3">
      <c r="A1208" s="173"/>
      <c r="E1208" s="173"/>
      <c r="F1208" s="173"/>
      <c r="G1208" s="173"/>
      <c r="H1208" s="173"/>
      <c r="I1208" s="173"/>
      <c r="J1208" s="173"/>
      <c r="K1208" s="173"/>
      <c r="L1208" s="173"/>
      <c r="M1208" s="173"/>
    </row>
    <row r="1209" spans="1:13" s="27" customFormat="1" x14ac:dyDescent="0.3">
      <c r="A1209" s="173"/>
      <c r="E1209" s="173"/>
      <c r="F1209" s="173"/>
      <c r="G1209" s="173"/>
      <c r="H1209" s="173"/>
      <c r="I1209" s="173"/>
      <c r="J1209" s="173"/>
      <c r="K1209" s="173"/>
      <c r="L1209" s="173"/>
      <c r="M1209" s="173"/>
    </row>
    <row r="1210" spans="1:13" s="27" customFormat="1" x14ac:dyDescent="0.3">
      <c r="A1210" s="173"/>
      <c r="E1210" s="173"/>
      <c r="F1210" s="173"/>
      <c r="G1210" s="173"/>
      <c r="H1210" s="173"/>
      <c r="I1210" s="173"/>
      <c r="J1210" s="173"/>
      <c r="K1210" s="173"/>
      <c r="L1210" s="173"/>
      <c r="M1210" s="173"/>
    </row>
    <row r="1211" spans="1:13" s="27" customFormat="1" x14ac:dyDescent="0.3">
      <c r="A1211" s="173"/>
      <c r="E1211" s="173"/>
      <c r="F1211" s="173"/>
      <c r="G1211" s="173"/>
      <c r="H1211" s="173"/>
      <c r="I1211" s="173"/>
      <c r="J1211" s="173"/>
      <c r="K1211" s="173"/>
      <c r="L1211" s="173"/>
      <c r="M1211" s="173"/>
    </row>
    <row r="1212" spans="1:13" s="27" customFormat="1" x14ac:dyDescent="0.3">
      <c r="A1212" s="173"/>
      <c r="E1212" s="173"/>
      <c r="F1212" s="173"/>
      <c r="G1212" s="173"/>
      <c r="H1212" s="173"/>
      <c r="I1212" s="173"/>
      <c r="J1212" s="173"/>
      <c r="K1212" s="173"/>
      <c r="L1212" s="173"/>
      <c r="M1212" s="173"/>
    </row>
    <row r="1213" spans="1:13" s="27" customFormat="1" x14ac:dyDescent="0.3">
      <c r="A1213" s="173"/>
      <c r="E1213" s="173"/>
      <c r="F1213" s="173"/>
      <c r="G1213" s="173"/>
      <c r="H1213" s="173"/>
      <c r="I1213" s="173"/>
      <c r="J1213" s="173"/>
      <c r="K1213" s="173"/>
      <c r="L1213" s="173"/>
      <c r="M1213" s="173"/>
    </row>
    <row r="1214" spans="1:13" s="27" customFormat="1" x14ac:dyDescent="0.3">
      <c r="A1214" s="173"/>
      <c r="E1214" s="173"/>
      <c r="F1214" s="173"/>
      <c r="G1214" s="173"/>
      <c r="H1214" s="173"/>
      <c r="I1214" s="173"/>
      <c r="J1214" s="173"/>
      <c r="K1214" s="173"/>
      <c r="L1214" s="173"/>
      <c r="M1214" s="173"/>
    </row>
    <row r="1215" spans="1:13" s="27" customFormat="1" x14ac:dyDescent="0.3">
      <c r="A1215" s="173"/>
      <c r="E1215" s="173"/>
      <c r="F1215" s="173"/>
      <c r="G1215" s="173"/>
      <c r="H1215" s="173"/>
      <c r="I1215" s="173"/>
      <c r="J1215" s="173"/>
      <c r="K1215" s="173"/>
      <c r="L1215" s="173"/>
      <c r="M1215" s="173"/>
    </row>
    <row r="1216" spans="1:13" s="27" customFormat="1" x14ac:dyDescent="0.3">
      <c r="A1216" s="173"/>
      <c r="E1216" s="173"/>
      <c r="F1216" s="173"/>
      <c r="G1216" s="173"/>
      <c r="H1216" s="173"/>
      <c r="I1216" s="173"/>
      <c r="J1216" s="173"/>
      <c r="K1216" s="173"/>
      <c r="L1216" s="173"/>
      <c r="M1216" s="173"/>
    </row>
  </sheetData>
  <mergeCells count="54">
    <mergeCell ref="F7:F9"/>
    <mergeCell ref="A1:M2"/>
    <mergeCell ref="F3:F6"/>
    <mergeCell ref="G3:G6"/>
    <mergeCell ref="H3:H6"/>
    <mergeCell ref="I3:I6"/>
    <mergeCell ref="J3:J6"/>
    <mergeCell ref="K3:K6"/>
    <mergeCell ref="L3:L6"/>
    <mergeCell ref="M3:M6"/>
    <mergeCell ref="A4:B5"/>
    <mergeCell ref="A7:A9"/>
    <mergeCell ref="B7:B9"/>
    <mergeCell ref="C7:C9"/>
    <mergeCell ref="D7:D9"/>
    <mergeCell ref="E7:E9"/>
    <mergeCell ref="BF7:BI7"/>
    <mergeCell ref="W8:W9"/>
    <mergeCell ref="X8:X9"/>
    <mergeCell ref="Y8:Y9"/>
    <mergeCell ref="Z8:Z9"/>
    <mergeCell ref="AA8:AA9"/>
    <mergeCell ref="AB8:AB9"/>
    <mergeCell ref="W7:AL7"/>
    <mergeCell ref="AM7:AM9"/>
    <mergeCell ref="AC8:AC9"/>
    <mergeCell ref="AD8:AG8"/>
    <mergeCell ref="AH8:AL8"/>
    <mergeCell ref="AX8:AZ8"/>
    <mergeCell ref="A6:E6"/>
    <mergeCell ref="AN8:AN9"/>
    <mergeCell ref="AO8:AO9"/>
    <mergeCell ref="AP8:AP9"/>
    <mergeCell ref="AQ8:AW8"/>
    <mergeCell ref="S7:S9"/>
    <mergeCell ref="T7:T9"/>
    <mergeCell ref="U7:U9"/>
    <mergeCell ref="V7:V9"/>
    <mergeCell ref="M7:M9"/>
    <mergeCell ref="N7:N9"/>
    <mergeCell ref="O7:O9"/>
    <mergeCell ref="H7:H9"/>
    <mergeCell ref="I7:I9"/>
    <mergeCell ref="J7:J9"/>
    <mergeCell ref="K7:K9"/>
    <mergeCell ref="P7:P9"/>
    <mergeCell ref="Q7:Q9"/>
    <mergeCell ref="R7:R9"/>
    <mergeCell ref="G7:G9"/>
    <mergeCell ref="BB13:BE13"/>
    <mergeCell ref="AN7:AZ7"/>
    <mergeCell ref="BA7:BA9"/>
    <mergeCell ref="BB7:BE7"/>
    <mergeCell ref="L7:L9"/>
  </mergeCells>
  <conditionalFormatting sqref="AH10">
    <cfRule type="expression" dxfId="36" priority="9" stopIfTrue="1">
      <formula>AND(#REF!&lt;&gt;"",#REF!= TODAY())</formula>
    </cfRule>
    <cfRule type="expression" dxfId="35" priority="20" stopIfTrue="1">
      <formula>AND(#REF!&lt;&gt;"", AND(#REF!&gt;TODAY(),#REF!&lt; TODAY()+280))</formula>
    </cfRule>
    <cfRule type="expression" dxfId="34" priority="21">
      <formula>AND(#REF!&lt;&gt;"", AND(#REF!&lt;TODAY(),#REF!&lt; TODAY()))</formula>
    </cfRule>
    <cfRule type="expression" dxfId="33" priority="22">
      <formula>AND(#REF!&lt;&gt;"",#REF!= TODAY())</formula>
    </cfRule>
    <cfRule type="expression" dxfId="32" priority="23" stopIfTrue="1">
      <formula>AND(#REF!&lt;&gt;"", AND(#REF!&gt;TODAY(),#REF!&lt; TODAY()+30))</formula>
    </cfRule>
    <cfRule type="expression" dxfId="31" priority="24" stopIfTrue="1">
      <formula>AND(#REF!&lt;&gt;"", AND(#REF!&gt;TODAY(),#REF!&lt; TODAY()+90))</formula>
    </cfRule>
  </conditionalFormatting>
  <conditionalFormatting sqref="AH11">
    <cfRule type="expression" dxfId="30" priority="25" stopIfTrue="1">
      <formula>AND(#REF!&lt;&gt;"", AND(#REF!&gt;TODAY(),#REF!&lt; TODAY()+280))</formula>
    </cfRule>
    <cfRule type="expression" dxfId="29" priority="26">
      <formula>AND(#REF!&lt;&gt;"", AND(#REF!&lt;TODAY(),#REF!&lt; TODAY()))</formula>
    </cfRule>
    <cfRule type="expression" dxfId="28" priority="27">
      <formula>AND(#REF!&lt;&gt;"",#REF!= TODAY())</formula>
    </cfRule>
    <cfRule type="expression" dxfId="27" priority="28" stopIfTrue="1">
      <formula>AND(#REF!&lt;&gt;"", AND(#REF!&gt;TODAY(),#REF!&lt; TODAY()+30))</formula>
    </cfRule>
    <cfRule type="expression" dxfId="26" priority="29" stopIfTrue="1">
      <formula>AND(#REF!&lt;&gt;"", AND(#REF!&gt;TODAY(),#REF!&lt; TODAY()+90))</formula>
    </cfRule>
    <cfRule type="expression" dxfId="25" priority="30" stopIfTrue="1">
      <formula>AND(#REF!&lt;&gt;"",#REF!= TODAY())</formula>
    </cfRule>
  </conditionalFormatting>
  <conditionalFormatting sqref="AH12">
    <cfRule type="expression" dxfId="24" priority="8" stopIfTrue="1">
      <formula>AND(#REF!&lt;&gt;"",#REF!= TODAY())</formula>
    </cfRule>
  </conditionalFormatting>
  <conditionalFormatting sqref="AH12:AH13">
    <cfRule type="expression" dxfId="23" priority="10" stopIfTrue="1">
      <formula>AND(#REF!&lt;&gt;"", AND(#REF!&gt;TODAY(),#REF!&lt; TODAY()+280))</formula>
    </cfRule>
    <cfRule type="expression" dxfId="22" priority="11" stopIfTrue="1">
      <formula>AND(#REF!&lt;&gt;"", AND(#REF!&gt;TODAY(),#REF!&lt; TODAY()+90))</formula>
    </cfRule>
    <cfRule type="expression" dxfId="21" priority="12">
      <formula>AND(#REF!&lt;&gt;"",#REF!= TODAY())</formula>
    </cfRule>
    <cfRule type="expression" dxfId="20" priority="13" stopIfTrue="1">
      <formula>AND(#REF!&lt;&gt;"", AND(#REF!&gt;TODAY(),#REF!&lt; TODAY()+30))</formula>
    </cfRule>
    <cfRule type="expression" dxfId="19" priority="14">
      <formula>AND(#REF!&lt;&gt;"", AND(#REF!&lt;TODAY(),#REF!&lt; TODAY()))</formula>
    </cfRule>
  </conditionalFormatting>
  <conditionalFormatting sqref="AH13">
    <cfRule type="expression" dxfId="18" priority="1" stopIfTrue="1">
      <formula>AND(#REF!&lt;&gt;"",#REF!= TODAY())</formula>
    </cfRule>
  </conditionalFormatting>
  <conditionalFormatting sqref="AH14">
    <cfRule type="expression" dxfId="17" priority="2" stopIfTrue="1">
      <formula>AND(#REF!&lt;&gt;"", AND(#REF!&gt;TODAY(),#REF!&lt; TODAY()+280))</formula>
    </cfRule>
    <cfRule type="expression" dxfId="16" priority="3" stopIfTrue="1">
      <formula>AND(#REF!&lt;&gt;"", AND(#REF!&gt;TODAY(),#REF!&lt; TODAY()+90))</formula>
    </cfRule>
    <cfRule type="expression" dxfId="15" priority="4" stopIfTrue="1">
      <formula>AND(#REF!&lt;&gt;"",#REF!= TODAY())</formula>
    </cfRule>
    <cfRule type="expression" dxfId="14" priority="5">
      <formula>AND(#REF!&lt;&gt;"",#REF!= TODAY())</formula>
    </cfRule>
    <cfRule type="expression" dxfId="13" priority="6" stopIfTrue="1">
      <formula>AND(#REF!&lt;&gt;"", AND(#REF!&gt;TODAY(),#REF!&lt; TODAY()+30))</formula>
    </cfRule>
    <cfRule type="expression" dxfId="12" priority="7">
      <formula>AND(#REF!&lt;&gt;"", AND(#REF!&lt;TODAY(),#REF!&lt; TODAY()))</formula>
    </cfRule>
  </conditionalFormatting>
  <hyperlinks>
    <hyperlink ref="P11" r:id="rId1" xr:uid="{00000000-0004-0000-0600-000000000000}"/>
    <hyperlink ref="P12" r:id="rId2" xr:uid="{00000000-0004-0000-0600-000001000000}"/>
    <hyperlink ref="P14" r:id="rId3" xr:uid="{00000000-0004-0000-0600-000002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U9"/>
  <sheetViews>
    <sheetView workbookViewId="0">
      <selection activeCell="J6" sqref="J6"/>
    </sheetView>
  </sheetViews>
  <sheetFormatPr defaultRowHeight="27" customHeight="1" x14ac:dyDescent="0.3"/>
  <cols>
    <col min="1" max="1" width="5.6640625" customWidth="1"/>
    <col min="2" max="2" width="5" customWidth="1"/>
    <col min="3" max="3" width="42.109375" customWidth="1"/>
    <col min="4" max="4" width="21" customWidth="1"/>
    <col min="5" max="5" width="18.44140625" customWidth="1"/>
    <col min="6" max="6" width="16.109375" customWidth="1"/>
    <col min="7" max="7" width="16.6640625" customWidth="1"/>
    <col min="8" max="8" width="15.88671875" customWidth="1"/>
    <col min="9" max="9" width="29.44140625" customWidth="1"/>
    <col min="10" max="11" width="15.33203125" customWidth="1"/>
    <col min="12" max="12" width="32.33203125" customWidth="1"/>
    <col min="13" max="13" width="21.44140625" customWidth="1"/>
    <col min="14" max="14" width="5" customWidth="1"/>
    <col min="18" max="18" width="9.44140625" bestFit="1" customWidth="1"/>
    <col min="19" max="19" width="14.109375" customWidth="1"/>
    <col min="20" max="20" width="8.44140625" customWidth="1"/>
    <col min="21" max="21" width="29.6640625" customWidth="1"/>
    <col min="22" max="22" width="14.5546875" customWidth="1"/>
    <col min="23" max="23" width="36.5546875" customWidth="1"/>
    <col min="24" max="24" width="10.5546875" customWidth="1"/>
    <col min="25" max="29" width="15.5546875" customWidth="1"/>
    <col min="30" max="30" width="30.88671875" customWidth="1"/>
    <col min="31" max="32" width="15.5546875" customWidth="1"/>
    <col min="33" max="33" width="32.88671875" customWidth="1"/>
    <col min="34" max="34" width="29.6640625" customWidth="1"/>
    <col min="35" max="35" width="28.88671875" customWidth="1"/>
    <col min="36" max="36" width="7" customWidth="1"/>
    <col min="38" max="38" width="10.44140625" customWidth="1"/>
    <col min="39" max="39" width="10" customWidth="1"/>
    <col min="43" max="43" width="7.5546875" customWidth="1"/>
    <col min="44" max="44" width="10.109375" customWidth="1"/>
    <col min="49" max="49" width="21.109375" style="322" customWidth="1"/>
    <col min="58" max="73" width="0" hidden="1" customWidth="1"/>
  </cols>
  <sheetData>
    <row r="1" spans="1:73" ht="18" customHeight="1" x14ac:dyDescent="0.3"/>
    <row r="2" spans="1:73" ht="27" customHeight="1" thickBot="1" x14ac:dyDescent="0.35">
      <c r="A2" s="1031" t="s">
        <v>2470</v>
      </c>
      <c r="B2" s="1031"/>
      <c r="C2" s="1031"/>
      <c r="D2" s="1031"/>
      <c r="E2" s="1031"/>
      <c r="F2" s="1031"/>
      <c r="G2" s="1031"/>
      <c r="H2" s="1031"/>
    </row>
    <row r="3" spans="1:73" ht="27" customHeight="1" x14ac:dyDescent="0.3">
      <c r="A3" s="1044" t="s">
        <v>1800</v>
      </c>
      <c r="B3" s="1046" t="s">
        <v>2012</v>
      </c>
      <c r="C3" s="1036" t="s">
        <v>1801</v>
      </c>
      <c r="D3" s="288"/>
      <c r="E3" s="1048" t="s">
        <v>1802</v>
      </c>
      <c r="F3" s="1048" t="s">
        <v>1803</v>
      </c>
      <c r="G3" s="1036" t="s">
        <v>1804</v>
      </c>
      <c r="H3" s="1036" t="s">
        <v>1805</v>
      </c>
      <c r="I3" s="1036" t="s">
        <v>1806</v>
      </c>
      <c r="J3" s="1038" t="s">
        <v>1807</v>
      </c>
      <c r="K3" s="1038" t="s">
        <v>1808</v>
      </c>
      <c r="L3" s="1041" t="s">
        <v>1809</v>
      </c>
      <c r="M3" s="387"/>
      <c r="N3" s="1036" t="s">
        <v>490</v>
      </c>
      <c r="O3" s="1055" t="s">
        <v>1810</v>
      </c>
      <c r="P3" s="1048" t="s">
        <v>1556</v>
      </c>
      <c r="Q3" s="1055" t="s">
        <v>1811</v>
      </c>
      <c r="R3" s="1059" t="s">
        <v>1812</v>
      </c>
      <c r="S3" s="1068" t="s">
        <v>491</v>
      </c>
      <c r="T3" s="1069"/>
      <c r="U3" s="1070"/>
      <c r="V3" s="1071"/>
      <c r="W3" s="1071"/>
      <c r="X3" s="1071"/>
      <c r="Y3" s="1071"/>
      <c r="Z3" s="1071"/>
      <c r="AA3" s="1071"/>
      <c r="AB3" s="1071"/>
      <c r="AC3" s="1071"/>
      <c r="AD3" s="1069"/>
      <c r="AE3" s="385"/>
      <c r="AF3" s="385"/>
      <c r="AG3" s="385"/>
      <c r="AH3" s="385"/>
      <c r="AI3" s="1072" t="s">
        <v>1813</v>
      </c>
      <c r="AJ3" s="1032" t="s">
        <v>602</v>
      </c>
      <c r="AK3" s="1032"/>
      <c r="AL3" s="1032"/>
      <c r="AM3" s="1032"/>
      <c r="AN3" s="1032"/>
      <c r="AO3" s="1032"/>
      <c r="AP3" s="1032"/>
      <c r="AQ3" s="1032"/>
      <c r="AR3" s="1032"/>
      <c r="AS3" s="1032"/>
      <c r="AT3" s="1032"/>
      <c r="AU3" s="1032"/>
      <c r="AV3" s="1032"/>
      <c r="AX3" s="1033" t="s">
        <v>2521</v>
      </c>
      <c r="AY3" s="1034"/>
      <c r="AZ3" s="1034"/>
      <c r="BA3" s="1034"/>
      <c r="BB3" s="1034" t="s">
        <v>2522</v>
      </c>
      <c r="BC3" s="1034"/>
      <c r="BD3" s="1034"/>
      <c r="BE3" s="1035"/>
      <c r="BF3" s="1033" t="s">
        <v>1790</v>
      </c>
      <c r="BG3" s="1034"/>
      <c r="BH3" s="1034"/>
      <c r="BI3" s="1034"/>
      <c r="BJ3" s="1034" t="s">
        <v>1791</v>
      </c>
      <c r="BK3" s="1034"/>
      <c r="BL3" s="1034"/>
      <c r="BM3" s="1035"/>
      <c r="BN3" s="1033" t="s">
        <v>603</v>
      </c>
      <c r="BO3" s="1034"/>
      <c r="BP3" s="1034"/>
      <c r="BQ3" s="1034"/>
      <c r="BR3" s="1034" t="s">
        <v>604</v>
      </c>
      <c r="BS3" s="1034"/>
      <c r="BT3" s="1034"/>
      <c r="BU3" s="1035"/>
    </row>
    <row r="4" spans="1:73" ht="27" customHeight="1" x14ac:dyDescent="0.3">
      <c r="A4" s="1045"/>
      <c r="B4" s="1047"/>
      <c r="C4" s="1037"/>
      <c r="D4" s="289" t="s">
        <v>1814</v>
      </c>
      <c r="E4" s="1049"/>
      <c r="F4" s="1049"/>
      <c r="G4" s="1037"/>
      <c r="H4" s="1037"/>
      <c r="I4" s="1037"/>
      <c r="J4" s="1039"/>
      <c r="K4" s="1039"/>
      <c r="L4" s="1042"/>
      <c r="M4" s="388" t="s">
        <v>1878</v>
      </c>
      <c r="N4" s="1037"/>
      <c r="O4" s="1056"/>
      <c r="P4" s="1049"/>
      <c r="Q4" s="1056"/>
      <c r="R4" s="1060"/>
      <c r="S4" s="1062" t="s">
        <v>1815</v>
      </c>
      <c r="T4" s="1063" t="s">
        <v>1816</v>
      </c>
      <c r="U4" s="1065" t="s">
        <v>1817</v>
      </c>
      <c r="V4" s="1067" t="s">
        <v>1818</v>
      </c>
      <c r="W4" s="1067" t="s">
        <v>1819</v>
      </c>
      <c r="X4" s="1067" t="s">
        <v>1820</v>
      </c>
      <c r="Y4" s="1062" t="s">
        <v>1821</v>
      </c>
      <c r="Z4" s="1075" t="s">
        <v>492</v>
      </c>
      <c r="AA4" s="1076"/>
      <c r="AB4" s="1076"/>
      <c r="AC4" s="1077"/>
      <c r="AD4" s="1075" t="s">
        <v>493</v>
      </c>
      <c r="AE4" s="1076"/>
      <c r="AF4" s="1076"/>
      <c r="AG4" s="1076"/>
      <c r="AH4" s="1077"/>
      <c r="AI4" s="1073"/>
      <c r="AJ4" s="1078" t="s">
        <v>496</v>
      </c>
      <c r="AK4" s="1080" t="s">
        <v>605</v>
      </c>
      <c r="AL4" s="1050" t="s">
        <v>606</v>
      </c>
      <c r="AM4" s="1052" t="s">
        <v>607</v>
      </c>
      <c r="AN4" s="1053"/>
      <c r="AO4" s="1053"/>
      <c r="AP4" s="1053"/>
      <c r="AQ4" s="1053"/>
      <c r="AR4" s="1053"/>
      <c r="AS4" s="1054"/>
      <c r="AT4" s="1052" t="s">
        <v>608</v>
      </c>
      <c r="AU4" s="1053"/>
      <c r="AV4" s="1054"/>
      <c r="AX4" s="323" t="s">
        <v>609</v>
      </c>
      <c r="AY4" s="324" t="s">
        <v>610</v>
      </c>
      <c r="AZ4" s="324" t="s">
        <v>611</v>
      </c>
      <c r="BA4" s="324" t="s">
        <v>612</v>
      </c>
      <c r="BB4" s="325" t="s">
        <v>609</v>
      </c>
      <c r="BC4" s="326" t="s">
        <v>610</v>
      </c>
      <c r="BD4" s="326" t="s">
        <v>611</v>
      </c>
      <c r="BE4" s="327" t="s">
        <v>613</v>
      </c>
      <c r="BF4" s="323" t="s">
        <v>609</v>
      </c>
      <c r="BG4" s="324" t="s">
        <v>610</v>
      </c>
      <c r="BH4" s="324" t="s">
        <v>611</v>
      </c>
      <c r="BI4" s="324" t="s">
        <v>612</v>
      </c>
      <c r="BJ4" s="325" t="s">
        <v>609</v>
      </c>
      <c r="BK4" s="326" t="s">
        <v>610</v>
      </c>
      <c r="BL4" s="326" t="s">
        <v>611</v>
      </c>
      <c r="BM4" s="327" t="s">
        <v>613</v>
      </c>
      <c r="BN4" s="323" t="s">
        <v>609</v>
      </c>
      <c r="BO4" s="324" t="s">
        <v>610</v>
      </c>
      <c r="BP4" s="324" t="s">
        <v>611</v>
      </c>
      <c r="BQ4" s="324" t="s">
        <v>612</v>
      </c>
      <c r="BR4" s="325" t="s">
        <v>609</v>
      </c>
      <c r="BS4" s="326" t="s">
        <v>610</v>
      </c>
      <c r="BT4" s="326" t="s">
        <v>611</v>
      </c>
      <c r="BU4" s="327" t="s">
        <v>613</v>
      </c>
    </row>
    <row r="5" spans="1:73" ht="27" customHeight="1" thickBot="1" x14ac:dyDescent="0.35">
      <c r="A5" s="1045"/>
      <c r="B5" s="1047"/>
      <c r="C5" s="1037"/>
      <c r="D5" s="289"/>
      <c r="E5" s="1049"/>
      <c r="F5" s="1049"/>
      <c r="G5" s="1037"/>
      <c r="H5" s="1037"/>
      <c r="I5" s="1037"/>
      <c r="J5" s="1039"/>
      <c r="K5" s="1040"/>
      <c r="L5" s="1042"/>
      <c r="M5" s="388"/>
      <c r="N5" s="1043"/>
      <c r="O5" s="1057"/>
      <c r="P5" s="1058"/>
      <c r="Q5" s="1057"/>
      <c r="R5" s="1061"/>
      <c r="S5" s="1056"/>
      <c r="T5" s="1064"/>
      <c r="U5" s="1066"/>
      <c r="V5" s="1037"/>
      <c r="W5" s="1037"/>
      <c r="X5" s="1037"/>
      <c r="Y5" s="1056"/>
      <c r="Z5" s="290"/>
      <c r="AA5" s="291" t="s">
        <v>494</v>
      </c>
      <c r="AB5" s="291" t="s">
        <v>495</v>
      </c>
      <c r="AC5" s="291" t="s">
        <v>496</v>
      </c>
      <c r="AD5" s="290"/>
      <c r="AE5" s="291" t="s">
        <v>496</v>
      </c>
      <c r="AF5" s="291" t="s">
        <v>495</v>
      </c>
      <c r="AG5" s="291" t="s">
        <v>494</v>
      </c>
      <c r="AH5" s="292"/>
      <c r="AI5" s="1074"/>
      <c r="AJ5" s="1079"/>
      <c r="AK5" s="1081"/>
      <c r="AL5" s="1051"/>
      <c r="AM5" s="293" t="s">
        <v>614</v>
      </c>
      <c r="AN5" s="293" t="s">
        <v>615</v>
      </c>
      <c r="AO5" s="293" t="s">
        <v>616</v>
      </c>
      <c r="AP5" s="293" t="s">
        <v>617</v>
      </c>
      <c r="AQ5" s="293" t="s">
        <v>618</v>
      </c>
      <c r="AR5" s="293" t="s">
        <v>619</v>
      </c>
      <c r="AS5" s="293" t="s">
        <v>620</v>
      </c>
      <c r="AT5" s="293" t="s">
        <v>621</v>
      </c>
      <c r="AU5" s="293" t="s">
        <v>622</v>
      </c>
      <c r="AV5" s="293" t="s">
        <v>623</v>
      </c>
      <c r="AX5" s="328" t="s">
        <v>624</v>
      </c>
      <c r="AY5" s="329" t="s">
        <v>625</v>
      </c>
      <c r="AZ5" s="329" t="s">
        <v>626</v>
      </c>
      <c r="BA5" s="329" t="s">
        <v>627</v>
      </c>
      <c r="BB5" s="329" t="s">
        <v>624</v>
      </c>
      <c r="BC5" s="329" t="s">
        <v>625</v>
      </c>
      <c r="BD5" s="329" t="s">
        <v>626</v>
      </c>
      <c r="BE5" s="330" t="s">
        <v>627</v>
      </c>
      <c r="BF5" s="328" t="s">
        <v>624</v>
      </c>
      <c r="BG5" s="329" t="s">
        <v>625</v>
      </c>
      <c r="BH5" s="329" t="s">
        <v>626</v>
      </c>
      <c r="BI5" s="329" t="s">
        <v>627</v>
      </c>
      <c r="BJ5" s="329" t="s">
        <v>624</v>
      </c>
      <c r="BK5" s="329" t="s">
        <v>625</v>
      </c>
      <c r="BL5" s="329" t="s">
        <v>626</v>
      </c>
      <c r="BM5" s="330" t="s">
        <v>627</v>
      </c>
      <c r="BN5" s="328" t="s">
        <v>624</v>
      </c>
      <c r="BO5" s="329" t="s">
        <v>625</v>
      </c>
      <c r="BP5" s="329" t="s">
        <v>626</v>
      </c>
      <c r="BQ5" s="329" t="s">
        <v>627</v>
      </c>
      <c r="BR5" s="329" t="s">
        <v>624</v>
      </c>
      <c r="BS5" s="329" t="s">
        <v>625</v>
      </c>
      <c r="BT5" s="329" t="s">
        <v>626</v>
      </c>
      <c r="BU5" s="330" t="s">
        <v>627</v>
      </c>
    </row>
    <row r="6" spans="1:73" ht="36" customHeight="1" x14ac:dyDescent="0.3">
      <c r="A6" s="365">
        <v>1</v>
      </c>
      <c r="B6" s="365">
        <v>1</v>
      </c>
      <c r="C6" s="294" t="s">
        <v>1822</v>
      </c>
      <c r="D6" s="365" t="s">
        <v>37</v>
      </c>
      <c r="E6" s="50" t="s">
        <v>1532</v>
      </c>
      <c r="F6" s="50" t="s">
        <v>29</v>
      </c>
      <c r="G6" s="50" t="s">
        <v>93</v>
      </c>
      <c r="H6" s="50" t="s">
        <v>1823</v>
      </c>
      <c r="I6" s="54" t="s">
        <v>1824</v>
      </c>
      <c r="J6" s="50" t="s">
        <v>1825</v>
      </c>
      <c r="K6" s="116" t="s">
        <v>1825</v>
      </c>
      <c r="L6" s="51" t="s">
        <v>1826</v>
      </c>
      <c r="M6" s="331" t="s">
        <v>1879</v>
      </c>
      <c r="N6" s="50" t="s">
        <v>499</v>
      </c>
      <c r="O6" s="50" t="s">
        <v>560</v>
      </c>
      <c r="P6" s="50" t="s">
        <v>500</v>
      </c>
      <c r="Q6" s="50" t="s">
        <v>524</v>
      </c>
      <c r="R6" s="97" t="s">
        <v>978</v>
      </c>
      <c r="S6" s="60" t="s">
        <v>526</v>
      </c>
      <c r="T6" s="60" t="s">
        <v>1046</v>
      </c>
      <c r="U6" s="70" t="s">
        <v>1462</v>
      </c>
      <c r="V6" s="50" t="s">
        <v>1463</v>
      </c>
      <c r="W6" s="60" t="s">
        <v>1880</v>
      </c>
      <c r="X6" s="50" t="s">
        <v>593</v>
      </c>
      <c r="Y6" s="365" t="s">
        <v>1048</v>
      </c>
      <c r="Z6" s="47">
        <v>24843</v>
      </c>
      <c r="AA6" s="48">
        <f t="shared" ref="AA6" si="0">DAY(Z6)</f>
        <v>6</v>
      </c>
      <c r="AB6" s="48">
        <f t="shared" ref="AB6" si="1">MONTH(Z6)</f>
        <v>1</v>
      </c>
      <c r="AC6" s="48">
        <f t="shared" ref="AC6" si="2">YEAR(Z6)</f>
        <v>1968</v>
      </c>
      <c r="AD6" s="49">
        <f t="shared" ref="AD6" si="3">EDATE(Z6,12*60)</f>
        <v>46758</v>
      </c>
      <c r="AE6" s="48">
        <v>3</v>
      </c>
      <c r="AF6" s="48">
        <v>10</v>
      </c>
      <c r="AG6" s="48">
        <v>2</v>
      </c>
      <c r="AH6" s="48" t="s">
        <v>2069</v>
      </c>
      <c r="AI6" s="136"/>
      <c r="AJ6" s="50">
        <v>2023</v>
      </c>
      <c r="AK6" s="52" t="s">
        <v>942</v>
      </c>
      <c r="AL6" s="50">
        <v>616</v>
      </c>
      <c r="AM6" s="50">
        <v>124</v>
      </c>
      <c r="AN6" s="50" t="s">
        <v>498</v>
      </c>
      <c r="AO6" s="50" t="s">
        <v>498</v>
      </c>
      <c r="AP6" s="50">
        <v>491</v>
      </c>
      <c r="AQ6" s="74">
        <f>AP6/AL6*100</f>
        <v>79.70779220779221</v>
      </c>
      <c r="AR6" s="50" t="s">
        <v>498</v>
      </c>
      <c r="AS6" s="50" t="s">
        <v>498</v>
      </c>
      <c r="AT6" s="50">
        <v>616</v>
      </c>
      <c r="AU6" s="50" t="s">
        <v>498</v>
      </c>
      <c r="AV6" s="50" t="s">
        <v>498</v>
      </c>
      <c r="AW6" s="76">
        <v>45356</v>
      </c>
      <c r="AX6" s="50"/>
      <c r="AY6" s="50"/>
      <c r="AZ6" s="50"/>
      <c r="BA6" s="50"/>
      <c r="BB6" s="50"/>
      <c r="BC6" s="50"/>
      <c r="BD6" s="50"/>
      <c r="BE6" s="50"/>
      <c r="BF6" s="50" t="s">
        <v>1481</v>
      </c>
      <c r="BG6" s="50" t="s">
        <v>599</v>
      </c>
      <c r="BH6" s="50" t="s">
        <v>599</v>
      </c>
      <c r="BI6" s="50" t="s">
        <v>599</v>
      </c>
      <c r="BJ6" s="50" t="s">
        <v>1952</v>
      </c>
      <c r="BK6" s="50" t="s">
        <v>599</v>
      </c>
      <c r="BL6" s="50" t="s">
        <v>599</v>
      </c>
      <c r="BM6" s="50" t="s">
        <v>599</v>
      </c>
      <c r="BN6" s="50" t="s">
        <v>716</v>
      </c>
      <c r="BO6" s="50" t="s">
        <v>599</v>
      </c>
      <c r="BP6" s="50" t="s">
        <v>599</v>
      </c>
      <c r="BQ6" s="50" t="s">
        <v>599</v>
      </c>
      <c r="BR6" s="50" t="s">
        <v>601</v>
      </c>
      <c r="BS6" s="50" t="s">
        <v>599</v>
      </c>
      <c r="BT6" s="50" t="s">
        <v>599</v>
      </c>
      <c r="BU6" s="50" t="s">
        <v>599</v>
      </c>
    </row>
    <row r="7" spans="1:73" s="299" customFormat="1" ht="34.5" customHeight="1" x14ac:dyDescent="0.3">
      <c r="A7" s="295">
        <v>2</v>
      </c>
      <c r="B7" s="295">
        <v>2</v>
      </c>
      <c r="C7" s="296" t="s">
        <v>1831</v>
      </c>
      <c r="D7" s="295" t="s">
        <v>1832</v>
      </c>
      <c r="E7" s="295" t="s">
        <v>125</v>
      </c>
      <c r="F7" s="295" t="s">
        <v>417</v>
      </c>
      <c r="G7" s="295" t="s">
        <v>98</v>
      </c>
      <c r="H7" s="295" t="s">
        <v>1449</v>
      </c>
      <c r="I7" s="296" t="s">
        <v>1884</v>
      </c>
      <c r="J7" s="295" t="s">
        <v>1885</v>
      </c>
      <c r="K7" s="60" t="s">
        <v>498</v>
      </c>
      <c r="L7" s="296" t="s">
        <v>1886</v>
      </c>
      <c r="M7" s="331"/>
      <c r="N7" s="296" t="s">
        <v>499</v>
      </c>
      <c r="O7" s="60" t="s">
        <v>560</v>
      </c>
      <c r="P7" s="60" t="s">
        <v>500</v>
      </c>
      <c r="Q7" s="60" t="s">
        <v>524</v>
      </c>
      <c r="R7" s="97" t="s">
        <v>978</v>
      </c>
      <c r="S7" s="297" t="s">
        <v>503</v>
      </c>
      <c r="T7" s="295" t="s">
        <v>527</v>
      </c>
      <c r="U7" s="296" t="s">
        <v>1887</v>
      </c>
      <c r="V7" s="50" t="s">
        <v>2507</v>
      </c>
      <c r="W7" s="53" t="s">
        <v>2506</v>
      </c>
      <c r="X7" s="50" t="s">
        <v>562</v>
      </c>
      <c r="Y7" s="295" t="s">
        <v>710</v>
      </c>
      <c r="Z7" s="298">
        <v>24637</v>
      </c>
      <c r="AA7" s="169">
        <f>DAY(Z7)</f>
        <v>14</v>
      </c>
      <c r="AB7" s="169">
        <f>MONTH(Z7)</f>
        <v>6</v>
      </c>
      <c r="AC7" s="169">
        <f>YEAR(Z7)</f>
        <v>1967</v>
      </c>
      <c r="AD7" s="170">
        <f>(DATE(AC7,AB7,AA7))+21915</f>
        <v>46552</v>
      </c>
      <c r="AE7" s="169">
        <f>DATEDIF('[1]At Present'!$V$3,AD7, "Y" )</f>
        <v>3</v>
      </c>
      <c r="AF7" s="169">
        <f>DATEDIF('[1]At Present'!$V$3,AD7, "YM" )</f>
        <v>5</v>
      </c>
      <c r="AG7" s="169">
        <f>DATEDIF('[1]At Present'!$V$3,AD7, "MD" )</f>
        <v>3</v>
      </c>
      <c r="AH7" s="169" t="str">
        <f>CONCATENATE(AE7,"year","/",AF7,"months","/",AG7,"Days")</f>
        <v>3year/5months/3Days</v>
      </c>
      <c r="AI7" s="296"/>
      <c r="AJ7" s="94">
        <v>2020</v>
      </c>
      <c r="AK7" s="94">
        <v>2</v>
      </c>
      <c r="AL7" s="94">
        <v>615</v>
      </c>
      <c r="AM7" s="94">
        <v>246</v>
      </c>
      <c r="AN7" s="94">
        <v>35</v>
      </c>
      <c r="AO7" s="94">
        <v>32</v>
      </c>
      <c r="AP7" s="94">
        <v>246</v>
      </c>
      <c r="AQ7" s="86">
        <f t="shared" ref="AQ7" si="4">AP7/AL7*100</f>
        <v>40</v>
      </c>
      <c r="AR7" s="94">
        <v>51</v>
      </c>
      <c r="AS7" s="94">
        <v>5</v>
      </c>
      <c r="AT7" s="94">
        <v>615</v>
      </c>
      <c r="AU7" s="50" t="s">
        <v>498</v>
      </c>
      <c r="AV7" s="50" t="s">
        <v>498</v>
      </c>
      <c r="AW7" s="332" t="s">
        <v>1888</v>
      </c>
      <c r="AX7" s="50"/>
      <c r="AY7" s="50"/>
      <c r="AZ7" s="50"/>
      <c r="BA7" s="50"/>
      <c r="BB7" s="77"/>
      <c r="BC7" s="77"/>
      <c r="BD7" s="77"/>
      <c r="BE7" s="77"/>
      <c r="BF7" s="50" t="s">
        <v>600</v>
      </c>
      <c r="BG7" s="50" t="s">
        <v>599</v>
      </c>
      <c r="BH7" s="50" t="s">
        <v>599</v>
      </c>
      <c r="BI7" s="50" t="s">
        <v>599</v>
      </c>
      <c r="BJ7" s="77"/>
      <c r="BK7" s="77"/>
      <c r="BL7" s="77"/>
      <c r="BM7" s="77"/>
      <c r="BN7" s="50" t="s">
        <v>600</v>
      </c>
      <c r="BO7" s="50" t="s">
        <v>599</v>
      </c>
      <c r="BP7" s="50" t="s">
        <v>599</v>
      </c>
      <c r="BQ7" s="50" t="s">
        <v>599</v>
      </c>
      <c r="BR7" s="77"/>
      <c r="BS7" s="77"/>
      <c r="BT7" s="77"/>
      <c r="BU7" s="77"/>
    </row>
    <row r="8" spans="1:73" s="299" customFormat="1" ht="31.5" customHeight="1" x14ac:dyDescent="0.3">
      <c r="A8" s="514">
        <v>3</v>
      </c>
      <c r="B8" s="514">
        <v>3</v>
      </c>
      <c r="C8" s="515" t="s">
        <v>2514</v>
      </c>
      <c r="D8" s="516" t="s">
        <v>2472</v>
      </c>
      <c r="E8" s="516" t="s">
        <v>30</v>
      </c>
      <c r="F8" s="516" t="s">
        <v>29</v>
      </c>
      <c r="G8" s="516" t="s">
        <v>30</v>
      </c>
      <c r="H8" s="517" t="s">
        <v>30</v>
      </c>
      <c r="I8" s="518" t="s">
        <v>2515</v>
      </c>
      <c r="J8" s="519" t="s">
        <v>2516</v>
      </c>
      <c r="K8" s="519" t="s">
        <v>498</v>
      </c>
      <c r="L8" s="576" t="s">
        <v>2705</v>
      </c>
      <c r="M8" s="331"/>
      <c r="N8" s="519" t="s">
        <v>499</v>
      </c>
      <c r="O8" s="519">
        <v>2</v>
      </c>
      <c r="P8" s="519" t="s">
        <v>500</v>
      </c>
      <c r="Q8" s="521" t="s">
        <v>524</v>
      </c>
      <c r="R8" s="522" t="s">
        <v>823</v>
      </c>
      <c r="S8" s="521" t="s">
        <v>503</v>
      </c>
      <c r="T8" s="519" t="s">
        <v>504</v>
      </c>
      <c r="U8" s="518" t="s">
        <v>2706</v>
      </c>
      <c r="V8" s="519" t="s">
        <v>2517</v>
      </c>
      <c r="W8" s="520" t="s">
        <v>2707</v>
      </c>
      <c r="X8" s="519" t="s">
        <v>568</v>
      </c>
      <c r="Y8" s="519" t="s">
        <v>710</v>
      </c>
      <c r="Z8" s="523">
        <v>25134</v>
      </c>
      <c r="AA8" s="48">
        <f>DAY(Z8)</f>
        <v>23</v>
      </c>
      <c r="AB8" s="48">
        <f>MONTH(Z8)</f>
        <v>10</v>
      </c>
      <c r="AC8" s="48">
        <f>YEAR(Z8)</f>
        <v>1968</v>
      </c>
      <c r="AD8" s="49">
        <f>(DATE(AC8,AB8,AA8))+21915</f>
        <v>47049</v>
      </c>
      <c r="AE8" s="48">
        <f>DATEDIF('[1]At Present'!$V$3,AD8, "Y" )</f>
        <v>4</v>
      </c>
      <c r="AF8" s="48">
        <f>DATEDIF('[1]At Present'!$V$3,AD8, "YM" )</f>
        <v>9</v>
      </c>
      <c r="AG8" s="48">
        <f>DATEDIF('[1]At Present'!$V$3,AD8, "MD" )</f>
        <v>12</v>
      </c>
      <c r="AH8" s="48" t="str">
        <f>CONCATENATE(AE8,"year","/",AF8,"months","/",AG8,"Days")</f>
        <v>4year/9months/12Days</v>
      </c>
      <c r="AI8" s="520"/>
      <c r="AJ8" s="181">
        <v>2024</v>
      </c>
      <c r="AK8" s="181">
        <v>1</v>
      </c>
      <c r="AL8" s="181">
        <v>303</v>
      </c>
      <c r="AM8" s="181">
        <v>57</v>
      </c>
      <c r="AN8" s="181">
        <v>10</v>
      </c>
      <c r="AO8" s="181">
        <v>21</v>
      </c>
      <c r="AP8" s="181">
        <v>215</v>
      </c>
      <c r="AQ8" s="181">
        <v>70.95</v>
      </c>
      <c r="AR8" s="50" t="s">
        <v>498</v>
      </c>
      <c r="AS8" s="50" t="s">
        <v>498</v>
      </c>
      <c r="AT8" s="181">
        <v>303</v>
      </c>
      <c r="AU8" s="50" t="s">
        <v>498</v>
      </c>
      <c r="AV8" s="50" t="s">
        <v>498</v>
      </c>
      <c r="AW8" s="76">
        <v>45560</v>
      </c>
      <c r="AX8" s="1028" t="s">
        <v>2600</v>
      </c>
      <c r="AY8" s="1029"/>
      <c r="AZ8" s="1029"/>
      <c r="BA8" s="1030"/>
      <c r="BB8" s="1028" t="s">
        <v>2708</v>
      </c>
      <c r="BC8" s="1029"/>
      <c r="BD8" s="1029"/>
      <c r="BE8" s="103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</row>
    <row r="9" spans="1:73" ht="27" customHeight="1" x14ac:dyDescent="0.3">
      <c r="A9" s="94">
        <v>4</v>
      </c>
      <c r="B9" s="94">
        <v>4</v>
      </c>
      <c r="C9" s="525" t="s">
        <v>2426</v>
      </c>
      <c r="D9" s="94" t="s">
        <v>55</v>
      </c>
      <c r="E9" s="94" t="s">
        <v>31</v>
      </c>
      <c r="F9" s="94" t="s">
        <v>29</v>
      </c>
      <c r="G9" s="94" t="s">
        <v>26</v>
      </c>
      <c r="H9" s="94" t="s">
        <v>31</v>
      </c>
      <c r="I9" s="525" t="s">
        <v>1317</v>
      </c>
      <c r="J9" s="94" t="s">
        <v>1312</v>
      </c>
      <c r="K9" s="295" t="s">
        <v>498</v>
      </c>
      <c r="L9" s="526" t="s">
        <v>1313</v>
      </c>
      <c r="M9" s="331" t="s">
        <v>1488</v>
      </c>
      <c r="N9" s="295" t="s">
        <v>499</v>
      </c>
      <c r="O9" s="94">
        <v>2</v>
      </c>
      <c r="P9" s="94" t="s">
        <v>500</v>
      </c>
      <c r="Q9" s="94" t="s">
        <v>524</v>
      </c>
      <c r="R9" s="94" t="s">
        <v>525</v>
      </c>
      <c r="S9" s="94" t="s">
        <v>589</v>
      </c>
      <c r="T9" s="94" t="s">
        <v>542</v>
      </c>
      <c r="U9" s="94" t="s">
        <v>1314</v>
      </c>
      <c r="V9" s="94" t="s">
        <v>1315</v>
      </c>
      <c r="W9" s="94" t="s">
        <v>1316</v>
      </c>
      <c r="X9" s="94" t="s">
        <v>538</v>
      </c>
      <c r="Y9" s="295" t="s">
        <v>710</v>
      </c>
      <c r="Z9" s="298">
        <v>28725</v>
      </c>
      <c r="AA9" s="94">
        <v>23</v>
      </c>
      <c r="AB9" s="94">
        <v>8</v>
      </c>
      <c r="AC9" s="94">
        <v>1978</v>
      </c>
      <c r="AD9" s="170">
        <f>(DATE(AC9,AB9,AA9))+21915</f>
        <v>50640</v>
      </c>
      <c r="AE9" s="169">
        <f>DATEDIF('[1]At Present'!$V$3,AD9, "Y" )</f>
        <v>14</v>
      </c>
      <c r="AF9" s="169">
        <f>DATEDIF('[1]At Present'!$V$3,AD9, "YM" )</f>
        <v>7</v>
      </c>
      <c r="AG9" s="169">
        <f>DATEDIF('[1]At Present'!$V$3,AD9, "MD" )</f>
        <v>12</v>
      </c>
      <c r="AH9" s="169" t="str">
        <f>CONCATENATE(AE9,"year","/",AF9,"months","/",AG9,"Days")</f>
        <v>14year/7months/12Days</v>
      </c>
      <c r="AI9" s="524"/>
      <c r="AJ9" s="96">
        <v>2022</v>
      </c>
      <c r="AK9" s="107">
        <v>1</v>
      </c>
      <c r="AL9" s="78">
        <v>321</v>
      </c>
      <c r="AM9" s="78">
        <v>24</v>
      </c>
      <c r="AN9" s="78">
        <v>8</v>
      </c>
      <c r="AO9" s="78">
        <v>1</v>
      </c>
      <c r="AP9" s="78">
        <v>278</v>
      </c>
      <c r="AQ9" s="86">
        <f t="shared" ref="AQ9" si="5">AP9/AL9*100</f>
        <v>86.604361370716504</v>
      </c>
      <c r="AR9" s="78">
        <v>7</v>
      </c>
      <c r="AS9" s="78">
        <v>4</v>
      </c>
      <c r="AT9" s="78">
        <v>321</v>
      </c>
      <c r="AU9" s="78" t="s">
        <v>498</v>
      </c>
      <c r="AV9" s="78" t="s">
        <v>498</v>
      </c>
      <c r="AW9" s="105"/>
      <c r="AX9" s="524"/>
      <c r="AY9" s="524"/>
      <c r="AZ9" s="524"/>
      <c r="BA9" s="524"/>
      <c r="BB9" s="524"/>
      <c r="BC9" s="524"/>
      <c r="BD9" s="524"/>
      <c r="BE9" s="524"/>
      <c r="BF9" s="524"/>
      <c r="BG9" s="524"/>
      <c r="BH9" s="524"/>
      <c r="BI9" s="524"/>
      <c r="BJ9" s="524"/>
      <c r="BK9" s="524"/>
      <c r="BL9" s="524"/>
      <c r="BM9" s="524"/>
      <c r="BN9" s="524"/>
      <c r="BO9" s="524"/>
      <c r="BP9" s="524"/>
      <c r="BQ9" s="524"/>
      <c r="BR9" s="524"/>
      <c r="BS9" s="524"/>
      <c r="BT9" s="524"/>
      <c r="BU9" s="524"/>
    </row>
  </sheetData>
  <mergeCells count="42">
    <mergeCell ref="BB8:BE8"/>
    <mergeCell ref="G3:G5"/>
    <mergeCell ref="BR3:BU3"/>
    <mergeCell ref="S4:S5"/>
    <mergeCell ref="T4:T5"/>
    <mergeCell ref="U4:U5"/>
    <mergeCell ref="V4:V5"/>
    <mergeCell ref="W4:W5"/>
    <mergeCell ref="S3:AD3"/>
    <mergeCell ref="AI3:AI5"/>
    <mergeCell ref="X4:X5"/>
    <mergeCell ref="Y4:Y5"/>
    <mergeCell ref="Z4:AC4"/>
    <mergeCell ref="AD4:AH4"/>
    <mergeCell ref="AJ4:AJ5"/>
    <mergeCell ref="AK4:AK5"/>
    <mergeCell ref="AL4:AL5"/>
    <mergeCell ref="AM4:AS4"/>
    <mergeCell ref="BN3:BQ3"/>
    <mergeCell ref="O3:O5"/>
    <mergeCell ref="P3:P5"/>
    <mergeCell ref="Q3:Q5"/>
    <mergeCell ref="R3:R5"/>
    <mergeCell ref="AT4:AV4"/>
    <mergeCell ref="AX3:BA3"/>
    <mergeCell ref="BB3:BE3"/>
    <mergeCell ref="AX8:BA8"/>
    <mergeCell ref="A2:H2"/>
    <mergeCell ref="AJ3:AV3"/>
    <mergeCell ref="BF3:BI3"/>
    <mergeCell ref="BJ3:BM3"/>
    <mergeCell ref="H3:H5"/>
    <mergeCell ref="I3:I5"/>
    <mergeCell ref="J3:J5"/>
    <mergeCell ref="K3:K5"/>
    <mergeCell ref="L3:L5"/>
    <mergeCell ref="N3:N5"/>
    <mergeCell ref="A3:A5"/>
    <mergeCell ref="B3:B5"/>
    <mergeCell ref="C3:C5"/>
    <mergeCell ref="E3:E5"/>
    <mergeCell ref="F3:F5"/>
  </mergeCells>
  <conditionalFormatting sqref="AD6">
    <cfRule type="expression" dxfId="11" priority="7" stopIfTrue="1">
      <formula>AND(#REF!&lt;&gt;"", AND(#REF!&gt;TODAY(),#REF!&lt; TODAY()+280))</formula>
    </cfRule>
    <cfRule type="expression" dxfId="10" priority="8" stopIfTrue="1">
      <formula>AND(#REF!&lt;&gt;"", AND(#REF!&gt;TODAY(),#REF!&lt; TODAY()+90))</formula>
    </cfRule>
    <cfRule type="expression" dxfId="9" priority="9">
      <formula>AND(#REF!&lt;&gt;"",#REF!= TODAY())</formula>
    </cfRule>
    <cfRule type="expression" dxfId="8" priority="10" stopIfTrue="1">
      <formula>AND(#REF!&lt;&gt;"", AND(#REF!&gt;TODAY(),#REF!&lt; TODAY()+30))</formula>
    </cfRule>
    <cfRule type="expression" dxfId="7" priority="11">
      <formula>AND(#REF!&lt;&gt;"", AND(#REF!&lt;TODAY(),#REF!&lt; TODAY()))</formula>
    </cfRule>
    <cfRule type="expression" dxfId="6" priority="12" stopIfTrue="1">
      <formula>AND(#REF!&lt;&gt;"",#REF!= TODAY())</formula>
    </cfRule>
  </conditionalFormatting>
  <hyperlinks>
    <hyperlink ref="L6" r:id="rId1" xr:uid="{00000000-0004-0000-0700-000000000000}"/>
    <hyperlink ref="L9" r:id="rId2" xr:uid="{00000000-0004-0000-0700-000001000000}"/>
    <hyperlink ref="L8" r:id="rId3" xr:uid="{00000000-0004-0000-0700-000002000000}"/>
  </hyperlinks>
  <pageMargins left="0.7" right="0.7" top="0.75" bottom="0.75" header="0.3" footer="0.3"/>
  <pageSetup orientation="portrait" verticalDpi="0"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stopIfTrue="1" id="{B7B827E5-7114-437E-96A4-871B1BAEAD86}">
            <xm:f>AND('C:\Asanthi\Asanthi Backup\New Data Base\[V.S. Data Base 2023 Jan. - Asanthi.xlsx]At Present'!#REF!&lt;&gt;"", AND('C:\Asanthi\Asanthi Backup\New Data Base\[V.S. Data Base 2023 Jan. - Asanthi.xlsx]At Present'!#REF!&gt;TODAY(), 'C:\Asanthi\Asanthi Backup\New Data Base\[V.S. Data Base 2023 Jan. - Asanthi.xlsx]At Present'!#REF!&lt;TODAY()+280))</xm:f>
            <x14:dxf>
              <fill>
                <patternFill>
                  <bgColor theme="9" tint="-0.24994659260841701"/>
                </patternFill>
              </fill>
            </x14:dxf>
          </x14:cfRule>
          <x14:cfRule type="expression" priority="14" stopIfTrue="1" id="{842B6DB3-6860-457F-BAB4-9E8A1F2F0BCE}">
            <xm:f>AND('C:\Asanthi\Asanthi Backup\New Data Base\[V.S. Data Base 2023 Jan. - Asanthi.xlsx]At Present'!#REF!&lt;&gt;"", AND('C:\Asanthi\Asanthi Backup\New Data Base\[V.S. Data Base 2023 Jan. - Asanthi.xlsx]At Present'!#REF!&gt;TODAY(), 'C:\Asanthi\Asanthi Backup\New Data Base\[V.S. Data Base 2023 Jan. - Asanthi.xlsx]At Present'!#REF!&lt;TODAY()+90))</xm:f>
            <x14:dxf>
              <fill>
                <patternFill>
                  <bgColor rgb="FF92D050"/>
                </patternFill>
              </fill>
            </x14:dxf>
          </x14:cfRule>
          <x14:cfRule type="expression" priority="15" stopIfTrue="1" id="{7EE16BAE-6698-4D3F-BB06-29028C8DB2ED}">
            <xm:f>AND('C:\Asanthi\Asanthi Backup\New Data Base\[V.S. Data Base 2023 Jan. - Asanthi.xlsx]At Present'!#REF!&lt;&gt;"", 'C:\Asanthi\Asanthi Backup\New Data Base\[V.S. Data Base 2023 Jan. - Asanthi.xlsx]At Present'!#REF!=TODAY())</xm:f>
            <x14:dxf>
              <fill>
                <patternFill>
                  <bgColor rgb="FF00B0F0"/>
                </patternFill>
              </fill>
            </x14:dxf>
          </x14:cfRule>
          <x14:cfRule type="expression" priority="16" id="{EEB695D8-29AF-4D31-BE5A-8259600E31BA}">
            <xm:f>AND('C:\Asanthi\Asanthi Backup\New Data Base\[V.S. Data Base 2023 Jan. - Asanthi.xlsx]At Present'!#REF!&lt;&gt;"", 'C:\Asanthi\Asanthi Backup\New Data Base\[V.S. Data Base 2023 Jan. - Asanthi.xlsx]At Present'!#REF!=TODAY())</xm:f>
            <x14:dxf>
              <fill>
                <patternFill>
                  <bgColor rgb="FF00B0F0"/>
                </patternFill>
              </fill>
            </x14:dxf>
          </x14:cfRule>
          <x14:cfRule type="expression" priority="17" stopIfTrue="1" id="{03C37BEB-C921-4C77-A727-86597B6F38C3}">
            <xm:f>AND('C:\Asanthi\Asanthi Backup\New Data Base\[V.S. Data Base 2023 Jan. - Asanthi.xlsx]At Present'!#REF!&lt;&gt;"", AND('C:\Asanthi\Asanthi Backup\New Data Base\[V.S. Data Base 2023 Jan. - Asanthi.xlsx]At Present'!#REF!&gt;TODAY(), 'C:\Asanthi\Asanthi Backup\New Data Base\[V.S. Data Base 2023 Jan. - Asanthi.xlsx]At Present'!#REF!&lt;TODAY()+30))</xm:f>
            <x14:dxf>
              <fill>
                <patternFill>
                  <bgColor rgb="FFFFFF00"/>
                </patternFill>
              </fill>
            </x14:dxf>
          </x14:cfRule>
          <x14:cfRule type="expression" priority="18" id="{415B6B07-E168-49FA-9B31-BDADB84C4263}">
            <xm:f>AND('C:\Asanthi\Asanthi Backup\New Data Base\[V.S. Data Base 2023 Jan. - Asanthi.xlsx]At Present'!#REF!&lt;&gt;"", AND('C:\Asanthi\Asanthi Backup\New Data Base\[V.S. Data Base 2023 Jan. - Asanthi.xlsx]At Present'!#REF!&lt;TODAY(), 'C:\Asanthi\Asanthi Backup\New Data Base\[V.S. Data Base 2023 Jan. - Asanthi.xlsx]At Present'!#REF!&lt;TODAY()))</xm:f>
            <x14:dxf>
              <fill>
                <patternFill>
                  <bgColor rgb="FFFF0000"/>
                </patternFill>
              </fill>
            </x14:dxf>
          </x14:cfRule>
          <xm:sqref>AD7:AD9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M5"/>
  <sheetViews>
    <sheetView workbookViewId="0">
      <selection activeCell="D16" sqref="D16"/>
    </sheetView>
  </sheetViews>
  <sheetFormatPr defaultRowHeight="14.4" x14ac:dyDescent="0.3"/>
  <cols>
    <col min="1" max="1" width="5.6640625" customWidth="1"/>
    <col min="2" max="2" width="5" customWidth="1"/>
    <col min="3" max="3" width="42.109375" customWidth="1"/>
    <col min="4" max="4" width="21" customWidth="1"/>
    <col min="5" max="5" width="18.44140625" customWidth="1"/>
    <col min="6" max="6" width="16.109375" customWidth="1"/>
    <col min="7" max="7" width="16.6640625" customWidth="1"/>
    <col min="8" max="8" width="15.88671875" customWidth="1"/>
    <col min="9" max="9" width="29.44140625" customWidth="1"/>
    <col min="10" max="11" width="15.33203125" customWidth="1"/>
    <col min="12" max="12" width="32.33203125" customWidth="1"/>
    <col min="13" max="13" width="21.44140625" customWidth="1"/>
    <col min="14" max="14" width="5" customWidth="1"/>
    <col min="18" max="18" width="9.44140625" bestFit="1" customWidth="1"/>
    <col min="19" max="19" width="14.109375" customWidth="1"/>
    <col min="20" max="20" width="8.44140625" customWidth="1"/>
    <col min="21" max="21" width="29.6640625" customWidth="1"/>
    <col min="22" max="22" width="14.5546875" customWidth="1"/>
    <col min="23" max="23" width="36.5546875" customWidth="1"/>
    <col min="24" max="24" width="10.5546875" customWidth="1"/>
    <col min="25" max="29" width="15.5546875" customWidth="1"/>
    <col min="30" max="30" width="30.88671875" customWidth="1"/>
    <col min="31" max="32" width="15.5546875" customWidth="1"/>
    <col min="33" max="33" width="19.88671875" customWidth="1"/>
    <col min="34" max="34" width="29.6640625" customWidth="1"/>
    <col min="35" max="35" width="28.88671875" customWidth="1"/>
    <col min="36" max="36" width="7" customWidth="1"/>
    <col min="38" max="38" width="10.44140625" customWidth="1"/>
    <col min="39" max="39" width="10" customWidth="1"/>
    <col min="43" max="43" width="7.5546875" customWidth="1"/>
    <col min="44" max="44" width="10.109375" customWidth="1"/>
    <col min="49" max="49" width="21.109375" customWidth="1"/>
  </cols>
  <sheetData>
    <row r="1" spans="1:65" ht="23.4" thickBot="1" x14ac:dyDescent="0.35">
      <c r="A1" s="1031" t="s">
        <v>2471</v>
      </c>
      <c r="B1" s="1031"/>
      <c r="C1" s="1031"/>
      <c r="D1" s="1031"/>
      <c r="E1" s="1031"/>
      <c r="F1" s="1031"/>
      <c r="G1" s="1031"/>
      <c r="H1" s="1031"/>
      <c r="AW1" s="322"/>
    </row>
    <row r="2" spans="1:65" x14ac:dyDescent="0.3">
      <c r="A2" s="1044" t="s">
        <v>1800</v>
      </c>
      <c r="B2" s="1046" t="s">
        <v>2012</v>
      </c>
      <c r="C2" s="1036" t="s">
        <v>1801</v>
      </c>
      <c r="D2" s="1036" t="s">
        <v>1814</v>
      </c>
      <c r="E2" s="1048" t="s">
        <v>1802</v>
      </c>
      <c r="F2" s="1048" t="s">
        <v>1803</v>
      </c>
      <c r="G2" s="1036" t="s">
        <v>1804</v>
      </c>
      <c r="H2" s="1036" t="s">
        <v>1805</v>
      </c>
      <c r="I2" s="1036" t="s">
        <v>1806</v>
      </c>
      <c r="J2" s="1038" t="s">
        <v>1807</v>
      </c>
      <c r="K2" s="1038" t="s">
        <v>1808</v>
      </c>
      <c r="L2" s="1041" t="s">
        <v>1809</v>
      </c>
      <c r="M2" s="469"/>
      <c r="N2" s="1036" t="s">
        <v>490</v>
      </c>
      <c r="O2" s="1055" t="s">
        <v>1810</v>
      </c>
      <c r="P2" s="1048" t="s">
        <v>1556</v>
      </c>
      <c r="Q2" s="1055" t="s">
        <v>1811</v>
      </c>
      <c r="R2" s="1059" t="s">
        <v>1812</v>
      </c>
      <c r="S2" s="1068" t="s">
        <v>491</v>
      </c>
      <c r="T2" s="1069"/>
      <c r="U2" s="1070"/>
      <c r="V2" s="1071"/>
      <c r="W2" s="1071"/>
      <c r="X2" s="1071"/>
      <c r="Y2" s="1071"/>
      <c r="Z2" s="1071"/>
      <c r="AA2" s="1071"/>
      <c r="AB2" s="1071"/>
      <c r="AC2" s="1071"/>
      <c r="AD2" s="1069"/>
      <c r="AE2" s="468"/>
      <c r="AF2" s="468"/>
      <c r="AG2" s="468"/>
      <c r="AH2" s="468"/>
      <c r="AI2" s="1072" t="s">
        <v>1813</v>
      </c>
      <c r="AJ2" s="1032" t="s">
        <v>602</v>
      </c>
      <c r="AK2" s="1032"/>
      <c r="AL2" s="1032"/>
      <c r="AM2" s="1032"/>
      <c r="AN2" s="1032"/>
      <c r="AO2" s="1032"/>
      <c r="AP2" s="1032"/>
      <c r="AQ2" s="1032"/>
      <c r="AR2" s="1032"/>
      <c r="AS2" s="1032"/>
      <c r="AT2" s="1032"/>
      <c r="AU2" s="1032"/>
      <c r="AV2" s="1032"/>
      <c r="AW2" s="322"/>
      <c r="AX2" s="1033" t="s">
        <v>1790</v>
      </c>
      <c r="AY2" s="1034"/>
      <c r="AZ2" s="1034"/>
      <c r="BA2" s="1034"/>
      <c r="BB2" s="1034" t="s">
        <v>1791</v>
      </c>
      <c r="BC2" s="1034"/>
      <c r="BD2" s="1034"/>
      <c r="BE2" s="1035"/>
      <c r="BF2" s="1033" t="s">
        <v>603</v>
      </c>
      <c r="BG2" s="1034"/>
      <c r="BH2" s="1034"/>
      <c r="BI2" s="1034"/>
      <c r="BJ2" s="1034" t="s">
        <v>604</v>
      </c>
      <c r="BK2" s="1034"/>
      <c r="BL2" s="1034"/>
      <c r="BM2" s="1035"/>
    </row>
    <row r="3" spans="1:65" x14ac:dyDescent="0.3">
      <c r="A3" s="1045"/>
      <c r="B3" s="1047"/>
      <c r="C3" s="1037"/>
      <c r="D3" s="1037"/>
      <c r="E3" s="1049"/>
      <c r="F3" s="1049"/>
      <c r="G3" s="1037"/>
      <c r="H3" s="1037"/>
      <c r="I3" s="1037"/>
      <c r="J3" s="1039"/>
      <c r="K3" s="1039"/>
      <c r="L3" s="1042"/>
      <c r="M3" s="470" t="s">
        <v>1878</v>
      </c>
      <c r="N3" s="1037"/>
      <c r="O3" s="1056"/>
      <c r="P3" s="1049"/>
      <c r="Q3" s="1056"/>
      <c r="R3" s="1060"/>
      <c r="S3" s="1062" t="s">
        <v>1815</v>
      </c>
      <c r="T3" s="1063" t="s">
        <v>1816</v>
      </c>
      <c r="U3" s="1065" t="s">
        <v>1817</v>
      </c>
      <c r="V3" s="1067" t="s">
        <v>1818</v>
      </c>
      <c r="W3" s="1067" t="s">
        <v>1819</v>
      </c>
      <c r="X3" s="1067" t="s">
        <v>1820</v>
      </c>
      <c r="Y3" s="1062" t="s">
        <v>1821</v>
      </c>
      <c r="Z3" s="1075" t="s">
        <v>492</v>
      </c>
      <c r="AA3" s="1076"/>
      <c r="AB3" s="1076"/>
      <c r="AC3" s="1077"/>
      <c r="AD3" s="1075" t="s">
        <v>493</v>
      </c>
      <c r="AE3" s="1076"/>
      <c r="AF3" s="1076"/>
      <c r="AG3" s="1076"/>
      <c r="AH3" s="1077"/>
      <c r="AI3" s="1073"/>
      <c r="AJ3" s="1078" t="s">
        <v>496</v>
      </c>
      <c r="AK3" s="1080" t="s">
        <v>605</v>
      </c>
      <c r="AL3" s="1050" t="s">
        <v>606</v>
      </c>
      <c r="AM3" s="1052" t="s">
        <v>607</v>
      </c>
      <c r="AN3" s="1053"/>
      <c r="AO3" s="1053"/>
      <c r="AP3" s="1053"/>
      <c r="AQ3" s="1053"/>
      <c r="AR3" s="1053"/>
      <c r="AS3" s="1054"/>
      <c r="AT3" s="1052" t="s">
        <v>608</v>
      </c>
      <c r="AU3" s="1053"/>
      <c r="AV3" s="1054"/>
      <c r="AW3" s="322"/>
      <c r="AX3" s="323" t="s">
        <v>609</v>
      </c>
      <c r="AY3" s="324" t="s">
        <v>610</v>
      </c>
      <c r="AZ3" s="324" t="s">
        <v>611</v>
      </c>
      <c r="BA3" s="324" t="s">
        <v>612</v>
      </c>
      <c r="BB3" s="325" t="s">
        <v>609</v>
      </c>
      <c r="BC3" s="326" t="s">
        <v>610</v>
      </c>
      <c r="BD3" s="326" t="s">
        <v>611</v>
      </c>
      <c r="BE3" s="327" t="s">
        <v>613</v>
      </c>
      <c r="BF3" s="323" t="s">
        <v>609</v>
      </c>
      <c r="BG3" s="324" t="s">
        <v>610</v>
      </c>
      <c r="BH3" s="324" t="s">
        <v>611</v>
      </c>
      <c r="BI3" s="324" t="s">
        <v>612</v>
      </c>
      <c r="BJ3" s="325" t="s">
        <v>609</v>
      </c>
      <c r="BK3" s="326" t="s">
        <v>610</v>
      </c>
      <c r="BL3" s="326" t="s">
        <v>611</v>
      </c>
      <c r="BM3" s="327" t="s">
        <v>613</v>
      </c>
    </row>
    <row r="4" spans="1:65" ht="49.5" customHeight="1" thickBot="1" x14ac:dyDescent="0.35">
      <c r="A4" s="1045"/>
      <c r="B4" s="1047"/>
      <c r="C4" s="1037"/>
      <c r="D4" s="1043"/>
      <c r="E4" s="1049"/>
      <c r="F4" s="1049"/>
      <c r="G4" s="1037"/>
      <c r="H4" s="1037"/>
      <c r="I4" s="1037"/>
      <c r="J4" s="1039"/>
      <c r="K4" s="1039"/>
      <c r="L4" s="1042"/>
      <c r="M4" s="470"/>
      <c r="N4" s="1043"/>
      <c r="O4" s="1057"/>
      <c r="P4" s="1058"/>
      <c r="Q4" s="1057"/>
      <c r="R4" s="1061"/>
      <c r="S4" s="1056"/>
      <c r="T4" s="1064"/>
      <c r="U4" s="1066"/>
      <c r="V4" s="1037"/>
      <c r="W4" s="1037"/>
      <c r="X4" s="1037"/>
      <c r="Y4" s="1056"/>
      <c r="Z4" s="290"/>
      <c r="AA4" s="291" t="s">
        <v>494</v>
      </c>
      <c r="AB4" s="291" t="s">
        <v>495</v>
      </c>
      <c r="AC4" s="291" t="s">
        <v>496</v>
      </c>
      <c r="AD4" s="290"/>
      <c r="AE4" s="291" t="s">
        <v>496</v>
      </c>
      <c r="AF4" s="291" t="s">
        <v>495</v>
      </c>
      <c r="AG4" s="291" t="s">
        <v>494</v>
      </c>
      <c r="AH4" s="292"/>
      <c r="AI4" s="1074"/>
      <c r="AJ4" s="1079"/>
      <c r="AK4" s="1081"/>
      <c r="AL4" s="1051"/>
      <c r="AM4" s="293" t="s">
        <v>614</v>
      </c>
      <c r="AN4" s="293" t="s">
        <v>615</v>
      </c>
      <c r="AO4" s="293" t="s">
        <v>616</v>
      </c>
      <c r="AP4" s="293" t="s">
        <v>617</v>
      </c>
      <c r="AQ4" s="293" t="s">
        <v>618</v>
      </c>
      <c r="AR4" s="293" t="s">
        <v>619</v>
      </c>
      <c r="AS4" s="293" t="s">
        <v>620</v>
      </c>
      <c r="AT4" s="293" t="s">
        <v>621</v>
      </c>
      <c r="AU4" s="293" t="s">
        <v>622</v>
      </c>
      <c r="AV4" s="293" t="s">
        <v>623</v>
      </c>
      <c r="AW4" s="322"/>
      <c r="AX4" s="328" t="s">
        <v>624</v>
      </c>
      <c r="AY4" s="329" t="s">
        <v>625</v>
      </c>
      <c r="AZ4" s="329" t="s">
        <v>626</v>
      </c>
      <c r="BA4" s="329" t="s">
        <v>627</v>
      </c>
      <c r="BB4" s="329" t="s">
        <v>624</v>
      </c>
      <c r="BC4" s="329" t="s">
        <v>625</v>
      </c>
      <c r="BD4" s="329" t="s">
        <v>626</v>
      </c>
      <c r="BE4" s="330" t="s">
        <v>627</v>
      </c>
      <c r="BF4" s="328" t="s">
        <v>624</v>
      </c>
      <c r="BG4" s="329" t="s">
        <v>625</v>
      </c>
      <c r="BH4" s="329" t="s">
        <v>626</v>
      </c>
      <c r="BI4" s="329" t="s">
        <v>627</v>
      </c>
      <c r="BJ4" s="329" t="s">
        <v>624</v>
      </c>
      <c r="BK4" s="329" t="s">
        <v>625</v>
      </c>
      <c r="BL4" s="329" t="s">
        <v>626</v>
      </c>
      <c r="BM4" s="330" t="s">
        <v>627</v>
      </c>
    </row>
    <row r="5" spans="1:65" ht="34.5" customHeight="1" x14ac:dyDescent="0.3">
      <c r="A5" s="94">
        <v>1</v>
      </c>
      <c r="B5" s="94">
        <v>1</v>
      </c>
      <c r="C5" s="333" t="s">
        <v>1889</v>
      </c>
      <c r="D5" s="94"/>
      <c r="E5" s="94"/>
      <c r="F5" s="295" t="s">
        <v>417</v>
      </c>
      <c r="G5" s="94" t="s">
        <v>93</v>
      </c>
      <c r="H5" s="94"/>
      <c r="I5" s="333" t="s">
        <v>1890</v>
      </c>
      <c r="J5" s="94" t="s">
        <v>1891</v>
      </c>
      <c r="K5" s="94" t="s">
        <v>498</v>
      </c>
      <c r="L5" s="94"/>
      <c r="M5" s="94"/>
      <c r="N5" s="94" t="s">
        <v>499</v>
      </c>
      <c r="O5" s="94"/>
      <c r="P5" s="94" t="s">
        <v>500</v>
      </c>
      <c r="Q5" s="94"/>
      <c r="R5" s="334" t="s">
        <v>648</v>
      </c>
      <c r="S5" s="297" t="s">
        <v>503</v>
      </c>
      <c r="T5" s="94" t="s">
        <v>504</v>
      </c>
      <c r="U5" s="157" t="s">
        <v>1892</v>
      </c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>
        <v>2022</v>
      </c>
      <c r="AK5" s="94"/>
      <c r="AL5" s="94">
        <v>1200</v>
      </c>
      <c r="AM5" s="94"/>
      <c r="AN5" s="94"/>
      <c r="AO5" s="94"/>
      <c r="AP5" s="94">
        <v>150</v>
      </c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</row>
  </sheetData>
  <mergeCells count="39">
    <mergeCell ref="AK3:AK4"/>
    <mergeCell ref="AL3:AL4"/>
    <mergeCell ref="AM3:AS3"/>
    <mergeCell ref="AT3:AV3"/>
    <mergeCell ref="D2:D4"/>
    <mergeCell ref="P2:P4"/>
    <mergeCell ref="Q2:Q4"/>
    <mergeCell ref="R2:R4"/>
    <mergeCell ref="AJ3:AJ4"/>
    <mergeCell ref="I2:I4"/>
    <mergeCell ref="J2:J4"/>
    <mergeCell ref="K2:K4"/>
    <mergeCell ref="L2:L4"/>
    <mergeCell ref="N2:N4"/>
    <mergeCell ref="O2:O4"/>
    <mergeCell ref="AX2:BA2"/>
    <mergeCell ref="BB2:BE2"/>
    <mergeCell ref="BF2:BI2"/>
    <mergeCell ref="BJ2:BM2"/>
    <mergeCell ref="S3:S4"/>
    <mergeCell ref="T3:T4"/>
    <mergeCell ref="U3:U4"/>
    <mergeCell ref="V3:V4"/>
    <mergeCell ref="W3:W4"/>
    <mergeCell ref="X3:X4"/>
    <mergeCell ref="S2:AD2"/>
    <mergeCell ref="AI2:AI4"/>
    <mergeCell ref="AJ2:AV2"/>
    <mergeCell ref="Y3:Y4"/>
    <mergeCell ref="Z3:AC3"/>
    <mergeCell ref="AD3:AH3"/>
    <mergeCell ref="A1:H1"/>
    <mergeCell ref="A2:A4"/>
    <mergeCell ref="B2:B4"/>
    <mergeCell ref="C2:C4"/>
    <mergeCell ref="E2:E4"/>
    <mergeCell ref="F2:F4"/>
    <mergeCell ref="G2:G4"/>
    <mergeCell ref="H2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Schools Taken Over 1960</vt:lpstr>
      <vt:lpstr>1951-1960</vt:lpstr>
      <vt:lpstr>School that Disappeared</vt:lpstr>
      <vt:lpstr>Changes in School</vt:lpstr>
      <vt:lpstr>Vested Schools Now - Referred</vt:lpstr>
      <vt:lpstr>Vested Schools Now - 2024</vt:lpstr>
      <vt:lpstr>Given Over</vt:lpstr>
      <vt:lpstr> Catholic Government Schools</vt:lpstr>
      <vt:lpstr>Catholic Students in Govt. Sch.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2025-12-11T06:13:12Z</dcterms:modified>
</cp:coreProperties>
</file>