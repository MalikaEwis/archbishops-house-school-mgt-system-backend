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rasha\Work\Archdiocese Colombo- SYSTEM\Required Data\Catholic Education Office, Archbishops House, Borella\Catholic International Schools\"/>
    </mc:Choice>
  </mc:AlternateContent>
  <xr:revisionPtr revIDLastSave="0" documentId="13_ncr:1_{B28610C7-7BB4-4513-9333-B68C16BFD2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ademic" sheetId="1" r:id="rId1"/>
    <sheet name="Non-Academic" sheetId="2" r:id="rId2"/>
    <sheet name="Sheet3" sheetId="7" r:id="rId3"/>
    <sheet name="Support Staff" sheetId="3" r:id="rId4"/>
    <sheet name="Those left" sheetId="5" r:id="rId5"/>
    <sheet name="Sheet1" sheetId="4" r:id="rId6"/>
    <sheet name="Sheet2" sheetId="6" r:id="rId7"/>
  </sheets>
  <definedNames>
    <definedName name="_xlnm._FilterDatabase" localSheetId="0" hidden="1">Academic!$A$9:$AD$311</definedName>
    <definedName name="_xlnm._FilterDatabase" localSheetId="1" hidden="1">'Non-Academic'!$A$5:$AH$31</definedName>
    <definedName name="_xlnm._FilterDatabase" localSheetId="3" hidden="1">'Support Staff'!$A$5:$XEE$5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12" i="1" l="1"/>
  <c r="Q312" i="1"/>
  <c r="AD23" i="1" l="1"/>
  <c r="AE23" i="1" s="1"/>
  <c r="AD24" i="1"/>
  <c r="AG24" i="1" s="1"/>
  <c r="AD25" i="1"/>
  <c r="AE25" i="1" s="1"/>
  <c r="AD26" i="1"/>
  <c r="AG26" i="1" s="1"/>
  <c r="AD27" i="1"/>
  <c r="AE27" i="1" s="1"/>
  <c r="E301" i="1"/>
  <c r="E302" i="1"/>
  <c r="E303" i="1"/>
  <c r="E304" i="1"/>
  <c r="E305" i="1"/>
  <c r="E306" i="1"/>
  <c r="E307" i="1"/>
  <c r="E308" i="1"/>
  <c r="E309" i="1"/>
  <c r="E311" i="1"/>
  <c r="E310" i="1"/>
  <c r="E300" i="1"/>
  <c r="W310" i="1"/>
  <c r="W311" i="1"/>
  <c r="W309" i="1"/>
  <c r="W308" i="1"/>
  <c r="W307" i="1"/>
  <c r="W306" i="1"/>
  <c r="W305" i="1"/>
  <c r="W304" i="1"/>
  <c r="W303" i="1"/>
  <c r="W302" i="1"/>
  <c r="W301" i="1"/>
  <c r="W300" i="1"/>
  <c r="Q305" i="1"/>
  <c r="Q306" i="1"/>
  <c r="Q307" i="1"/>
  <c r="Q308" i="1"/>
  <c r="Q309" i="1"/>
  <c r="Q311" i="1"/>
  <c r="Q310" i="1"/>
  <c r="Q304" i="1"/>
  <c r="Q303" i="1"/>
  <c r="Q302" i="1"/>
  <c r="Q301" i="1"/>
  <c r="Q300" i="1"/>
  <c r="AF26" i="1" l="1"/>
  <c r="AG27" i="1"/>
  <c r="AE26" i="1"/>
  <c r="AG25" i="1"/>
  <c r="AE24" i="1"/>
  <c r="AG23" i="1"/>
  <c r="AF24" i="1"/>
  <c r="AF27" i="1"/>
  <c r="AF25" i="1"/>
  <c r="AF23" i="1"/>
  <c r="W27" i="1"/>
  <c r="Q27" i="1"/>
  <c r="W24" i="1"/>
  <c r="Q24" i="1"/>
  <c r="W23" i="1"/>
  <c r="Q23" i="1"/>
  <c r="W13" i="1"/>
  <c r="Q13" i="1"/>
  <c r="AH23" i="1" l="1"/>
  <c r="AH27" i="1"/>
  <c r="AH26" i="1"/>
  <c r="AH25" i="1"/>
  <c r="AH24" i="1"/>
  <c r="Z23" i="1"/>
  <c r="AK23" i="1"/>
  <c r="AL23" i="1"/>
  <c r="AJ23" i="1"/>
  <c r="Z27" i="1"/>
  <c r="AK27" i="1"/>
  <c r="AJ27" i="1"/>
  <c r="AL27" i="1"/>
  <c r="Z24" i="1"/>
  <c r="AL24" i="1"/>
  <c r="AJ24" i="1"/>
  <c r="AK24" i="1"/>
  <c r="AB23" i="1"/>
  <c r="AB27" i="1"/>
  <c r="AA27" i="1"/>
  <c r="AB24" i="1"/>
  <c r="AA24" i="1"/>
  <c r="AA23" i="1"/>
  <c r="AD13" i="1"/>
  <c r="AL13" i="1" s="1"/>
  <c r="Z13" i="1"/>
  <c r="AI23" i="1" l="1"/>
  <c r="AI24" i="1"/>
  <c r="AI27" i="1"/>
  <c r="AC23" i="1"/>
  <c r="AJ13" i="1"/>
  <c r="AC27" i="1"/>
  <c r="AE13" i="1"/>
  <c r="AG13" i="1"/>
  <c r="AF13" i="1"/>
  <c r="AK13" i="1"/>
  <c r="AC24" i="1"/>
  <c r="AB13" i="1"/>
  <c r="AA13" i="1"/>
  <c r="AI13" i="1" l="1"/>
  <c r="AH13" i="1"/>
  <c r="AC13" i="1"/>
  <c r="E290" i="1" l="1"/>
  <c r="E291" i="1"/>
  <c r="E292" i="1"/>
  <c r="E293" i="1"/>
  <c r="E294" i="1"/>
  <c r="E295" i="1"/>
  <c r="E296" i="1"/>
  <c r="E297" i="1"/>
  <c r="E298" i="1"/>
  <c r="E299" i="1"/>
  <c r="E289" i="1" l="1"/>
  <c r="W299" i="1" l="1"/>
  <c r="Z299" i="1" s="1"/>
  <c r="Q299" i="1"/>
  <c r="AD299" i="1"/>
  <c r="W298" i="1"/>
  <c r="Z298" i="1" s="1"/>
  <c r="Q298" i="1"/>
  <c r="AD298" i="1"/>
  <c r="W297" i="1"/>
  <c r="Z297" i="1" s="1"/>
  <c r="Q297" i="1"/>
  <c r="AD297" i="1"/>
  <c r="W296" i="1"/>
  <c r="Z296" i="1" s="1"/>
  <c r="Q296" i="1"/>
  <c r="AD296" i="1"/>
  <c r="W295" i="1"/>
  <c r="Z295" i="1" s="1"/>
  <c r="Q295" i="1"/>
  <c r="AD295" i="1"/>
  <c r="W294" i="1"/>
  <c r="Z294" i="1" s="1"/>
  <c r="Q294" i="1"/>
  <c r="AD294" i="1"/>
  <c r="W293" i="1"/>
  <c r="AA293" i="1" s="1"/>
  <c r="Q293" i="1"/>
  <c r="AD293" i="1"/>
  <c r="W292" i="1"/>
  <c r="Z292" i="1" s="1"/>
  <c r="Q292" i="1"/>
  <c r="AD292" i="1"/>
  <c r="W291" i="1"/>
  <c r="Z291" i="1" s="1"/>
  <c r="Q291" i="1"/>
  <c r="AD291" i="1"/>
  <c r="W290" i="1"/>
  <c r="Z290" i="1" s="1"/>
  <c r="Q290" i="1"/>
  <c r="AD290" i="1"/>
  <c r="AB291" i="1" l="1"/>
  <c r="AB293" i="1"/>
  <c r="AA291" i="1"/>
  <c r="Z293" i="1"/>
  <c r="AB294" i="1"/>
  <c r="AA296" i="1"/>
  <c r="AB296" i="1"/>
  <c r="AB297" i="1"/>
  <c r="AA297" i="1"/>
  <c r="AB298" i="1"/>
  <c r="AB299" i="1"/>
  <c r="AA299" i="1"/>
  <c r="AA298" i="1"/>
  <c r="AB295" i="1"/>
  <c r="AA295" i="1"/>
  <c r="AA294" i="1"/>
  <c r="AB292" i="1"/>
  <c r="AA292" i="1"/>
  <c r="AB290" i="1"/>
  <c r="AA290" i="1"/>
  <c r="W289" i="1"/>
  <c r="Z289" i="1" s="1"/>
  <c r="Q289" i="1"/>
  <c r="AD289" i="1"/>
  <c r="W288" i="1"/>
  <c r="Z288" i="1" s="1"/>
  <c r="Q288" i="1"/>
  <c r="AD288" i="1"/>
  <c r="W287" i="1"/>
  <c r="Z287" i="1" s="1"/>
  <c r="Q287" i="1"/>
  <c r="AD287" i="1"/>
  <c r="W286" i="1"/>
  <c r="Z286" i="1" s="1"/>
  <c r="Q286" i="1"/>
  <c r="AD286" i="1"/>
  <c r="W285" i="1"/>
  <c r="Z285" i="1" s="1"/>
  <c r="Q285" i="1"/>
  <c r="AD285" i="1"/>
  <c r="W284" i="1"/>
  <c r="Z284" i="1" s="1"/>
  <c r="Q284" i="1"/>
  <c r="AD284" i="1"/>
  <c r="E288" i="1"/>
  <c r="AC294" i="1" l="1"/>
  <c r="AC293" i="1"/>
  <c r="AC296" i="1"/>
  <c r="AC291" i="1"/>
  <c r="AA288" i="1"/>
  <c r="AB286" i="1"/>
  <c r="AC298" i="1"/>
  <c r="AC297" i="1"/>
  <c r="AC299" i="1"/>
  <c r="AB289" i="1"/>
  <c r="AA289" i="1"/>
  <c r="AC295" i="1"/>
  <c r="AC292" i="1"/>
  <c r="AC290" i="1"/>
  <c r="AB287" i="1"/>
  <c r="AA287" i="1"/>
  <c r="AB288" i="1"/>
  <c r="AA286" i="1"/>
  <c r="AB285" i="1"/>
  <c r="AA285" i="1"/>
  <c r="AB284" i="1"/>
  <c r="AA284" i="1"/>
  <c r="W10" i="1"/>
  <c r="W2" i="1"/>
  <c r="W11" i="1"/>
  <c r="AC286" i="1" l="1"/>
  <c r="AC288" i="1"/>
  <c r="AC289" i="1"/>
  <c r="AC287" i="1"/>
  <c r="AC285" i="1"/>
  <c r="AC284" i="1"/>
  <c r="W283" i="1"/>
  <c r="Z283" i="1" s="1"/>
  <c r="Q283" i="1"/>
  <c r="AD283" i="1"/>
  <c r="W282" i="1"/>
  <c r="Z282" i="1" s="1"/>
  <c r="Q282" i="1"/>
  <c r="AD282" i="1"/>
  <c r="W280" i="1"/>
  <c r="Z280" i="1" s="1"/>
  <c r="Q280" i="1"/>
  <c r="AD280" i="1"/>
  <c r="W281" i="1"/>
  <c r="AA281" i="1" s="1"/>
  <c r="Q281" i="1"/>
  <c r="AD281" i="1"/>
  <c r="E280" i="1"/>
  <c r="E282" i="1"/>
  <c r="E283" i="1"/>
  <c r="E284" i="1"/>
  <c r="E285" i="1"/>
  <c r="E286" i="1"/>
  <c r="E287" i="1"/>
  <c r="AB283" i="1" l="1"/>
  <c r="AA283" i="1"/>
  <c r="Z281" i="1"/>
  <c r="AB282" i="1"/>
  <c r="AA282" i="1"/>
  <c r="AB280" i="1"/>
  <c r="AA280" i="1"/>
  <c r="AB281" i="1"/>
  <c r="Q279" i="1"/>
  <c r="AD279" i="1"/>
  <c r="Q278" i="1"/>
  <c r="AD278" i="1"/>
  <c r="Q277" i="1"/>
  <c r="AD277" i="1"/>
  <c r="Q276" i="1"/>
  <c r="AD276" i="1"/>
  <c r="W279" i="1"/>
  <c r="Z279" i="1" s="1"/>
  <c r="W278" i="1"/>
  <c r="Z278" i="1" s="1"/>
  <c r="W277" i="1"/>
  <c r="AA277" i="1" s="1"/>
  <c r="W276" i="1"/>
  <c r="Z276" i="1" s="1"/>
  <c r="E277" i="1"/>
  <c r="E278" i="1"/>
  <c r="E279" i="1"/>
  <c r="E281" i="1"/>
  <c r="AB276" i="1" l="1"/>
  <c r="AB279" i="1"/>
  <c r="AC283" i="1"/>
  <c r="AC282" i="1"/>
  <c r="AB278" i="1"/>
  <c r="AA278" i="1"/>
  <c r="Z277" i="1"/>
  <c r="AC281" i="1"/>
  <c r="AC280" i="1"/>
  <c r="AA279" i="1"/>
  <c r="AB277" i="1"/>
  <c r="AA276" i="1"/>
  <c r="Q275" i="1"/>
  <c r="AD275" i="1"/>
  <c r="W275" i="1"/>
  <c r="Z275" i="1" s="1"/>
  <c r="AD274" i="1"/>
  <c r="W274" i="1"/>
  <c r="AA274" i="1" s="1"/>
  <c r="Q274" i="1"/>
  <c r="W273" i="1"/>
  <c r="Z273" i="1" s="1"/>
  <c r="Q273" i="1"/>
  <c r="AD273" i="1"/>
  <c r="AC279" i="1" l="1"/>
  <c r="AC276" i="1"/>
  <c r="AC277" i="1"/>
  <c r="AC278" i="1"/>
  <c r="AB275" i="1"/>
  <c r="AA275" i="1"/>
  <c r="AB274" i="1"/>
  <c r="Z274" i="1"/>
  <c r="AB273" i="1"/>
  <c r="AA273" i="1"/>
  <c r="W272" i="1"/>
  <c r="AA272" i="1" s="1"/>
  <c r="Q272" i="1"/>
  <c r="AD272" i="1"/>
  <c r="W271" i="1"/>
  <c r="Z271" i="1" s="1"/>
  <c r="Q271" i="1"/>
  <c r="AD271" i="1"/>
  <c r="AC275" i="1" l="1"/>
  <c r="AC274" i="1"/>
  <c r="AC273" i="1"/>
  <c r="Z272" i="1"/>
  <c r="AB272" i="1"/>
  <c r="AB271" i="1"/>
  <c r="AA271" i="1"/>
  <c r="AC272" i="1" l="1"/>
  <c r="AC271" i="1"/>
  <c r="E273" i="1" l="1"/>
  <c r="E274" i="1"/>
  <c r="E275" i="1"/>
  <c r="E276" i="1"/>
  <c r="E272" i="1"/>
  <c r="E271" i="1"/>
  <c r="AD270" i="1" l="1"/>
  <c r="W270" i="1"/>
  <c r="Z270" i="1" s="1"/>
  <c r="Q270" i="1"/>
  <c r="Q269" i="1"/>
  <c r="Q268" i="1"/>
  <c r="Q267" i="1"/>
  <c r="Q266" i="1"/>
  <c r="AD266" i="1"/>
  <c r="AD267" i="1"/>
  <c r="AD268" i="1"/>
  <c r="AD269" i="1"/>
  <c r="W265" i="1"/>
  <c r="Z265" i="1" s="1"/>
  <c r="W266" i="1"/>
  <c r="AB266" i="1" s="1"/>
  <c r="W267" i="1"/>
  <c r="Z267" i="1" s="1"/>
  <c r="W268" i="1"/>
  <c r="Z268" i="1" s="1"/>
  <c r="W269" i="1"/>
  <c r="AA269" i="1" s="1"/>
  <c r="Q265" i="1"/>
  <c r="AD265" i="1"/>
  <c r="AE265" i="1" s="1"/>
  <c r="E265" i="1"/>
  <c r="E266" i="1"/>
  <c r="E267" i="1"/>
  <c r="E268" i="1"/>
  <c r="E269" i="1"/>
  <c r="E270" i="1"/>
  <c r="AB268" i="1" l="1"/>
  <c r="Z266" i="1"/>
  <c r="AA267" i="1"/>
  <c r="Z269" i="1"/>
  <c r="AB267" i="1"/>
  <c r="AA266" i="1"/>
  <c r="AB270" i="1"/>
  <c r="AB269" i="1"/>
  <c r="AA268" i="1"/>
  <c r="AA270" i="1"/>
  <c r="AB265" i="1"/>
  <c r="AA265" i="1"/>
  <c r="AG265" i="1"/>
  <c r="AF265" i="1"/>
  <c r="Q264" i="1"/>
  <c r="AD264" i="1"/>
  <c r="AF264" i="1" s="1"/>
  <c r="Q263" i="1"/>
  <c r="AD263" i="1"/>
  <c r="AF263" i="1" s="1"/>
  <c r="W262" i="1"/>
  <c r="Z262" i="1" s="1"/>
  <c r="W263" i="1"/>
  <c r="AB263" i="1" s="1"/>
  <c r="W264" i="1"/>
  <c r="AA264" i="1" s="1"/>
  <c r="Q262" i="1"/>
  <c r="AD262" i="1"/>
  <c r="AF262" i="1" s="1"/>
  <c r="W261" i="1"/>
  <c r="Z261" i="1" s="1"/>
  <c r="Q261" i="1"/>
  <c r="AD261" i="1"/>
  <c r="AG261" i="1" s="1"/>
  <c r="E261" i="1"/>
  <c r="E262" i="1"/>
  <c r="E263" i="1"/>
  <c r="E264" i="1"/>
  <c r="AC268" i="1" l="1"/>
  <c r="AC266" i="1"/>
  <c r="AC267" i="1"/>
  <c r="AB262" i="1"/>
  <c r="AA262" i="1"/>
  <c r="AF261" i="1"/>
  <c r="AE262" i="1"/>
  <c r="AA263" i="1"/>
  <c r="AE263" i="1"/>
  <c r="AC269" i="1"/>
  <c r="AC270" i="1"/>
  <c r="Z263" i="1"/>
  <c r="AE261" i="1"/>
  <c r="AG262" i="1"/>
  <c r="Z264" i="1"/>
  <c r="AE264" i="1"/>
  <c r="AH265" i="1"/>
  <c r="AC265" i="1"/>
  <c r="AG264" i="1"/>
  <c r="AG263" i="1"/>
  <c r="AB264" i="1"/>
  <c r="AL261" i="1"/>
  <c r="AB261" i="1"/>
  <c r="AK261" i="1"/>
  <c r="AA261" i="1"/>
  <c r="AJ261" i="1"/>
  <c r="AF37" i="5"/>
  <c r="AD37" i="5"/>
  <c r="AG37" i="5" s="1"/>
  <c r="AB37" i="5"/>
  <c r="AA37" i="5"/>
  <c r="W37" i="5"/>
  <c r="AL37" i="5" s="1"/>
  <c r="Q37" i="5"/>
  <c r="E37" i="5"/>
  <c r="AD36" i="5"/>
  <c r="AE36" i="5" s="1"/>
  <c r="AB36" i="5"/>
  <c r="W36" i="5"/>
  <c r="AA36" i="5" s="1"/>
  <c r="Q36" i="5"/>
  <c r="E36" i="5"/>
  <c r="AD64" i="5"/>
  <c r="AG64" i="5" s="1"/>
  <c r="AB64" i="5"/>
  <c r="AA64" i="5"/>
  <c r="W64" i="5"/>
  <c r="AL64" i="5" s="1"/>
  <c r="Q64" i="5"/>
  <c r="E64" i="5"/>
  <c r="AD63" i="5"/>
  <c r="AG63" i="5" s="1"/>
  <c r="W63" i="5"/>
  <c r="Q63" i="5"/>
  <c r="E63" i="5"/>
  <c r="AD62" i="5"/>
  <c r="AE62" i="5" s="1"/>
  <c r="AB62" i="5"/>
  <c r="AA62" i="5"/>
  <c r="Z62" i="5"/>
  <c r="Q62" i="5"/>
  <c r="E62" i="5"/>
  <c r="AD61" i="5"/>
  <c r="AL61" i="5" s="1"/>
  <c r="AB61" i="5"/>
  <c r="AA61" i="5"/>
  <c r="Z61" i="5"/>
  <c r="Q61" i="5"/>
  <c r="E61" i="5"/>
  <c r="AD60" i="5"/>
  <c r="AL60" i="5" s="1"/>
  <c r="AB60" i="5"/>
  <c r="AA60" i="5"/>
  <c r="Z60" i="5"/>
  <c r="Q60" i="5"/>
  <c r="E60" i="5"/>
  <c r="AD59" i="5"/>
  <c r="AL59" i="5" s="1"/>
  <c r="AB59" i="5"/>
  <c r="AA59" i="5"/>
  <c r="Z59" i="5"/>
  <c r="Q59" i="5"/>
  <c r="E59" i="5"/>
  <c r="AD58" i="5"/>
  <c r="AL58" i="5" s="1"/>
  <c r="AB58" i="5"/>
  <c r="AA58" i="5"/>
  <c r="Z58" i="5"/>
  <c r="Q58" i="5"/>
  <c r="E58" i="5"/>
  <c r="AD57" i="5"/>
  <c r="AL57" i="5" s="1"/>
  <c r="AB57" i="5"/>
  <c r="AA57" i="5"/>
  <c r="Z57" i="5"/>
  <c r="Q57" i="5"/>
  <c r="E57" i="5"/>
  <c r="AD56" i="5"/>
  <c r="AL56" i="5" s="1"/>
  <c r="AB56" i="5"/>
  <c r="AA56" i="5"/>
  <c r="Z56" i="5"/>
  <c r="Q56" i="5"/>
  <c r="E56" i="5"/>
  <c r="AD55" i="5"/>
  <c r="AF55" i="5" s="1"/>
  <c r="W55" i="5"/>
  <c r="Q55" i="5"/>
  <c r="E55" i="5"/>
  <c r="AD54" i="5"/>
  <c r="AG54" i="5" s="1"/>
  <c r="W54" i="5"/>
  <c r="Q54" i="5"/>
  <c r="E54" i="5"/>
  <c r="AD53" i="5"/>
  <c r="AG53" i="5" s="1"/>
  <c r="W53" i="5"/>
  <c r="AA53" i="5" s="1"/>
  <c r="Q53" i="5"/>
  <c r="E53" i="5"/>
  <c r="AD52" i="5"/>
  <c r="AG52" i="5" s="1"/>
  <c r="W52" i="5"/>
  <c r="Q52" i="5"/>
  <c r="E52" i="5"/>
  <c r="AD51" i="5"/>
  <c r="AG51" i="5" s="1"/>
  <c r="W51" i="5"/>
  <c r="AA51" i="5" s="1"/>
  <c r="Q51" i="5"/>
  <c r="E51" i="5"/>
  <c r="AD50" i="5"/>
  <c r="AG50" i="5" s="1"/>
  <c r="W50" i="5"/>
  <c r="Q50" i="5"/>
  <c r="E50" i="5"/>
  <c r="AD49" i="5"/>
  <c r="AG49" i="5" s="1"/>
  <c r="W49" i="5"/>
  <c r="Q49" i="5"/>
  <c r="E49" i="5"/>
  <c r="AD48" i="5"/>
  <c r="AG48" i="5" s="1"/>
  <c r="W48" i="5"/>
  <c r="AA48" i="5" s="1"/>
  <c r="Q48" i="5"/>
  <c r="E48" i="5"/>
  <c r="AD47" i="5"/>
  <c r="AG47" i="5" s="1"/>
  <c r="W47" i="5"/>
  <c r="Q47" i="5"/>
  <c r="E47" i="5"/>
  <c r="AD46" i="5"/>
  <c r="AG46" i="5" s="1"/>
  <c r="W46" i="5"/>
  <c r="AA46" i="5" s="1"/>
  <c r="Q46" i="5"/>
  <c r="E46" i="5"/>
  <c r="AD45" i="5"/>
  <c r="AF45" i="5" s="1"/>
  <c r="W45" i="5"/>
  <c r="Q45" i="5"/>
  <c r="E45" i="5"/>
  <c r="AD44" i="5"/>
  <c r="AG44" i="5" s="1"/>
  <c r="W44" i="5"/>
  <c r="Q44" i="5"/>
  <c r="E44" i="5"/>
  <c r="AD43" i="5"/>
  <c r="AG43" i="5" s="1"/>
  <c r="W43" i="5"/>
  <c r="AA43" i="5" s="1"/>
  <c r="Q43" i="5"/>
  <c r="E43" i="5"/>
  <c r="AD42" i="5"/>
  <c r="AG42" i="5" s="1"/>
  <c r="W42" i="5"/>
  <c r="Q42" i="5"/>
  <c r="E42" i="5"/>
  <c r="AD41" i="5"/>
  <c r="AG41" i="5" s="1"/>
  <c r="W41" i="5"/>
  <c r="Q41" i="5"/>
  <c r="E41" i="5"/>
  <c r="AD40" i="5"/>
  <c r="AG40" i="5" s="1"/>
  <c r="W40" i="5"/>
  <c r="AA40" i="5" s="1"/>
  <c r="Q40" i="5"/>
  <c r="E40" i="5"/>
  <c r="AD39" i="5"/>
  <c r="AG39" i="5" s="1"/>
  <c r="W39" i="5"/>
  <c r="Q39" i="5"/>
  <c r="E39" i="5"/>
  <c r="AD38" i="5"/>
  <c r="AF38" i="5" s="1"/>
  <c r="W38" i="5"/>
  <c r="AA38" i="5" s="1"/>
  <c r="Q38" i="5"/>
  <c r="E38" i="5"/>
  <c r="AD35" i="5"/>
  <c r="AE35" i="5" s="1"/>
  <c r="W35" i="5"/>
  <c r="Q35" i="5"/>
  <c r="E35" i="5"/>
  <c r="AD34" i="5"/>
  <c r="W34" i="5"/>
  <c r="Q34" i="5"/>
  <c r="E34" i="5"/>
  <c r="AD33" i="5"/>
  <c r="AE33" i="5" s="1"/>
  <c r="W33" i="5"/>
  <c r="Q33" i="5"/>
  <c r="E33" i="5"/>
  <c r="AD32" i="5"/>
  <c r="AG32" i="5" s="1"/>
  <c r="W32" i="5"/>
  <c r="Q32" i="5"/>
  <c r="E32" i="5"/>
  <c r="AD31" i="5"/>
  <c r="AG31" i="5" s="1"/>
  <c r="W31" i="5"/>
  <c r="AA31" i="5" s="1"/>
  <c r="Q31" i="5"/>
  <c r="E31" i="5"/>
  <c r="AD30" i="5"/>
  <c r="AG30" i="5" s="1"/>
  <c r="W30" i="5"/>
  <c r="Q30" i="5"/>
  <c r="E30" i="5"/>
  <c r="AD29" i="5"/>
  <c r="AG29" i="5" s="1"/>
  <c r="W29" i="5"/>
  <c r="Q29" i="5"/>
  <c r="E29" i="5"/>
  <c r="AD28" i="5"/>
  <c r="W28" i="5"/>
  <c r="Q28" i="5"/>
  <c r="E28" i="5"/>
  <c r="AD27" i="5"/>
  <c r="AF27" i="5" s="1"/>
  <c r="W27" i="5"/>
  <c r="Q27" i="5"/>
  <c r="E27" i="5"/>
  <c r="AF36" i="5" l="1"/>
  <c r="AL63" i="5"/>
  <c r="AF64" i="5"/>
  <c r="AG36" i="5"/>
  <c r="AH36" i="5" s="1"/>
  <c r="AE37" i="5"/>
  <c r="AH37" i="5" s="1"/>
  <c r="AJ64" i="5"/>
  <c r="AJ36" i="5"/>
  <c r="AJ37" i="5"/>
  <c r="AC263" i="1"/>
  <c r="AC262" i="1"/>
  <c r="AH263" i="1"/>
  <c r="AH261" i="1"/>
  <c r="AH262" i="1"/>
  <c r="AC264" i="1"/>
  <c r="AH264" i="1"/>
  <c r="AC261" i="1"/>
  <c r="AI261" i="1"/>
  <c r="AK36" i="5"/>
  <c r="AF60" i="5"/>
  <c r="AF61" i="5"/>
  <c r="AE63" i="5"/>
  <c r="Z36" i="5"/>
  <c r="AC36" i="5" s="1"/>
  <c r="AL36" i="5"/>
  <c r="AK37" i="5"/>
  <c r="AE61" i="5"/>
  <c r="AE57" i="5"/>
  <c r="AG61" i="5"/>
  <c r="AF63" i="5"/>
  <c r="Z64" i="5"/>
  <c r="AC64" i="5" s="1"/>
  <c r="AE64" i="5"/>
  <c r="AH64" i="5" s="1"/>
  <c r="Z37" i="5"/>
  <c r="AC37" i="5" s="1"/>
  <c r="AF62" i="5"/>
  <c r="AF54" i="5"/>
  <c r="AE58" i="5"/>
  <c r="AK61" i="5"/>
  <c r="AJ62" i="5"/>
  <c r="AA63" i="5"/>
  <c r="AK64" i="5"/>
  <c r="AI64" i="5" s="1"/>
  <c r="AK58" i="5"/>
  <c r="AC62" i="5"/>
  <c r="AL54" i="5"/>
  <c r="AE55" i="5"/>
  <c r="AF56" i="5"/>
  <c r="AG57" i="5"/>
  <c r="AG58" i="5"/>
  <c r="AG60" i="5"/>
  <c r="AJ61" i="5"/>
  <c r="AG62" i="5"/>
  <c r="AK62" i="5"/>
  <c r="AB63" i="5"/>
  <c r="AJ63" i="5"/>
  <c r="AK63" i="5"/>
  <c r="AG55" i="5"/>
  <c r="AJ60" i="5"/>
  <c r="AL62" i="5"/>
  <c r="AE54" i="5"/>
  <c r="AL55" i="5"/>
  <c r="AE60" i="5"/>
  <c r="AK60" i="5"/>
  <c r="Z63" i="5"/>
  <c r="AC60" i="5"/>
  <c r="AC61" i="5"/>
  <c r="AC56" i="5"/>
  <c r="AG56" i="5"/>
  <c r="AK57" i="5"/>
  <c r="AE59" i="5"/>
  <c r="AJ56" i="5"/>
  <c r="AG59" i="5"/>
  <c r="AE56" i="5"/>
  <c r="AK56" i="5"/>
  <c r="AF57" i="5"/>
  <c r="AK59" i="5"/>
  <c r="AC58" i="5"/>
  <c r="AC59" i="5"/>
  <c r="AC57" i="5"/>
  <c r="AE53" i="5"/>
  <c r="AA55" i="5"/>
  <c r="AJ57" i="5"/>
  <c r="AF58" i="5"/>
  <c r="AJ58" i="5"/>
  <c r="AI58" i="5" s="1"/>
  <c r="AF59" i="5"/>
  <c r="AJ59" i="5"/>
  <c r="AF53" i="5"/>
  <c r="AB55" i="5"/>
  <c r="AJ55" i="5"/>
  <c r="AB53" i="5"/>
  <c r="AJ53" i="5"/>
  <c r="AA54" i="5"/>
  <c r="AK55" i="5"/>
  <c r="Z55" i="5"/>
  <c r="AE52" i="5"/>
  <c r="AK53" i="5"/>
  <c r="AB54" i="5"/>
  <c r="AJ54" i="5"/>
  <c r="AL52" i="5"/>
  <c r="Z53" i="5"/>
  <c r="AL53" i="5"/>
  <c r="AK54" i="5"/>
  <c r="AE51" i="5"/>
  <c r="AA52" i="5"/>
  <c r="Z54" i="5"/>
  <c r="AL51" i="5"/>
  <c r="AF51" i="5"/>
  <c r="AB52" i="5"/>
  <c r="AF52" i="5"/>
  <c r="AJ52" i="5"/>
  <c r="AK52" i="5"/>
  <c r="Z52" i="5"/>
  <c r="AB51" i="5"/>
  <c r="AJ51" i="5"/>
  <c r="AK51" i="5"/>
  <c r="Z51" i="5"/>
  <c r="AE49" i="5"/>
  <c r="AE50" i="5"/>
  <c r="AL44" i="5"/>
  <c r="AJ45" i="5"/>
  <c r="AL49" i="5"/>
  <c r="AF49" i="5"/>
  <c r="AL50" i="5"/>
  <c r="AF50" i="5"/>
  <c r="AA49" i="5"/>
  <c r="AA50" i="5"/>
  <c r="AB49" i="5"/>
  <c r="AB50" i="5"/>
  <c r="AJ50" i="5"/>
  <c r="AG45" i="5"/>
  <c r="AB46" i="5"/>
  <c r="AL47" i="5"/>
  <c r="AJ49" i="5"/>
  <c r="AK50" i="5"/>
  <c r="Z50" i="5"/>
  <c r="Z43" i="5"/>
  <c r="Z47" i="5"/>
  <c r="AL48" i="5"/>
  <c r="AE48" i="5"/>
  <c r="AK49" i="5"/>
  <c r="AE47" i="5"/>
  <c r="Z48" i="5"/>
  <c r="Z49" i="5"/>
  <c r="AJ46" i="5"/>
  <c r="AE46" i="5"/>
  <c r="AA47" i="5"/>
  <c r="AF47" i="5"/>
  <c r="AB48" i="5"/>
  <c r="AF48" i="5"/>
  <c r="AJ48" i="5"/>
  <c r="AL43" i="5"/>
  <c r="AE44" i="5"/>
  <c r="AF46" i="5"/>
  <c r="AB47" i="5"/>
  <c r="AJ47" i="5"/>
  <c r="AK48" i="5"/>
  <c r="AK45" i="5"/>
  <c r="AE32" i="5"/>
  <c r="Z45" i="5"/>
  <c r="AL45" i="5"/>
  <c r="AK46" i="5"/>
  <c r="AE39" i="5"/>
  <c r="Z40" i="5"/>
  <c r="AA44" i="5"/>
  <c r="AA45" i="5"/>
  <c r="AE45" i="5"/>
  <c r="Z46" i="5"/>
  <c r="AL46" i="5"/>
  <c r="AK47" i="5"/>
  <c r="AL41" i="5"/>
  <c r="AL42" i="5"/>
  <c r="AB45" i="5"/>
  <c r="Z42" i="5"/>
  <c r="AB44" i="5"/>
  <c r="AF44" i="5"/>
  <c r="AJ44" i="5"/>
  <c r="AA42" i="5"/>
  <c r="AE43" i="5"/>
  <c r="AK44" i="5"/>
  <c r="Z44" i="5"/>
  <c r="AL39" i="5"/>
  <c r="Z41" i="5"/>
  <c r="AE41" i="5"/>
  <c r="AB43" i="5"/>
  <c r="AF43" i="5"/>
  <c r="AJ43" i="5"/>
  <c r="AA41" i="5"/>
  <c r="AF41" i="5"/>
  <c r="AE42" i="5"/>
  <c r="AK43" i="5"/>
  <c r="AB41" i="5"/>
  <c r="AJ41" i="5"/>
  <c r="AL40" i="5"/>
  <c r="AE40" i="5"/>
  <c r="AK41" i="5"/>
  <c r="AB42" i="5"/>
  <c r="AF42" i="5"/>
  <c r="AJ42" i="5"/>
  <c r="AK42" i="5"/>
  <c r="AA39" i="5"/>
  <c r="AF39" i="5"/>
  <c r="AB40" i="5"/>
  <c r="AF40" i="5"/>
  <c r="AJ40" i="5"/>
  <c r="AK34" i="5"/>
  <c r="AK35" i="5"/>
  <c r="AB39" i="5"/>
  <c r="AJ39" i="5"/>
  <c r="AK40" i="5"/>
  <c r="AF33" i="5"/>
  <c r="AL34" i="5"/>
  <c r="AA35" i="5"/>
  <c r="AE38" i="5"/>
  <c r="AE30" i="5"/>
  <c r="AL32" i="5"/>
  <c r="AL38" i="5"/>
  <c r="AG38" i="5"/>
  <c r="AK39" i="5"/>
  <c r="Z39" i="5"/>
  <c r="AJ33" i="5"/>
  <c r="AG33" i="5"/>
  <c r="Z34" i="5"/>
  <c r="AE34" i="5"/>
  <c r="AL35" i="5"/>
  <c r="AB38" i="5"/>
  <c r="AJ38" i="5"/>
  <c r="AA34" i="5"/>
  <c r="AF34" i="5"/>
  <c r="AK38" i="5"/>
  <c r="AB34" i="5"/>
  <c r="AJ34" i="5"/>
  <c r="Z35" i="5"/>
  <c r="Z38" i="5"/>
  <c r="AE31" i="5"/>
  <c r="Z32" i="5"/>
  <c r="Z33" i="5"/>
  <c r="AL33" i="5"/>
  <c r="AG34" i="5"/>
  <c r="AB35" i="5"/>
  <c r="AF35" i="5"/>
  <c r="AJ35" i="5"/>
  <c r="AK33" i="5"/>
  <c r="AL31" i="5"/>
  <c r="AA32" i="5"/>
  <c r="AA33" i="5"/>
  <c r="AG35" i="5"/>
  <c r="AB33" i="5"/>
  <c r="AL30" i="5"/>
  <c r="AB32" i="5"/>
  <c r="AF32" i="5"/>
  <c r="AJ32" i="5"/>
  <c r="AA30" i="5"/>
  <c r="AK32" i="5"/>
  <c r="AB31" i="5"/>
  <c r="AF31" i="5"/>
  <c r="AJ31" i="5"/>
  <c r="AK31" i="5"/>
  <c r="Z30" i="5"/>
  <c r="Z31" i="5"/>
  <c r="AK27" i="5"/>
  <c r="AL29" i="5"/>
  <c r="AB30" i="5"/>
  <c r="AF30" i="5"/>
  <c r="AJ30" i="5"/>
  <c r="AK30" i="5"/>
  <c r="Z29" i="5"/>
  <c r="AA29" i="5"/>
  <c r="Z27" i="5"/>
  <c r="AA27" i="5"/>
  <c r="AK28" i="5"/>
  <c r="AB29" i="5"/>
  <c r="AF29" i="5"/>
  <c r="AJ29" i="5"/>
  <c r="AL27" i="5"/>
  <c r="AE27" i="5"/>
  <c r="AE29" i="5"/>
  <c r="AB27" i="5"/>
  <c r="AJ27" i="5"/>
  <c r="AK29" i="5"/>
  <c r="Z28" i="5"/>
  <c r="AA28" i="5"/>
  <c r="AL28" i="5"/>
  <c r="AE28" i="5"/>
  <c r="AG27" i="5"/>
  <c r="AB28" i="5"/>
  <c r="AF28" i="5"/>
  <c r="AJ28" i="5"/>
  <c r="AG28" i="5"/>
  <c r="W260" i="1"/>
  <c r="Z260" i="1" s="1"/>
  <c r="Q260" i="1"/>
  <c r="AD260" i="1"/>
  <c r="AG260" i="1" s="1"/>
  <c r="E260" i="1"/>
  <c r="Q316" i="1"/>
  <c r="W316" i="1"/>
  <c r="AB316" i="1" s="1"/>
  <c r="AD316" i="1"/>
  <c r="AF316" i="1" s="1"/>
  <c r="Q317" i="1"/>
  <c r="W317" i="1"/>
  <c r="AB317" i="1" s="1"/>
  <c r="AD317" i="1"/>
  <c r="AF317" i="1" s="1"/>
  <c r="AI36" i="5" l="1"/>
  <c r="AI62" i="5"/>
  <c r="AI37" i="5"/>
  <c r="AI61" i="5"/>
  <c r="AC43" i="5"/>
  <c r="AC46" i="5"/>
  <c r="AH62" i="5"/>
  <c r="AC52" i="5"/>
  <c r="AC38" i="5"/>
  <c r="AH29" i="5"/>
  <c r="AH51" i="5"/>
  <c r="AH54" i="5"/>
  <c r="AH61" i="5"/>
  <c r="AH63" i="5"/>
  <c r="AH57" i="5"/>
  <c r="AI60" i="5"/>
  <c r="AC53" i="5"/>
  <c r="AI63" i="5"/>
  <c r="AI57" i="5"/>
  <c r="AI56" i="5"/>
  <c r="AH53" i="5"/>
  <c r="AH58" i="5"/>
  <c r="AH56" i="5"/>
  <c r="AH55" i="5"/>
  <c r="AC63" i="5"/>
  <c r="AI59" i="5"/>
  <c r="AH60" i="5"/>
  <c r="AH59" i="5"/>
  <c r="AC55" i="5"/>
  <c r="AI55" i="5"/>
  <c r="AC54" i="5"/>
  <c r="AI53" i="5"/>
  <c r="AH52" i="5"/>
  <c r="AH50" i="5"/>
  <c r="AI54" i="5"/>
  <c r="AH49" i="5"/>
  <c r="AI52" i="5"/>
  <c r="AC51" i="5"/>
  <c r="AI51" i="5"/>
  <c r="AI49" i="5"/>
  <c r="AC49" i="5"/>
  <c r="AC50" i="5"/>
  <c r="AI47" i="5"/>
  <c r="AI46" i="5"/>
  <c r="AI45" i="5"/>
  <c r="AI50" i="5"/>
  <c r="AH45" i="5"/>
  <c r="AC47" i="5"/>
  <c r="AC40" i="5"/>
  <c r="AH48" i="5"/>
  <c r="AC48" i="5"/>
  <c r="AH47" i="5"/>
  <c r="AH46" i="5"/>
  <c r="AH44" i="5"/>
  <c r="AI48" i="5"/>
  <c r="AH43" i="5"/>
  <c r="AC42" i="5"/>
  <c r="AC44" i="5"/>
  <c r="AH32" i="5"/>
  <c r="AH39" i="5"/>
  <c r="AH30" i="5"/>
  <c r="AH40" i="5"/>
  <c r="AI41" i="5"/>
  <c r="AC45" i="5"/>
  <c r="AH41" i="5"/>
  <c r="AI44" i="5"/>
  <c r="AC41" i="5"/>
  <c r="AI43" i="5"/>
  <c r="AH42" i="5"/>
  <c r="AC39" i="5"/>
  <c r="AI42" i="5"/>
  <c r="AH33" i="5"/>
  <c r="AI40" i="5"/>
  <c r="AI33" i="5"/>
  <c r="AI39" i="5"/>
  <c r="AI34" i="5"/>
  <c r="AI35" i="5"/>
  <c r="AH38" i="5"/>
  <c r="AC35" i="5"/>
  <c r="AH34" i="5"/>
  <c r="AH35" i="5"/>
  <c r="AH31" i="5"/>
  <c r="AC34" i="5"/>
  <c r="AC29" i="5"/>
  <c r="AC31" i="5"/>
  <c r="AC30" i="5"/>
  <c r="AI38" i="5"/>
  <c r="AC32" i="5"/>
  <c r="AC33" i="5"/>
  <c r="AI31" i="5"/>
  <c r="AI32" i="5"/>
  <c r="AI27" i="5"/>
  <c r="AE316" i="1"/>
  <c r="AH27" i="5"/>
  <c r="AA317" i="1"/>
  <c r="AI30" i="5"/>
  <c r="AC27" i="5"/>
  <c r="AI29" i="5"/>
  <c r="AC28" i="5"/>
  <c r="AA316" i="1"/>
  <c r="AL316" i="1"/>
  <c r="Z316" i="1"/>
  <c r="AI28" i="5"/>
  <c r="AH28" i="5"/>
  <c r="Z317" i="1"/>
  <c r="AF260" i="1"/>
  <c r="AL260" i="1"/>
  <c r="AE260" i="1"/>
  <c r="AB260" i="1"/>
  <c r="AK260" i="1"/>
  <c r="AA260" i="1"/>
  <c r="AJ260" i="1"/>
  <c r="AL317" i="1"/>
  <c r="AE317" i="1"/>
  <c r="AG317" i="1"/>
  <c r="AK316" i="1"/>
  <c r="AG316" i="1"/>
  <c r="AK317" i="1"/>
  <c r="AJ317" i="1"/>
  <c r="AJ316" i="1"/>
  <c r="AH316" i="1" l="1"/>
  <c r="AC317" i="1"/>
  <c r="AC316" i="1"/>
  <c r="AI316" i="1"/>
  <c r="AH260" i="1"/>
  <c r="AI260" i="1"/>
  <c r="AC260" i="1"/>
  <c r="AH317" i="1"/>
  <c r="AI317" i="1"/>
  <c r="AD253" i="1" l="1"/>
  <c r="AE253" i="1" s="1"/>
  <c r="AD254" i="1"/>
  <c r="AG254" i="1" s="1"/>
  <c r="AD255" i="1"/>
  <c r="AE255" i="1" s="1"/>
  <c r="AD256" i="1"/>
  <c r="AF256" i="1" s="1"/>
  <c r="AD257" i="1"/>
  <c r="AE257" i="1" s="1"/>
  <c r="AD258" i="1"/>
  <c r="AF258" i="1" s="1"/>
  <c r="AD259" i="1"/>
  <c r="AE259" i="1" s="1"/>
  <c r="Z248" i="1"/>
  <c r="AA248" i="1"/>
  <c r="AB248" i="1"/>
  <c r="Z249" i="1"/>
  <c r="AA249" i="1"/>
  <c r="AB249" i="1"/>
  <c r="Z250" i="1"/>
  <c r="AA250" i="1"/>
  <c r="AB250" i="1"/>
  <c r="W252" i="1"/>
  <c r="W253" i="1"/>
  <c r="W254" i="1"/>
  <c r="AA254" i="1" s="1"/>
  <c r="W255" i="1"/>
  <c r="W256" i="1"/>
  <c r="W257" i="1"/>
  <c r="W258" i="1"/>
  <c r="W259" i="1"/>
  <c r="Q253" i="1"/>
  <c r="Q254" i="1"/>
  <c r="Q255" i="1"/>
  <c r="Q256" i="1"/>
  <c r="Q257" i="1"/>
  <c r="Q258" i="1"/>
  <c r="Q259" i="1"/>
  <c r="E254" i="1"/>
  <c r="E255" i="1"/>
  <c r="E256" i="1"/>
  <c r="E257" i="1"/>
  <c r="E258" i="1"/>
  <c r="E259" i="1"/>
  <c r="AL258" i="1" l="1"/>
  <c r="AJ257" i="1"/>
  <c r="AK253" i="1"/>
  <c r="AJ259" i="1"/>
  <c r="AJ255" i="1"/>
  <c r="AL256" i="1"/>
  <c r="AA259" i="1"/>
  <c r="Z258" i="1"/>
  <c r="AB256" i="1"/>
  <c r="AA255" i="1"/>
  <c r="Z254" i="1"/>
  <c r="AB252" i="1"/>
  <c r="AG259" i="1"/>
  <c r="AK258" i="1"/>
  <c r="AE258" i="1"/>
  <c r="AG257" i="1"/>
  <c r="AK256" i="1"/>
  <c r="AE256" i="1"/>
  <c r="AL254" i="1"/>
  <c r="AF254" i="1"/>
  <c r="AJ253" i="1"/>
  <c r="Z259" i="1"/>
  <c r="AB257" i="1"/>
  <c r="AA256" i="1"/>
  <c r="Z255" i="1"/>
  <c r="AB253" i="1"/>
  <c r="AA252" i="1"/>
  <c r="AL259" i="1"/>
  <c r="AF259" i="1"/>
  <c r="AJ258" i="1"/>
  <c r="AL257" i="1"/>
  <c r="AF257" i="1"/>
  <c r="AJ256" i="1"/>
  <c r="AL255" i="1"/>
  <c r="AG255" i="1"/>
  <c r="AK254" i="1"/>
  <c r="AE254" i="1"/>
  <c r="AG253" i="1"/>
  <c r="AB258" i="1"/>
  <c r="AA257" i="1"/>
  <c r="Z256" i="1"/>
  <c r="AB254" i="1"/>
  <c r="AA253" i="1"/>
  <c r="Z252" i="1"/>
  <c r="AK259" i="1"/>
  <c r="AG258" i="1"/>
  <c r="AK257" i="1"/>
  <c r="AG256" i="1"/>
  <c r="AK255" i="1"/>
  <c r="AF255" i="1"/>
  <c r="AJ254" i="1"/>
  <c r="AL253" i="1"/>
  <c r="AF253" i="1"/>
  <c r="AB259" i="1"/>
  <c r="AA258" i="1"/>
  <c r="Z257" i="1"/>
  <c r="AB255" i="1"/>
  <c r="Z253" i="1"/>
  <c r="AC248" i="1"/>
  <c r="AC250" i="1"/>
  <c r="AC249" i="1"/>
  <c r="Q252" i="1"/>
  <c r="AD252" i="1"/>
  <c r="AG252" i="1" s="1"/>
  <c r="E251" i="1"/>
  <c r="E252" i="1"/>
  <c r="E253" i="1"/>
  <c r="AD202" i="1"/>
  <c r="W202" i="1"/>
  <c r="AA202" i="1" s="1"/>
  <c r="Q202" i="1"/>
  <c r="Q201" i="1"/>
  <c r="AD201" i="1"/>
  <c r="AG201" i="1" s="1"/>
  <c r="W201" i="1"/>
  <c r="Z201" i="1" s="1"/>
  <c r="AD200" i="1"/>
  <c r="AG200" i="1" s="1"/>
  <c r="W200" i="1"/>
  <c r="Q200" i="1"/>
  <c r="AD199" i="1"/>
  <c r="AG199" i="1" s="1"/>
  <c r="W199" i="1"/>
  <c r="Q199" i="1"/>
  <c r="AI256" i="1" l="1"/>
  <c r="AC255" i="1"/>
  <c r="AH259" i="1"/>
  <c r="AI255" i="1"/>
  <c r="AH254" i="1"/>
  <c r="AC254" i="1"/>
  <c r="AC252" i="1"/>
  <c r="AH253" i="1"/>
  <c r="AC253" i="1"/>
  <c r="AH255" i="1"/>
  <c r="AC258" i="1"/>
  <c r="AL252" i="1"/>
  <c r="AC256" i="1"/>
  <c r="AC259" i="1"/>
  <c r="AH256" i="1"/>
  <c r="AI257" i="1"/>
  <c r="AC257" i="1"/>
  <c r="AH257" i="1"/>
  <c r="AI259" i="1"/>
  <c r="AI253" i="1"/>
  <c r="AK252" i="1"/>
  <c r="AI258" i="1"/>
  <c r="AJ252" i="1"/>
  <c r="AI254" i="1"/>
  <c r="AH258" i="1"/>
  <c r="AK199" i="1"/>
  <c r="AF252" i="1"/>
  <c r="AE201" i="1"/>
  <c r="AB202" i="1"/>
  <c r="AE252" i="1"/>
  <c r="AK200" i="1"/>
  <c r="Z199" i="1"/>
  <c r="Z200" i="1"/>
  <c r="AK201" i="1"/>
  <c r="Z202" i="1"/>
  <c r="AJ201" i="1"/>
  <c r="AB201" i="1"/>
  <c r="AF201" i="1"/>
  <c r="AL201" i="1"/>
  <c r="AA201" i="1"/>
  <c r="AL200" i="1"/>
  <c r="AA199" i="1"/>
  <c r="AE199" i="1"/>
  <c r="AA200" i="1"/>
  <c r="AE200" i="1"/>
  <c r="AB199" i="1"/>
  <c r="AF199" i="1"/>
  <c r="AJ199" i="1"/>
  <c r="AB200" i="1"/>
  <c r="AF200" i="1"/>
  <c r="AJ200" i="1"/>
  <c r="AL199" i="1"/>
  <c r="AI252" i="1" l="1"/>
  <c r="AH252" i="1"/>
  <c r="AH201" i="1"/>
  <c r="AC202" i="1"/>
  <c r="AI201" i="1"/>
  <c r="AC201" i="1"/>
  <c r="AC200" i="1"/>
  <c r="AC199" i="1"/>
  <c r="AH200" i="1"/>
  <c r="AI199" i="1"/>
  <c r="AI200" i="1"/>
  <c r="AH199" i="1"/>
  <c r="Q250" i="1" l="1"/>
  <c r="AD250" i="1"/>
  <c r="Q249" i="1"/>
  <c r="AD249" i="1"/>
  <c r="Q248" i="1"/>
  <c r="AD248" i="1"/>
  <c r="W247" i="1"/>
  <c r="Z247" i="1" s="1"/>
  <c r="Q247" i="1"/>
  <c r="AD247" i="1"/>
  <c r="AE247" i="1" s="1"/>
  <c r="W246" i="1"/>
  <c r="Z246" i="1" s="1"/>
  <c r="Q246" i="1"/>
  <c r="AD246" i="1"/>
  <c r="AF246" i="1" s="1"/>
  <c r="W245" i="1"/>
  <c r="Z245" i="1" s="1"/>
  <c r="Q245" i="1"/>
  <c r="AD245" i="1"/>
  <c r="AE245" i="1" s="1"/>
  <c r="W244" i="1"/>
  <c r="Z244" i="1" s="1"/>
  <c r="Q244" i="1"/>
  <c r="AD244" i="1"/>
  <c r="AG244" i="1" s="1"/>
  <c r="W243" i="1"/>
  <c r="Z243" i="1" s="1"/>
  <c r="Q243" i="1"/>
  <c r="AD243" i="1"/>
  <c r="AF243" i="1" s="1"/>
  <c r="E245" i="1"/>
  <c r="E246" i="1"/>
  <c r="E247" i="1"/>
  <c r="E248" i="1"/>
  <c r="E249" i="1"/>
  <c r="E250" i="1"/>
  <c r="AF249" i="1" l="1"/>
  <c r="AL249" i="1"/>
  <c r="AJ249" i="1"/>
  <c r="AK249" i="1"/>
  <c r="AE248" i="1"/>
  <c r="AK248" i="1"/>
  <c r="AL248" i="1"/>
  <c r="AJ248" i="1"/>
  <c r="AG250" i="1"/>
  <c r="AJ250" i="1"/>
  <c r="AK250" i="1"/>
  <c r="AL250" i="1"/>
  <c r="AF250" i="1"/>
  <c r="AE250" i="1"/>
  <c r="AE249" i="1"/>
  <c r="AG247" i="1"/>
  <c r="AF247" i="1"/>
  <c r="AE243" i="1"/>
  <c r="AL246" i="1"/>
  <c r="AB246" i="1"/>
  <c r="AG243" i="1"/>
  <c r="AE246" i="1"/>
  <c r="AG245" i="1"/>
  <c r="AK247" i="1"/>
  <c r="AG248" i="1"/>
  <c r="AL247" i="1"/>
  <c r="AF244" i="1"/>
  <c r="AL244" i="1"/>
  <c r="AF245" i="1"/>
  <c r="AL245" i="1"/>
  <c r="AB247" i="1"/>
  <c r="AF248" i="1"/>
  <c r="AG249" i="1"/>
  <c r="AE244" i="1"/>
  <c r="AB244" i="1"/>
  <c r="AB245" i="1"/>
  <c r="AA247" i="1"/>
  <c r="AJ247" i="1"/>
  <c r="AK246" i="1"/>
  <c r="AA246" i="1"/>
  <c r="AJ246" i="1"/>
  <c r="AG246" i="1"/>
  <c r="AK245" i="1"/>
  <c r="AA245" i="1"/>
  <c r="AJ245" i="1"/>
  <c r="AK244" i="1"/>
  <c r="AA244" i="1"/>
  <c r="AJ244" i="1"/>
  <c r="AL243" i="1"/>
  <c r="AB243" i="1"/>
  <c r="AK243" i="1"/>
  <c r="AA243" i="1"/>
  <c r="AJ243" i="1"/>
  <c r="AD242" i="1"/>
  <c r="AG242" i="1" s="1"/>
  <c r="AD241" i="1"/>
  <c r="AG241" i="1" s="1"/>
  <c r="AD240" i="1"/>
  <c r="AE240" i="1" s="1"/>
  <c r="AD239" i="1"/>
  <c r="AG239" i="1" s="1"/>
  <c r="AD238" i="1"/>
  <c r="AG238" i="1" s="1"/>
  <c r="AD237" i="1"/>
  <c r="AG237" i="1" s="1"/>
  <c r="AD236" i="1"/>
  <c r="AE236" i="1" s="1"/>
  <c r="AD235" i="1"/>
  <c r="AD234" i="1"/>
  <c r="AG234" i="1" s="1"/>
  <c r="W242" i="1"/>
  <c r="Q242" i="1"/>
  <c r="W241" i="1"/>
  <c r="AA241" i="1" s="1"/>
  <c r="Q241" i="1"/>
  <c r="W240" i="1"/>
  <c r="Q240" i="1"/>
  <c r="W239" i="1"/>
  <c r="Q239" i="1"/>
  <c r="W238" i="1"/>
  <c r="AA238" i="1" s="1"/>
  <c r="Q238" i="1"/>
  <c r="W237" i="1"/>
  <c r="AA237" i="1" s="1"/>
  <c r="Q237" i="1"/>
  <c r="W236" i="1"/>
  <c r="Q236" i="1"/>
  <c r="W235" i="1"/>
  <c r="AJ235" i="1" s="1"/>
  <c r="Q235" i="1"/>
  <c r="W234" i="1"/>
  <c r="Q234" i="1"/>
  <c r="E239" i="1"/>
  <c r="E240" i="1"/>
  <c r="E241" i="1"/>
  <c r="E242" i="1"/>
  <c r="E243" i="1"/>
  <c r="E244" i="1"/>
  <c r="E238" i="1"/>
  <c r="E237" i="1"/>
  <c r="AI248" i="1" l="1"/>
  <c r="AI250" i="1"/>
  <c r="AI249" i="1"/>
  <c r="AH250" i="1"/>
  <c r="AH249" i="1"/>
  <c r="AH247" i="1"/>
  <c r="AF237" i="1"/>
  <c r="AH243" i="1"/>
  <c r="AK239" i="1"/>
  <c r="AI247" i="1"/>
  <c r="AC246" i="1"/>
  <c r="AI245" i="1"/>
  <c r="AI246" i="1"/>
  <c r="AI244" i="1"/>
  <c r="AH245" i="1"/>
  <c r="AH246" i="1"/>
  <c r="AH248" i="1"/>
  <c r="AH244" i="1"/>
  <c r="AC245" i="1"/>
  <c r="AC247" i="1"/>
  <c r="AC244" i="1"/>
  <c r="AC243" i="1"/>
  <c r="AI243" i="1"/>
  <c r="AL234" i="1"/>
  <c r="Z234" i="1"/>
  <c r="Z235" i="1"/>
  <c r="AG236" i="1"/>
  <c r="Z239" i="1"/>
  <c r="AE241" i="1"/>
  <c r="AA234" i="1"/>
  <c r="AK235" i="1"/>
  <c r="AF241" i="1"/>
  <c r="AJ236" i="1"/>
  <c r="AL242" i="1"/>
  <c r="AE234" i="1"/>
  <c r="AF236" i="1"/>
  <c r="AE242" i="1"/>
  <c r="AA242" i="1"/>
  <c r="AJ240" i="1"/>
  <c r="AF240" i="1"/>
  <c r="AG240" i="1"/>
  <c r="AL238" i="1"/>
  <c r="AE238" i="1"/>
  <c r="AE237" i="1"/>
  <c r="AL235" i="1"/>
  <c r="AL239" i="1"/>
  <c r="AK240" i="1"/>
  <c r="AB241" i="1"/>
  <c r="AJ241" i="1"/>
  <c r="AB234" i="1"/>
  <c r="AF234" i="1"/>
  <c r="AJ234" i="1"/>
  <c r="AA235" i="1"/>
  <c r="AE235" i="1"/>
  <c r="Z236" i="1"/>
  <c r="AL236" i="1"/>
  <c r="AK237" i="1"/>
  <c r="AB238" i="1"/>
  <c r="AF238" i="1"/>
  <c r="AJ238" i="1"/>
  <c r="AA239" i="1"/>
  <c r="AE239" i="1"/>
  <c r="Z240" i="1"/>
  <c r="AL240" i="1"/>
  <c r="AK241" i="1"/>
  <c r="AB242" i="1"/>
  <c r="AF242" i="1"/>
  <c r="AJ242" i="1"/>
  <c r="AK236" i="1"/>
  <c r="AB237" i="1"/>
  <c r="AJ237" i="1"/>
  <c r="AK234" i="1"/>
  <c r="AB235" i="1"/>
  <c r="AF235" i="1"/>
  <c r="AA236" i="1"/>
  <c r="Z237" i="1"/>
  <c r="AL237" i="1"/>
  <c r="AK238" i="1"/>
  <c r="AB239" i="1"/>
  <c r="AF239" i="1"/>
  <c r="AJ239" i="1"/>
  <c r="AA240" i="1"/>
  <c r="Z241" i="1"/>
  <c r="AL241" i="1"/>
  <c r="AK242" i="1"/>
  <c r="AG235" i="1"/>
  <c r="AB236" i="1"/>
  <c r="Z238" i="1"/>
  <c r="AB240" i="1"/>
  <c r="Z242" i="1"/>
  <c r="W233" i="1"/>
  <c r="Z233" i="1" s="1"/>
  <c r="Q233" i="1"/>
  <c r="AD233" i="1"/>
  <c r="AE233" i="1" s="1"/>
  <c r="W232" i="1"/>
  <c r="AA232" i="1" s="1"/>
  <c r="Q232" i="1"/>
  <c r="AD232" i="1"/>
  <c r="W231" i="1"/>
  <c r="Z231" i="1" s="1"/>
  <c r="Q231" i="1"/>
  <c r="AD231" i="1"/>
  <c r="AE231" i="1" s="1"/>
  <c r="AH237" i="1" l="1"/>
  <c r="AI235" i="1"/>
  <c r="AH241" i="1"/>
  <c r="AH242" i="1"/>
  <c r="AH236" i="1"/>
  <c r="AH240" i="1"/>
  <c r="AH234" i="1"/>
  <c r="AC242" i="1"/>
  <c r="AC234" i="1"/>
  <c r="AI240" i="1"/>
  <c r="AI239" i="1"/>
  <c r="AH238" i="1"/>
  <c r="AI236" i="1"/>
  <c r="AC239" i="1"/>
  <c r="AC235" i="1"/>
  <c r="AC238" i="1"/>
  <c r="AC237" i="1"/>
  <c r="AC241" i="1"/>
  <c r="AI242" i="1"/>
  <c r="AI238" i="1"/>
  <c r="AI234" i="1"/>
  <c r="AI241" i="1"/>
  <c r="AI237" i="1"/>
  <c r="AC240" i="1"/>
  <c r="AC236" i="1"/>
  <c r="AH239" i="1"/>
  <c r="AH235" i="1"/>
  <c r="AJ232" i="1"/>
  <c r="AG233" i="1"/>
  <c r="AG231" i="1"/>
  <c r="AB232" i="1"/>
  <c r="AF233" i="1"/>
  <c r="AL233" i="1"/>
  <c r="AF231" i="1"/>
  <c r="AG232" i="1"/>
  <c r="Z232" i="1"/>
  <c r="AK233" i="1"/>
  <c r="AF232" i="1"/>
  <c r="AL232" i="1"/>
  <c r="AB233" i="1"/>
  <c r="AE232" i="1"/>
  <c r="AA233" i="1"/>
  <c r="AJ233" i="1"/>
  <c r="AK232" i="1"/>
  <c r="AL231" i="1"/>
  <c r="AB231" i="1"/>
  <c r="AK231" i="1"/>
  <c r="AA231" i="1"/>
  <c r="AJ231" i="1"/>
  <c r="AI233" i="1" l="1"/>
  <c r="AH231" i="1"/>
  <c r="AI232" i="1"/>
  <c r="AC232" i="1"/>
  <c r="AH233" i="1"/>
  <c r="AH232" i="1"/>
  <c r="AC233" i="1"/>
  <c r="AC231" i="1"/>
  <c r="AI231" i="1"/>
  <c r="W230" i="1" l="1"/>
  <c r="Q230" i="1"/>
  <c r="AD230" i="1"/>
  <c r="AF230" i="1" s="1"/>
  <c r="W229" i="1"/>
  <c r="Z229" i="1" s="1"/>
  <c r="Q229" i="1"/>
  <c r="AD229" i="1"/>
  <c r="AG229" i="1" s="1"/>
  <c r="AE230" i="1" l="1"/>
  <c r="AK230" i="1"/>
  <c r="AL230" i="1"/>
  <c r="Z230" i="1"/>
  <c r="AB230" i="1"/>
  <c r="AJ230" i="1"/>
  <c r="AA230" i="1"/>
  <c r="AG230" i="1"/>
  <c r="AL229" i="1"/>
  <c r="AB229" i="1"/>
  <c r="AK229" i="1"/>
  <c r="AA229" i="1"/>
  <c r="AJ229" i="1"/>
  <c r="AF229" i="1"/>
  <c r="AE229" i="1"/>
  <c r="E236" i="1"/>
  <c r="E235" i="1"/>
  <c r="E234" i="1"/>
  <c r="E233" i="1"/>
  <c r="E229" i="1"/>
  <c r="E230" i="1"/>
  <c r="E231" i="1"/>
  <c r="E232" i="1"/>
  <c r="AI230" i="1" l="1"/>
  <c r="AH230" i="1"/>
  <c r="AC230" i="1"/>
  <c r="AC229" i="1"/>
  <c r="AI229" i="1"/>
  <c r="AH229" i="1"/>
  <c r="AD228" i="1"/>
  <c r="AE228" i="1" s="1"/>
  <c r="AD227" i="1"/>
  <c r="AF227" i="1" s="1"/>
  <c r="AD226" i="1"/>
  <c r="AG226" i="1" s="1"/>
  <c r="AD225" i="1"/>
  <c r="AF225" i="1" s="1"/>
  <c r="W228" i="1"/>
  <c r="AA228" i="1" s="1"/>
  <c r="W227" i="1"/>
  <c r="W226" i="1"/>
  <c r="W225" i="1"/>
  <c r="AA225" i="1" s="1"/>
  <c r="Q228" i="1"/>
  <c r="Q227" i="1"/>
  <c r="Q226" i="1"/>
  <c r="Q225" i="1"/>
  <c r="AK227" i="1" l="1"/>
  <c r="AJ226" i="1"/>
  <c r="AJ225" i="1"/>
  <c r="AL228" i="1"/>
  <c r="AG225" i="1"/>
  <c r="AK225" i="1"/>
  <c r="AB225" i="1"/>
  <c r="AE226" i="1"/>
  <c r="AK226" i="1"/>
  <c r="Z226" i="1"/>
  <c r="AF228" i="1"/>
  <c r="AL226" i="1"/>
  <c r="AE227" i="1"/>
  <c r="AA227" i="1"/>
  <c r="AB228" i="1"/>
  <c r="AJ228" i="1"/>
  <c r="Z225" i="1"/>
  <c r="AA226" i="1"/>
  <c r="AB227" i="1"/>
  <c r="AE225" i="1"/>
  <c r="AF226" i="1"/>
  <c r="AG227" i="1"/>
  <c r="AL225" i="1"/>
  <c r="AJ227" i="1"/>
  <c r="AK228" i="1"/>
  <c r="Z227" i="1"/>
  <c r="AL227" i="1"/>
  <c r="AG228" i="1"/>
  <c r="AB226" i="1"/>
  <c r="Z228" i="1"/>
  <c r="W32" i="2"/>
  <c r="Q32" i="2"/>
  <c r="R32" i="2" s="1"/>
  <c r="E228" i="1"/>
  <c r="E227" i="1"/>
  <c r="E226" i="1"/>
  <c r="E225" i="1"/>
  <c r="W224" i="1"/>
  <c r="Q224" i="1"/>
  <c r="E224" i="1"/>
  <c r="W223" i="1"/>
  <c r="Q223" i="1"/>
  <c r="E223" i="1"/>
  <c r="W222" i="1"/>
  <c r="Q222" i="1"/>
  <c r="E222" i="1"/>
  <c r="W221" i="1"/>
  <c r="Q221" i="1"/>
  <c r="E221" i="1"/>
  <c r="W220" i="1"/>
  <c r="Q220" i="1"/>
  <c r="E220" i="1"/>
  <c r="W219" i="1"/>
  <c r="Q219" i="1"/>
  <c r="E219" i="1"/>
  <c r="W218" i="1"/>
  <c r="Q218" i="1"/>
  <c r="E218" i="1"/>
  <c r="W217" i="1"/>
  <c r="Q217" i="1"/>
  <c r="E217" i="1"/>
  <c r="W216" i="1"/>
  <c r="Q216" i="1"/>
  <c r="E216" i="1"/>
  <c r="W215" i="1"/>
  <c r="Q215" i="1"/>
  <c r="E215" i="1"/>
  <c r="W214" i="1"/>
  <c r="Q214" i="1"/>
  <c r="E214" i="1"/>
  <c r="W213" i="1"/>
  <c r="Q213" i="1"/>
  <c r="E213" i="1"/>
  <c r="W212" i="1"/>
  <c r="Q212" i="1"/>
  <c r="E212" i="1"/>
  <c r="W211" i="1"/>
  <c r="Q211" i="1"/>
  <c r="E211" i="1"/>
  <c r="W210" i="1"/>
  <c r="Q210" i="1"/>
  <c r="E210" i="1"/>
  <c r="W209" i="1"/>
  <c r="Q209" i="1"/>
  <c r="E209" i="1"/>
  <c r="W208" i="1"/>
  <c r="Q208" i="1"/>
  <c r="E208" i="1"/>
  <c r="W207" i="1"/>
  <c r="Q207" i="1"/>
  <c r="E207" i="1"/>
  <c r="W206" i="1"/>
  <c r="Q206" i="1"/>
  <c r="E206" i="1"/>
  <c r="W205" i="1"/>
  <c r="Q205" i="1"/>
  <c r="E205" i="1"/>
  <c r="W204" i="1"/>
  <c r="Q204" i="1"/>
  <c r="E204" i="1"/>
  <c r="E203" i="1"/>
  <c r="E202" i="1"/>
  <c r="E201" i="1"/>
  <c r="E200" i="1"/>
  <c r="E199" i="1"/>
  <c r="AD198" i="1"/>
  <c r="W198" i="1"/>
  <c r="AB198" i="1" s="1"/>
  <c r="Q198" i="1"/>
  <c r="E198" i="1"/>
  <c r="AD197" i="1"/>
  <c r="W197" i="1"/>
  <c r="AA197" i="1" s="1"/>
  <c r="Q197" i="1"/>
  <c r="E197" i="1"/>
  <c r="AD196" i="1"/>
  <c r="AG196" i="1" s="1"/>
  <c r="W196" i="1"/>
  <c r="Q196" i="1"/>
  <c r="E196" i="1"/>
  <c r="AD195" i="1"/>
  <c r="AG195" i="1" s="1"/>
  <c r="W195" i="1"/>
  <c r="AA195" i="1" s="1"/>
  <c r="Q195" i="1"/>
  <c r="E195" i="1"/>
  <c r="AD194" i="1"/>
  <c r="AE194" i="1" s="1"/>
  <c r="W194" i="1"/>
  <c r="Q194" i="1"/>
  <c r="E194" i="1"/>
  <c r="AD193" i="1"/>
  <c r="W193" i="1"/>
  <c r="Q193" i="1"/>
  <c r="E193" i="1"/>
  <c r="AD192" i="1"/>
  <c r="AF192" i="1" s="1"/>
  <c r="W192" i="1"/>
  <c r="Q192" i="1"/>
  <c r="E192" i="1"/>
  <c r="AD191" i="1"/>
  <c r="AF191" i="1" s="1"/>
  <c r="W191" i="1"/>
  <c r="Q191" i="1"/>
  <c r="E191" i="1"/>
  <c r="AD190" i="1"/>
  <c r="W190" i="1"/>
  <c r="Q190" i="1"/>
  <c r="E190" i="1"/>
  <c r="AD189" i="1"/>
  <c r="AG189" i="1" s="1"/>
  <c r="W189" i="1"/>
  <c r="Q189" i="1"/>
  <c r="E189" i="1"/>
  <c r="AD188" i="1"/>
  <c r="W188" i="1"/>
  <c r="AB188" i="1" s="1"/>
  <c r="Q188" i="1"/>
  <c r="E188" i="1"/>
  <c r="AD187" i="1"/>
  <c r="W187" i="1"/>
  <c r="Q187" i="1"/>
  <c r="E187" i="1"/>
  <c r="AD186" i="1"/>
  <c r="AE186" i="1" s="1"/>
  <c r="W186" i="1"/>
  <c r="Q186" i="1"/>
  <c r="E186" i="1"/>
  <c r="AD185" i="1"/>
  <c r="W185" i="1"/>
  <c r="Q185" i="1"/>
  <c r="E185" i="1"/>
  <c r="AD184" i="1"/>
  <c r="W184" i="1"/>
  <c r="AB184" i="1" s="1"/>
  <c r="Q184" i="1"/>
  <c r="E184" i="1"/>
  <c r="AD183" i="1"/>
  <c r="AF183" i="1" s="1"/>
  <c r="W183" i="1"/>
  <c r="Q183" i="1"/>
  <c r="E183" i="1"/>
  <c r="AD182" i="1"/>
  <c r="AE182" i="1" s="1"/>
  <c r="W182" i="1"/>
  <c r="Q182" i="1"/>
  <c r="E182" i="1"/>
  <c r="AD181" i="1"/>
  <c r="W181" i="1"/>
  <c r="Z181" i="1" s="1"/>
  <c r="Q181" i="1"/>
  <c r="E181" i="1"/>
  <c r="AD180" i="1"/>
  <c r="AF180" i="1" s="1"/>
  <c r="W180" i="1"/>
  <c r="Q180" i="1"/>
  <c r="E180" i="1"/>
  <c r="AD179" i="1"/>
  <c r="AF179" i="1" s="1"/>
  <c r="W179" i="1"/>
  <c r="Q179" i="1"/>
  <c r="E179" i="1"/>
  <c r="AD178" i="1"/>
  <c r="W178" i="1"/>
  <c r="AA178" i="1" s="1"/>
  <c r="Q178" i="1"/>
  <c r="E178" i="1"/>
  <c r="AD177" i="1"/>
  <c r="W177" i="1"/>
  <c r="Q177" i="1"/>
  <c r="E177" i="1"/>
  <c r="AD176" i="1"/>
  <c r="AF176" i="1" s="1"/>
  <c r="W176" i="1"/>
  <c r="Q176" i="1"/>
  <c r="E176" i="1"/>
  <c r="E175" i="1"/>
  <c r="AD174" i="1"/>
  <c r="W174" i="1"/>
  <c r="Q174" i="1"/>
  <c r="E174" i="1"/>
  <c r="AD173" i="1"/>
  <c r="AF173" i="1" s="1"/>
  <c r="W173" i="1"/>
  <c r="Q173" i="1"/>
  <c r="E173" i="1"/>
  <c r="AD172" i="1"/>
  <c r="W172" i="1"/>
  <c r="Q172" i="1"/>
  <c r="E172" i="1"/>
  <c r="AD171" i="1"/>
  <c r="AE171" i="1" s="1"/>
  <c r="W171" i="1"/>
  <c r="Q171" i="1"/>
  <c r="E171" i="1"/>
  <c r="AD170" i="1"/>
  <c r="AG170" i="1" s="1"/>
  <c r="W170" i="1"/>
  <c r="Z170" i="1" s="1"/>
  <c r="Q170" i="1"/>
  <c r="E170" i="1"/>
  <c r="AD169" i="1"/>
  <c r="W169" i="1"/>
  <c r="AB169" i="1" s="1"/>
  <c r="Q169" i="1"/>
  <c r="E169" i="1"/>
  <c r="AD168" i="1"/>
  <c r="W168" i="1"/>
  <c r="Q168" i="1"/>
  <c r="E168" i="1"/>
  <c r="AD167" i="1"/>
  <c r="AE167" i="1" s="1"/>
  <c r="W167" i="1"/>
  <c r="Q167" i="1"/>
  <c r="E167" i="1"/>
  <c r="AD166" i="1"/>
  <c r="W166" i="1"/>
  <c r="Z166" i="1" s="1"/>
  <c r="Q166" i="1"/>
  <c r="E166" i="1"/>
  <c r="AD165" i="1"/>
  <c r="W165" i="1"/>
  <c r="Q165" i="1"/>
  <c r="E165" i="1"/>
  <c r="E164" i="1"/>
  <c r="AD163" i="1"/>
  <c r="W163" i="1"/>
  <c r="AA163" i="1" s="1"/>
  <c r="Q163" i="1"/>
  <c r="E163" i="1"/>
  <c r="AD162" i="1"/>
  <c r="W162" i="1"/>
  <c r="Q162" i="1"/>
  <c r="E162" i="1"/>
  <c r="AD161" i="1"/>
  <c r="AF161" i="1" s="1"/>
  <c r="W161" i="1"/>
  <c r="Q161" i="1"/>
  <c r="E161" i="1"/>
  <c r="AD160" i="1"/>
  <c r="AF160" i="1" s="1"/>
  <c r="W160" i="1"/>
  <c r="Q160" i="1"/>
  <c r="E160" i="1"/>
  <c r="AD159" i="1"/>
  <c r="W159" i="1"/>
  <c r="Q159" i="1"/>
  <c r="E159" i="1"/>
  <c r="AD158" i="1"/>
  <c r="W158" i="1"/>
  <c r="Q158" i="1"/>
  <c r="E158" i="1"/>
  <c r="AD157" i="1"/>
  <c r="W157" i="1"/>
  <c r="Q157" i="1"/>
  <c r="E157" i="1"/>
  <c r="AD156" i="1"/>
  <c r="W156" i="1"/>
  <c r="AA156" i="1" s="1"/>
  <c r="Q156" i="1"/>
  <c r="E156" i="1"/>
  <c r="AD155" i="1"/>
  <c r="W155" i="1"/>
  <c r="Q155" i="1"/>
  <c r="E155" i="1"/>
  <c r="AD154" i="1"/>
  <c r="AG154" i="1" s="1"/>
  <c r="W154" i="1"/>
  <c r="Z154" i="1" s="1"/>
  <c r="Q154" i="1"/>
  <c r="E154" i="1"/>
  <c r="AD153" i="1"/>
  <c r="W153" i="1"/>
  <c r="AB153" i="1" s="1"/>
  <c r="Q153" i="1"/>
  <c r="E153" i="1"/>
  <c r="AD152" i="1"/>
  <c r="W152" i="1"/>
  <c r="AA152" i="1" s="1"/>
  <c r="Q152" i="1"/>
  <c r="E152" i="1"/>
  <c r="AD151" i="1"/>
  <c r="W151" i="1"/>
  <c r="Q151" i="1"/>
  <c r="E151" i="1"/>
  <c r="AD150" i="1"/>
  <c r="W150" i="1"/>
  <c r="Z150" i="1" s="1"/>
  <c r="Q150" i="1"/>
  <c r="E150" i="1"/>
  <c r="AD149" i="1"/>
  <c r="W149" i="1"/>
  <c r="Q149" i="1"/>
  <c r="E149" i="1"/>
  <c r="AD148" i="1"/>
  <c r="W148" i="1"/>
  <c r="AA148" i="1" s="1"/>
  <c r="Q148" i="1"/>
  <c r="E148" i="1"/>
  <c r="AD147" i="1"/>
  <c r="AE147" i="1" s="1"/>
  <c r="W147" i="1"/>
  <c r="Q147" i="1"/>
  <c r="E147" i="1"/>
  <c r="AD146" i="1"/>
  <c r="AE146" i="1" s="1"/>
  <c r="W146" i="1"/>
  <c r="Q146" i="1"/>
  <c r="E146" i="1"/>
  <c r="AD145" i="1"/>
  <c r="AF145" i="1" s="1"/>
  <c r="W145" i="1"/>
  <c r="Q145" i="1"/>
  <c r="E145" i="1"/>
  <c r="AD144" i="1"/>
  <c r="AF144" i="1" s="1"/>
  <c r="W144" i="1"/>
  <c r="Q144" i="1"/>
  <c r="E144" i="1"/>
  <c r="AD143" i="1"/>
  <c r="AE143" i="1" s="1"/>
  <c r="W143" i="1"/>
  <c r="Q143" i="1"/>
  <c r="E143" i="1"/>
  <c r="AD142" i="1"/>
  <c r="AG142" i="1" s="1"/>
  <c r="W142" i="1"/>
  <c r="Z142" i="1" s="1"/>
  <c r="Q142" i="1"/>
  <c r="E142" i="1"/>
  <c r="AD141" i="1"/>
  <c r="W141" i="1"/>
  <c r="Q141" i="1"/>
  <c r="E141" i="1"/>
  <c r="AD140" i="1"/>
  <c r="W140" i="1"/>
  <c r="AA140" i="1" s="1"/>
  <c r="Q140" i="1"/>
  <c r="E140" i="1"/>
  <c r="AD139" i="1"/>
  <c r="AE139" i="1" s="1"/>
  <c r="W139" i="1"/>
  <c r="AA139" i="1" s="1"/>
  <c r="Q139" i="1"/>
  <c r="E139" i="1"/>
  <c r="AD138" i="1"/>
  <c r="AG138" i="1" s="1"/>
  <c r="W138" i="1"/>
  <c r="Q138" i="1"/>
  <c r="E138" i="1"/>
  <c r="AD137" i="1"/>
  <c r="W137" i="1"/>
  <c r="Q137" i="1"/>
  <c r="E137" i="1"/>
  <c r="AD136" i="1"/>
  <c r="W136" i="1"/>
  <c r="AA136" i="1" s="1"/>
  <c r="Q136" i="1"/>
  <c r="E136" i="1"/>
  <c r="E135" i="1"/>
  <c r="AD134" i="1"/>
  <c r="AG134" i="1" s="1"/>
  <c r="W134" i="1"/>
  <c r="Z134" i="1" s="1"/>
  <c r="Q134" i="1"/>
  <c r="E134" i="1"/>
  <c r="E133" i="1"/>
  <c r="AD132" i="1"/>
  <c r="W132" i="1"/>
  <c r="Q132" i="1"/>
  <c r="E132" i="1"/>
  <c r="AD131" i="1"/>
  <c r="W131" i="1"/>
  <c r="Q131" i="1"/>
  <c r="E131" i="1"/>
  <c r="AD130" i="1"/>
  <c r="W130" i="1"/>
  <c r="Q130" i="1"/>
  <c r="E130" i="1"/>
  <c r="AD129" i="1"/>
  <c r="W129" i="1"/>
  <c r="Q129" i="1"/>
  <c r="E129" i="1"/>
  <c r="AD128" i="1"/>
  <c r="W128" i="1"/>
  <c r="Q128" i="1"/>
  <c r="E128" i="1"/>
  <c r="AD127" i="1"/>
  <c r="AG127" i="1" s="1"/>
  <c r="W127" i="1"/>
  <c r="Q127" i="1"/>
  <c r="E127" i="1"/>
  <c r="AD126" i="1"/>
  <c r="W126" i="1"/>
  <c r="Q126" i="1"/>
  <c r="E126" i="1"/>
  <c r="AD125" i="1"/>
  <c r="W125" i="1"/>
  <c r="Q125" i="1"/>
  <c r="E125" i="1"/>
  <c r="AD124" i="1"/>
  <c r="W124" i="1"/>
  <c r="Q124" i="1"/>
  <c r="E124" i="1"/>
  <c r="AD123" i="1"/>
  <c r="W123" i="1"/>
  <c r="AB123" i="1" s="1"/>
  <c r="Q123" i="1"/>
  <c r="E123" i="1"/>
  <c r="AD122" i="1"/>
  <c r="AG122" i="1" s="1"/>
  <c r="W122" i="1"/>
  <c r="AA122" i="1" s="1"/>
  <c r="Q122" i="1"/>
  <c r="E122" i="1"/>
  <c r="AD121" i="1"/>
  <c r="W121" i="1"/>
  <c r="Q121" i="1"/>
  <c r="E121" i="1"/>
  <c r="AD120" i="1"/>
  <c r="AE120" i="1" s="1"/>
  <c r="W120" i="1"/>
  <c r="Q120" i="1"/>
  <c r="E120" i="1"/>
  <c r="AD119" i="1"/>
  <c r="AG119" i="1" s="1"/>
  <c r="W119" i="1"/>
  <c r="Q119" i="1"/>
  <c r="E119" i="1"/>
  <c r="AD118" i="1"/>
  <c r="AG118" i="1" s="1"/>
  <c r="W118" i="1"/>
  <c r="Q118" i="1"/>
  <c r="E118" i="1"/>
  <c r="AD117" i="1"/>
  <c r="W117" i="1"/>
  <c r="Q117" i="1"/>
  <c r="E117" i="1"/>
  <c r="AD116" i="1"/>
  <c r="AF116" i="1" s="1"/>
  <c r="W116" i="1"/>
  <c r="Q116" i="1"/>
  <c r="E116" i="1"/>
  <c r="AD115" i="1"/>
  <c r="W115" i="1"/>
  <c r="AB115" i="1" s="1"/>
  <c r="Q115" i="1"/>
  <c r="E115" i="1"/>
  <c r="AD114" i="1"/>
  <c r="AG114" i="1" s="1"/>
  <c r="W114" i="1"/>
  <c r="AB114" i="1" s="1"/>
  <c r="Q114" i="1"/>
  <c r="E114" i="1"/>
  <c r="E113" i="1"/>
  <c r="AD112" i="1"/>
  <c r="AE112" i="1" s="1"/>
  <c r="W112" i="1"/>
  <c r="Q112" i="1"/>
  <c r="E112" i="1"/>
  <c r="AD111" i="1"/>
  <c r="W111" i="1"/>
  <c r="Q111" i="1"/>
  <c r="E111" i="1"/>
  <c r="AD110" i="1"/>
  <c r="AL110" i="1" s="1"/>
  <c r="AB110" i="1"/>
  <c r="AA110" i="1"/>
  <c r="Z110" i="1"/>
  <c r="Q110" i="1"/>
  <c r="E110" i="1"/>
  <c r="AD109" i="1"/>
  <c r="AJ109" i="1" s="1"/>
  <c r="AB109" i="1"/>
  <c r="AA109" i="1"/>
  <c r="Z109" i="1"/>
  <c r="Q109" i="1"/>
  <c r="E109" i="1"/>
  <c r="AD108" i="1"/>
  <c r="AG108" i="1" s="1"/>
  <c r="AB108" i="1"/>
  <c r="AA108" i="1"/>
  <c r="Z108" i="1"/>
  <c r="Q108" i="1"/>
  <c r="E108" i="1"/>
  <c r="AD107" i="1"/>
  <c r="AJ107" i="1" s="1"/>
  <c r="AB107" i="1"/>
  <c r="AA107" i="1"/>
  <c r="Z107" i="1"/>
  <c r="Q107" i="1"/>
  <c r="E107" i="1"/>
  <c r="AD106" i="1"/>
  <c r="AE106" i="1" s="1"/>
  <c r="W106" i="1"/>
  <c r="Q106" i="1"/>
  <c r="E106" i="1"/>
  <c r="AD105" i="1"/>
  <c r="W105" i="1"/>
  <c r="Q105" i="1"/>
  <c r="E105" i="1"/>
  <c r="AD104" i="1"/>
  <c r="W104" i="1"/>
  <c r="Q104" i="1"/>
  <c r="E104" i="1"/>
  <c r="AD103" i="1"/>
  <c r="W103" i="1"/>
  <c r="AA103" i="1" s="1"/>
  <c r="Q103" i="1"/>
  <c r="E103" i="1"/>
  <c r="AD102" i="1"/>
  <c r="AE102" i="1" s="1"/>
  <c r="W102" i="1"/>
  <c r="Q102" i="1"/>
  <c r="E102" i="1"/>
  <c r="AD101" i="1"/>
  <c r="AE101" i="1" s="1"/>
  <c r="W101" i="1"/>
  <c r="Q101" i="1"/>
  <c r="E101" i="1"/>
  <c r="AD100" i="1"/>
  <c r="W100" i="1"/>
  <c r="Q100" i="1"/>
  <c r="E100" i="1"/>
  <c r="AD99" i="1"/>
  <c r="AF99" i="1" s="1"/>
  <c r="W99" i="1"/>
  <c r="Q99" i="1"/>
  <c r="E99" i="1"/>
  <c r="AD98" i="1"/>
  <c r="W98" i="1"/>
  <c r="Q98" i="1"/>
  <c r="E98" i="1"/>
  <c r="AD97" i="1"/>
  <c r="AE97" i="1" s="1"/>
  <c r="W97" i="1"/>
  <c r="AA97" i="1" s="1"/>
  <c r="Q97" i="1"/>
  <c r="E97" i="1"/>
  <c r="AD96" i="1"/>
  <c r="W96" i="1"/>
  <c r="Q96" i="1"/>
  <c r="E96" i="1"/>
  <c r="AD95" i="1"/>
  <c r="AE95" i="1" s="1"/>
  <c r="W95" i="1"/>
  <c r="Q95" i="1"/>
  <c r="E95" i="1"/>
  <c r="AD94" i="1"/>
  <c r="W94" i="1"/>
  <c r="Q94" i="1"/>
  <c r="E94" i="1"/>
  <c r="AD93" i="1"/>
  <c r="AE93" i="1" s="1"/>
  <c r="W93" i="1"/>
  <c r="AB93" i="1" s="1"/>
  <c r="Q93" i="1"/>
  <c r="E93" i="1"/>
  <c r="AD92" i="1"/>
  <c r="AE92" i="1" s="1"/>
  <c r="W92" i="1"/>
  <c r="Z92" i="1" s="1"/>
  <c r="Q92" i="1"/>
  <c r="E92" i="1"/>
  <c r="AD91" i="1"/>
  <c r="AE91" i="1" s="1"/>
  <c r="W91" i="1"/>
  <c r="Q91" i="1"/>
  <c r="E91" i="1"/>
  <c r="AD90" i="1"/>
  <c r="W90" i="1"/>
  <c r="Q90" i="1"/>
  <c r="E90" i="1"/>
  <c r="AD89" i="1"/>
  <c r="W89" i="1"/>
  <c r="AB89" i="1" s="1"/>
  <c r="Q89" i="1"/>
  <c r="E89" i="1"/>
  <c r="AD88" i="1"/>
  <c r="AE88" i="1" s="1"/>
  <c r="W88" i="1"/>
  <c r="Z88" i="1" s="1"/>
  <c r="Q88" i="1"/>
  <c r="E88" i="1"/>
  <c r="AD87" i="1"/>
  <c r="W87" i="1"/>
  <c r="Q87" i="1"/>
  <c r="E87" i="1"/>
  <c r="AD86" i="1"/>
  <c r="W86" i="1"/>
  <c r="Q86" i="1"/>
  <c r="E86" i="1"/>
  <c r="AD85" i="1"/>
  <c r="W85" i="1"/>
  <c r="Q85" i="1"/>
  <c r="E85" i="1"/>
  <c r="AD84" i="1"/>
  <c r="W84" i="1"/>
  <c r="Q84" i="1"/>
  <c r="E84" i="1"/>
  <c r="AD83" i="1"/>
  <c r="AE83" i="1" s="1"/>
  <c r="W83" i="1"/>
  <c r="Q83" i="1"/>
  <c r="E83" i="1"/>
  <c r="AD82" i="1"/>
  <c r="W82" i="1"/>
  <c r="Q82" i="1"/>
  <c r="E82" i="1"/>
  <c r="AD81" i="1"/>
  <c r="W81" i="1"/>
  <c r="Q81" i="1"/>
  <c r="E81" i="1"/>
  <c r="AD80" i="1"/>
  <c r="AF80" i="1" s="1"/>
  <c r="W80" i="1"/>
  <c r="Q80" i="1"/>
  <c r="E80" i="1"/>
  <c r="AD79" i="1"/>
  <c r="AE79" i="1" s="1"/>
  <c r="W79" i="1"/>
  <c r="AA79" i="1" s="1"/>
  <c r="Q79" i="1"/>
  <c r="E79" i="1"/>
  <c r="AD78" i="1"/>
  <c r="W78" i="1"/>
  <c r="Q78" i="1"/>
  <c r="E78" i="1"/>
  <c r="AD77" i="1"/>
  <c r="AF77" i="1" s="1"/>
  <c r="W77" i="1"/>
  <c r="Q77" i="1"/>
  <c r="E77" i="1"/>
  <c r="AD76" i="1"/>
  <c r="AG76" i="1" s="1"/>
  <c r="W76" i="1"/>
  <c r="Q76" i="1"/>
  <c r="E76" i="1"/>
  <c r="AD75" i="1"/>
  <c r="W75" i="1"/>
  <c r="Q75" i="1"/>
  <c r="E75" i="1"/>
  <c r="AD74" i="1"/>
  <c r="W74" i="1"/>
  <c r="Q74" i="1"/>
  <c r="E74" i="1"/>
  <c r="AD73" i="1"/>
  <c r="W73" i="1"/>
  <c r="AB73" i="1" s="1"/>
  <c r="Q73" i="1"/>
  <c r="E73" i="1"/>
  <c r="AD72" i="1"/>
  <c r="W72" i="1"/>
  <c r="Q72" i="1"/>
  <c r="E72" i="1"/>
  <c r="AD71" i="1"/>
  <c r="AF71" i="1" s="1"/>
  <c r="W71" i="1"/>
  <c r="Q71" i="1"/>
  <c r="E71" i="1"/>
  <c r="AD70" i="1"/>
  <c r="AG70" i="1" s="1"/>
  <c r="W70" i="1"/>
  <c r="Z70" i="1" s="1"/>
  <c r="Q70" i="1"/>
  <c r="E70" i="1"/>
  <c r="AD69" i="1"/>
  <c r="W69" i="1"/>
  <c r="Q69" i="1"/>
  <c r="E69" i="1"/>
  <c r="AD68" i="1"/>
  <c r="W68" i="1"/>
  <c r="Z68" i="1" s="1"/>
  <c r="Q68" i="1"/>
  <c r="E68" i="1"/>
  <c r="AD67" i="1"/>
  <c r="AF67" i="1" s="1"/>
  <c r="W67" i="1"/>
  <c r="Q67" i="1"/>
  <c r="E67" i="1"/>
  <c r="AD66" i="1"/>
  <c r="AE66" i="1" s="1"/>
  <c r="W66" i="1"/>
  <c r="Q66" i="1"/>
  <c r="E66" i="1"/>
  <c r="AD65" i="1"/>
  <c r="W65" i="1"/>
  <c r="Q65" i="1"/>
  <c r="E65" i="1"/>
  <c r="AD64" i="1"/>
  <c r="W64" i="1"/>
  <c r="Q64" i="1"/>
  <c r="E64" i="1"/>
  <c r="AD63" i="1"/>
  <c r="W63" i="1"/>
  <c r="Q63" i="1"/>
  <c r="E63" i="1"/>
  <c r="AD62" i="1"/>
  <c r="W62" i="1"/>
  <c r="Q62" i="1"/>
  <c r="E62" i="1"/>
  <c r="AD61" i="1"/>
  <c r="W61" i="1"/>
  <c r="Q61" i="1"/>
  <c r="E61" i="1"/>
  <c r="AD60" i="1"/>
  <c r="AG60" i="1" s="1"/>
  <c r="W60" i="1"/>
  <c r="AA60" i="1" s="1"/>
  <c r="Q60" i="1"/>
  <c r="E60" i="1"/>
  <c r="AD59" i="1"/>
  <c r="W59" i="1"/>
  <c r="AA59" i="1" s="1"/>
  <c r="Q59" i="1"/>
  <c r="E59" i="1"/>
  <c r="AD58" i="1"/>
  <c r="AG58" i="1" s="1"/>
  <c r="W58" i="1"/>
  <c r="Q58" i="1"/>
  <c r="E58" i="1"/>
  <c r="AD57" i="1"/>
  <c r="W57" i="1"/>
  <c r="Q57" i="1"/>
  <c r="E57" i="1"/>
  <c r="AD56" i="1"/>
  <c r="AG56" i="1" s="1"/>
  <c r="W56" i="1"/>
  <c r="AA56" i="1" s="1"/>
  <c r="Q56" i="1"/>
  <c r="E56" i="1"/>
  <c r="AD55" i="1"/>
  <c r="AE55" i="1" s="1"/>
  <c r="W55" i="1"/>
  <c r="Q55" i="1"/>
  <c r="E55" i="1"/>
  <c r="AD54" i="1"/>
  <c r="W54" i="1"/>
  <c r="Q54" i="1"/>
  <c r="E54" i="1"/>
  <c r="AD53" i="1"/>
  <c r="AG53" i="1" s="1"/>
  <c r="W53" i="1"/>
  <c r="AA53" i="1" s="1"/>
  <c r="Q53" i="1"/>
  <c r="E53" i="1"/>
  <c r="AD52" i="1"/>
  <c r="W52" i="1"/>
  <c r="Q52" i="1"/>
  <c r="E52" i="1"/>
  <c r="AD51" i="1"/>
  <c r="W51" i="1"/>
  <c r="Q51" i="1"/>
  <c r="E51" i="1"/>
  <c r="AD50" i="1"/>
  <c r="W50" i="1"/>
  <c r="Q50" i="1"/>
  <c r="E50" i="1"/>
  <c r="AD49" i="1"/>
  <c r="AG49" i="1" s="1"/>
  <c r="W49" i="1"/>
  <c r="AA49" i="1" s="1"/>
  <c r="Q49" i="1"/>
  <c r="E49" i="1"/>
  <c r="AD48" i="1"/>
  <c r="AG48" i="1" s="1"/>
  <c r="W48" i="1"/>
  <c r="Q48" i="1"/>
  <c r="E48" i="1"/>
  <c r="AD47" i="1"/>
  <c r="W47" i="1"/>
  <c r="Q47" i="1"/>
  <c r="E47" i="1"/>
  <c r="AD46" i="1"/>
  <c r="AG46" i="1" s="1"/>
  <c r="W46" i="1"/>
  <c r="AA46" i="1" s="1"/>
  <c r="Q46" i="1"/>
  <c r="E46" i="1"/>
  <c r="AD45" i="1"/>
  <c r="AE45" i="1" s="1"/>
  <c r="W45" i="1"/>
  <c r="Q45" i="1"/>
  <c r="E45" i="1"/>
  <c r="AD44" i="1"/>
  <c r="W44" i="1"/>
  <c r="Q44" i="1"/>
  <c r="E44" i="1"/>
  <c r="AD43" i="1"/>
  <c r="W43" i="1"/>
  <c r="Q43" i="1"/>
  <c r="E43" i="1"/>
  <c r="AD42" i="1"/>
  <c r="W42" i="1"/>
  <c r="Q42" i="1"/>
  <c r="E42" i="1"/>
  <c r="AD41" i="1"/>
  <c r="AG41" i="1" s="1"/>
  <c r="W41" i="1"/>
  <c r="AA41" i="1" s="1"/>
  <c r="Q41" i="1"/>
  <c r="E41" i="1"/>
  <c r="AL40" i="1"/>
  <c r="AK40" i="1"/>
  <c r="AJ40" i="1"/>
  <c r="AH40" i="1"/>
  <c r="E40" i="1"/>
  <c r="AD39" i="1"/>
  <c r="W39" i="1"/>
  <c r="Q39" i="1"/>
  <c r="E39" i="1"/>
  <c r="AD38" i="1"/>
  <c r="AE38" i="1" s="1"/>
  <c r="W38" i="1"/>
  <c r="AB38" i="1" s="1"/>
  <c r="Q38" i="1"/>
  <c r="E38" i="1"/>
  <c r="AD37" i="1"/>
  <c r="AG37" i="1" s="1"/>
  <c r="W37" i="1"/>
  <c r="Z37" i="1" s="1"/>
  <c r="Q37" i="1"/>
  <c r="E37" i="1"/>
  <c r="E36" i="1"/>
  <c r="AD35" i="1"/>
  <c r="W35" i="1"/>
  <c r="Q35" i="1"/>
  <c r="E35" i="1"/>
  <c r="AD34" i="1"/>
  <c r="AE34" i="1" s="1"/>
  <c r="W34" i="1"/>
  <c r="AB34" i="1" s="1"/>
  <c r="Q34" i="1"/>
  <c r="E34" i="1"/>
  <c r="AD33" i="1"/>
  <c r="AG33" i="1" s="1"/>
  <c r="W33" i="1"/>
  <c r="Z33" i="1" s="1"/>
  <c r="Q33" i="1"/>
  <c r="E33" i="1"/>
  <c r="AD32" i="1"/>
  <c r="W32" i="1"/>
  <c r="Q32" i="1"/>
  <c r="E32" i="1"/>
  <c r="AD31" i="1"/>
  <c r="W31" i="1"/>
  <c r="Q31" i="1"/>
  <c r="E31" i="1"/>
  <c r="AD30" i="1"/>
  <c r="W30" i="1"/>
  <c r="AB30" i="1" s="1"/>
  <c r="Q30" i="1"/>
  <c r="E30" i="1"/>
  <c r="E29" i="1"/>
  <c r="AD28" i="1"/>
  <c r="AE28" i="1" s="1"/>
  <c r="W28" i="1"/>
  <c r="Q28" i="1"/>
  <c r="E28" i="1"/>
  <c r="E27" i="1"/>
  <c r="W26" i="1"/>
  <c r="Q26" i="1"/>
  <c r="E26" i="1"/>
  <c r="W25" i="1"/>
  <c r="Q25" i="1"/>
  <c r="E25" i="1"/>
  <c r="E24" i="1"/>
  <c r="E23" i="1"/>
  <c r="AD22" i="1"/>
  <c r="AF22" i="1" s="1"/>
  <c r="W22" i="1"/>
  <c r="AB22" i="1" s="1"/>
  <c r="Q22" i="1"/>
  <c r="E22" i="1"/>
  <c r="AD21" i="1"/>
  <c r="W21" i="1"/>
  <c r="Q21" i="1"/>
  <c r="E21" i="1"/>
  <c r="AD20" i="1"/>
  <c r="W20" i="1"/>
  <c r="AB20" i="1" s="1"/>
  <c r="Q20" i="1"/>
  <c r="E20" i="1"/>
  <c r="AD19" i="1"/>
  <c r="AG19" i="1" s="1"/>
  <c r="W19" i="1"/>
  <c r="Q19" i="1"/>
  <c r="E19" i="1"/>
  <c r="AD18" i="1"/>
  <c r="AE18" i="1" s="1"/>
  <c r="W18" i="1"/>
  <c r="AA18" i="1" s="1"/>
  <c r="Q18" i="1"/>
  <c r="E18" i="1"/>
  <c r="AD17" i="1"/>
  <c r="W17" i="1"/>
  <c r="Q17" i="1"/>
  <c r="E17" i="1"/>
  <c r="AD16" i="1"/>
  <c r="AG16" i="1" s="1"/>
  <c r="W16" i="1"/>
  <c r="AB16" i="1" s="1"/>
  <c r="Q16" i="1"/>
  <c r="E16" i="1"/>
  <c r="AD15" i="1"/>
  <c r="W15" i="1"/>
  <c r="AB15" i="1" s="1"/>
  <c r="Q15" i="1"/>
  <c r="E15" i="1"/>
  <c r="AD14" i="1"/>
  <c r="W14" i="1"/>
  <c r="AB14" i="1" s="1"/>
  <c r="Q14" i="1"/>
  <c r="E14" i="1"/>
  <c r="E13" i="1"/>
  <c r="AD12" i="1"/>
  <c r="AE12" i="1" s="1"/>
  <c r="W12" i="1"/>
  <c r="AB12" i="1" s="1"/>
  <c r="Q12" i="1"/>
  <c r="E12" i="1"/>
  <c r="AD11" i="1"/>
  <c r="AG11" i="1" s="1"/>
  <c r="Q11" i="1"/>
  <c r="E11" i="1"/>
  <c r="E10" i="1"/>
  <c r="G7" i="1"/>
  <c r="R312" i="1" s="1"/>
  <c r="J5" i="1"/>
  <c r="J4" i="1"/>
  <c r="J3" i="1"/>
  <c r="J2" i="1"/>
  <c r="AB26" i="1" l="1"/>
  <c r="AL26" i="1"/>
  <c r="AJ26" i="1"/>
  <c r="AK26" i="1"/>
  <c r="Z25" i="1"/>
  <c r="AK25" i="1"/>
  <c r="AL25" i="1"/>
  <c r="AJ25" i="1"/>
  <c r="AI25" i="1" s="1"/>
  <c r="R305" i="1"/>
  <c r="R307" i="1"/>
  <c r="R309" i="1"/>
  <c r="R310" i="1"/>
  <c r="R306" i="1"/>
  <c r="R308" i="1"/>
  <c r="R311" i="1"/>
  <c r="R27" i="1"/>
  <c r="R304" i="1"/>
  <c r="R303" i="1"/>
  <c r="R300" i="1"/>
  <c r="R302" i="1"/>
  <c r="R301" i="1"/>
  <c r="AG15" i="1"/>
  <c r="AE15" i="1"/>
  <c r="R23" i="1"/>
  <c r="R24" i="1"/>
  <c r="Z12" i="1"/>
  <c r="AA12" i="1"/>
  <c r="R13" i="1"/>
  <c r="R299" i="1"/>
  <c r="R297" i="1"/>
  <c r="R298" i="1"/>
  <c r="R295" i="1"/>
  <c r="R296" i="1"/>
  <c r="R293" i="1"/>
  <c r="R294" i="1"/>
  <c r="R291" i="1"/>
  <c r="R292" i="1"/>
  <c r="R289" i="1"/>
  <c r="R290" i="1"/>
  <c r="R287" i="1"/>
  <c r="R288" i="1"/>
  <c r="R285" i="1"/>
  <c r="R286" i="1"/>
  <c r="R283" i="1"/>
  <c r="R284" i="1"/>
  <c r="R280" i="1"/>
  <c r="R282" i="1"/>
  <c r="R279" i="1"/>
  <c r="R281" i="1"/>
  <c r="R277" i="1"/>
  <c r="R278" i="1"/>
  <c r="R275" i="1"/>
  <c r="R276" i="1"/>
  <c r="R273" i="1"/>
  <c r="R274" i="1"/>
  <c r="R271" i="1"/>
  <c r="R272" i="1"/>
  <c r="R269" i="1"/>
  <c r="R270" i="1"/>
  <c r="R267" i="1"/>
  <c r="R268" i="1"/>
  <c r="R265" i="1"/>
  <c r="R266" i="1"/>
  <c r="R263" i="1"/>
  <c r="R264" i="1"/>
  <c r="R261" i="1"/>
  <c r="R262" i="1"/>
  <c r="R64" i="5"/>
  <c r="R36" i="5"/>
  <c r="R37" i="5"/>
  <c r="R63" i="5"/>
  <c r="R62" i="5"/>
  <c r="R61" i="5"/>
  <c r="R60" i="5"/>
  <c r="R55" i="5"/>
  <c r="R59" i="5"/>
  <c r="R58" i="5"/>
  <c r="R57" i="5"/>
  <c r="R56" i="5"/>
  <c r="R53" i="5"/>
  <c r="R54" i="5"/>
  <c r="R51" i="5"/>
  <c r="R52" i="5"/>
  <c r="R50" i="5"/>
  <c r="R48" i="5"/>
  <c r="R49" i="5"/>
  <c r="R45" i="5"/>
  <c r="R47" i="5"/>
  <c r="R46" i="5"/>
  <c r="R43" i="5"/>
  <c r="R44" i="5"/>
  <c r="R40" i="5"/>
  <c r="R41" i="5"/>
  <c r="R42" i="5"/>
  <c r="R38" i="5"/>
  <c r="R39" i="5"/>
  <c r="R33" i="5"/>
  <c r="R34" i="5"/>
  <c r="R35" i="5"/>
  <c r="R31" i="5"/>
  <c r="R32" i="5"/>
  <c r="R29" i="5"/>
  <c r="R30" i="5"/>
  <c r="R28" i="5"/>
  <c r="R27" i="5"/>
  <c r="R260" i="1"/>
  <c r="R316" i="1"/>
  <c r="R317" i="1"/>
  <c r="R254" i="1"/>
  <c r="R258" i="1"/>
  <c r="R255" i="1"/>
  <c r="R259" i="1"/>
  <c r="R256" i="1"/>
  <c r="R253" i="1"/>
  <c r="R257" i="1"/>
  <c r="AI225" i="1"/>
  <c r="AI226" i="1"/>
  <c r="AF182" i="1"/>
  <c r="AG182" i="1"/>
  <c r="AJ90" i="1"/>
  <c r="AG91" i="1"/>
  <c r="AA93" i="1"/>
  <c r="AJ144" i="1"/>
  <c r="AL147" i="1"/>
  <c r="AL165" i="1"/>
  <c r="AG167" i="1"/>
  <c r="R252" i="1"/>
  <c r="AG12" i="1"/>
  <c r="AE122" i="1"/>
  <c r="AB59" i="1"/>
  <c r="AJ122" i="1"/>
  <c r="AG22" i="1"/>
  <c r="AF66" i="1"/>
  <c r="AL84" i="1"/>
  <c r="AK61" i="1"/>
  <c r="AF167" i="1"/>
  <c r="AG97" i="1"/>
  <c r="AG120" i="1"/>
  <c r="Z122" i="1"/>
  <c r="AF122" i="1"/>
  <c r="AA114" i="1"/>
  <c r="AJ116" i="1"/>
  <c r="R201" i="1"/>
  <c r="R202" i="1"/>
  <c r="R200" i="1"/>
  <c r="R199" i="1"/>
  <c r="R249" i="1"/>
  <c r="R250" i="1"/>
  <c r="R247" i="1"/>
  <c r="R248" i="1"/>
  <c r="R245" i="1"/>
  <c r="R246" i="1"/>
  <c r="R243" i="1"/>
  <c r="R244" i="1"/>
  <c r="AJ12" i="1"/>
  <c r="AF18" i="1"/>
  <c r="AJ22" i="1"/>
  <c r="AK47" i="1"/>
  <c r="AF79" i="1"/>
  <c r="AL80" i="1"/>
  <c r="AL96" i="1"/>
  <c r="AB116" i="1"/>
  <c r="AF143" i="1"/>
  <c r="AG18" i="1"/>
  <c r="AG79" i="1"/>
  <c r="AB122" i="1"/>
  <c r="AL153" i="1"/>
  <c r="AF12" i="1"/>
  <c r="AJ35" i="1"/>
  <c r="AF58" i="1"/>
  <c r="AG66" i="1"/>
  <c r="AK93" i="1"/>
  <c r="AF97" i="1"/>
  <c r="AJ101" i="1"/>
  <c r="AJ102" i="1"/>
  <c r="AJ108" i="1"/>
  <c r="Z114" i="1"/>
  <c r="AG116" i="1"/>
  <c r="AL143" i="1"/>
  <c r="AJ187" i="1"/>
  <c r="R240" i="1"/>
  <c r="R236" i="1"/>
  <c r="R241" i="1"/>
  <c r="R237" i="1"/>
  <c r="R242" i="1"/>
  <c r="R238" i="1"/>
  <c r="R234" i="1"/>
  <c r="R239" i="1"/>
  <c r="R235" i="1"/>
  <c r="AH226" i="1"/>
  <c r="AL22" i="1"/>
  <c r="AE118" i="1"/>
  <c r="AB139" i="1"/>
  <c r="AF147" i="1"/>
  <c r="AF186" i="1"/>
  <c r="AF195" i="1"/>
  <c r="AA25" i="1"/>
  <c r="AF33" i="1"/>
  <c r="AE11" i="1"/>
  <c r="Z22" i="1"/>
  <c r="AE22" i="1"/>
  <c r="AA68" i="1"/>
  <c r="AJ72" i="1"/>
  <c r="AF76" i="1"/>
  <c r="AF83" i="1"/>
  <c r="AK84" i="1"/>
  <c r="AG99" i="1"/>
  <c r="AJ100" i="1"/>
  <c r="Z116" i="1"/>
  <c r="AE116" i="1"/>
  <c r="AF118" i="1"/>
  <c r="AL122" i="1"/>
  <c r="AK130" i="1"/>
  <c r="Z148" i="1"/>
  <c r="AG186" i="1"/>
  <c r="AG194" i="1"/>
  <c r="Z195" i="1"/>
  <c r="AF11" i="1"/>
  <c r="AA22" i="1"/>
  <c r="AI40" i="1"/>
  <c r="AK42" i="1"/>
  <c r="AF48" i="1"/>
  <c r="AK54" i="1"/>
  <c r="AG83" i="1"/>
  <c r="AB84" i="1"/>
  <c r="AL89" i="1"/>
  <c r="AA116" i="1"/>
  <c r="AL149" i="1"/>
  <c r="AL159" i="1"/>
  <c r="AE189" i="1"/>
  <c r="AE59" i="1"/>
  <c r="AG59" i="1"/>
  <c r="AA63" i="1"/>
  <c r="Z63" i="1"/>
  <c r="AA77" i="1"/>
  <c r="Z77" i="1"/>
  <c r="AJ95" i="1"/>
  <c r="Z96" i="1"/>
  <c r="AK106" i="1"/>
  <c r="AA106" i="1"/>
  <c r="AE111" i="1"/>
  <c r="AF111" i="1"/>
  <c r="AG111" i="1"/>
  <c r="AG130" i="1"/>
  <c r="AF130" i="1"/>
  <c r="AE130" i="1"/>
  <c r="AG193" i="1"/>
  <c r="AF193" i="1"/>
  <c r="AL19" i="1"/>
  <c r="AB19" i="1"/>
  <c r="AK89" i="1"/>
  <c r="AG96" i="1"/>
  <c r="AF96" i="1"/>
  <c r="AE100" i="1"/>
  <c r="Z144" i="1"/>
  <c r="AA144" i="1"/>
  <c r="AG174" i="1"/>
  <c r="AE174" i="1"/>
  <c r="AG197" i="1"/>
  <c r="AE197" i="1"/>
  <c r="AE20" i="1"/>
  <c r="AG20" i="1"/>
  <c r="AF20" i="1"/>
  <c r="AJ96" i="1"/>
  <c r="AB96" i="1"/>
  <c r="AA96" i="1"/>
  <c r="AK96" i="1"/>
  <c r="AK97" i="1"/>
  <c r="AL97" i="1"/>
  <c r="AB97" i="1"/>
  <c r="AE103" i="1"/>
  <c r="AF103" i="1"/>
  <c r="AJ130" i="1"/>
  <c r="AB130" i="1"/>
  <c r="Z130" i="1"/>
  <c r="AA130" i="1"/>
  <c r="AL130" i="1"/>
  <c r="AG158" i="1"/>
  <c r="AE158" i="1"/>
  <c r="Z179" i="1"/>
  <c r="AA179" i="1"/>
  <c r="AB194" i="1"/>
  <c r="AA194" i="1"/>
  <c r="AL20" i="1"/>
  <c r="AE62" i="1"/>
  <c r="AG62" i="1"/>
  <c r="AF62" i="1"/>
  <c r="AL17" i="1"/>
  <c r="AK18" i="1"/>
  <c r="AL18" i="1"/>
  <c r="AB18" i="1"/>
  <c r="AE32" i="1"/>
  <c r="AG32" i="1"/>
  <c r="AF32" i="1"/>
  <c r="AG43" i="1"/>
  <c r="AF43" i="1"/>
  <c r="AE43" i="1"/>
  <c r="AB52" i="1"/>
  <c r="AA52" i="1"/>
  <c r="Z74" i="1"/>
  <c r="AA74" i="1"/>
  <c r="AJ77" i="1"/>
  <c r="AE96" i="1"/>
  <c r="AL99" i="1"/>
  <c r="AB99" i="1"/>
  <c r="AL106" i="1"/>
  <c r="AB120" i="1"/>
  <c r="AA120" i="1"/>
  <c r="AK134" i="1"/>
  <c r="AA147" i="1"/>
  <c r="AB147" i="1"/>
  <c r="AJ160" i="1"/>
  <c r="AA160" i="1"/>
  <c r="AE190" i="1"/>
  <c r="AG190" i="1"/>
  <c r="AF190" i="1"/>
  <c r="AL108" i="1"/>
  <c r="AL125" i="1"/>
  <c r="AI228" i="1"/>
  <c r="AK20" i="1"/>
  <c r="AK50" i="1"/>
  <c r="AK73" i="1"/>
  <c r="AL82" i="1"/>
  <c r="AE108" i="1"/>
  <c r="AG110" i="1"/>
  <c r="AK116" i="1"/>
  <c r="AF142" i="1"/>
  <c r="AB143" i="1"/>
  <c r="Z152" i="1"/>
  <c r="AF171" i="1"/>
  <c r="AK173" i="1"/>
  <c r="AL197" i="1"/>
  <c r="AJ197" i="1"/>
  <c r="AA20" i="1"/>
  <c r="AK22" i="1"/>
  <c r="AF28" i="1"/>
  <c r="AA33" i="1"/>
  <c r="AE48" i="1"/>
  <c r="AL62" i="1"/>
  <c r="AF82" i="1"/>
  <c r="AF91" i="1"/>
  <c r="AG93" i="1"/>
  <c r="AK94" i="1"/>
  <c r="AK103" i="1"/>
  <c r="AL103" i="1"/>
  <c r="AF106" i="1"/>
  <c r="AF108" i="1"/>
  <c r="AF114" i="1"/>
  <c r="AL116" i="1"/>
  <c r="AK122" i="1"/>
  <c r="AL123" i="1"/>
  <c r="AE134" i="1"/>
  <c r="AF138" i="1"/>
  <c r="AK146" i="1"/>
  <c r="AJ152" i="1"/>
  <c r="AF154" i="1"/>
  <c r="Z156" i="1"/>
  <c r="AG171" i="1"/>
  <c r="AL178" i="1"/>
  <c r="AA37" i="1"/>
  <c r="AH225" i="1"/>
  <c r="AH228" i="1"/>
  <c r="AJ14" i="1"/>
  <c r="AJ16" i="1"/>
  <c r="AB45" i="1"/>
  <c r="AA45" i="1"/>
  <c r="AG51" i="1"/>
  <c r="AF51" i="1"/>
  <c r="AE51" i="1"/>
  <c r="AJ91" i="1"/>
  <c r="AL91" i="1"/>
  <c r="AK91" i="1"/>
  <c r="AB91" i="1"/>
  <c r="AA91" i="1"/>
  <c r="AB105" i="1"/>
  <c r="AL105" i="1"/>
  <c r="AA105" i="1"/>
  <c r="AK105" i="1"/>
  <c r="Z105" i="1"/>
  <c r="AJ111" i="1"/>
  <c r="AL111" i="1"/>
  <c r="AK111" i="1"/>
  <c r="AB111" i="1"/>
  <c r="AA111" i="1"/>
  <c r="AK137" i="1"/>
  <c r="AF137" i="1"/>
  <c r="AE151" i="1"/>
  <c r="AG151" i="1"/>
  <c r="AF151" i="1"/>
  <c r="AA172" i="1"/>
  <c r="Z172" i="1"/>
  <c r="AB182" i="1"/>
  <c r="AA182" i="1"/>
  <c r="AJ185" i="1"/>
  <c r="Z185" i="1"/>
  <c r="Z14" i="1"/>
  <c r="AK14" i="1"/>
  <c r="AL15" i="1"/>
  <c r="Z16" i="1"/>
  <c r="AE16" i="1"/>
  <c r="AK16" i="1"/>
  <c r="AJ18" i="1"/>
  <c r="AJ20" i="1"/>
  <c r="AG28" i="1"/>
  <c r="AG55" i="1"/>
  <c r="AJ63" i="1"/>
  <c r="AG65" i="1"/>
  <c r="AF65" i="1"/>
  <c r="AL66" i="1"/>
  <c r="AB66" i="1"/>
  <c r="AJ83" i="1"/>
  <c r="AL83" i="1"/>
  <c r="AK83" i="1"/>
  <c r="AB83" i="1"/>
  <c r="AJ98" i="1"/>
  <c r="AE98" i="1"/>
  <c r="AG105" i="1"/>
  <c r="AF105" i="1"/>
  <c r="AE105" i="1"/>
  <c r="AA14" i="1"/>
  <c r="AL14" i="1"/>
  <c r="AA16" i="1"/>
  <c r="AF16" i="1"/>
  <c r="AL16" i="1"/>
  <c r="Z18" i="1"/>
  <c r="Z20" i="1"/>
  <c r="AK30" i="1"/>
  <c r="AF37" i="1"/>
  <c r="AG45" i="1"/>
  <c r="AE52" i="1"/>
  <c r="AG52" i="1"/>
  <c r="AE65" i="1"/>
  <c r="AJ70" i="1"/>
  <c r="AE71" i="1"/>
  <c r="AG71" i="1"/>
  <c r="AA72" i="1"/>
  <c r="Z72" i="1"/>
  <c r="AL79" i="1"/>
  <c r="AB79" i="1"/>
  <c r="AE80" i="1"/>
  <c r="AG80" i="1"/>
  <c r="AJ82" i="1"/>
  <c r="AK82" i="1"/>
  <c r="AB82" i="1"/>
  <c r="AA82" i="1"/>
  <c r="AA83" i="1"/>
  <c r="AE84" i="1"/>
  <c r="AG84" i="1"/>
  <c r="AF84" i="1"/>
  <c r="AJ105" i="1"/>
  <c r="AB55" i="1"/>
  <c r="AA55" i="1"/>
  <c r="AA67" i="1"/>
  <c r="AJ67" i="1"/>
  <c r="Z67" i="1"/>
  <c r="AE82" i="1"/>
  <c r="AG82" i="1"/>
  <c r="AE89" i="1"/>
  <c r="AG89" i="1"/>
  <c r="AF89" i="1"/>
  <c r="AJ104" i="1"/>
  <c r="AE104" i="1"/>
  <c r="AB118" i="1"/>
  <c r="AK118" i="1"/>
  <c r="AJ118" i="1"/>
  <c r="AA118" i="1"/>
  <c r="Z118" i="1"/>
  <c r="AL118" i="1"/>
  <c r="AE124" i="1"/>
  <c r="AG124" i="1"/>
  <c r="AF124" i="1"/>
  <c r="AG126" i="1"/>
  <c r="AE126" i="1"/>
  <c r="AF126" i="1"/>
  <c r="AE128" i="1"/>
  <c r="AG128" i="1"/>
  <c r="AF128" i="1"/>
  <c r="AE132" i="1"/>
  <c r="AG132" i="1"/>
  <c r="AF132" i="1"/>
  <c r="AJ99" i="1"/>
  <c r="AB103" i="1"/>
  <c r="AG103" i="1"/>
  <c r="AB106" i="1"/>
  <c r="AG106" i="1"/>
  <c r="AJ114" i="1"/>
  <c r="AL115" i="1"/>
  <c r="AJ120" i="1"/>
  <c r="AE155" i="1"/>
  <c r="AG155" i="1"/>
  <c r="AF155" i="1"/>
  <c r="AL163" i="1"/>
  <c r="AL28" i="1"/>
  <c r="AJ39" i="1"/>
  <c r="AJ74" i="1"/>
  <c r="AJ84" i="1"/>
  <c r="AJ89" i="1"/>
  <c r="AL93" i="1"/>
  <c r="AJ97" i="1"/>
  <c r="Z99" i="1"/>
  <c r="AE99" i="1"/>
  <c r="AK99" i="1"/>
  <c r="AJ103" i="1"/>
  <c r="AJ106" i="1"/>
  <c r="AK114" i="1"/>
  <c r="AL120" i="1"/>
  <c r="AK124" i="1"/>
  <c r="Z124" i="1"/>
  <c r="AB124" i="1"/>
  <c r="AJ124" i="1"/>
  <c r="AB126" i="1"/>
  <c r="AK126" i="1"/>
  <c r="Z126" i="1"/>
  <c r="AJ126" i="1"/>
  <c r="AK128" i="1"/>
  <c r="Z128" i="1"/>
  <c r="AB128" i="1"/>
  <c r="AJ128" i="1"/>
  <c r="AL131" i="1"/>
  <c r="AB131" i="1"/>
  <c r="AK132" i="1"/>
  <c r="Z132" i="1"/>
  <c r="AB132" i="1"/>
  <c r="AJ132" i="1"/>
  <c r="AK162" i="1"/>
  <c r="AE162" i="1"/>
  <c r="AA168" i="1"/>
  <c r="Z168" i="1"/>
  <c r="AG177" i="1"/>
  <c r="AF177" i="1"/>
  <c r="AE177" i="1"/>
  <c r="AA183" i="1"/>
  <c r="Z183" i="1"/>
  <c r="AA187" i="1"/>
  <c r="Z187" i="1"/>
  <c r="AE58" i="1"/>
  <c r="AE76" i="1"/>
  <c r="AA84" i="1"/>
  <c r="AA89" i="1"/>
  <c r="AJ93" i="1"/>
  <c r="AF93" i="1"/>
  <c r="Z97" i="1"/>
  <c r="AA99" i="1"/>
  <c r="Z103" i="1"/>
  <c r="Z106" i="1"/>
  <c r="AK108" i="1"/>
  <c r="AE114" i="1"/>
  <c r="AL114" i="1"/>
  <c r="AK120" i="1"/>
  <c r="Z120" i="1"/>
  <c r="AF120" i="1"/>
  <c r="AA124" i="1"/>
  <c r="AL124" i="1"/>
  <c r="AA126" i="1"/>
  <c r="AL126" i="1"/>
  <c r="AA128" i="1"/>
  <c r="AL128" i="1"/>
  <c r="AA132" i="1"/>
  <c r="AL132" i="1"/>
  <c r="AE159" i="1"/>
  <c r="AG159" i="1"/>
  <c r="AF159" i="1"/>
  <c r="AE163" i="1"/>
  <c r="AG163" i="1"/>
  <c r="AF163" i="1"/>
  <c r="AE178" i="1"/>
  <c r="AG178" i="1"/>
  <c r="AF178" i="1"/>
  <c r="AA191" i="1"/>
  <c r="AJ191" i="1"/>
  <c r="Z191" i="1"/>
  <c r="AJ140" i="1"/>
  <c r="AJ156" i="1"/>
  <c r="AL169" i="1"/>
  <c r="AK181" i="1"/>
  <c r="AJ195" i="1"/>
  <c r="AK197" i="1"/>
  <c r="AK195" i="1"/>
  <c r="AC225" i="1"/>
  <c r="AF134" i="1"/>
  <c r="AE138" i="1"/>
  <c r="AG139" i="1"/>
  <c r="AE142" i="1"/>
  <c r="AG143" i="1"/>
  <c r="AG147" i="1"/>
  <c r="AF158" i="1"/>
  <c r="AB159" i="1"/>
  <c r="Z160" i="1"/>
  <c r="AB163" i="1"/>
  <c r="AJ168" i="1"/>
  <c r="AF170" i="1"/>
  <c r="AF174" i="1"/>
  <c r="AB178" i="1"/>
  <c r="AF189" i="1"/>
  <c r="AE193" i="1"/>
  <c r="AK194" i="1"/>
  <c r="AF194" i="1"/>
  <c r="AE195" i="1"/>
  <c r="Z197" i="1"/>
  <c r="AF197" i="1"/>
  <c r="AH227" i="1"/>
  <c r="AC226" i="1"/>
  <c r="AC227" i="1"/>
  <c r="AC228" i="1"/>
  <c r="AL11" i="1"/>
  <c r="AB11" i="1"/>
  <c r="AF21" i="1"/>
  <c r="AE21" i="1"/>
  <c r="AG31" i="1"/>
  <c r="AF31" i="1"/>
  <c r="AL51" i="1"/>
  <c r="AB51" i="1"/>
  <c r="AJ51" i="1"/>
  <c r="AA51" i="1"/>
  <c r="Z51" i="1"/>
  <c r="AK51" i="1"/>
  <c r="AG78" i="1"/>
  <c r="AF78" i="1"/>
  <c r="AE78" i="1"/>
  <c r="AG86" i="1"/>
  <c r="AF86" i="1"/>
  <c r="AE86" i="1"/>
  <c r="AJ11" i="1"/>
  <c r="AL12" i="1"/>
  <c r="AF15" i="1"/>
  <c r="AB17" i="1"/>
  <c r="AK19" i="1"/>
  <c r="AA19" i="1"/>
  <c r="AJ19" i="1"/>
  <c r="Z19" i="1"/>
  <c r="AG21" i="1"/>
  <c r="AA28" i="1"/>
  <c r="AE31" i="1"/>
  <c r="AE42" i="1"/>
  <c r="AG42" i="1"/>
  <c r="AF42" i="1"/>
  <c r="AL43" i="1"/>
  <c r="AB43" i="1"/>
  <c r="AJ43" i="1"/>
  <c r="AA43" i="1"/>
  <c r="Z43" i="1"/>
  <c r="AK43" i="1"/>
  <c r="AE54" i="1"/>
  <c r="AG54" i="1"/>
  <c r="AF54" i="1"/>
  <c r="AG68" i="1"/>
  <c r="AE68" i="1"/>
  <c r="AJ68" i="1"/>
  <c r="AF68" i="1"/>
  <c r="AE69" i="1"/>
  <c r="AG69" i="1"/>
  <c r="AF69" i="1"/>
  <c r="AK78" i="1"/>
  <c r="AL81" i="1"/>
  <c r="AB81" i="1"/>
  <c r="AK81" i="1"/>
  <c r="AA81" i="1"/>
  <c r="AJ81" i="1"/>
  <c r="Z81" i="1"/>
  <c r="AK17" i="1"/>
  <c r="AA17" i="1"/>
  <c r="AJ17" i="1"/>
  <c r="Z17" i="1"/>
  <c r="AJ28" i="1"/>
  <c r="Z28" i="1"/>
  <c r="AK28" i="1"/>
  <c r="AB28" i="1"/>
  <c r="AG39" i="1"/>
  <c r="AF39" i="1"/>
  <c r="AE39" i="1"/>
  <c r="AE50" i="1"/>
  <c r="AG50" i="1"/>
  <c r="AF50" i="1"/>
  <c r="AK11" i="1"/>
  <c r="AF17" i="1"/>
  <c r="AE17" i="1"/>
  <c r="AK21" i="1"/>
  <c r="AA21" i="1"/>
  <c r="AJ21" i="1"/>
  <c r="Z21" i="1"/>
  <c r="AE30" i="1"/>
  <c r="AG30" i="1"/>
  <c r="AF30" i="1"/>
  <c r="AJ31" i="1"/>
  <c r="AJ32" i="1"/>
  <c r="Z32" i="1"/>
  <c r="AK32" i="1"/>
  <c r="AB32" i="1"/>
  <c r="AA32" i="1"/>
  <c r="AL32" i="1"/>
  <c r="AE44" i="1"/>
  <c r="AG44" i="1"/>
  <c r="AF44" i="1"/>
  <c r="AE57" i="1"/>
  <c r="AG57" i="1"/>
  <c r="AF57" i="1"/>
  <c r="AL58" i="1"/>
  <c r="AB58" i="1"/>
  <c r="AJ58" i="1"/>
  <c r="AA58" i="1"/>
  <c r="Z58" i="1"/>
  <c r="AK58" i="1"/>
  <c r="AL69" i="1"/>
  <c r="AJ75" i="1"/>
  <c r="Z75" i="1"/>
  <c r="AA75" i="1"/>
  <c r="AL75" i="1"/>
  <c r="AK75" i="1"/>
  <c r="AB75" i="1"/>
  <c r="AG87" i="1"/>
  <c r="AF87" i="1"/>
  <c r="AE87" i="1"/>
  <c r="AK12" i="1"/>
  <c r="AK15" i="1"/>
  <c r="AA15" i="1"/>
  <c r="AJ15" i="1"/>
  <c r="Z15" i="1"/>
  <c r="AG17" i="1"/>
  <c r="AF19" i="1"/>
  <c r="AE19" i="1"/>
  <c r="AB21" i="1"/>
  <c r="AL21" i="1"/>
  <c r="AL31" i="1"/>
  <c r="AB31" i="1"/>
  <c r="AA31" i="1"/>
  <c r="Z31" i="1"/>
  <c r="AK31" i="1"/>
  <c r="AG35" i="1"/>
  <c r="AF35" i="1"/>
  <c r="AE35" i="1"/>
  <c r="AK44" i="1"/>
  <c r="AE47" i="1"/>
  <c r="AG47" i="1"/>
  <c r="AF47" i="1"/>
  <c r="AL48" i="1"/>
  <c r="AB48" i="1"/>
  <c r="AJ48" i="1"/>
  <c r="AA48" i="1"/>
  <c r="Z48" i="1"/>
  <c r="AK48" i="1"/>
  <c r="AK57" i="1"/>
  <c r="AE61" i="1"/>
  <c r="AG61" i="1"/>
  <c r="AF61" i="1"/>
  <c r="AJ64" i="1"/>
  <c r="Z64" i="1"/>
  <c r="AA64" i="1"/>
  <c r="AL64" i="1"/>
  <c r="AK64" i="1"/>
  <c r="AB64" i="1"/>
  <c r="AJ71" i="1"/>
  <c r="Z71" i="1"/>
  <c r="AK71" i="1"/>
  <c r="AL71" i="1"/>
  <c r="AB71" i="1"/>
  <c r="AA71" i="1"/>
  <c r="AK117" i="1"/>
  <c r="AA117" i="1"/>
  <c r="AJ117" i="1"/>
  <c r="Z117" i="1"/>
  <c r="AF129" i="1"/>
  <c r="AE129" i="1"/>
  <c r="AJ157" i="1"/>
  <c r="Z157" i="1"/>
  <c r="AA157" i="1"/>
  <c r="AL157" i="1"/>
  <c r="AB157" i="1"/>
  <c r="AK157" i="1"/>
  <c r="AK34" i="1"/>
  <c r="AL35" i="1"/>
  <c r="AB35" i="1"/>
  <c r="AK35" i="1"/>
  <c r="AK38" i="1"/>
  <c r="AL39" i="1"/>
  <c r="AB39" i="1"/>
  <c r="AK39" i="1"/>
  <c r="AJ41" i="1"/>
  <c r="AJ42" i="1"/>
  <c r="Z42" i="1"/>
  <c r="AL42" i="1"/>
  <c r="AJ44" i="1"/>
  <c r="Z44" i="1"/>
  <c r="AL44" i="1"/>
  <c r="AJ46" i="1"/>
  <c r="AJ47" i="1"/>
  <c r="Z47" i="1"/>
  <c r="AL47" i="1"/>
  <c r="AJ49" i="1"/>
  <c r="AJ50" i="1"/>
  <c r="Z50" i="1"/>
  <c r="AL50" i="1"/>
  <c r="AJ53" i="1"/>
  <c r="AJ54" i="1"/>
  <c r="Z54" i="1"/>
  <c r="AL54" i="1"/>
  <c r="AJ56" i="1"/>
  <c r="AJ57" i="1"/>
  <c r="Z57" i="1"/>
  <c r="AL57" i="1"/>
  <c r="AJ60" i="1"/>
  <c r="AJ61" i="1"/>
  <c r="Z61" i="1"/>
  <c r="AL61" i="1"/>
  <c r="AJ62" i="1"/>
  <c r="Z62" i="1"/>
  <c r="AK62" i="1"/>
  <c r="AL65" i="1"/>
  <c r="AB65" i="1"/>
  <c r="AA65" i="1"/>
  <c r="AK70" i="1"/>
  <c r="AG72" i="1"/>
  <c r="AE72" i="1"/>
  <c r="AE73" i="1"/>
  <c r="AG73" i="1"/>
  <c r="AL73" i="1"/>
  <c r="AL76" i="1"/>
  <c r="AB76" i="1"/>
  <c r="AA76" i="1"/>
  <c r="AG81" i="1"/>
  <c r="AF81" i="1"/>
  <c r="AL85" i="1"/>
  <c r="AB85" i="1"/>
  <c r="AK85" i="1"/>
  <c r="AA85" i="1"/>
  <c r="AJ85" i="1"/>
  <c r="AG90" i="1"/>
  <c r="AF90" i="1"/>
  <c r="AG94" i="1"/>
  <c r="AF94" i="1"/>
  <c r="AL112" i="1"/>
  <c r="AB112" i="1"/>
  <c r="AK112" i="1"/>
  <c r="AA112" i="1"/>
  <c r="AJ112" i="1"/>
  <c r="Z112" i="1"/>
  <c r="AB117" i="1"/>
  <c r="AK127" i="1"/>
  <c r="AA127" i="1"/>
  <c r="AJ127" i="1"/>
  <c r="Z127" i="1"/>
  <c r="AL127" i="1"/>
  <c r="AB127" i="1"/>
  <c r="AG129" i="1"/>
  <c r="AG148" i="1"/>
  <c r="AE148" i="1"/>
  <c r="AJ148" i="1"/>
  <c r="AF148" i="1"/>
  <c r="AL174" i="1"/>
  <c r="AB174" i="1"/>
  <c r="AA174" i="1"/>
  <c r="AJ174" i="1"/>
  <c r="AK174" i="1"/>
  <c r="Z174" i="1"/>
  <c r="Z26" i="1"/>
  <c r="AJ30" i="1"/>
  <c r="Z30" i="1"/>
  <c r="AL30" i="1"/>
  <c r="AJ33" i="1"/>
  <c r="AJ34" i="1"/>
  <c r="Z34" i="1"/>
  <c r="AF34" i="1"/>
  <c r="AL34" i="1"/>
  <c r="Z35" i="1"/>
  <c r="AJ37" i="1"/>
  <c r="AJ38" i="1"/>
  <c r="Z38" i="1"/>
  <c r="AF38" i="1"/>
  <c r="AL38" i="1"/>
  <c r="Z39" i="1"/>
  <c r="AL41" i="1"/>
  <c r="AB41" i="1"/>
  <c r="AE41" i="1"/>
  <c r="AK41" i="1"/>
  <c r="AA42" i="1"/>
  <c r="AA44" i="1"/>
  <c r="AK45" i="1"/>
  <c r="AL46" i="1"/>
  <c r="AB46" i="1"/>
  <c r="AE46" i="1"/>
  <c r="AK46" i="1"/>
  <c r="AA47" i="1"/>
  <c r="AL49" i="1"/>
  <c r="AB49" i="1"/>
  <c r="AE49" i="1"/>
  <c r="AK49" i="1"/>
  <c r="AA50" i="1"/>
  <c r="AK52" i="1"/>
  <c r="AL53" i="1"/>
  <c r="AB53" i="1"/>
  <c r="AE53" i="1"/>
  <c r="AK53" i="1"/>
  <c r="AA54" i="1"/>
  <c r="AK55" i="1"/>
  <c r="AL56" i="1"/>
  <c r="AB56" i="1"/>
  <c r="AE56" i="1"/>
  <c r="AK56" i="1"/>
  <c r="AA57" i="1"/>
  <c r="AK59" i="1"/>
  <c r="AL60" i="1"/>
  <c r="AB60" i="1"/>
  <c r="AE60" i="1"/>
  <c r="AK60" i="1"/>
  <c r="AA61" i="1"/>
  <c r="AA62" i="1"/>
  <c r="AG63" i="1"/>
  <c r="AE63" i="1"/>
  <c r="AE64" i="1"/>
  <c r="AG64" i="1"/>
  <c r="Z65" i="1"/>
  <c r="AJ65" i="1"/>
  <c r="AJ66" i="1"/>
  <c r="Z66" i="1"/>
  <c r="AK66" i="1"/>
  <c r="AJ69" i="1"/>
  <c r="Z69" i="1"/>
  <c r="AA69" i="1"/>
  <c r="AE70" i="1"/>
  <c r="AF72" i="1"/>
  <c r="AF73" i="1"/>
  <c r="AG74" i="1"/>
  <c r="AE74" i="1"/>
  <c r="AE75" i="1"/>
  <c r="AG75" i="1"/>
  <c r="Z76" i="1"/>
  <c r="AJ76" i="1"/>
  <c r="AL78" i="1"/>
  <c r="AB78" i="1"/>
  <c r="AA78" i="1"/>
  <c r="AJ80" i="1"/>
  <c r="Z80" i="1"/>
  <c r="AA80" i="1"/>
  <c r="AE81" i="1"/>
  <c r="Z85" i="1"/>
  <c r="AL86" i="1"/>
  <c r="AB86" i="1"/>
  <c r="AK86" i="1"/>
  <c r="AA86" i="1"/>
  <c r="AJ86" i="1"/>
  <c r="AE90" i="1"/>
  <c r="AE94" i="1"/>
  <c r="AF121" i="1"/>
  <c r="AE121" i="1"/>
  <c r="AK125" i="1"/>
  <c r="AA125" i="1"/>
  <c r="AJ125" i="1"/>
  <c r="Z125" i="1"/>
  <c r="AL138" i="1"/>
  <c r="AB138" i="1"/>
  <c r="AJ138" i="1"/>
  <c r="AA138" i="1"/>
  <c r="AK138" i="1"/>
  <c r="Z138" i="1"/>
  <c r="AJ141" i="1"/>
  <c r="Z141" i="1"/>
  <c r="AB141" i="1"/>
  <c r="AA141" i="1"/>
  <c r="AK141" i="1"/>
  <c r="AL141" i="1"/>
  <c r="AJ145" i="1"/>
  <c r="Z145" i="1"/>
  <c r="AA145" i="1"/>
  <c r="AL145" i="1"/>
  <c r="AK145" i="1"/>
  <c r="AB145" i="1"/>
  <c r="AB25" i="1"/>
  <c r="AA26" i="1"/>
  <c r="AA30" i="1"/>
  <c r="AL33" i="1"/>
  <c r="AB33" i="1"/>
  <c r="AE33" i="1"/>
  <c r="AK33" i="1"/>
  <c r="AA34" i="1"/>
  <c r="AG34" i="1"/>
  <c r="AA35" i="1"/>
  <c r="AL37" i="1"/>
  <c r="AB37" i="1"/>
  <c r="AE37" i="1"/>
  <c r="AK37" i="1"/>
  <c r="AA38" i="1"/>
  <c r="AG38" i="1"/>
  <c r="AA39" i="1"/>
  <c r="Z41" i="1"/>
  <c r="AF41" i="1"/>
  <c r="AB42" i="1"/>
  <c r="AB44" i="1"/>
  <c r="AJ45" i="1"/>
  <c r="Z45" i="1"/>
  <c r="AF45" i="1"/>
  <c r="AL45" i="1"/>
  <c r="Z46" i="1"/>
  <c r="AF46" i="1"/>
  <c r="AB47" i="1"/>
  <c r="Z49" i="1"/>
  <c r="AF49" i="1"/>
  <c r="AB50" i="1"/>
  <c r="AJ52" i="1"/>
  <c r="Z52" i="1"/>
  <c r="AF52" i="1"/>
  <c r="AL52" i="1"/>
  <c r="Z53" i="1"/>
  <c r="AF53" i="1"/>
  <c r="AB54" i="1"/>
  <c r="AJ55" i="1"/>
  <c r="Z55" i="1"/>
  <c r="AF55" i="1"/>
  <c r="AL55" i="1"/>
  <c r="Z56" i="1"/>
  <c r="AF56" i="1"/>
  <c r="AB57" i="1"/>
  <c r="AJ59" i="1"/>
  <c r="Z59" i="1"/>
  <c r="AF59" i="1"/>
  <c r="AL59" i="1"/>
  <c r="Z60" i="1"/>
  <c r="AF60" i="1"/>
  <c r="AB61" i="1"/>
  <c r="AB62" i="1"/>
  <c r="AF63" i="1"/>
  <c r="AF64" i="1"/>
  <c r="AK65" i="1"/>
  <c r="AA66" i="1"/>
  <c r="AG67" i="1"/>
  <c r="AE67" i="1"/>
  <c r="AB69" i="1"/>
  <c r="AK69" i="1"/>
  <c r="AL70" i="1"/>
  <c r="AB70" i="1"/>
  <c r="AA70" i="1"/>
  <c r="AF70" i="1"/>
  <c r="AJ73" i="1"/>
  <c r="Z73" i="1"/>
  <c r="AA73" i="1"/>
  <c r="AF74" i="1"/>
  <c r="AF75" i="1"/>
  <c r="AK76" i="1"/>
  <c r="AG77" i="1"/>
  <c r="AE77" i="1"/>
  <c r="Z78" i="1"/>
  <c r="AJ78" i="1"/>
  <c r="AJ79" i="1"/>
  <c r="Z79" i="1"/>
  <c r="AK79" i="1"/>
  <c r="AB80" i="1"/>
  <c r="AK80" i="1"/>
  <c r="AG85" i="1"/>
  <c r="AF85" i="1"/>
  <c r="AE85" i="1"/>
  <c r="Z86" i="1"/>
  <c r="AL87" i="1"/>
  <c r="AB87" i="1"/>
  <c r="AK87" i="1"/>
  <c r="AA87" i="1"/>
  <c r="AJ87" i="1"/>
  <c r="Z87" i="1"/>
  <c r="AL88" i="1"/>
  <c r="AB88" i="1"/>
  <c r="AK88" i="1"/>
  <c r="AA88" i="1"/>
  <c r="AJ88" i="1"/>
  <c r="AL92" i="1"/>
  <c r="AB92" i="1"/>
  <c r="AK92" i="1"/>
  <c r="AA92" i="1"/>
  <c r="AJ92" i="1"/>
  <c r="AL117" i="1"/>
  <c r="AK119" i="1"/>
  <c r="AA119" i="1"/>
  <c r="AJ119" i="1"/>
  <c r="Z119" i="1"/>
  <c r="AL119" i="1"/>
  <c r="AB119" i="1"/>
  <c r="AG121" i="1"/>
  <c r="AB125" i="1"/>
  <c r="AE141" i="1"/>
  <c r="AG141" i="1"/>
  <c r="AF141" i="1"/>
  <c r="AJ161" i="1"/>
  <c r="Z161" i="1"/>
  <c r="AA161" i="1"/>
  <c r="AL161" i="1"/>
  <c r="AK161" i="1"/>
  <c r="AB161" i="1"/>
  <c r="AL63" i="1"/>
  <c r="AB63" i="1"/>
  <c r="AK63" i="1"/>
  <c r="AL67" i="1"/>
  <c r="AB67" i="1"/>
  <c r="AK67" i="1"/>
  <c r="AL68" i="1"/>
  <c r="AB68" i="1"/>
  <c r="AK68" i="1"/>
  <c r="AL72" i="1"/>
  <c r="AB72" i="1"/>
  <c r="AK72" i="1"/>
  <c r="AL74" i="1"/>
  <c r="AB74" i="1"/>
  <c r="AK74" i="1"/>
  <c r="AL77" i="1"/>
  <c r="AB77" i="1"/>
  <c r="AK77" i="1"/>
  <c r="Z90" i="1"/>
  <c r="Z94" i="1"/>
  <c r="AF95" i="1"/>
  <c r="AG95" i="1"/>
  <c r="AF98" i="1"/>
  <c r="AG98" i="1"/>
  <c r="AF100" i="1"/>
  <c r="AG100" i="1"/>
  <c r="AF101" i="1"/>
  <c r="AG101" i="1"/>
  <c r="AF102" i="1"/>
  <c r="AG102" i="1"/>
  <c r="AF104" i="1"/>
  <c r="AG104" i="1"/>
  <c r="AF115" i="1"/>
  <c r="AE115" i="1"/>
  <c r="AG115" i="1"/>
  <c r="AF123" i="1"/>
  <c r="AE123" i="1"/>
  <c r="AG123" i="1"/>
  <c r="AF131" i="1"/>
  <c r="AE131" i="1"/>
  <c r="AG131" i="1"/>
  <c r="AG136" i="1"/>
  <c r="AF136" i="1"/>
  <c r="AE136" i="1"/>
  <c r="AJ136" i="1"/>
  <c r="AG185" i="1"/>
  <c r="AE185" i="1"/>
  <c r="AF185" i="1"/>
  <c r="AK185" i="1"/>
  <c r="AJ186" i="1"/>
  <c r="Z186" i="1"/>
  <c r="AK186" i="1"/>
  <c r="AB186" i="1"/>
  <c r="AL186" i="1"/>
  <c r="AA186" i="1"/>
  <c r="AG88" i="1"/>
  <c r="AF88" i="1"/>
  <c r="AL90" i="1"/>
  <c r="AB90" i="1"/>
  <c r="AK90" i="1"/>
  <c r="AA90" i="1"/>
  <c r="AG92" i="1"/>
  <c r="AF92" i="1"/>
  <c r="AB94" i="1"/>
  <c r="AL94" i="1"/>
  <c r="AA94" i="1"/>
  <c r="AJ94" i="1"/>
  <c r="AK95" i="1"/>
  <c r="AA95" i="1"/>
  <c r="AB95" i="1"/>
  <c r="Z95" i="1"/>
  <c r="AL95" i="1"/>
  <c r="AK98" i="1"/>
  <c r="AA98" i="1"/>
  <c r="AB98" i="1"/>
  <c r="Z98" i="1"/>
  <c r="AL98" i="1"/>
  <c r="AK100" i="1"/>
  <c r="AA100" i="1"/>
  <c r="AB100" i="1"/>
  <c r="Z100" i="1"/>
  <c r="AL100" i="1"/>
  <c r="AK101" i="1"/>
  <c r="AA101" i="1"/>
  <c r="AB101" i="1"/>
  <c r="Z101" i="1"/>
  <c r="AL101" i="1"/>
  <c r="AK102" i="1"/>
  <c r="AA102" i="1"/>
  <c r="AB102" i="1"/>
  <c r="Z102" i="1"/>
  <c r="AL102" i="1"/>
  <c r="AK104" i="1"/>
  <c r="AA104" i="1"/>
  <c r="AB104" i="1"/>
  <c r="Z104" i="1"/>
  <c r="AL104" i="1"/>
  <c r="AG150" i="1"/>
  <c r="AF150" i="1"/>
  <c r="AE150" i="1"/>
  <c r="AK150" i="1"/>
  <c r="AJ150" i="1"/>
  <c r="AG152" i="1"/>
  <c r="AE152" i="1"/>
  <c r="AF152" i="1"/>
  <c r="AL158" i="1"/>
  <c r="AB158" i="1"/>
  <c r="AA158" i="1"/>
  <c r="AK158" i="1"/>
  <c r="AJ158" i="1"/>
  <c r="Z158" i="1"/>
  <c r="AG166" i="1"/>
  <c r="AF166" i="1"/>
  <c r="AE166" i="1"/>
  <c r="AK166" i="1"/>
  <c r="AJ166" i="1"/>
  <c r="AG168" i="1"/>
  <c r="AE168" i="1"/>
  <c r="AF168" i="1"/>
  <c r="AL107" i="1"/>
  <c r="AG107" i="1"/>
  <c r="AK107" i="1"/>
  <c r="AF107" i="1"/>
  <c r="AL109" i="1"/>
  <c r="AG109" i="1"/>
  <c r="AK109" i="1"/>
  <c r="AF109" i="1"/>
  <c r="AF117" i="1"/>
  <c r="AE117" i="1"/>
  <c r="AK121" i="1"/>
  <c r="AA121" i="1"/>
  <c r="AJ121" i="1"/>
  <c r="Z121" i="1"/>
  <c r="AF125" i="1"/>
  <c r="AE125" i="1"/>
  <c r="AK129" i="1"/>
  <c r="AA129" i="1"/>
  <c r="AJ129" i="1"/>
  <c r="Z129" i="1"/>
  <c r="AJ137" i="1"/>
  <c r="Z137" i="1"/>
  <c r="AB137" i="1"/>
  <c r="AA137" i="1"/>
  <c r="AL137" i="1"/>
  <c r="AE149" i="1"/>
  <c r="AG149" i="1"/>
  <c r="AJ151" i="1"/>
  <c r="Z151" i="1"/>
  <c r="AK151" i="1"/>
  <c r="AL151" i="1"/>
  <c r="AB151" i="1"/>
  <c r="AE153" i="1"/>
  <c r="AG153" i="1"/>
  <c r="AF153" i="1"/>
  <c r="AJ155" i="1"/>
  <c r="Z155" i="1"/>
  <c r="AK155" i="1"/>
  <c r="AB155" i="1"/>
  <c r="AA155" i="1"/>
  <c r="AL155" i="1"/>
  <c r="AE165" i="1"/>
  <c r="AG165" i="1"/>
  <c r="AJ167" i="1"/>
  <c r="Z167" i="1"/>
  <c r="AK167" i="1"/>
  <c r="AL167" i="1"/>
  <c r="AB167" i="1"/>
  <c r="AE169" i="1"/>
  <c r="AG169" i="1"/>
  <c r="AF169" i="1"/>
  <c r="AJ171" i="1"/>
  <c r="Z171" i="1"/>
  <c r="AK171" i="1"/>
  <c r="AL171" i="1"/>
  <c r="AB171" i="1"/>
  <c r="AA171" i="1"/>
  <c r="Z82" i="1"/>
  <c r="Z83" i="1"/>
  <c r="Z84" i="1"/>
  <c r="Z89" i="1"/>
  <c r="Z91" i="1"/>
  <c r="Z93" i="1"/>
  <c r="AE107" i="1"/>
  <c r="AE109" i="1"/>
  <c r="AK110" i="1"/>
  <c r="AF110" i="1"/>
  <c r="AJ110" i="1"/>
  <c r="AE110" i="1"/>
  <c r="AG112" i="1"/>
  <c r="AF112" i="1"/>
  <c r="AK115" i="1"/>
  <c r="AA115" i="1"/>
  <c r="AJ115" i="1"/>
  <c r="Z115" i="1"/>
  <c r="AG117" i="1"/>
  <c r="AF119" i="1"/>
  <c r="AE119" i="1"/>
  <c r="AB121" i="1"/>
  <c r="AL121" i="1"/>
  <c r="AK123" i="1"/>
  <c r="AA123" i="1"/>
  <c r="AJ123" i="1"/>
  <c r="Z123" i="1"/>
  <c r="AG125" i="1"/>
  <c r="AF127" i="1"/>
  <c r="AE127" i="1"/>
  <c r="AB129" i="1"/>
  <c r="AL129" i="1"/>
  <c r="AK131" i="1"/>
  <c r="AA131" i="1"/>
  <c r="AJ131" i="1"/>
  <c r="Z131" i="1"/>
  <c r="AL134" i="1"/>
  <c r="AB134" i="1"/>
  <c r="AJ134" i="1"/>
  <c r="AA134" i="1"/>
  <c r="AE137" i="1"/>
  <c r="AG137" i="1"/>
  <c r="AG140" i="1"/>
  <c r="AF140" i="1"/>
  <c r="AE140" i="1"/>
  <c r="AL142" i="1"/>
  <c r="AB142" i="1"/>
  <c r="AK142" i="1"/>
  <c r="AJ142" i="1"/>
  <c r="AA142" i="1"/>
  <c r="AG146" i="1"/>
  <c r="AF146" i="1"/>
  <c r="AF149" i="1"/>
  <c r="AA151" i="1"/>
  <c r="AK153" i="1"/>
  <c r="AL154" i="1"/>
  <c r="AB154" i="1"/>
  <c r="AA154" i="1"/>
  <c r="AK154" i="1"/>
  <c r="AJ154" i="1"/>
  <c r="AG162" i="1"/>
  <c r="AF162" i="1"/>
  <c r="AF165" i="1"/>
  <c r="AA167" i="1"/>
  <c r="AK169" i="1"/>
  <c r="AL170" i="1"/>
  <c r="AB170" i="1"/>
  <c r="AA170" i="1"/>
  <c r="AK170" i="1"/>
  <c r="AJ170" i="1"/>
  <c r="AG172" i="1"/>
  <c r="AE172" i="1"/>
  <c r="AF172" i="1"/>
  <c r="AJ172" i="1"/>
  <c r="AE184" i="1"/>
  <c r="AG184" i="1"/>
  <c r="AK184" i="1"/>
  <c r="AL184" i="1"/>
  <c r="AF184" i="1"/>
  <c r="AE188" i="1"/>
  <c r="AG188" i="1"/>
  <c r="AF188" i="1"/>
  <c r="AL188" i="1"/>
  <c r="AK188" i="1"/>
  <c r="AL136" i="1"/>
  <c r="AB136" i="1"/>
  <c r="AK136" i="1"/>
  <c r="AK139" i="1"/>
  <c r="AL140" i="1"/>
  <c r="AB140" i="1"/>
  <c r="AK140" i="1"/>
  <c r="AJ143" i="1"/>
  <c r="Z143" i="1"/>
  <c r="AK143" i="1"/>
  <c r="AL146" i="1"/>
  <c r="AB146" i="1"/>
  <c r="AA146" i="1"/>
  <c r="AJ149" i="1"/>
  <c r="Z149" i="1"/>
  <c r="AA149" i="1"/>
  <c r="AG156" i="1"/>
  <c r="AE156" i="1"/>
  <c r="AE157" i="1"/>
  <c r="AG157" i="1"/>
  <c r="AJ159" i="1"/>
  <c r="Z159" i="1"/>
  <c r="AK159" i="1"/>
  <c r="AL162" i="1"/>
  <c r="AB162" i="1"/>
  <c r="AA162" i="1"/>
  <c r="AJ165" i="1"/>
  <c r="Z165" i="1"/>
  <c r="AA165" i="1"/>
  <c r="AJ173" i="1"/>
  <c r="Z173" i="1"/>
  <c r="AA173" i="1"/>
  <c r="AB173" i="1"/>
  <c r="AL173" i="1"/>
  <c r="AJ176" i="1"/>
  <c r="Z176" i="1"/>
  <c r="AA176" i="1"/>
  <c r="AL176" i="1"/>
  <c r="AL177" i="1"/>
  <c r="AB177" i="1"/>
  <c r="AA177" i="1"/>
  <c r="AJ177" i="1"/>
  <c r="Z177" i="1"/>
  <c r="AK177" i="1"/>
  <c r="AJ180" i="1"/>
  <c r="Z180" i="1"/>
  <c r="AA180" i="1"/>
  <c r="AK180" i="1"/>
  <c r="AB180" i="1"/>
  <c r="AL180" i="1"/>
  <c r="AG181" i="1"/>
  <c r="AF181" i="1"/>
  <c r="AJ181" i="1"/>
  <c r="AL189" i="1"/>
  <c r="AB189" i="1"/>
  <c r="AA189" i="1"/>
  <c r="AK189" i="1"/>
  <c r="AJ190" i="1"/>
  <c r="Z190" i="1"/>
  <c r="AK190" i="1"/>
  <c r="AA190" i="1"/>
  <c r="AB190" i="1"/>
  <c r="AL190" i="1"/>
  <c r="AJ192" i="1"/>
  <c r="Z192" i="1"/>
  <c r="AA192" i="1"/>
  <c r="AL192" i="1"/>
  <c r="AL193" i="1"/>
  <c r="AB193" i="1"/>
  <c r="AJ193" i="1"/>
  <c r="AA193" i="1"/>
  <c r="AK193" i="1"/>
  <c r="Z193" i="1"/>
  <c r="AK196" i="1"/>
  <c r="AA196" i="1"/>
  <c r="AJ196" i="1"/>
  <c r="Z196" i="1"/>
  <c r="AF198" i="1"/>
  <c r="AE198" i="1"/>
  <c r="AL198" i="1"/>
  <c r="Z111" i="1"/>
  <c r="Z136" i="1"/>
  <c r="AJ139" i="1"/>
  <c r="Z139" i="1"/>
  <c r="AF139" i="1"/>
  <c r="AL139" i="1"/>
  <c r="Z140" i="1"/>
  <c r="AA143" i="1"/>
  <c r="AG144" i="1"/>
  <c r="AE144" i="1"/>
  <c r="AE145" i="1"/>
  <c r="AG145" i="1"/>
  <c r="Z146" i="1"/>
  <c r="AJ146" i="1"/>
  <c r="AJ147" i="1"/>
  <c r="Z147" i="1"/>
  <c r="AK147" i="1"/>
  <c r="AB149" i="1"/>
  <c r="AK149" i="1"/>
  <c r="AL150" i="1"/>
  <c r="AB150" i="1"/>
  <c r="AA150" i="1"/>
  <c r="AJ153" i="1"/>
  <c r="Z153" i="1"/>
  <c r="AA153" i="1"/>
  <c r="AE154" i="1"/>
  <c r="AF156" i="1"/>
  <c r="AF157" i="1"/>
  <c r="AA159" i="1"/>
  <c r="AG160" i="1"/>
  <c r="AE160" i="1"/>
  <c r="AE161" i="1"/>
  <c r="AG161" i="1"/>
  <c r="Z162" i="1"/>
  <c r="AJ162" i="1"/>
  <c r="AJ163" i="1"/>
  <c r="Z163" i="1"/>
  <c r="AK163" i="1"/>
  <c r="AB165" i="1"/>
  <c r="AK165" i="1"/>
  <c r="AL166" i="1"/>
  <c r="AB166" i="1"/>
  <c r="AA166" i="1"/>
  <c r="AJ169" i="1"/>
  <c r="Z169" i="1"/>
  <c r="AA169" i="1"/>
  <c r="AE170" i="1"/>
  <c r="AE173" i="1"/>
  <c r="AG173" i="1"/>
  <c r="AB176" i="1"/>
  <c r="AK176" i="1"/>
  <c r="AE181" i="1"/>
  <c r="AG183" i="1"/>
  <c r="AE183" i="1"/>
  <c r="AJ183" i="1"/>
  <c r="AG187" i="1"/>
  <c r="AE187" i="1"/>
  <c r="AF187" i="1"/>
  <c r="Z189" i="1"/>
  <c r="AJ189" i="1"/>
  <c r="AB192" i="1"/>
  <c r="AK192" i="1"/>
  <c r="AB196" i="1"/>
  <c r="AL196" i="1"/>
  <c r="AG198" i="1"/>
  <c r="AG179" i="1"/>
  <c r="AE179" i="1"/>
  <c r="AE180" i="1"/>
  <c r="AG180" i="1"/>
  <c r="AJ182" i="1"/>
  <c r="Z182" i="1"/>
  <c r="AK182" i="1"/>
  <c r="AL185" i="1"/>
  <c r="AB185" i="1"/>
  <c r="AA185" i="1"/>
  <c r="AJ188" i="1"/>
  <c r="Z188" i="1"/>
  <c r="AA188" i="1"/>
  <c r="AI227" i="1"/>
  <c r="AL144" i="1"/>
  <c r="AB144" i="1"/>
  <c r="AK144" i="1"/>
  <c r="AL148" i="1"/>
  <c r="AB148" i="1"/>
  <c r="AK148" i="1"/>
  <c r="AL152" i="1"/>
  <c r="AB152" i="1"/>
  <c r="AK152" i="1"/>
  <c r="AL156" i="1"/>
  <c r="AB156" i="1"/>
  <c r="AK156" i="1"/>
  <c r="AL160" i="1"/>
  <c r="AB160" i="1"/>
  <c r="AK160" i="1"/>
  <c r="AL168" i="1"/>
  <c r="AB168" i="1"/>
  <c r="AK168" i="1"/>
  <c r="AL172" i="1"/>
  <c r="AB172" i="1"/>
  <c r="AK172" i="1"/>
  <c r="AE176" i="1"/>
  <c r="AG176" i="1"/>
  <c r="AJ178" i="1"/>
  <c r="Z178" i="1"/>
  <c r="AK178" i="1"/>
  <c r="AJ179" i="1"/>
  <c r="AL181" i="1"/>
  <c r="AB181" i="1"/>
  <c r="AA181" i="1"/>
  <c r="AL182" i="1"/>
  <c r="AJ184" i="1"/>
  <c r="Z184" i="1"/>
  <c r="AA184" i="1"/>
  <c r="AG191" i="1"/>
  <c r="AE191" i="1"/>
  <c r="AE192" i="1"/>
  <c r="AG192" i="1"/>
  <c r="AL179" i="1"/>
  <c r="AB179" i="1"/>
  <c r="AK179" i="1"/>
  <c r="AL183" i="1"/>
  <c r="AB183" i="1"/>
  <c r="AK183" i="1"/>
  <c r="AL187" i="1"/>
  <c r="AB187" i="1"/>
  <c r="AK187" i="1"/>
  <c r="AL191" i="1"/>
  <c r="AB191" i="1"/>
  <c r="AK191" i="1"/>
  <c r="AL195" i="1"/>
  <c r="AB195" i="1"/>
  <c r="AF196" i="1"/>
  <c r="AE196" i="1"/>
  <c r="AK198" i="1"/>
  <c r="AA198" i="1"/>
  <c r="AJ198" i="1"/>
  <c r="Z198" i="1"/>
  <c r="AJ194" i="1"/>
  <c r="Z194" i="1"/>
  <c r="AL194" i="1"/>
  <c r="AB197" i="1"/>
  <c r="R232" i="1"/>
  <c r="R233" i="1"/>
  <c r="R231" i="1"/>
  <c r="R229" i="1"/>
  <c r="R230" i="1"/>
  <c r="J7" i="1"/>
  <c r="R228" i="1"/>
  <c r="R225" i="1"/>
  <c r="R227" i="1"/>
  <c r="R226" i="1"/>
  <c r="AC108" i="1"/>
  <c r="R20" i="1"/>
  <c r="R72" i="1"/>
  <c r="R48" i="1"/>
  <c r="R172" i="1"/>
  <c r="R140" i="1"/>
  <c r="R69" i="1"/>
  <c r="R70" i="1"/>
  <c r="R98" i="1"/>
  <c r="R43" i="1"/>
  <c r="R65" i="1"/>
  <c r="R12" i="1"/>
  <c r="R16" i="1"/>
  <c r="R32" i="1"/>
  <c r="R28" i="1"/>
  <c r="R51" i="1"/>
  <c r="R58" i="1"/>
  <c r="AC107" i="1"/>
  <c r="AC109" i="1"/>
  <c r="AC110" i="1"/>
  <c r="Z11" i="1"/>
  <c r="R17" i="1"/>
  <c r="R21" i="1"/>
  <c r="R25" i="1"/>
  <c r="R33" i="1"/>
  <c r="R37" i="1"/>
  <c r="R45" i="1"/>
  <c r="R52" i="1"/>
  <c r="R55" i="1"/>
  <c r="R59" i="1"/>
  <c r="R62" i="1"/>
  <c r="R66" i="1"/>
  <c r="R73" i="1"/>
  <c r="R78" i="1"/>
  <c r="R82" i="1"/>
  <c r="R95" i="1"/>
  <c r="R116" i="1"/>
  <c r="R156" i="1"/>
  <c r="R22" i="1"/>
  <c r="R26" i="1"/>
  <c r="R30" i="1"/>
  <c r="R34" i="1"/>
  <c r="R38" i="1"/>
  <c r="R41" i="1"/>
  <c r="R46" i="1"/>
  <c r="R49" i="1"/>
  <c r="R53" i="1"/>
  <c r="R56" i="1"/>
  <c r="R60" i="1"/>
  <c r="R63" i="1"/>
  <c r="R67" i="1"/>
  <c r="R91" i="1"/>
  <c r="R104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195" i="1"/>
  <c r="R191" i="1"/>
  <c r="R187" i="1"/>
  <c r="R183" i="1"/>
  <c r="R179" i="1"/>
  <c r="R171" i="1"/>
  <c r="R167" i="1"/>
  <c r="R163" i="1"/>
  <c r="R159" i="1"/>
  <c r="R155" i="1"/>
  <c r="R151" i="1"/>
  <c r="R147" i="1"/>
  <c r="R143" i="1"/>
  <c r="R139" i="1"/>
  <c r="R131" i="1"/>
  <c r="R127" i="1"/>
  <c r="R123" i="1"/>
  <c r="R119" i="1"/>
  <c r="R198" i="1"/>
  <c r="R194" i="1"/>
  <c r="R190" i="1"/>
  <c r="R186" i="1"/>
  <c r="R182" i="1"/>
  <c r="R178" i="1"/>
  <c r="R174" i="1"/>
  <c r="R170" i="1"/>
  <c r="R166" i="1"/>
  <c r="R162" i="1"/>
  <c r="R158" i="1"/>
  <c r="R154" i="1"/>
  <c r="R150" i="1"/>
  <c r="R146" i="1"/>
  <c r="R142" i="1"/>
  <c r="R138" i="1"/>
  <c r="R134" i="1"/>
  <c r="R130" i="1"/>
  <c r="R126" i="1"/>
  <c r="R122" i="1"/>
  <c r="R197" i="1"/>
  <c r="R193" i="1"/>
  <c r="R189" i="1"/>
  <c r="R185" i="1"/>
  <c r="R181" i="1"/>
  <c r="R177" i="1"/>
  <c r="R173" i="1"/>
  <c r="R169" i="1"/>
  <c r="R165" i="1"/>
  <c r="R161" i="1"/>
  <c r="R157" i="1"/>
  <c r="R153" i="1"/>
  <c r="R149" i="1"/>
  <c r="R145" i="1"/>
  <c r="R141" i="1"/>
  <c r="R137" i="1"/>
  <c r="R129" i="1"/>
  <c r="R125" i="1"/>
  <c r="R192" i="1"/>
  <c r="R176" i="1"/>
  <c r="R160" i="1"/>
  <c r="R144" i="1"/>
  <c r="R128" i="1"/>
  <c r="R121" i="1"/>
  <c r="R120" i="1"/>
  <c r="R115" i="1"/>
  <c r="R111" i="1"/>
  <c r="R105" i="1"/>
  <c r="R103" i="1"/>
  <c r="R97" i="1"/>
  <c r="R94" i="1"/>
  <c r="R90" i="1"/>
  <c r="R87" i="1"/>
  <c r="R81" i="1"/>
  <c r="R77" i="1"/>
  <c r="R74" i="1"/>
  <c r="R196" i="1"/>
  <c r="R180" i="1"/>
  <c r="R148" i="1"/>
  <c r="R132" i="1"/>
  <c r="R118" i="1"/>
  <c r="R114" i="1"/>
  <c r="R110" i="1"/>
  <c r="R109" i="1"/>
  <c r="R108" i="1"/>
  <c r="R107" i="1"/>
  <c r="R102" i="1"/>
  <c r="R100" i="1"/>
  <c r="R93" i="1"/>
  <c r="R89" i="1"/>
  <c r="R83" i="1"/>
  <c r="R79" i="1"/>
  <c r="R71" i="1"/>
  <c r="R184" i="1"/>
  <c r="R168" i="1"/>
  <c r="R152" i="1"/>
  <c r="R136" i="1"/>
  <c r="R117" i="1"/>
  <c r="R106" i="1"/>
  <c r="R99" i="1"/>
  <c r="R96" i="1"/>
  <c r="R92" i="1"/>
  <c r="R88" i="1"/>
  <c r="R86" i="1"/>
  <c r="AA11" i="1"/>
  <c r="R14" i="1"/>
  <c r="R18" i="1"/>
  <c r="R11" i="1"/>
  <c r="R15" i="1"/>
  <c r="R19" i="1"/>
  <c r="R31" i="1"/>
  <c r="R35" i="1"/>
  <c r="R39" i="1"/>
  <c r="R42" i="1"/>
  <c r="R44" i="1"/>
  <c r="R47" i="1"/>
  <c r="R50" i="1"/>
  <c r="R54" i="1"/>
  <c r="R57" i="1"/>
  <c r="R61" i="1"/>
  <c r="R64" i="1"/>
  <c r="R68" i="1"/>
  <c r="R75" i="1"/>
  <c r="R76" i="1"/>
  <c r="R80" i="1"/>
  <c r="R84" i="1"/>
  <c r="R85" i="1"/>
  <c r="R101" i="1"/>
  <c r="R112" i="1"/>
  <c r="R124" i="1"/>
  <c r="R188" i="1"/>
  <c r="AI26" i="1" l="1"/>
  <c r="AC140" i="1"/>
  <c r="AI78" i="1"/>
  <c r="AH120" i="1"/>
  <c r="AH182" i="1"/>
  <c r="AC93" i="1"/>
  <c r="AI20" i="1"/>
  <c r="AI84" i="1"/>
  <c r="AH91" i="1"/>
  <c r="AH66" i="1"/>
  <c r="AH167" i="1"/>
  <c r="AI126" i="1"/>
  <c r="AH22" i="1"/>
  <c r="AH12" i="1"/>
  <c r="AH122" i="1"/>
  <c r="AC59" i="1"/>
  <c r="AI12" i="1"/>
  <c r="AI122" i="1"/>
  <c r="AC114" i="1"/>
  <c r="AH114" i="1"/>
  <c r="AC122" i="1"/>
  <c r="AI106" i="1"/>
  <c r="AI116" i="1"/>
  <c r="AI189" i="1"/>
  <c r="AI132" i="1"/>
  <c r="AH97" i="1"/>
  <c r="AI82" i="1"/>
  <c r="AI83" i="1"/>
  <c r="AI197" i="1"/>
  <c r="AI90" i="1"/>
  <c r="AI59" i="1"/>
  <c r="AI45" i="1"/>
  <c r="AC68" i="1"/>
  <c r="AC116" i="1"/>
  <c r="AH134" i="1"/>
  <c r="AC37" i="1"/>
  <c r="AH76" i="1"/>
  <c r="AC20" i="1"/>
  <c r="AH55" i="1"/>
  <c r="AC195" i="1"/>
  <c r="AH33" i="1"/>
  <c r="AH143" i="1"/>
  <c r="AH58" i="1"/>
  <c r="AH18" i="1"/>
  <c r="AC139" i="1"/>
  <c r="AH79" i="1"/>
  <c r="AI185" i="1"/>
  <c r="AI169" i="1"/>
  <c r="AI140" i="1"/>
  <c r="AH116" i="1"/>
  <c r="AI22" i="1"/>
  <c r="AI163" i="1"/>
  <c r="AI92" i="1"/>
  <c r="AI73" i="1"/>
  <c r="AI103" i="1"/>
  <c r="AI105" i="1"/>
  <c r="AC148" i="1"/>
  <c r="AC163" i="1"/>
  <c r="AC144" i="1"/>
  <c r="AH195" i="1"/>
  <c r="AH93" i="1"/>
  <c r="AH106" i="1"/>
  <c r="AH28" i="1"/>
  <c r="AH20" i="1"/>
  <c r="AC22" i="1"/>
  <c r="AH186" i="1"/>
  <c r="AH118" i="1"/>
  <c r="AH83" i="1"/>
  <c r="AC33" i="1"/>
  <c r="AH174" i="1"/>
  <c r="AC97" i="1"/>
  <c r="AH193" i="1"/>
  <c r="AH103" i="1"/>
  <c r="AH11" i="1"/>
  <c r="AH170" i="1"/>
  <c r="AC152" i="1"/>
  <c r="AH154" i="1"/>
  <c r="AH190" i="1"/>
  <c r="AC147" i="1"/>
  <c r="AC18" i="1"/>
  <c r="AH171" i="1"/>
  <c r="AC160" i="1"/>
  <c r="AH48" i="1"/>
  <c r="AH43" i="1"/>
  <c r="AH111" i="1"/>
  <c r="AH194" i="1"/>
  <c r="AH96" i="1"/>
  <c r="AC179" i="1"/>
  <c r="AI178" i="1"/>
  <c r="AI168" i="1"/>
  <c r="AI152" i="1"/>
  <c r="AI147" i="1"/>
  <c r="AI158" i="1"/>
  <c r="AC52" i="1"/>
  <c r="AC25" i="1"/>
  <c r="AH189" i="1"/>
  <c r="AH99" i="1"/>
  <c r="AI89" i="1"/>
  <c r="AC74" i="1"/>
  <c r="AC63" i="1"/>
  <c r="AI87" i="1"/>
  <c r="AH59" i="1"/>
  <c r="AC120" i="1"/>
  <c r="AI118" i="1"/>
  <c r="AH32" i="1"/>
  <c r="AH62" i="1"/>
  <c r="AC130" i="1"/>
  <c r="AC96" i="1"/>
  <c r="AH130" i="1"/>
  <c r="AC84" i="1"/>
  <c r="AI166" i="1"/>
  <c r="AI38" i="1"/>
  <c r="AH197" i="1"/>
  <c r="AH147" i="1"/>
  <c r="AI97" i="1"/>
  <c r="AH108" i="1"/>
  <c r="AC194" i="1"/>
  <c r="AC77" i="1"/>
  <c r="AI65" i="1"/>
  <c r="AH142" i="1"/>
  <c r="AI18" i="1"/>
  <c r="AI130" i="1"/>
  <c r="AI195" i="1"/>
  <c r="AI107" i="1"/>
  <c r="AI70" i="1"/>
  <c r="AI61" i="1"/>
  <c r="AI57" i="1"/>
  <c r="AI54" i="1"/>
  <c r="AI50" i="1"/>
  <c r="AI47" i="1"/>
  <c r="AI44" i="1"/>
  <c r="AI42" i="1"/>
  <c r="AH158" i="1"/>
  <c r="AI108" i="1"/>
  <c r="AI99" i="1"/>
  <c r="AI104" i="1"/>
  <c r="AI16" i="1"/>
  <c r="AI111" i="1"/>
  <c r="AI91" i="1"/>
  <c r="AI96" i="1"/>
  <c r="AC156" i="1"/>
  <c r="AI123" i="1"/>
  <c r="AI80" i="1"/>
  <c r="AI34" i="1"/>
  <c r="AI62" i="1"/>
  <c r="AH138" i="1"/>
  <c r="AI124" i="1"/>
  <c r="AC132" i="1"/>
  <c r="AC103" i="1"/>
  <c r="AC118" i="1"/>
  <c r="AH139" i="1"/>
  <c r="AC178" i="1"/>
  <c r="AC106" i="1"/>
  <c r="AC187" i="1"/>
  <c r="AC82" i="1"/>
  <c r="AH45" i="1"/>
  <c r="AC15" i="1"/>
  <c r="AH50" i="1"/>
  <c r="AH178" i="1"/>
  <c r="AH71" i="1"/>
  <c r="AC124" i="1"/>
  <c r="AC16" i="1"/>
  <c r="AC14" i="1"/>
  <c r="AC105" i="1"/>
  <c r="AC168" i="1"/>
  <c r="AC91" i="1"/>
  <c r="AC111" i="1"/>
  <c r="AC45" i="1"/>
  <c r="AH82" i="1"/>
  <c r="AC66" i="1"/>
  <c r="AH163" i="1"/>
  <c r="AH159" i="1"/>
  <c r="AH177" i="1"/>
  <c r="AC128" i="1"/>
  <c r="AC126" i="1"/>
  <c r="AH132" i="1"/>
  <c r="AH89" i="1"/>
  <c r="AC55" i="1"/>
  <c r="AH84" i="1"/>
  <c r="AH16" i="1"/>
  <c r="AH14" i="1"/>
  <c r="AH151" i="1"/>
  <c r="AC191" i="1"/>
  <c r="AC60" i="1"/>
  <c r="AH52" i="1"/>
  <c r="AC46" i="1"/>
  <c r="AH38" i="1"/>
  <c r="AH17" i="1"/>
  <c r="AH21" i="1"/>
  <c r="AC183" i="1"/>
  <c r="AC182" i="1"/>
  <c r="AH110" i="1"/>
  <c r="AC79" i="1"/>
  <c r="AC99" i="1"/>
  <c r="AH155" i="1"/>
  <c r="AH128" i="1"/>
  <c r="AH126" i="1"/>
  <c r="AH124" i="1"/>
  <c r="AH80" i="1"/>
  <c r="AH65" i="1"/>
  <c r="AH105" i="1"/>
  <c r="AH51" i="1"/>
  <c r="AI98" i="1"/>
  <c r="AI64" i="1"/>
  <c r="AH160" i="1"/>
  <c r="AI149" i="1"/>
  <c r="AH146" i="1"/>
  <c r="AC142" i="1"/>
  <c r="AH119" i="1"/>
  <c r="AH112" i="1"/>
  <c r="AC89" i="1"/>
  <c r="AH169" i="1"/>
  <c r="AH153" i="1"/>
  <c r="AH166" i="1"/>
  <c r="AI102" i="1"/>
  <c r="AC67" i="1"/>
  <c r="AH77" i="1"/>
  <c r="AC73" i="1"/>
  <c r="AC70" i="1"/>
  <c r="AI114" i="1"/>
  <c r="AI187" i="1"/>
  <c r="AI146" i="1"/>
  <c r="AI72" i="1"/>
  <c r="AI39" i="1"/>
  <c r="AI35" i="1"/>
  <c r="AI17" i="1"/>
  <c r="AI51" i="1"/>
  <c r="AI137" i="1"/>
  <c r="AI101" i="1"/>
  <c r="AI95" i="1"/>
  <c r="AC53" i="1"/>
  <c r="AC197" i="1"/>
  <c r="AC172" i="1"/>
  <c r="AH173" i="1"/>
  <c r="AC150" i="1"/>
  <c r="AI192" i="1"/>
  <c r="AI143" i="1"/>
  <c r="AI142" i="1"/>
  <c r="AC83" i="1"/>
  <c r="AI100" i="1"/>
  <c r="AI94" i="1"/>
  <c r="AH102" i="1"/>
  <c r="AI74" i="1"/>
  <c r="AC72" i="1"/>
  <c r="AI63" i="1"/>
  <c r="AH67" i="1"/>
  <c r="AH63" i="1"/>
  <c r="AH37" i="1"/>
  <c r="AI157" i="1"/>
  <c r="AH19" i="1"/>
  <c r="AH87" i="1"/>
  <c r="AH57" i="1"/>
  <c r="AH44" i="1"/>
  <c r="AH39" i="1"/>
  <c r="AC81" i="1"/>
  <c r="AI19" i="1"/>
  <c r="AC51" i="1"/>
  <c r="AI93" i="1"/>
  <c r="AI128" i="1"/>
  <c r="AI120" i="1"/>
  <c r="AI14" i="1"/>
  <c r="AC50" i="1"/>
  <c r="AC64" i="1"/>
  <c r="AH69" i="1"/>
  <c r="AH60" i="1"/>
  <c r="AH46" i="1"/>
  <c r="AC165" i="1"/>
  <c r="AC192" i="1"/>
  <c r="AH125" i="1"/>
  <c r="AC115" i="1"/>
  <c r="AH107" i="1"/>
  <c r="AC137" i="1"/>
  <c r="AC129" i="1"/>
  <c r="AH109" i="1"/>
  <c r="AH168" i="1"/>
  <c r="AH115" i="1"/>
  <c r="AC88" i="1"/>
  <c r="AC87" i="1"/>
  <c r="AC86" i="1"/>
  <c r="AC57" i="1"/>
  <c r="AH53" i="1"/>
  <c r="AC44" i="1"/>
  <c r="AH41" i="1"/>
  <c r="AC30" i="1"/>
  <c r="AC138" i="1"/>
  <c r="AC125" i="1"/>
  <c r="AC85" i="1"/>
  <c r="AH72" i="1"/>
  <c r="AC61" i="1"/>
  <c r="AH56" i="1"/>
  <c r="AC47" i="1"/>
  <c r="AH81" i="1"/>
  <c r="AH47" i="1"/>
  <c r="AH183" i="1"/>
  <c r="AC26" i="1"/>
  <c r="AC145" i="1"/>
  <c r="AH148" i="1"/>
  <c r="AH129" i="1"/>
  <c r="AH34" i="1"/>
  <c r="AC117" i="1"/>
  <c r="AH156" i="1"/>
  <c r="AC38" i="1"/>
  <c r="AH165" i="1"/>
  <c r="AC119" i="1"/>
  <c r="AC71" i="1"/>
  <c r="AH176" i="1"/>
  <c r="AC185" i="1"/>
  <c r="AH179" i="1"/>
  <c r="AH162" i="1"/>
  <c r="AC154" i="1"/>
  <c r="AH140" i="1"/>
  <c r="AH137" i="1"/>
  <c r="AC186" i="1"/>
  <c r="AC198" i="1"/>
  <c r="AC143" i="1"/>
  <c r="AC193" i="1"/>
  <c r="AC134" i="1"/>
  <c r="AC92" i="1"/>
  <c r="AC21" i="1"/>
  <c r="AC28" i="1"/>
  <c r="AC19" i="1"/>
  <c r="AC76" i="1"/>
  <c r="AH180" i="1"/>
  <c r="AH198" i="1"/>
  <c r="AC189" i="1"/>
  <c r="AC180" i="1"/>
  <c r="AC177" i="1"/>
  <c r="AC149" i="1"/>
  <c r="AH184" i="1"/>
  <c r="AC170" i="1"/>
  <c r="AH127" i="1"/>
  <c r="AC121" i="1"/>
  <c r="AC102" i="1"/>
  <c r="AC101" i="1"/>
  <c r="AC95" i="1"/>
  <c r="AH92" i="1"/>
  <c r="AH131" i="1"/>
  <c r="AH123" i="1"/>
  <c r="AH100" i="1"/>
  <c r="AH121" i="1"/>
  <c r="AC54" i="1"/>
  <c r="AH49" i="1"/>
  <c r="AC42" i="1"/>
  <c r="AH94" i="1"/>
  <c r="AH73" i="1"/>
  <c r="AH35" i="1"/>
  <c r="AC32" i="1"/>
  <c r="AH68" i="1"/>
  <c r="AH54" i="1"/>
  <c r="AH42" i="1"/>
  <c r="AH86" i="1"/>
  <c r="AH75" i="1"/>
  <c r="AC69" i="1"/>
  <c r="AH64" i="1"/>
  <c r="AC41" i="1"/>
  <c r="AC35" i="1"/>
  <c r="AC127" i="1"/>
  <c r="AC17" i="1"/>
  <c r="AH78" i="1"/>
  <c r="AC190" i="1"/>
  <c r="AH141" i="1"/>
  <c r="AC174" i="1"/>
  <c r="AC43" i="1"/>
  <c r="AH15" i="1"/>
  <c r="AC176" i="1"/>
  <c r="AC173" i="1"/>
  <c r="AH188" i="1"/>
  <c r="AH149" i="1"/>
  <c r="AH196" i="1"/>
  <c r="AH192" i="1"/>
  <c r="AC184" i="1"/>
  <c r="AH181" i="1"/>
  <c r="AH157" i="1"/>
  <c r="AC34" i="1"/>
  <c r="AC112" i="1"/>
  <c r="AC146" i="1"/>
  <c r="AH172" i="1"/>
  <c r="AC131" i="1"/>
  <c r="AC123" i="1"/>
  <c r="AC157" i="1"/>
  <c r="AH31" i="1"/>
  <c r="AC181" i="1"/>
  <c r="AC188" i="1"/>
  <c r="AH187" i="1"/>
  <c r="AH161" i="1"/>
  <c r="AC153" i="1"/>
  <c r="AH145" i="1"/>
  <c r="AH85" i="1"/>
  <c r="AC141" i="1"/>
  <c r="AH90" i="1"/>
  <c r="AC65" i="1"/>
  <c r="AC62" i="1"/>
  <c r="AH61" i="1"/>
  <c r="AC48" i="1"/>
  <c r="AC31" i="1"/>
  <c r="AC75" i="1"/>
  <c r="AC58" i="1"/>
  <c r="AH30" i="1"/>
  <c r="AC159" i="1"/>
  <c r="AH191" i="1"/>
  <c r="AC169" i="1"/>
  <c r="AC166" i="1"/>
  <c r="AC162" i="1"/>
  <c r="AH144" i="1"/>
  <c r="AC136" i="1"/>
  <c r="AC196" i="1"/>
  <c r="AC171" i="1"/>
  <c r="AC167" i="1"/>
  <c r="AC155" i="1"/>
  <c r="AC151" i="1"/>
  <c r="AH117" i="1"/>
  <c r="AC158" i="1"/>
  <c r="AH152" i="1"/>
  <c r="AH150" i="1"/>
  <c r="AC104" i="1"/>
  <c r="AC100" i="1"/>
  <c r="AC98" i="1"/>
  <c r="AC94" i="1"/>
  <c r="AC90" i="1"/>
  <c r="AH88" i="1"/>
  <c r="AH185" i="1"/>
  <c r="AH136" i="1"/>
  <c r="AH104" i="1"/>
  <c r="AH101" i="1"/>
  <c r="AH98" i="1"/>
  <c r="AH95" i="1"/>
  <c r="AC161" i="1"/>
  <c r="AC80" i="1"/>
  <c r="AC78" i="1"/>
  <c r="AH74" i="1"/>
  <c r="AH70" i="1"/>
  <c r="AC56" i="1"/>
  <c r="AC49" i="1"/>
  <c r="AC39" i="1"/>
  <c r="AI184" i="1"/>
  <c r="AI188" i="1"/>
  <c r="AI183" i="1"/>
  <c r="AI162" i="1"/>
  <c r="AI153" i="1"/>
  <c r="AI139" i="1"/>
  <c r="AI176" i="1"/>
  <c r="AI165" i="1"/>
  <c r="AI154" i="1"/>
  <c r="AI171" i="1"/>
  <c r="AI167" i="1"/>
  <c r="AI155" i="1"/>
  <c r="AI151" i="1"/>
  <c r="AI136" i="1"/>
  <c r="AI161" i="1"/>
  <c r="AI37" i="1"/>
  <c r="AI60" i="1"/>
  <c r="AI56" i="1"/>
  <c r="AI53" i="1"/>
  <c r="AI49" i="1"/>
  <c r="AI46" i="1"/>
  <c r="AI41" i="1"/>
  <c r="AI75" i="1"/>
  <c r="AI58" i="1"/>
  <c r="AI32" i="1"/>
  <c r="AI68" i="1"/>
  <c r="AI11" i="1"/>
  <c r="AI121" i="1"/>
  <c r="AI145" i="1"/>
  <c r="AI86" i="1"/>
  <c r="AI194" i="1"/>
  <c r="AI193" i="1"/>
  <c r="AI190" i="1"/>
  <c r="AI177" i="1"/>
  <c r="AI173" i="1"/>
  <c r="AI134" i="1"/>
  <c r="AI110" i="1"/>
  <c r="AI129" i="1"/>
  <c r="AI109" i="1"/>
  <c r="AI150" i="1"/>
  <c r="AI77" i="1"/>
  <c r="AI67" i="1"/>
  <c r="AI88" i="1"/>
  <c r="AI52" i="1"/>
  <c r="AI141" i="1"/>
  <c r="AI138" i="1"/>
  <c r="AI125" i="1"/>
  <c r="AI30" i="1"/>
  <c r="AI127" i="1"/>
  <c r="AI85" i="1"/>
  <c r="AI117" i="1"/>
  <c r="AI71" i="1"/>
  <c r="AI48" i="1"/>
  <c r="AI15" i="1"/>
  <c r="AI31" i="1"/>
  <c r="AI81" i="1"/>
  <c r="AI186" i="1"/>
  <c r="AI148" i="1"/>
  <c r="AI179" i="1"/>
  <c r="AI156" i="1"/>
  <c r="AI198" i="1"/>
  <c r="AI191" i="1"/>
  <c r="AI160" i="1"/>
  <c r="AI144" i="1"/>
  <c r="AI182" i="1"/>
  <c r="AI196" i="1"/>
  <c r="AI181" i="1"/>
  <c r="AI180" i="1"/>
  <c r="AI159" i="1"/>
  <c r="AI172" i="1"/>
  <c r="AI170" i="1"/>
  <c r="AI131" i="1"/>
  <c r="AI115" i="1"/>
  <c r="AI119" i="1"/>
  <c r="AI79" i="1"/>
  <c r="AI55" i="1"/>
  <c r="AI76" i="1"/>
  <c r="AI69" i="1"/>
  <c r="AI66" i="1"/>
  <c r="AI33" i="1"/>
  <c r="AI174" i="1"/>
  <c r="AI112" i="1"/>
  <c r="AI21" i="1"/>
  <c r="AI28" i="1"/>
  <c r="AI43" i="1"/>
  <c r="AC12" i="1"/>
  <c r="AC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Educaion</author>
    <author>USER</author>
    <author>Author</author>
  </authors>
  <commentList>
    <comment ref="E1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Educaion:</t>
        </r>
        <r>
          <rPr>
            <sz val="9"/>
            <color indexed="81"/>
            <rFont val="Tahoma"/>
            <family val="2"/>
          </rPr>
          <t xml:space="preserve">
1/053/004/0004 Maheshwari Mahimadas left on 20.02.2025</t>
        </r>
      </text>
    </comment>
    <comment ref="E23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Nimesha Priyadarshani left on 21.04.2023
Piumi Virajika
Resigned on 30.04.24</t>
        </r>
      </text>
    </comment>
    <comment ref="E2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Educaion:</t>
        </r>
        <r>
          <rPr>
            <sz val="9"/>
            <color indexed="81"/>
            <rFont val="Tahoma"/>
            <family val="2"/>
          </rPr>
          <t xml:space="preserve">
1/053/015/0015 Chamanthi Withanage left on 14.02.2025</t>
        </r>
      </text>
    </comment>
    <comment ref="E27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Educaion:</t>
        </r>
        <r>
          <rPr>
            <sz val="9"/>
            <color indexed="81"/>
            <rFont val="Tahoma"/>
            <family val="2"/>
          </rPr>
          <t xml:space="preserve">
1/051/018/0018 Karen Jason left on 31.12.2024</t>
        </r>
      </text>
    </comment>
    <comment ref="E29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Educaion:</t>
        </r>
        <r>
          <rPr>
            <sz val="9"/>
            <color indexed="81"/>
            <rFont val="Tahoma"/>
            <family val="2"/>
          </rPr>
          <t xml:space="preserve">
Umaira Faisal left on 31.03.2023
T M Asith Madhawa Tennakoon
Resigned 
on 29.04.2024</t>
        </r>
      </text>
    </comment>
    <comment ref="E36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Apsara Guanratne 
Resigned on 15.01.24
</t>
        </r>
      </text>
    </comment>
    <comment ref="B111" authorId="2" shapeId="0" xr:uid="{00000000-0006-0000-00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STIC, Seeduwa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Educaion</author>
  </authors>
  <commentList>
    <comment ref="G5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Resigning on 21.04.2023</t>
        </r>
      </text>
    </comment>
    <comment ref="G6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Resigning on 31.03.2023</t>
        </r>
      </text>
    </comment>
    <comment ref="G7" authorId="1" shapeId="0" xr:uid="{00000000-0006-0000-0400-000003000000}">
      <text>
        <r>
          <rPr>
            <b/>
            <sz val="9"/>
            <color indexed="81"/>
            <rFont val="Tahoma"/>
            <family val="2"/>
          </rPr>
          <t>Educaion:</t>
        </r>
        <r>
          <rPr>
            <sz val="9"/>
            <color indexed="81"/>
            <rFont val="Tahoma"/>
            <family val="2"/>
          </rPr>
          <t xml:space="preserve">
left on 15.01.2024</t>
        </r>
      </text>
    </comment>
  </commentList>
</comments>
</file>

<file path=xl/sharedStrings.xml><?xml version="1.0" encoding="utf-8"?>
<sst xmlns="http://schemas.openxmlformats.org/spreadsheetml/2006/main" count="6162" uniqueCount="2588">
  <si>
    <t xml:space="preserve">Personal Identification Number </t>
  </si>
  <si>
    <t>Present Category (Confirmed/Contract)</t>
  </si>
  <si>
    <t>Name in Full</t>
  </si>
  <si>
    <t>Designation</t>
  </si>
  <si>
    <t>Home Address</t>
  </si>
  <si>
    <t>NIC Number</t>
  </si>
  <si>
    <t>Religion</t>
  </si>
  <si>
    <t>Telephone Numbers</t>
  </si>
  <si>
    <t xml:space="preserve">Email </t>
  </si>
  <si>
    <t>Date of Birth</t>
  </si>
  <si>
    <t>Age</t>
  </si>
  <si>
    <t>Gender</t>
  </si>
  <si>
    <t>Date of First Appointment</t>
  </si>
  <si>
    <t>Confirmation Letter Issued</t>
  </si>
  <si>
    <t>Contract Letter Issued</t>
  </si>
  <si>
    <t>Present Service</t>
  </si>
  <si>
    <t xml:space="preserve"> Retirement Date</t>
  </si>
  <si>
    <t xml:space="preserve">  </t>
  </si>
  <si>
    <t>Date</t>
  </si>
  <si>
    <t>Month</t>
  </si>
  <si>
    <t>Year</t>
  </si>
  <si>
    <t xml:space="preserve">Date </t>
  </si>
  <si>
    <t xml:space="preserve"> Years</t>
  </si>
  <si>
    <t>Months</t>
  </si>
  <si>
    <t>Days</t>
  </si>
  <si>
    <t>051</t>
  </si>
  <si>
    <t>xxx</t>
  </si>
  <si>
    <t>0001</t>
  </si>
  <si>
    <t>Confirmed</t>
  </si>
  <si>
    <t>Rector</t>
  </si>
  <si>
    <t>St. John Dal Bastone Church, Church Rd, Pelawatte, Battaramulla</t>
  </si>
  <si>
    <t>Roman Catholic</t>
  </si>
  <si>
    <t>05</t>
  </si>
  <si>
    <t>06</t>
  </si>
  <si>
    <t>Male</t>
  </si>
  <si>
    <t>02</t>
  </si>
  <si>
    <t>10</t>
  </si>
  <si>
    <t>2022</t>
  </si>
  <si>
    <t>Yes</t>
  </si>
  <si>
    <t>0002</t>
  </si>
  <si>
    <t>Contract</t>
  </si>
  <si>
    <t>Rev. Sr. Clotilda Fernando</t>
  </si>
  <si>
    <t>Teacher</t>
  </si>
  <si>
    <t>Sisters of the Cross, Havelock Rd, Col 5</t>
  </si>
  <si>
    <t>517420328V</t>
  </si>
  <si>
    <t>0711640880</t>
  </si>
  <si>
    <t>clotildafernando@gmail.com</t>
  </si>
  <si>
    <t>29</t>
  </si>
  <si>
    <t>08</t>
  </si>
  <si>
    <t>1951</t>
  </si>
  <si>
    <t>Female</t>
  </si>
  <si>
    <t>09</t>
  </si>
  <si>
    <t>2019</t>
  </si>
  <si>
    <t>0003</t>
  </si>
  <si>
    <t>Probation</t>
  </si>
  <si>
    <t>Rev. Sr. Thanuja Fernandopulle</t>
  </si>
  <si>
    <t>Bethany house, Thalangama South, Pelawatte, Battaramulla</t>
  </si>
  <si>
    <t>977243793V</t>
  </si>
  <si>
    <t>07423525877</t>
  </si>
  <si>
    <t>stthanuja1997@gmail.com</t>
  </si>
  <si>
    <t>11</t>
  </si>
  <si>
    <t>1997</t>
  </si>
  <si>
    <t>03</t>
  </si>
  <si>
    <t>01</t>
  </si>
  <si>
    <t>2023</t>
  </si>
  <si>
    <t>No</t>
  </si>
  <si>
    <t>0004</t>
  </si>
  <si>
    <t>M. Maheswary</t>
  </si>
  <si>
    <t>Hindu</t>
  </si>
  <si>
    <t>30</t>
  </si>
  <si>
    <t>12</t>
  </si>
  <si>
    <t>1982</t>
  </si>
  <si>
    <t>2003</t>
  </si>
  <si>
    <t>0005</t>
  </si>
  <si>
    <t>F. R. Ludowyke</t>
  </si>
  <si>
    <t>60/2, Shalawa Road, Mirihana, Nugegoda</t>
  </si>
  <si>
    <t>566196885v</t>
  </si>
  <si>
    <t>0774959348</t>
  </si>
  <si>
    <t>franciscaludowyke@gmail.com</t>
  </si>
  <si>
    <t>28</t>
  </si>
  <si>
    <t>04</t>
  </si>
  <si>
    <t>1956</t>
  </si>
  <si>
    <t>2014</t>
  </si>
  <si>
    <t>0006</t>
  </si>
  <si>
    <t>Mirani Dissanayake</t>
  </si>
  <si>
    <t>6/15, Church Gardens, Mahamegawatte, Maharagama</t>
  </si>
  <si>
    <t>525761509v</t>
  </si>
  <si>
    <t>0776571788</t>
  </si>
  <si>
    <t>hycinth.mirani@gmail.com</t>
  </si>
  <si>
    <t>16</t>
  </si>
  <si>
    <t>1952</t>
  </si>
  <si>
    <t>2013</t>
  </si>
  <si>
    <t>0007</t>
  </si>
  <si>
    <t>Prasanna Samarawickrama</t>
  </si>
  <si>
    <t>6/23, Albion Lane, Colombo 9</t>
  </si>
  <si>
    <t>663390260v</t>
  </si>
  <si>
    <t>Buddhist</t>
  </si>
  <si>
    <t>0771935348</t>
  </si>
  <si>
    <t>prasannasa@gmail.com</t>
  </si>
  <si>
    <t>1966</t>
  </si>
  <si>
    <t>14</t>
  </si>
  <si>
    <t>0008</t>
  </si>
  <si>
    <t>Nilmini Perera</t>
  </si>
  <si>
    <t>37/1/1A, 1st Lane, Dambawela Rd, Ampitiya, Kandy</t>
  </si>
  <si>
    <t>828022652v</t>
  </si>
  <si>
    <t>0772847282</t>
  </si>
  <si>
    <t>Nilmini28@gmail.com</t>
  </si>
  <si>
    <t>23</t>
  </si>
  <si>
    <t>0009</t>
  </si>
  <si>
    <t>Nemini Wanigasekara</t>
  </si>
  <si>
    <t>16/1, Bakmeegolla, Ibbagamuwa</t>
  </si>
  <si>
    <t>908500326v</t>
  </si>
  <si>
    <t>0773015501</t>
  </si>
  <si>
    <t>nemini.snic@gmail.com</t>
  </si>
  <si>
    <t>15</t>
  </si>
  <si>
    <t>1990</t>
  </si>
  <si>
    <t>0010</t>
  </si>
  <si>
    <t>Marietta Hingert</t>
  </si>
  <si>
    <t>866331669v</t>
  </si>
  <si>
    <t>0766783274</t>
  </si>
  <si>
    <t>mariettahing@gmail.com</t>
  </si>
  <si>
    <t>1986</t>
  </si>
  <si>
    <t>2016</t>
  </si>
  <si>
    <t>0011</t>
  </si>
  <si>
    <t>Gayathri Arasaratnam</t>
  </si>
  <si>
    <t>12-1/5, Station Rd, Wellawatte, Colombo 6</t>
  </si>
  <si>
    <t>808213109v</t>
  </si>
  <si>
    <t>0776943137</t>
  </si>
  <si>
    <t>gayaoneness@gmail.com</t>
  </si>
  <si>
    <t>1980</t>
  </si>
  <si>
    <t>0012</t>
  </si>
  <si>
    <t>Thilashni Perera</t>
  </si>
  <si>
    <t>262/2, St. Francis lane, Dalugama, Kelaniya</t>
  </si>
  <si>
    <t>198364501112</t>
  </si>
  <si>
    <t>0760718748</t>
  </si>
  <si>
    <t>pererathilashni@gmail.com</t>
  </si>
  <si>
    <t>24</t>
  </si>
  <si>
    <t>1983</t>
  </si>
  <si>
    <t>0013</t>
  </si>
  <si>
    <t>R.M. Nafeel</t>
  </si>
  <si>
    <t>78, Nanayakkara Mw, Rajagiriya</t>
  </si>
  <si>
    <t>902421904v</t>
  </si>
  <si>
    <t>Muslim</t>
  </si>
  <si>
    <t>0774920729</t>
  </si>
  <si>
    <t>muhamednafeel@gmail.com</t>
  </si>
  <si>
    <t>2017</t>
  </si>
  <si>
    <t>0014</t>
  </si>
  <si>
    <t>Nimesha Priyadarshani</t>
  </si>
  <si>
    <t>2018</t>
  </si>
  <si>
    <t>0015</t>
  </si>
  <si>
    <t>Chamanthi Withanage</t>
  </si>
  <si>
    <t>0016</t>
  </si>
  <si>
    <t>Radha Jayawardena</t>
  </si>
  <si>
    <t>107/31, Shalawa Rd, Mirihana, Nugegoda</t>
  </si>
  <si>
    <t>497303958v</t>
  </si>
  <si>
    <t>0718293573</t>
  </si>
  <si>
    <t>radharanjani@ymail.com</t>
  </si>
  <si>
    <t>17</t>
  </si>
  <si>
    <t>1949</t>
  </si>
  <si>
    <t>2020</t>
  </si>
  <si>
    <t>0017</t>
  </si>
  <si>
    <t>Kylie Goonetilleke</t>
  </si>
  <si>
    <t>1044/6, Ranmal Mw, Pothuarawa Rd, Malabe</t>
  </si>
  <si>
    <t>905642057v</t>
  </si>
  <si>
    <t>0769211990</t>
  </si>
  <si>
    <t>kyliegoonetilleke90@gmail.com</t>
  </si>
  <si>
    <t>07</t>
  </si>
  <si>
    <t>0018</t>
  </si>
  <si>
    <t>Karen Jason</t>
  </si>
  <si>
    <t>1978</t>
  </si>
  <si>
    <t>25</t>
  </si>
  <si>
    <t>0019</t>
  </si>
  <si>
    <t>Tamara Perera</t>
  </si>
  <si>
    <t>909/11C, Adikaram Mw, Ethulkotte</t>
  </si>
  <si>
    <t>647141579v</t>
  </si>
  <si>
    <t>0774475424</t>
  </si>
  <si>
    <t>1964</t>
  </si>
  <si>
    <t>1996</t>
  </si>
  <si>
    <t>0020</t>
  </si>
  <si>
    <t>Umaira Faizal</t>
  </si>
  <si>
    <t>1974</t>
  </si>
  <si>
    <t>2000</t>
  </si>
  <si>
    <t>0021</t>
  </si>
  <si>
    <t>Shriya Wickrama</t>
  </si>
  <si>
    <t>114/A 15, Udayapura, Thalangama South, Battaramulla</t>
  </si>
  <si>
    <t>645934458v</t>
  </si>
  <si>
    <t>0777335978</t>
  </si>
  <si>
    <t>shriyawickrama@gmail.com</t>
  </si>
  <si>
    <t>21</t>
  </si>
  <si>
    <t>2002</t>
  </si>
  <si>
    <t>0022</t>
  </si>
  <si>
    <t>Antonica Fonseka</t>
  </si>
  <si>
    <t>138/D, Isidoru Mw, , Thibbatugoda, Ganemulla</t>
  </si>
  <si>
    <t>626154751v</t>
  </si>
  <si>
    <t>0704353453</t>
  </si>
  <si>
    <t>1962</t>
  </si>
  <si>
    <t>2009</t>
  </si>
  <si>
    <t>0023</t>
  </si>
  <si>
    <t>Kaushila Wickramasinghe</t>
  </si>
  <si>
    <t>297/1, Kalapaluwawa, Rajagiriya</t>
  </si>
  <si>
    <t>757042304v</t>
  </si>
  <si>
    <t>0778292778</t>
  </si>
  <si>
    <t>wkaushi@yahoo.com</t>
  </si>
  <si>
    <t>22</t>
  </si>
  <si>
    <t>1975</t>
  </si>
  <si>
    <t>20</t>
  </si>
  <si>
    <t>2010</t>
  </si>
  <si>
    <t>0024</t>
  </si>
  <si>
    <t>Shanika Gunasekara</t>
  </si>
  <si>
    <t>354/5, School lane, Kalapaluwawa, Rajagiriya</t>
  </si>
  <si>
    <t>836293169v</t>
  </si>
  <si>
    <t>0772681628</t>
  </si>
  <si>
    <t>sanodini@gmail.com</t>
  </si>
  <si>
    <t>2011</t>
  </si>
  <si>
    <t>0025</t>
  </si>
  <si>
    <t>Tharini Shamika</t>
  </si>
  <si>
    <t>23, Robert Goonawardena Mw, Battaramulla</t>
  </si>
  <si>
    <t>200071701035</t>
  </si>
  <si>
    <t>0765366330</t>
  </si>
  <si>
    <t>tharinishamika@gmail.com</t>
  </si>
  <si>
    <t>2021</t>
  </si>
  <si>
    <t>200</t>
  </si>
  <si>
    <t>0026</t>
  </si>
  <si>
    <t>Vindya Silva</t>
  </si>
  <si>
    <t>Accountant</t>
  </si>
  <si>
    <t>94/39, Pohorabawatta, Aluthambalama, Kosgama</t>
  </si>
  <si>
    <t>785561457v</t>
  </si>
  <si>
    <t>0717755248</t>
  </si>
  <si>
    <t>vindya412@gmail.com</t>
  </si>
  <si>
    <t>586</t>
  </si>
  <si>
    <t>0027</t>
  </si>
  <si>
    <t>Aurilia Koelmeyer</t>
  </si>
  <si>
    <t>Administrator</t>
  </si>
  <si>
    <t>176/K, Vijaya Mw, Athurugiriya</t>
  </si>
  <si>
    <t>777870416v</t>
  </si>
  <si>
    <t>0715849869</t>
  </si>
  <si>
    <t>ionikoelmeyer@yahoo.com</t>
  </si>
  <si>
    <t>13</t>
  </si>
  <si>
    <t>1977</t>
  </si>
  <si>
    <t>782</t>
  </si>
  <si>
    <t>0028</t>
  </si>
  <si>
    <t>Sujeeva Siriwardena</t>
  </si>
  <si>
    <t>Librarian</t>
  </si>
  <si>
    <t>420/15C, Weli Road, Thalawathugoda</t>
  </si>
  <si>
    <t>655772731v</t>
  </si>
  <si>
    <t>0778491677</t>
  </si>
  <si>
    <t>1965</t>
  </si>
  <si>
    <t>791</t>
  </si>
  <si>
    <t>0029</t>
  </si>
  <si>
    <t>Vivian Saverymuthapulle</t>
  </si>
  <si>
    <t>Accounts Assistant</t>
  </si>
  <si>
    <t>234/5, Kuruduwatte 2nd lane, Avariwatte Rd, Wattala</t>
  </si>
  <si>
    <t>533253350v</t>
  </si>
  <si>
    <t>0777176040</t>
  </si>
  <si>
    <t>viviansavery@yahoo.com</t>
  </si>
  <si>
    <t>1953</t>
  </si>
  <si>
    <t>424</t>
  </si>
  <si>
    <t>0030</t>
  </si>
  <si>
    <t>Kumuduni Malkanthi</t>
  </si>
  <si>
    <t>Support Staff</t>
  </si>
  <si>
    <t>42, Waishakya Mw, Rajagiriya</t>
  </si>
  <si>
    <t>676002510v</t>
  </si>
  <si>
    <t>0754410628</t>
  </si>
  <si>
    <t>1967</t>
  </si>
  <si>
    <t>685</t>
  </si>
  <si>
    <t>0031</t>
  </si>
  <si>
    <t>Deepika Lakmali</t>
  </si>
  <si>
    <t>1033/D, Thalangama South, Nagahamulla, Battaramulla</t>
  </si>
  <si>
    <t>825032754v</t>
  </si>
  <si>
    <t>0752964196</t>
  </si>
  <si>
    <t>723</t>
  </si>
  <si>
    <t>0032</t>
  </si>
  <si>
    <t>Sasikala Sewwandi</t>
  </si>
  <si>
    <t>1033/A, Thalangama South, Nagahamulla, Battaramulla</t>
  </si>
  <si>
    <t>948344785v</t>
  </si>
  <si>
    <t>0721375235</t>
  </si>
  <si>
    <t>1994</t>
  </si>
  <si>
    <t>0033</t>
  </si>
  <si>
    <t>H I David</t>
  </si>
  <si>
    <t>4/270, Nawarohala Rd, Mulleriyawa</t>
  </si>
  <si>
    <t>531841921v</t>
  </si>
  <si>
    <t>0717951767</t>
  </si>
  <si>
    <t>0034</t>
  </si>
  <si>
    <t>Donald Keil</t>
  </si>
  <si>
    <t>363, Dehiyagatha, Jaela</t>
  </si>
  <si>
    <t>512090990V</t>
  </si>
  <si>
    <t>0716439965</t>
  </si>
  <si>
    <t>keildonald390@gmail.com</t>
  </si>
  <si>
    <t>27</t>
  </si>
  <si>
    <t>0035</t>
  </si>
  <si>
    <t>Apsara Gunaratne</t>
  </si>
  <si>
    <t>0036</t>
  </si>
  <si>
    <t>Lahiru Karunanayake</t>
  </si>
  <si>
    <t>407/16Samagi Mawatha, Udahamulla, Nugegoda</t>
  </si>
  <si>
    <t>843543332V</t>
  </si>
  <si>
    <t>0773694606</t>
  </si>
  <si>
    <t>lahiruaioit@gmail.com</t>
  </si>
  <si>
    <t>19</t>
  </si>
  <si>
    <t>1984</t>
  </si>
  <si>
    <t>882</t>
  </si>
  <si>
    <t>0037</t>
  </si>
  <si>
    <t>Janitha Santhusha</t>
  </si>
  <si>
    <t>144/1, Welikanna, Waga</t>
  </si>
  <si>
    <t>200010702612</t>
  </si>
  <si>
    <t>0718863930</t>
  </si>
  <si>
    <t>janith@gmail.com</t>
  </si>
  <si>
    <t>052</t>
  </si>
  <si>
    <t>0038</t>
  </si>
  <si>
    <t>Rev. Fr. Anthony Lakshman</t>
  </si>
  <si>
    <t>St. Nicholas' International College, Katana Road, Nelumpitiya, Negombo</t>
  </si>
  <si>
    <t>781721310v</t>
  </si>
  <si>
    <t>Catholic</t>
  </si>
  <si>
    <t>0713547523</t>
  </si>
  <si>
    <t>kdalakshman@gmail.com</t>
  </si>
  <si>
    <t>3</t>
  </si>
  <si>
    <t>7</t>
  </si>
  <si>
    <t>0039</t>
  </si>
  <si>
    <t>Rev. Fr. Dilan Salika Perera</t>
  </si>
  <si>
    <t>Priest In charge of Junior School</t>
  </si>
  <si>
    <t>93, Udammita, Ja Ela</t>
  </si>
  <si>
    <t>930704318v</t>
  </si>
  <si>
    <t>0774130725</t>
  </si>
  <si>
    <t>dilansalika077@gmail.com</t>
  </si>
  <si>
    <t>1993</t>
  </si>
  <si>
    <t>4</t>
  </si>
  <si>
    <t>0040</t>
  </si>
  <si>
    <t>Rev. Fr. Sunil Weragoda</t>
  </si>
  <si>
    <t>1</t>
  </si>
  <si>
    <t>6</t>
  </si>
  <si>
    <t>001</t>
  </si>
  <si>
    <t>0041</t>
  </si>
  <si>
    <t>H Rohani B Tissera</t>
  </si>
  <si>
    <t>Part time teacher</t>
  </si>
  <si>
    <t>350, Athagala, Katana</t>
  </si>
  <si>
    <t>566662086 V</t>
  </si>
  <si>
    <t>0776555322</t>
  </si>
  <si>
    <t>rohanitisse rajune14@ gmail.com</t>
  </si>
  <si>
    <t>9</t>
  </si>
  <si>
    <t>002</t>
  </si>
  <si>
    <t>0042</t>
  </si>
  <si>
    <t>U Christopher H P Jayasinghe</t>
  </si>
  <si>
    <t>10, Keppetipola Road, Ja-ela</t>
  </si>
  <si>
    <t>520633405v</t>
  </si>
  <si>
    <t>0750956856</t>
  </si>
  <si>
    <t>christopharjayasingha@gmail.com</t>
  </si>
  <si>
    <t>003</t>
  </si>
  <si>
    <t>0043</t>
  </si>
  <si>
    <t>M A Shashini Peiris</t>
  </si>
  <si>
    <t>386/C/1, Bandaranayaka Mawatha, Kimbulapitiya Road, Negombo</t>
  </si>
  <si>
    <t>200082104293</t>
  </si>
  <si>
    <t>076288055</t>
  </si>
  <si>
    <t>anneshashi16@gmail.com</t>
  </si>
  <si>
    <t>004</t>
  </si>
  <si>
    <t>0044</t>
  </si>
  <si>
    <t>Lakshika N. Rajaratne</t>
  </si>
  <si>
    <t>152/1, St. Jude Mawatha, Katuwapitiy a, Negombo.</t>
  </si>
  <si>
    <t>707891718v</t>
  </si>
  <si>
    <t>0773136701</t>
  </si>
  <si>
    <t>lakshi.rajarathne@gmail.com</t>
  </si>
  <si>
    <t>1970</t>
  </si>
  <si>
    <t>5</t>
  </si>
  <si>
    <t>005</t>
  </si>
  <si>
    <t>0045</t>
  </si>
  <si>
    <t>S Jayalali P Fernando</t>
  </si>
  <si>
    <t>284/4/A, Daluwakotuwa, Kochchikade</t>
  </si>
  <si>
    <t>866322325v</t>
  </si>
  <si>
    <t>0774028950</t>
  </si>
  <si>
    <t>jayalalifernando@gmail.com</t>
  </si>
  <si>
    <t>8</t>
  </si>
  <si>
    <t>006</t>
  </si>
  <si>
    <t>0046</t>
  </si>
  <si>
    <t>W S Asitha Perera</t>
  </si>
  <si>
    <t>680, "Chandra Sevana", Wennappuwa</t>
  </si>
  <si>
    <t>870470800v</t>
  </si>
  <si>
    <t>0775997877</t>
  </si>
  <si>
    <t>asitha.snic@gmail.com</t>
  </si>
  <si>
    <t>1987</t>
  </si>
  <si>
    <t>007</t>
  </si>
  <si>
    <t>0047</t>
  </si>
  <si>
    <t>D Danupa N Munasinghe</t>
  </si>
  <si>
    <t>50, Convent Road, Bolawalana, Negombo</t>
  </si>
  <si>
    <t>822402976v</t>
  </si>
  <si>
    <t>0777829895/0312231316</t>
  </si>
  <si>
    <t>dmslhc@gmail.com</t>
  </si>
  <si>
    <t>008</t>
  </si>
  <si>
    <t>0048</t>
  </si>
  <si>
    <t>W. L. C. N. M. Anjelo Fernando</t>
  </si>
  <si>
    <t>17, St. Lazarus Road, Negombo</t>
  </si>
  <si>
    <t>693390060V</t>
  </si>
  <si>
    <t>angelo791969@gmail.com</t>
  </si>
  <si>
    <t>1969</t>
  </si>
  <si>
    <t>0049</t>
  </si>
  <si>
    <t>K M D Shriyani Weerawardene</t>
  </si>
  <si>
    <t>Deputy Principal</t>
  </si>
  <si>
    <t>242, Sri Wickrama Rajasinghe Road, 3rd Kurana, Negombo</t>
  </si>
  <si>
    <t>686131017v</t>
  </si>
  <si>
    <t>0774438696</t>
  </si>
  <si>
    <t>sweerawardene@gmail.com</t>
  </si>
  <si>
    <t>1968</t>
  </si>
  <si>
    <t>0050</t>
  </si>
  <si>
    <t>Ranila Fernando</t>
  </si>
  <si>
    <t>Head teacher - Primary</t>
  </si>
  <si>
    <t>No. 30 Mission House Road, Seeduwa</t>
  </si>
  <si>
    <t>807023063v</t>
  </si>
  <si>
    <t>0760990315 / 0776754585</t>
  </si>
  <si>
    <t>fernandoranila@gmail.com</t>
  </si>
  <si>
    <t>0051</t>
  </si>
  <si>
    <t xml:space="preserve"> P. Shahini Luckshrihari</t>
  </si>
  <si>
    <t>No. 02,  Malwatta Road, Negombo</t>
  </si>
  <si>
    <t>748591575v</t>
  </si>
  <si>
    <t>0776929196</t>
  </si>
  <si>
    <t>shahiniparamasivam@gmail.com</t>
  </si>
  <si>
    <t>2</t>
  </si>
  <si>
    <t>2004</t>
  </si>
  <si>
    <t>0052</t>
  </si>
  <si>
    <t>P V Manjula P Peiris</t>
  </si>
  <si>
    <t>No. 321/1, Sriluck Mawatha, Kasagahawatta, Kotugoda</t>
  </si>
  <si>
    <t>197581500623</t>
  </si>
  <si>
    <t>0771123403</t>
  </si>
  <si>
    <t>mpperis50@gmail.com</t>
  </si>
  <si>
    <t>2005</t>
  </si>
  <si>
    <t>0053</t>
  </si>
  <si>
    <t>Nimanthi N Revel</t>
  </si>
  <si>
    <t>No. 89/1, Fathima Road, Walihena, Kochchikade.</t>
  </si>
  <si>
    <t>837780934v</t>
  </si>
  <si>
    <t>0719305973</t>
  </si>
  <si>
    <t>nimanthirevel222@gmail.com</t>
  </si>
  <si>
    <t>0054</t>
  </si>
  <si>
    <t>K A Aloma N Nissanka</t>
  </si>
  <si>
    <t>120/02, Jayasooriya Road, Nadurupitiya, Kadana.</t>
  </si>
  <si>
    <t>835681076v</t>
  </si>
  <si>
    <t>0771970067</t>
  </si>
  <si>
    <t>alomanissanka@gmail.com</t>
  </si>
  <si>
    <t>0055</t>
  </si>
  <si>
    <t>T H Asansha Eric Perera</t>
  </si>
  <si>
    <t>41/162, John Perera Mawatha, King's Villege, Kandawala, Katana</t>
  </si>
  <si>
    <t>197823003597</t>
  </si>
  <si>
    <t>0768563554</t>
  </si>
  <si>
    <t>asangaperera17@gmail.com</t>
  </si>
  <si>
    <t>2006</t>
  </si>
  <si>
    <t>0056</t>
  </si>
  <si>
    <t>T S Madushika Fernando</t>
  </si>
  <si>
    <t>No. 494, Work camp road, Dalupotha, Negombo.</t>
  </si>
  <si>
    <t>846593276v</t>
  </si>
  <si>
    <t>0779780075</t>
  </si>
  <si>
    <t>shamalifernando84@gmail.com</t>
  </si>
  <si>
    <t>0057</t>
  </si>
  <si>
    <t>G B Majella R Silva</t>
  </si>
  <si>
    <t>No. 427/7, Gamunu Mawatha, Kadawala, Katana</t>
  </si>
  <si>
    <t>815123220v</t>
  </si>
  <si>
    <t>0773171733</t>
  </si>
  <si>
    <t>majellasilva1981@gmail.com</t>
  </si>
  <si>
    <t>1981</t>
  </si>
  <si>
    <t>0058</t>
  </si>
  <si>
    <t>W Wimali Hettiarachchi</t>
  </si>
  <si>
    <t>No. 64, Kadawala, Dunagaha.</t>
  </si>
  <si>
    <t>835521613v</t>
  </si>
  <si>
    <t>0773906295</t>
  </si>
  <si>
    <t>wathsalawimalihettiarachchi@gmail.com</t>
  </si>
  <si>
    <t>2007</t>
  </si>
  <si>
    <t>0059</t>
  </si>
  <si>
    <t>P Thakshila Danushani</t>
  </si>
  <si>
    <t>120/A/1 Nedagamuwa, Kotugoda.</t>
  </si>
  <si>
    <t>828644025v</t>
  </si>
  <si>
    <t>0772322171</t>
  </si>
  <si>
    <t>thakshiladanushani@gmail.com</t>
  </si>
  <si>
    <t>2008</t>
  </si>
  <si>
    <t>0060</t>
  </si>
  <si>
    <t>B D Sinthika Niroshani Galagedara</t>
  </si>
  <si>
    <t>No. 27,  Central Garden, Katana.</t>
  </si>
  <si>
    <t>828563386v</t>
  </si>
  <si>
    <t>0773041400</t>
  </si>
  <si>
    <t>sinthikabdn@gmail.com</t>
  </si>
  <si>
    <t>0061</t>
  </si>
  <si>
    <t>P Mithila Christy</t>
  </si>
  <si>
    <t>No. 18/21, Wasana Uyana, Mukalangamuwa, Seeduwa</t>
  </si>
  <si>
    <t>767432380v</t>
  </si>
  <si>
    <t>0773424436 / 0112251955</t>
  </si>
  <si>
    <t>mithila.wijayasinghe@gmail.com</t>
  </si>
  <si>
    <t>1976</t>
  </si>
  <si>
    <t>0062</t>
  </si>
  <si>
    <t>R A Yamuna S Ranasinghe</t>
  </si>
  <si>
    <t>No 126/1 Nawana Road, Divulapitiya</t>
  </si>
  <si>
    <t>757032295v</t>
  </si>
  <si>
    <t>0777806457</t>
  </si>
  <si>
    <t>ranasinghe769@gmail.com</t>
  </si>
  <si>
    <t>0063</t>
  </si>
  <si>
    <t>M Dishani C Fernando</t>
  </si>
  <si>
    <t>Head teacher - Elementary</t>
  </si>
  <si>
    <t>No. 101/20 Guwauwatte, Thimbirigaskatuwa.</t>
  </si>
  <si>
    <t>766890482v</t>
  </si>
  <si>
    <t>0771350718</t>
  </si>
  <si>
    <t>dishanif@gmail.com</t>
  </si>
  <si>
    <t>0064</t>
  </si>
  <si>
    <t>D M D Nirosha S Appuhamy</t>
  </si>
  <si>
    <t>No. 24, Central Garden, Kaluwarippuwa, Katana.</t>
  </si>
  <si>
    <t>768290164v</t>
  </si>
  <si>
    <t>0774444786</t>
  </si>
  <si>
    <t>nirosha.sandamali90@gmail.com</t>
  </si>
  <si>
    <t>0065</t>
  </si>
  <si>
    <t>U L U Harshani Perera</t>
  </si>
  <si>
    <t>No. 302/A, Nayaka Road, Katunayaka</t>
  </si>
  <si>
    <t>858531683v</t>
  </si>
  <si>
    <t>0767139831</t>
  </si>
  <si>
    <t>udeshikaratnasiri@gmail.com</t>
  </si>
  <si>
    <t>18</t>
  </si>
  <si>
    <t>1985</t>
  </si>
  <si>
    <t>0066</t>
  </si>
  <si>
    <t>K Shermila H. Fernando</t>
  </si>
  <si>
    <t>No. 391/2, "Beth-Haran", Pitipana Central, Negombo.</t>
  </si>
  <si>
    <t>198083310051</t>
  </si>
  <si>
    <t>0703177622</t>
  </si>
  <si>
    <t>shermilahf@gmail.com</t>
  </si>
  <si>
    <t>0067</t>
  </si>
  <si>
    <t>Anton Randika Perera</t>
  </si>
  <si>
    <t>No. 02, Malwatta Road, Negombo.</t>
  </si>
  <si>
    <t>198229010103</t>
  </si>
  <si>
    <t>0777710535/0717710535</t>
  </si>
  <si>
    <t>randika.perera@gmail.com</t>
  </si>
  <si>
    <t>0068</t>
  </si>
  <si>
    <t>B A U Nadeeshani Perera</t>
  </si>
  <si>
    <t>No. 238/42, Guruge Royal City, Akkarapanaha.</t>
  </si>
  <si>
    <t>198256203078</t>
  </si>
  <si>
    <t>0760990308/0775095188</t>
  </si>
  <si>
    <t>cinethra1982@gmail.com</t>
  </si>
  <si>
    <t>0069</t>
  </si>
  <si>
    <t>L Ishani S Samaranayake</t>
  </si>
  <si>
    <t>No. 341/C, Mahahunupitiya, Negombo.</t>
  </si>
  <si>
    <t>815531078v</t>
  </si>
  <si>
    <t>0768822593</t>
  </si>
  <si>
    <t>ishanisamaranayake25@gmail.com</t>
  </si>
  <si>
    <t>0070</t>
  </si>
  <si>
    <t>G S Michelle Silva</t>
  </si>
  <si>
    <t>Nalawalana, Gonawila(NWP) 60170</t>
  </si>
  <si>
    <t>917250537v</t>
  </si>
  <si>
    <t>0772020547/0772020548</t>
  </si>
  <si>
    <t>sheringm123@gmail.com</t>
  </si>
  <si>
    <t>1991</t>
  </si>
  <si>
    <t>0071</t>
  </si>
  <si>
    <t>Dinalie M. Kannangara</t>
  </si>
  <si>
    <t>No. 376/17A, Galmankada, Kimbulapitiya, Negombo.</t>
  </si>
  <si>
    <t>756280449v</t>
  </si>
  <si>
    <t>0766123891</t>
  </si>
  <si>
    <t>dinalekannangara@gmail.com</t>
  </si>
  <si>
    <t>0072</t>
  </si>
  <si>
    <t>Niranjala I. Hapuarachchi</t>
  </si>
  <si>
    <t>No 52/19, Rukmanidevi Mawatha, Negombo.</t>
  </si>
  <si>
    <t>805813709v</t>
  </si>
  <si>
    <t>0774117676</t>
  </si>
  <si>
    <t>niranjalaindu111@gmail.com</t>
  </si>
  <si>
    <t>0073</t>
  </si>
  <si>
    <t>W Naleen Niroshan. Fonseka</t>
  </si>
  <si>
    <t>34/33, Galmankada, Kimbulapitiya</t>
  </si>
  <si>
    <t>197908402952</t>
  </si>
  <si>
    <t>0776927299/0760990305</t>
  </si>
  <si>
    <t>naleenfonseka@gmail.com</t>
  </si>
  <si>
    <t>1979</t>
  </si>
  <si>
    <t>2012</t>
  </si>
  <si>
    <t>0074</t>
  </si>
  <si>
    <t>P M D A Malsha Philip</t>
  </si>
  <si>
    <t>No. 252/C, Chilaw road, Waikkala.</t>
  </si>
  <si>
    <t>915621066v</t>
  </si>
  <si>
    <t>0776173439</t>
  </si>
  <si>
    <t>malshaphilip@gmail.com</t>
  </si>
  <si>
    <t>0075</t>
  </si>
  <si>
    <t>A.S.Christeen Wickramanayaka</t>
  </si>
  <si>
    <t>No 488/2A, St. Sebastian Road, Katunayaka.</t>
  </si>
  <si>
    <t>895253383v</t>
  </si>
  <si>
    <t>0775677508</t>
  </si>
  <si>
    <t>wickramanayakeas@gmail.com</t>
  </si>
  <si>
    <t>1989</t>
  </si>
  <si>
    <t>0076</t>
  </si>
  <si>
    <t>P.A.Chandrika P Perera</t>
  </si>
  <si>
    <t>275, 60 Feet Road, Daluppotha, Negombo</t>
  </si>
  <si>
    <t>197476502473</t>
  </si>
  <si>
    <t>0713067000/0762547474</t>
  </si>
  <si>
    <t>chanperera22@gmail.com</t>
  </si>
  <si>
    <t>0077</t>
  </si>
  <si>
    <t>J.G.J. Ruwina Fernando</t>
  </si>
  <si>
    <t>No. 62,Adnivas Road, Periyamulla, Negombo.</t>
  </si>
  <si>
    <t>796700556v</t>
  </si>
  <si>
    <t>0718102110</t>
  </si>
  <si>
    <t>judithfernando18@snic.com</t>
  </si>
  <si>
    <t>0078</t>
  </si>
  <si>
    <t>A K  Sachintha S Attanagoda</t>
  </si>
  <si>
    <t>No. 321,Koranel Watta, Atiyawala, Dankotuwa</t>
  </si>
  <si>
    <t>795320679v</t>
  </si>
  <si>
    <t>0772761711</t>
  </si>
  <si>
    <t>sachinthaaththanagoda@gmail.com</t>
  </si>
  <si>
    <t>0079</t>
  </si>
  <si>
    <t>W Irosh Erin Fernando</t>
  </si>
  <si>
    <t>No. 289, Kaluwarippuwa west, Katana.</t>
  </si>
  <si>
    <t>198381903226</t>
  </si>
  <si>
    <t>0759930400/0773886998</t>
  </si>
  <si>
    <t>fernandoerin08@gmail.com</t>
  </si>
  <si>
    <t>0080</t>
  </si>
  <si>
    <t>B Shammika R Fernando</t>
  </si>
  <si>
    <t>No. 254/3, Temple road, Thimbirigaskatuwa, Negombo</t>
  </si>
  <si>
    <t>916574193v</t>
  </si>
  <si>
    <t>0773380062</t>
  </si>
  <si>
    <t>fshammika@gmail.com</t>
  </si>
  <si>
    <t>0081</t>
  </si>
  <si>
    <t>M.W.A.M.Stephni Fernando</t>
  </si>
  <si>
    <t>No 58, Church Road, Udammita, Ja-ela</t>
  </si>
  <si>
    <t>907511545v</t>
  </si>
  <si>
    <t>0766640500</t>
  </si>
  <si>
    <t>marian.stephni@gmail.com</t>
  </si>
  <si>
    <t>0082</t>
  </si>
  <si>
    <t>T Ramosha Kumarasena</t>
  </si>
  <si>
    <t>H 58, St. Judes Place, Thaladuwa, Negombo.</t>
  </si>
  <si>
    <t>808522209v</t>
  </si>
  <si>
    <t>0772775833</t>
  </si>
  <si>
    <t>rmoshakumarasena@gmail.com</t>
  </si>
  <si>
    <t>0083</t>
  </si>
  <si>
    <t>P D Mithila Wanigasekara</t>
  </si>
  <si>
    <t>No. 160, Andimulla, Katana.</t>
  </si>
  <si>
    <t>837893348v</t>
  </si>
  <si>
    <t>0777189797</t>
  </si>
  <si>
    <t>mithilawanigasekara@gmail.com</t>
  </si>
  <si>
    <t>0084</t>
  </si>
  <si>
    <t>D. Freeman Anthony Fernando</t>
  </si>
  <si>
    <t>Jaya Mawatha, Lunuwila.</t>
  </si>
  <si>
    <t>493001426v</t>
  </si>
  <si>
    <t>0775837637</t>
  </si>
  <si>
    <t>-</t>
  </si>
  <si>
    <t>26</t>
  </si>
  <si>
    <t>0085</t>
  </si>
  <si>
    <t>H.Niroshi M. Peiris</t>
  </si>
  <si>
    <t>575/5, 3rd Kurana, Colombo Road, Negombo</t>
  </si>
  <si>
    <t>806910457v</t>
  </si>
  <si>
    <t>0760990317/0760990318</t>
  </si>
  <si>
    <t>niroshinipeiris@gmail.com</t>
  </si>
  <si>
    <t>2015</t>
  </si>
  <si>
    <t>0086</t>
  </si>
  <si>
    <t>R.D. Rochelle S. Perera</t>
  </si>
  <si>
    <t>No. 1, Cardinal Cooray Mawatha, Negombo.</t>
  </si>
  <si>
    <t>948311518v</t>
  </si>
  <si>
    <t>0757231187</t>
  </si>
  <si>
    <t>shashiniperera194@gmail.com</t>
  </si>
  <si>
    <t>0087</t>
  </si>
  <si>
    <t>Sanduni Ruchina Welgamage</t>
  </si>
  <si>
    <t>No. 74, Wester Citten Estate, N/Kadirana, Demanhandiya</t>
  </si>
  <si>
    <t>937850417v</t>
  </si>
  <si>
    <t>saduniwelgama1993@gmail.com</t>
  </si>
  <si>
    <t>0088</t>
  </si>
  <si>
    <t>Ranga D. Jayasingha</t>
  </si>
  <si>
    <t>No. 130/28, Dwatagahawatta, Seeduwa North, Seeduwa</t>
  </si>
  <si>
    <t>766052266v</t>
  </si>
  <si>
    <t>0722873518</t>
  </si>
  <si>
    <t>paulranga45@gmail.com</t>
  </si>
  <si>
    <t>0089</t>
  </si>
  <si>
    <t>Ruvini K.D. Dissanayake</t>
  </si>
  <si>
    <t>243, Nugawela Road, Mahahunupitiya, Negombo</t>
  </si>
  <si>
    <t>827750590v</t>
  </si>
  <si>
    <t>0779346696/0770517282</t>
  </si>
  <si>
    <t>ruvini1.lk@gmail.com</t>
  </si>
  <si>
    <t>0090</t>
  </si>
  <si>
    <t>Linthotage Myumie Nipunika Fernando</t>
  </si>
  <si>
    <t>No. 95, Koongas Junction, Katana.</t>
  </si>
  <si>
    <t>907440842v</t>
  </si>
  <si>
    <t>myumie.fernando@gmail.com</t>
  </si>
  <si>
    <t>31</t>
  </si>
  <si>
    <t>0091</t>
  </si>
  <si>
    <t>Warnakulasooriya Shanika Sureni Meriyam Fernando</t>
  </si>
  <si>
    <t>No. 400/A, Minuwangoda Road, Bolawalana, Negombo.</t>
  </si>
  <si>
    <t>867731580v</t>
  </si>
  <si>
    <t>sureni.fdo@gmail.com</t>
  </si>
  <si>
    <t>0092</t>
  </si>
  <si>
    <t>S A Nishanthi S  Gunasekara</t>
  </si>
  <si>
    <t xml:space="preserve">P.T.I. </t>
  </si>
  <si>
    <t>No. 5, Youn Street, Periyamulla, Negombo.</t>
  </si>
  <si>
    <t>198271900578</t>
  </si>
  <si>
    <t>nishanthigunasekara.1982@gmail.com</t>
  </si>
  <si>
    <t>0093</t>
  </si>
  <si>
    <t>E A Gayathri Priyanwada</t>
  </si>
  <si>
    <t>No. 59, Jayaratna Road, Negombo</t>
  </si>
  <si>
    <t>885542069v</t>
  </si>
  <si>
    <t>0764616434</t>
  </si>
  <si>
    <t>gaya3edirisinghe@gmail.com</t>
  </si>
  <si>
    <t>1988</t>
  </si>
  <si>
    <t>0094</t>
  </si>
  <si>
    <t>M. A. Dimuthu Chamara</t>
  </si>
  <si>
    <t>18, Courts Junction, Katana.</t>
  </si>
  <si>
    <t>802143540v</t>
  </si>
  <si>
    <t>0724423400</t>
  </si>
  <si>
    <t>dimuthuchamara@gmail.com</t>
  </si>
  <si>
    <t>0095</t>
  </si>
  <si>
    <t>Ayomi Rasangika Hettiarachchi</t>
  </si>
  <si>
    <t>No. 215, Nugawela Road</t>
  </si>
  <si>
    <t>847622890v</t>
  </si>
  <si>
    <t>0779754505/0312238661</t>
  </si>
  <si>
    <t>ayomihettiarachchi@gmail.com</t>
  </si>
  <si>
    <t>0096</t>
  </si>
  <si>
    <t>M Rukshika Madushani Peiris</t>
  </si>
  <si>
    <t>No. 10A, Colombo Road, Katunayaka</t>
  </si>
  <si>
    <t>897693895v</t>
  </si>
  <si>
    <t>0770744254</t>
  </si>
  <si>
    <t>89rukshika@gmail.com</t>
  </si>
  <si>
    <t>M.A. Dilukshika Umayangani</t>
  </si>
  <si>
    <t>No. 560/1C, Janapada Mawatha, Daluwakotuwa, Kochchikade</t>
  </si>
  <si>
    <t>198664900783</t>
  </si>
  <si>
    <t>0777208347</t>
  </si>
  <si>
    <t>gmkdil@gmail.com</t>
  </si>
  <si>
    <t>0098</t>
  </si>
  <si>
    <t>L.A.Nadeesha M.  Andradi</t>
  </si>
  <si>
    <t>No. 18, Kaluwarippuwa West, Katana.</t>
  </si>
  <si>
    <t>856453103v</t>
  </si>
  <si>
    <t>nadeeshaandradi@gmail.com</t>
  </si>
  <si>
    <t>0099</t>
  </si>
  <si>
    <t>M.A.Nirma Suhini Fernando</t>
  </si>
  <si>
    <t>No. 150/B, Jude Mawatha, 2nd Lane, Katuwapiyiya , Negombo.</t>
  </si>
  <si>
    <t>975923797v</t>
  </si>
  <si>
    <t>0778045462</t>
  </si>
  <si>
    <t>nirmasuhi@gmail.com</t>
  </si>
  <si>
    <t>0100</t>
  </si>
  <si>
    <t>Dominica F. Rexie</t>
  </si>
  <si>
    <t>No. 78, Church Road, Kandana.</t>
  </si>
  <si>
    <t>808543192v</t>
  </si>
  <si>
    <t>0776086534</t>
  </si>
  <si>
    <t>dominicarex@gmail.com</t>
  </si>
  <si>
    <t>0101</t>
  </si>
  <si>
    <t>Angel Cornila Deyanthi Leanage Perera</t>
  </si>
  <si>
    <t>22/D, Rajagaha Mawatha, Ekala, Ja-ela</t>
  </si>
  <si>
    <t>967600571v</t>
  </si>
  <si>
    <t>0767109694</t>
  </si>
  <si>
    <t>deyanthileanage16@gmail.com</t>
  </si>
  <si>
    <t>0102</t>
  </si>
  <si>
    <t>M.Upeka S. Molligoda</t>
  </si>
  <si>
    <t>No. 254/1, Geethanjalee, Konndagammulla, Demanhadiya</t>
  </si>
  <si>
    <t>199965701955</t>
  </si>
  <si>
    <t>0768977248</t>
  </si>
  <si>
    <t>upeka.sewwandi01@gmail.com</t>
  </si>
  <si>
    <t>1999</t>
  </si>
  <si>
    <t>0103</t>
  </si>
  <si>
    <t>R Chathuri U Fernando</t>
  </si>
  <si>
    <t>No. 413/1, Nelumpitiya, Thimbirigaskatuwa, Negombo.</t>
  </si>
  <si>
    <t>198779002585</t>
  </si>
  <si>
    <t>0712298341/0703230582</t>
  </si>
  <si>
    <t>r.upekshafdo@gmail.com</t>
  </si>
  <si>
    <t>0104</t>
  </si>
  <si>
    <t>P M Randika S Fernando</t>
  </si>
  <si>
    <t>No. 175/5, St. Nicholas Road, Munnakkaraya, Negombo.</t>
  </si>
  <si>
    <t>927472520v</t>
  </si>
  <si>
    <t>0774641689</t>
  </si>
  <si>
    <t>shehanifernando65@gmail.com</t>
  </si>
  <si>
    <t>1992</t>
  </si>
  <si>
    <t>0105</t>
  </si>
  <si>
    <t>A Rumesh Dinuka Fernando</t>
  </si>
  <si>
    <t>525/5, Halpe, Katana</t>
  </si>
  <si>
    <t>901141100v</t>
  </si>
  <si>
    <t>0713886733/0716375224</t>
  </si>
  <si>
    <t>rumeshdinukafernando@gmail.com</t>
  </si>
  <si>
    <t>0106</t>
  </si>
  <si>
    <t>Mihindukulasuriya Subash Jeewantha Kurera</t>
  </si>
  <si>
    <t>No. 6/2, Pitipana Street, Negombo.</t>
  </si>
  <si>
    <t>980994287v</t>
  </si>
  <si>
    <t>0702098728</t>
  </si>
  <si>
    <t>subashkurera7@gmail.com</t>
  </si>
  <si>
    <t>1998</t>
  </si>
  <si>
    <t>0107</t>
  </si>
  <si>
    <t>E A Thilina Rukshan Edirisinghe</t>
  </si>
  <si>
    <t>0108</t>
  </si>
  <si>
    <t>H D J Sachini Wijewardana</t>
  </si>
  <si>
    <t>No. 196/3, St. Joseph Street, Negombo.</t>
  </si>
  <si>
    <t>965122990v</t>
  </si>
  <si>
    <t>0776866772</t>
  </si>
  <si>
    <t>jithma.wijewardene@gmail.com</t>
  </si>
  <si>
    <t>M P W Rosheni I Peiris</t>
  </si>
  <si>
    <t>No. 236/C, Blue Mountains, Keenakale Estate, Mudukatuwa, Marawila.</t>
  </si>
  <si>
    <t>896574019v</t>
  </si>
  <si>
    <t>0779085189</t>
  </si>
  <si>
    <t>roshenipeiris@gmail.com</t>
  </si>
  <si>
    <t>0110</t>
  </si>
  <si>
    <t>T M Marshally</t>
  </si>
  <si>
    <t>No. 34/7, Shramadana Mawatha, Eththukala, Negombo.</t>
  </si>
  <si>
    <t>198977903296</t>
  </si>
  <si>
    <t>0779949887</t>
  </si>
  <si>
    <t>mackey.marshally@gmail.com</t>
  </si>
  <si>
    <t>0111</t>
  </si>
  <si>
    <t>G Niromi Trilishiya Fernando</t>
  </si>
  <si>
    <t>No. 40/02, Halpe, Katana.</t>
  </si>
  <si>
    <t>897753081v</t>
  </si>
  <si>
    <t>niromifernando3@gmail.com</t>
  </si>
  <si>
    <t>0112</t>
  </si>
  <si>
    <t>Nadashan Niranjan</t>
  </si>
  <si>
    <t>No. 216/A, Bridgeland Estate, Manaweriya, Kochchikade.</t>
  </si>
  <si>
    <t>901323712v</t>
  </si>
  <si>
    <t>nirajazz6@gmail.com</t>
  </si>
  <si>
    <t>0113</t>
  </si>
  <si>
    <t>M Dilkie M R Perera</t>
  </si>
  <si>
    <t>No. 437, Sellakanda Road, Negombo.</t>
  </si>
  <si>
    <t>907402177v</t>
  </si>
  <si>
    <t>dilkie123@gmail.com</t>
  </si>
  <si>
    <t>0114</t>
  </si>
  <si>
    <t>A D Iresha Nuwanthi</t>
  </si>
  <si>
    <t>No. 390/06, Kularathna Mawatha, Katuwapitiya, Negombo.</t>
  </si>
  <si>
    <t>935970865v</t>
  </si>
  <si>
    <t>nuwanthi597@gmail.com</t>
  </si>
  <si>
    <t>0115</t>
  </si>
  <si>
    <t>K P Sanduni N Perera</t>
  </si>
  <si>
    <t>Sri Wickrama Rajasinghe Road, Bolawalana, Negombo.</t>
  </si>
  <si>
    <t>965470638v</t>
  </si>
  <si>
    <t>sanduninadeeshatkd@gmail.com</t>
  </si>
  <si>
    <t>0116</t>
  </si>
  <si>
    <t>C K Viraj Rodrigo</t>
  </si>
  <si>
    <t>Swimming Coach</t>
  </si>
  <si>
    <t>65, Maha Santhiyago Mawatha, Colombo 15.</t>
  </si>
  <si>
    <t>902131442v</t>
  </si>
  <si>
    <t>kaushalrodrigo@gmail.com</t>
  </si>
  <si>
    <t>0117</t>
  </si>
  <si>
    <t>P M D Sahana D Philip</t>
  </si>
  <si>
    <t>No. 252/C, Chilaw Road, Waikkala.</t>
  </si>
  <si>
    <t>928523519v</t>
  </si>
  <si>
    <t>dinuphilip92@gmail.com</t>
  </si>
  <si>
    <t>0118</t>
  </si>
  <si>
    <t>M Vinuri N Fernando</t>
  </si>
  <si>
    <t>Teacher Assistant</t>
  </si>
  <si>
    <t>No. 44, Jayasri Mawatha, Rukkaththana Junction, Negombo.</t>
  </si>
  <si>
    <t>985512426v</t>
  </si>
  <si>
    <t>niranjikafernando@gmail.com</t>
  </si>
  <si>
    <t>0119</t>
  </si>
  <si>
    <t>Malki Shanika Vijayakumar</t>
  </si>
  <si>
    <t>0120</t>
  </si>
  <si>
    <t>P D Ishara Madumali</t>
  </si>
  <si>
    <t>No. 151/B, Jude Mawatha, Katuwapitiya, Negombo.</t>
  </si>
  <si>
    <t>917730342v</t>
  </si>
  <si>
    <t>isharaappuhamy91@gmail.com</t>
  </si>
  <si>
    <t>W A D J T Lakmina Wijayathunga</t>
  </si>
  <si>
    <t>14/A1, Children's Home Road,  Dummaladeniya, Wennappuwa</t>
  </si>
  <si>
    <t>700092526v</t>
  </si>
  <si>
    <t>wadjthlw@yahoo.com</t>
  </si>
  <si>
    <t>0122</t>
  </si>
  <si>
    <t>H Yashodi Ramasha</t>
  </si>
  <si>
    <t>287/8, Thekkawatta, 1st lane, Thimbirigaskatuwa, Negombo</t>
  </si>
  <si>
    <t>2000069903341</t>
  </si>
  <si>
    <t>vishmivindaya@gmail.com</t>
  </si>
  <si>
    <t>0123</t>
  </si>
  <si>
    <t>T Sumudu S Perera</t>
  </si>
  <si>
    <t>Lab Assistant</t>
  </si>
  <si>
    <t>No. 629, Daluwakotuwa, Kochchikade.</t>
  </si>
  <si>
    <t>975411540v</t>
  </si>
  <si>
    <t>sumuduperera54@gmail.com</t>
  </si>
  <si>
    <t>0124</t>
  </si>
  <si>
    <t>D Arron Franklin</t>
  </si>
  <si>
    <t>No. 426, Main Street, Negombo.</t>
  </si>
  <si>
    <t>199513810108</t>
  </si>
  <si>
    <t>darry.franklin@yahoo.com</t>
  </si>
  <si>
    <t>0125</t>
  </si>
  <si>
    <t>H Udmina M Peiris</t>
  </si>
  <si>
    <t>No. 157/1, Andimulla, Katana.</t>
  </si>
  <si>
    <t>957892094v</t>
  </si>
  <si>
    <t>udminamaushanki@gmail.com</t>
  </si>
  <si>
    <t>0126</t>
  </si>
  <si>
    <t xml:space="preserve">B Arosha M Perera  </t>
  </si>
  <si>
    <t>Academic Supervisor &amp; Counselor</t>
  </si>
  <si>
    <t>No. 4/1, Mirigama Road, Banduragoda.</t>
  </si>
  <si>
    <t>196975202310</t>
  </si>
  <si>
    <t>pereram08@gmail.com</t>
  </si>
  <si>
    <t>0127</t>
  </si>
  <si>
    <t>Modarage D A Ravindra Chanaka</t>
  </si>
  <si>
    <t>N0. 237, Bollatha, Ganemulla.</t>
  </si>
  <si>
    <t>830120904v</t>
  </si>
  <si>
    <t>0761823657/0717233657</t>
  </si>
  <si>
    <t>mdaravindra@gmail.com</t>
  </si>
  <si>
    <t>0128</t>
  </si>
  <si>
    <t>P Sumudu Sewwandi</t>
  </si>
  <si>
    <t>R.13 Paththayawaththa Road, Kimbulaptiya.</t>
  </si>
  <si>
    <t>968664158v</t>
  </si>
  <si>
    <t>077675956</t>
  </si>
  <si>
    <t>sumudusewwandi734@gmail.com</t>
  </si>
  <si>
    <t>0129</t>
  </si>
  <si>
    <t>D M A Shyamalie Madurawala</t>
  </si>
  <si>
    <t>No. 541/1, Shramadana Mawatha, Daluwakotuwa, Kochchikade,.</t>
  </si>
  <si>
    <t>717112415v</t>
  </si>
  <si>
    <t>0714803167</t>
  </si>
  <si>
    <t>dmashaj@gmail.com</t>
  </si>
  <si>
    <t>0130</t>
  </si>
  <si>
    <t>M P Sajith Malshan</t>
  </si>
  <si>
    <t>Assistant Sports Coordinator</t>
  </si>
  <si>
    <t>No. 221/12, Pahala Madampalla, Akaragama</t>
  </si>
  <si>
    <t>961460514v</t>
  </si>
  <si>
    <t>0778384119</t>
  </si>
  <si>
    <t>sajithmalshan1996@gmail.com</t>
  </si>
  <si>
    <t>0131</t>
  </si>
  <si>
    <t>Mihindukulasooriya Niroshani Fernando</t>
  </si>
  <si>
    <t>No. 86/03, Dalupotha Road, Thimbirigaskatuwa</t>
  </si>
  <si>
    <t>878652673v</t>
  </si>
  <si>
    <t>niroshanironey@gmail.com</t>
  </si>
  <si>
    <t>0132</t>
  </si>
  <si>
    <t>0133</t>
  </si>
  <si>
    <t>Helen N D Fernando</t>
  </si>
  <si>
    <t>Kamaragoda, Dewalapola</t>
  </si>
  <si>
    <t>196569810047</t>
  </si>
  <si>
    <t>helendumulag@gmail.com</t>
  </si>
  <si>
    <t>0134</t>
  </si>
  <si>
    <t>G. Irushi S. Silva</t>
  </si>
  <si>
    <t>0135</t>
  </si>
  <si>
    <t>Jayamaha Mudalige Don Hiruni Maheshika</t>
  </si>
  <si>
    <t>293, Bopitiya, Pamunugama</t>
  </si>
  <si>
    <t>200077304811</t>
  </si>
  <si>
    <t>0768264943</t>
  </si>
  <si>
    <t>hirunimaheshika29@gmail.com</t>
  </si>
  <si>
    <t>Kovilage Pradeep Lakmal Silva</t>
  </si>
  <si>
    <t>Sports Coordinator</t>
  </si>
  <si>
    <t>665/8, Mukalangamuwa South, Seeduwa</t>
  </si>
  <si>
    <t>198726500024</t>
  </si>
  <si>
    <t>0777999866</t>
  </si>
  <si>
    <t>pradeeplakmal378@gmail.com</t>
  </si>
  <si>
    <t>0137</t>
  </si>
  <si>
    <t>Handunpurage Dasuni Priyadarshika Fernando</t>
  </si>
  <si>
    <t>39/1, Jaya Mawatha, Dalupotha, Negombo</t>
  </si>
  <si>
    <t>200279010273</t>
  </si>
  <si>
    <t>0742166766</t>
  </si>
  <si>
    <t>dasunifernando662@gmail.com</t>
  </si>
  <si>
    <t>0138</t>
  </si>
  <si>
    <t>Shrimali Alahakoon</t>
  </si>
  <si>
    <t>42, Jayaratne Road, Negombo</t>
  </si>
  <si>
    <t>766022057v</t>
  </si>
  <si>
    <t>0773778772</t>
  </si>
  <si>
    <t>shrimaliecon@gmail.com</t>
  </si>
  <si>
    <t>0139</t>
  </si>
  <si>
    <t>Chathuri Yasarathne</t>
  </si>
  <si>
    <t>Trainee Teacher</t>
  </si>
  <si>
    <t>183/7, Father Milinda Gayan Mawatha, Kalaeliya, Ja-ela</t>
  </si>
  <si>
    <t>858403391v</t>
  </si>
  <si>
    <t>070143014</t>
  </si>
  <si>
    <t>chathuri005@yahoo.com</t>
  </si>
  <si>
    <t>0140</t>
  </si>
  <si>
    <t>Hansini Fonseka</t>
  </si>
  <si>
    <t>228/3, Ethgala Road, Kandawala, Katana.</t>
  </si>
  <si>
    <t>975443213v</t>
  </si>
  <si>
    <t>0766408153</t>
  </si>
  <si>
    <t>hansinifonseka@gmail.com</t>
  </si>
  <si>
    <t>0141</t>
  </si>
  <si>
    <t>Shanan Diana Fonseka</t>
  </si>
  <si>
    <t>318, Sri Wickrama Rajasinghe Road, 3rd Kurana, Negombo</t>
  </si>
  <si>
    <t>200157100492</t>
  </si>
  <si>
    <t>0773366890</t>
  </si>
  <si>
    <t>shanonfonseka311@gmail.com</t>
  </si>
  <si>
    <t>0142</t>
  </si>
  <si>
    <t>Nimesha Sewwandi Perera</t>
  </si>
  <si>
    <t>48/2, Bolagala, Katana</t>
  </si>
  <si>
    <t>976402073v</t>
  </si>
  <si>
    <t>0741323237</t>
  </si>
  <si>
    <t>nimeshaperera9719@gmail.com</t>
  </si>
  <si>
    <t>0143</t>
  </si>
  <si>
    <t>Modarage Shavini Ravishka Fernando</t>
  </si>
  <si>
    <t>Shadow Teacher</t>
  </si>
  <si>
    <t>21, Katuwapitiya South, Negombo</t>
  </si>
  <si>
    <t>200078003546</t>
  </si>
  <si>
    <t>0764128084</t>
  </si>
  <si>
    <t>shavinifernando6@gmail.com</t>
  </si>
  <si>
    <t>0144</t>
  </si>
  <si>
    <t>G V Krishani Hiroshi Wickramasinghe</t>
  </si>
  <si>
    <t>62, Deniyaya Road, Dalupotha, Negombo.</t>
  </si>
  <si>
    <t>200075201770</t>
  </si>
  <si>
    <t>0710696746</t>
  </si>
  <si>
    <t>hiroshiwickramasinghe@gmail.com</t>
  </si>
  <si>
    <t>0145</t>
  </si>
  <si>
    <t>Suwetha Samadara</t>
  </si>
  <si>
    <t>360/A, Central Garden, Kaluwarippuwa, Katana</t>
  </si>
  <si>
    <t>200361011162</t>
  </si>
  <si>
    <t>0761025518</t>
  </si>
  <si>
    <t>suwetha.samadara17@gmail.com</t>
  </si>
  <si>
    <t>0146</t>
  </si>
  <si>
    <t>A S Imaya Udayanthi Fernando</t>
  </si>
  <si>
    <t>117, Pillawa Road, Dalupotha, Negombo.</t>
  </si>
  <si>
    <t>987460709v</t>
  </si>
  <si>
    <t>0703400851</t>
  </si>
  <si>
    <t>mayaarumapura98@gmail.com</t>
  </si>
  <si>
    <t>0147</t>
  </si>
  <si>
    <t>Kehelbaddarage Anushima Roshini Fernando</t>
  </si>
  <si>
    <t>0148</t>
  </si>
  <si>
    <t>Wijenarayana Mudiyanselage Sayani Sanchila</t>
  </si>
  <si>
    <t>J. 1/1, Malwatta, Galmankada, Kuliyapitiya.</t>
  </si>
  <si>
    <t>200076102384</t>
  </si>
  <si>
    <t>0729073644</t>
  </si>
  <si>
    <t>shainysanchila@gmail.com</t>
  </si>
  <si>
    <t>0149</t>
  </si>
  <si>
    <t>M P Madushi Priyanwada</t>
  </si>
  <si>
    <t>34, De Silva Mawatha, Negombo</t>
  </si>
  <si>
    <t>917410097v</t>
  </si>
  <si>
    <t>0777786670</t>
  </si>
  <si>
    <t>madushix91@gmail.com</t>
  </si>
  <si>
    <t>0150</t>
  </si>
  <si>
    <t>A Gawrangi Imasha Fernando</t>
  </si>
  <si>
    <t>200176400327</t>
  </si>
  <si>
    <t>0705819005</t>
  </si>
  <si>
    <t>fernahgaw@gmail.com</t>
  </si>
  <si>
    <t>0151</t>
  </si>
  <si>
    <t>Dona Anne Jayani Halahakoon</t>
  </si>
  <si>
    <t>12/2, Silversand road, Pallansena South, Kochchikade</t>
  </si>
  <si>
    <t>200157900020</t>
  </si>
  <si>
    <t>0769891035</t>
  </si>
  <si>
    <t>annejayani126@gmail.com</t>
  </si>
  <si>
    <t>0152</t>
  </si>
  <si>
    <t>Anne Shameena Veenadvani Rayen</t>
  </si>
  <si>
    <t>115, Andimulla, Katana</t>
  </si>
  <si>
    <t>199971910095</t>
  </si>
  <si>
    <t>0766764888 / 0776937743</t>
  </si>
  <si>
    <t>shameerayen9@gmail.com</t>
  </si>
  <si>
    <t>0153</t>
  </si>
  <si>
    <t>Sachini Roberta</t>
  </si>
  <si>
    <t>Intern (Special Needs Unit)</t>
  </si>
  <si>
    <t>9, Koswadiya, Mahawewa</t>
  </si>
  <si>
    <t>200173510160</t>
  </si>
  <si>
    <t>0763792126</t>
  </si>
  <si>
    <t>sssrobertha@gmail.com</t>
  </si>
  <si>
    <t>0154</t>
  </si>
  <si>
    <t>Sharan Fernando</t>
  </si>
  <si>
    <t>92, Polaga Estate, Kimbulapitiya</t>
  </si>
  <si>
    <t>200012704100</t>
  </si>
  <si>
    <t>0768602361</t>
  </si>
  <si>
    <t>sharanfernando@gmail.com</t>
  </si>
  <si>
    <t>053</t>
  </si>
  <si>
    <t>0155</t>
  </si>
  <si>
    <t>N/A</t>
  </si>
  <si>
    <t>0156</t>
  </si>
  <si>
    <t>921931158V</t>
  </si>
  <si>
    <t>nuwanthajayakody11@gmail.com</t>
  </si>
  <si>
    <t>0157</t>
  </si>
  <si>
    <t>017</t>
  </si>
  <si>
    <t>0158</t>
  </si>
  <si>
    <t>737270645V</t>
  </si>
  <si>
    <t>711117868, 770242059</t>
  </si>
  <si>
    <t>srvasanthy789@gmail.com</t>
  </si>
  <si>
    <t>YES</t>
  </si>
  <si>
    <t>066</t>
  </si>
  <si>
    <t>0159</t>
  </si>
  <si>
    <t>698064790V</t>
  </si>
  <si>
    <t>sr.ritak@gmail.com</t>
  </si>
  <si>
    <t>0160</t>
  </si>
  <si>
    <t>935290970V</t>
  </si>
  <si>
    <t>srindivarysds@gmail.com</t>
  </si>
  <si>
    <t>0161</t>
  </si>
  <si>
    <t>887673560V</t>
  </si>
  <si>
    <t>senaniharshani@gmail.com</t>
  </si>
  <si>
    <t>011</t>
  </si>
  <si>
    <t>0162</t>
  </si>
  <si>
    <t>875452207V</t>
  </si>
  <si>
    <t>ashalcsta@gmail.com</t>
  </si>
  <si>
    <t>018</t>
  </si>
  <si>
    <t>0163</t>
  </si>
  <si>
    <t>747461899V</t>
  </si>
  <si>
    <t>dilinirasika74@gmail.com</t>
  </si>
  <si>
    <t>023</t>
  </si>
  <si>
    <t>0164</t>
  </si>
  <si>
    <t>895523372V</t>
  </si>
  <si>
    <t>pshayaniiperera@gmail.com</t>
  </si>
  <si>
    <t>034</t>
  </si>
  <si>
    <t>0165</t>
  </si>
  <si>
    <t>800172101V</t>
  </si>
  <si>
    <t>eddieed9@gmail.com</t>
  </si>
  <si>
    <t>037</t>
  </si>
  <si>
    <t>0166</t>
  </si>
  <si>
    <t>853481380V</t>
  </si>
  <si>
    <t>714436551, 775416955</t>
  </si>
  <si>
    <t>charithsrimal123@gmail.com</t>
  </si>
  <si>
    <t>039</t>
  </si>
  <si>
    <t>0167</t>
  </si>
  <si>
    <t>915034136V</t>
  </si>
  <si>
    <t>nimanthih89@gmail.com</t>
  </si>
  <si>
    <t>040</t>
  </si>
  <si>
    <t>0168</t>
  </si>
  <si>
    <t>741310821V</t>
  </si>
  <si>
    <t>wsjanak74@gmail.com</t>
  </si>
  <si>
    <t>042</t>
  </si>
  <si>
    <t>0169</t>
  </si>
  <si>
    <t>842483581V</t>
  </si>
  <si>
    <t>715776211, 715742874</t>
  </si>
  <si>
    <t>dilanalex@gmail.com</t>
  </si>
  <si>
    <t>048</t>
  </si>
  <si>
    <t>0170</t>
  </si>
  <si>
    <t>0171</t>
  </si>
  <si>
    <t>N0642737/ 895780723V</t>
  </si>
  <si>
    <t>rukshini@hotmail.co.uk</t>
  </si>
  <si>
    <t>063</t>
  </si>
  <si>
    <t>0172</t>
  </si>
  <si>
    <t>777801260V</t>
  </si>
  <si>
    <t>himali.gunaratne@gmail.com</t>
  </si>
  <si>
    <t>068</t>
  </si>
  <si>
    <t>0173</t>
  </si>
  <si>
    <t>955571045V</t>
  </si>
  <si>
    <t>716210993, 726144951</t>
  </si>
  <si>
    <t>isurifernando555@gmail.com</t>
  </si>
  <si>
    <t>071</t>
  </si>
  <si>
    <t>858412820V</t>
  </si>
  <si>
    <t>ranchrishanthi@yahoo.com</t>
  </si>
  <si>
    <t>074</t>
  </si>
  <si>
    <t>0175</t>
  </si>
  <si>
    <t>707872160V</t>
  </si>
  <si>
    <t>718104553, 768096419</t>
  </si>
  <si>
    <t>dilrukshi.perera33@gmail.com</t>
  </si>
  <si>
    <t>075</t>
  </si>
  <si>
    <t>0176</t>
  </si>
  <si>
    <t>867152121V</t>
  </si>
  <si>
    <t>wminolee@yahoo.com</t>
  </si>
  <si>
    <t>080</t>
  </si>
  <si>
    <t>0177</t>
  </si>
  <si>
    <t>750461786V</t>
  </si>
  <si>
    <t>melvincreasions@yahoo.com</t>
  </si>
  <si>
    <t>082</t>
  </si>
  <si>
    <t>0178</t>
  </si>
  <si>
    <t>391340668V</t>
  </si>
  <si>
    <t>086</t>
  </si>
  <si>
    <t>0179</t>
  </si>
  <si>
    <t>0180</t>
  </si>
  <si>
    <t>782880403V</t>
  </si>
  <si>
    <t>calistus178@gmail.com</t>
  </si>
  <si>
    <t>0181</t>
  </si>
  <si>
    <t>756012746V</t>
  </si>
  <si>
    <t>nelumgunarathne@gmail.com</t>
  </si>
  <si>
    <t>0182</t>
  </si>
  <si>
    <t>965962417V</t>
  </si>
  <si>
    <t>thashiserena@gmail.com</t>
  </si>
  <si>
    <t>0183</t>
  </si>
  <si>
    <t>933643182V</t>
  </si>
  <si>
    <t>shamelsilvash@gmail.com</t>
  </si>
  <si>
    <t>0184</t>
  </si>
  <si>
    <t>838451900V</t>
  </si>
  <si>
    <t>shereen.m.p.f@gmail.com</t>
  </si>
  <si>
    <t>0185</t>
  </si>
  <si>
    <t>663352261V</t>
  </si>
  <si>
    <t>71-4251612</t>
  </si>
  <si>
    <t>jkampperera@gmail.com</t>
  </si>
  <si>
    <t>0186</t>
  </si>
  <si>
    <t>967583944V</t>
  </si>
  <si>
    <t>767308697</t>
  </si>
  <si>
    <t>shayani.dileka@gmail.com</t>
  </si>
  <si>
    <t>0187</t>
  </si>
  <si>
    <t>856282244V</t>
  </si>
  <si>
    <t>Methodist</t>
  </si>
  <si>
    <t>clankesha@gmail.com</t>
  </si>
  <si>
    <t>0188</t>
  </si>
  <si>
    <t>0189</t>
  </si>
  <si>
    <t>847803720V</t>
  </si>
  <si>
    <t>deannaanthony8@gmail.com</t>
  </si>
  <si>
    <t>0190</t>
  </si>
  <si>
    <t>782271350V</t>
  </si>
  <si>
    <t>sanjeewa140878@gmail.com</t>
  </si>
  <si>
    <t>0191</t>
  </si>
  <si>
    <t>887530505V</t>
  </si>
  <si>
    <t>pshakila20@yahoo.com</t>
  </si>
  <si>
    <t>0192</t>
  </si>
  <si>
    <t>958373171V</t>
  </si>
  <si>
    <t>dilmiperera7@gmail.com</t>
  </si>
  <si>
    <t>0193</t>
  </si>
  <si>
    <t>925740527V</t>
  </si>
  <si>
    <t>malki.priyangi@gmail.com</t>
  </si>
  <si>
    <t>0194</t>
  </si>
  <si>
    <t>582570108V</t>
  </si>
  <si>
    <t>0195</t>
  </si>
  <si>
    <t>767832060V</t>
  </si>
  <si>
    <t>samanthiwd@gmail.com</t>
  </si>
  <si>
    <t>0197</t>
  </si>
  <si>
    <t>896841033V</t>
  </si>
  <si>
    <t>dilki198951@gmail.com</t>
  </si>
  <si>
    <t>0198</t>
  </si>
  <si>
    <t>968590430V</t>
  </si>
  <si>
    <t>kavindhiperera1@gmail.com</t>
  </si>
  <si>
    <t>935530458V</t>
  </si>
  <si>
    <t>thilini.chanika0222@gmail.com</t>
  </si>
  <si>
    <t>0200</t>
  </si>
  <si>
    <t>0201</t>
  </si>
  <si>
    <t>921990324V</t>
  </si>
  <si>
    <t>lakkika.123perera@gmail.com</t>
  </si>
  <si>
    <t>0202</t>
  </si>
  <si>
    <t>741420228V</t>
  </si>
  <si>
    <t>759051323, 764667287</t>
  </si>
  <si>
    <t>peirisroshan21@gmail.com</t>
  </si>
  <si>
    <t>0203</t>
  </si>
  <si>
    <t>926800795V</t>
  </si>
  <si>
    <t>rochellev0628@gmail.com</t>
  </si>
  <si>
    <t>0204</t>
  </si>
  <si>
    <t>900660863V</t>
  </si>
  <si>
    <t>hilariyanomila@gmail.com</t>
  </si>
  <si>
    <t>0205</t>
  </si>
  <si>
    <t>967742139V</t>
  </si>
  <si>
    <t>isharajayakody5555@gmail.com</t>
  </si>
  <si>
    <t>0206</t>
  </si>
  <si>
    <t>822994300V</t>
  </si>
  <si>
    <t>721148029, 767379463</t>
  </si>
  <si>
    <t>shehanasuk377@gmail.com</t>
  </si>
  <si>
    <t>0207</t>
  </si>
  <si>
    <t>986112553V</t>
  </si>
  <si>
    <t>777729185, 767750608</t>
  </si>
  <si>
    <t>sarahayeshi@gmail.com</t>
  </si>
  <si>
    <t>0208</t>
  </si>
  <si>
    <t>928071839V</t>
  </si>
  <si>
    <t>770066953,</t>
  </si>
  <si>
    <t>rebeka.heshi@gmail.com</t>
  </si>
  <si>
    <t>0209</t>
  </si>
  <si>
    <t>730702329V</t>
  </si>
  <si>
    <t>wdsamsonroy@gmail.com</t>
  </si>
  <si>
    <t>0210</t>
  </si>
  <si>
    <t>915321984V</t>
  </si>
  <si>
    <t>milanigunawardena@gmail.com</t>
  </si>
  <si>
    <t>930413810V</t>
  </si>
  <si>
    <t>emildulantha@gmail.com</t>
  </si>
  <si>
    <t>0212</t>
  </si>
  <si>
    <t>975250504V</t>
  </si>
  <si>
    <t>chamikavinidi@gmail.com</t>
  </si>
  <si>
    <t>0213</t>
  </si>
  <si>
    <t>978433162V</t>
  </si>
  <si>
    <t>dilki9708@gmail.com</t>
  </si>
  <si>
    <t>0214</t>
  </si>
  <si>
    <t>985203709V</t>
  </si>
  <si>
    <t>sanunish1998@gmail.com</t>
  </si>
  <si>
    <t>0215</t>
  </si>
  <si>
    <t>936203434V</t>
  </si>
  <si>
    <t>kalutaradewmi@gmail.com</t>
  </si>
  <si>
    <t>0216</t>
  </si>
  <si>
    <t>927041413V</t>
  </si>
  <si>
    <t>mekala.stic@gmail.com</t>
  </si>
  <si>
    <t>0217</t>
  </si>
  <si>
    <t>831980109V</t>
  </si>
  <si>
    <t>ruwanstcic@yahoo.com</t>
  </si>
  <si>
    <t>0218</t>
  </si>
  <si>
    <t>niluk19990401@gmail.com</t>
  </si>
  <si>
    <t>0219</t>
  </si>
  <si>
    <t>735610767V</t>
  </si>
  <si>
    <t>777306747, 714918684</t>
  </si>
  <si>
    <t>chamilaperera73@yahoo.com</t>
  </si>
  <si>
    <t>957491960V</t>
  </si>
  <si>
    <t>dilky22@gmail.com</t>
  </si>
  <si>
    <t>198281900067</t>
  </si>
  <si>
    <t>udeshika3442@gmail.com</t>
  </si>
  <si>
    <t>0222</t>
  </si>
  <si>
    <t>720071479V</t>
  </si>
  <si>
    <t>nishandemel7@gmail.com</t>
  </si>
  <si>
    <t>0224</t>
  </si>
  <si>
    <t>867903062V</t>
  </si>
  <si>
    <t>suchithraperera0@gmail.com</t>
  </si>
  <si>
    <t>0225</t>
  </si>
  <si>
    <t>0226</t>
  </si>
  <si>
    <t>0227</t>
  </si>
  <si>
    <t>990282196V</t>
  </si>
  <si>
    <t>anujanirosh9@gmail.com</t>
  </si>
  <si>
    <t>0228</t>
  </si>
  <si>
    <t>926410369V</t>
  </si>
  <si>
    <t>771120898, 772861327</t>
  </si>
  <si>
    <t>shaleendrisilva92@gmail.com</t>
  </si>
  <si>
    <t>0229</t>
  </si>
  <si>
    <t>0230</t>
  </si>
  <si>
    <t>916170270V</t>
  </si>
  <si>
    <t>poornimananayakkara9161@gmail.com</t>
  </si>
  <si>
    <t>0231</t>
  </si>
  <si>
    <t>colombagenipuni07@gmail.com</t>
  </si>
  <si>
    <t>0232</t>
  </si>
  <si>
    <t>fernandosinendry@gmail.com</t>
  </si>
  <si>
    <t>0233</t>
  </si>
  <si>
    <t>0234</t>
  </si>
  <si>
    <t>976520840V</t>
  </si>
  <si>
    <t>mayomifdo1997@gmail.com</t>
  </si>
  <si>
    <t>0235</t>
  </si>
  <si>
    <t>976773667V</t>
  </si>
  <si>
    <t>76 8899073</t>
  </si>
  <si>
    <t>nicholie6184@gmail.com</t>
  </si>
  <si>
    <t>0236</t>
  </si>
  <si>
    <t>dewmini.opatha@gmail.com</t>
  </si>
  <si>
    <t>0237</t>
  </si>
  <si>
    <t>662110124V</t>
  </si>
  <si>
    <t>susantha.stat@gmail.com</t>
  </si>
  <si>
    <t>0238</t>
  </si>
  <si>
    <t>956201500V</t>
  </si>
  <si>
    <t>menushaprishani@gmail.com</t>
  </si>
  <si>
    <t>0239</t>
  </si>
  <si>
    <t>935470242V</t>
  </si>
  <si>
    <t>ayeshafernando93@gmail.com</t>
  </si>
  <si>
    <t>0240</t>
  </si>
  <si>
    <t>998200784V</t>
  </si>
  <si>
    <t>hirunifernando42@gmail.com</t>
  </si>
  <si>
    <t>0241</t>
  </si>
  <si>
    <t>988192546V</t>
  </si>
  <si>
    <t>madavirfernando@gmail.com</t>
  </si>
  <si>
    <t>0242</t>
  </si>
  <si>
    <t>0243</t>
  </si>
  <si>
    <t>nimantha.lakmina.fdo@gmail.com</t>
  </si>
  <si>
    <t>0244</t>
  </si>
  <si>
    <t>977392268V</t>
  </si>
  <si>
    <t>kaushalya.nfernando@gmail.com</t>
  </si>
  <si>
    <t>0245</t>
  </si>
  <si>
    <t>amilasura80@gmail.com</t>
  </si>
  <si>
    <t>0246</t>
  </si>
  <si>
    <t>968511114V</t>
  </si>
  <si>
    <t>madusaf@gmail.com</t>
  </si>
  <si>
    <t>0247</t>
  </si>
  <si>
    <t>985080011V</t>
  </si>
  <si>
    <t>maliefdo@gmail.com</t>
  </si>
  <si>
    <t>rashinidesilva19@gmail.com</t>
  </si>
  <si>
    <t>701075345, 775136060</t>
  </si>
  <si>
    <t>savidifernando9@gmail.com</t>
  </si>
  <si>
    <t>956881781 V</t>
  </si>
  <si>
    <t>nisansalapgg@gmail.com</t>
  </si>
  <si>
    <t>953570432V</t>
  </si>
  <si>
    <t>sajith.bimsara15@gmail.com</t>
  </si>
  <si>
    <t>oleevia.2002@gmail.com</t>
  </si>
  <si>
    <t>775642050V</t>
  </si>
  <si>
    <t>samanitissera@gmail.com</t>
  </si>
  <si>
    <t>915320252V</t>
  </si>
  <si>
    <t>priyanka.sudarshani@hotmail.com</t>
  </si>
  <si>
    <t>887692491V</t>
  </si>
  <si>
    <t>disani.neranjala@gmail.com</t>
  </si>
  <si>
    <t>591251627V</t>
  </si>
  <si>
    <t>sheltonrodrigo59@gmail.com</t>
  </si>
  <si>
    <t>umeshakc2123@gmail.com</t>
  </si>
  <si>
    <t>938353484V</t>
  </si>
  <si>
    <t>704135499, 775445336</t>
  </si>
  <si>
    <t>charmyafernando@gmail.com</t>
  </si>
  <si>
    <t>viyarafernanado@gmail.com</t>
  </si>
  <si>
    <t>896651277V</t>
  </si>
  <si>
    <t>nineshumendispeiris@gmail.com</t>
  </si>
  <si>
    <t>862351100V</t>
  </si>
  <si>
    <t>718234507, 7188213778</t>
  </si>
  <si>
    <t>rangana0771icloud.com</t>
  </si>
  <si>
    <t>77 162 7979</t>
  </si>
  <si>
    <t xml:space="preserve">sharmilamascrenghe@gmail.com </t>
  </si>
  <si>
    <t>995541645V</t>
  </si>
  <si>
    <t>michellefernandofeb23@gmail.com/ selanifernando50@gmail.com</t>
  </si>
  <si>
    <t>512352596V</t>
  </si>
  <si>
    <t>shyamw2010@gmail.com</t>
  </si>
  <si>
    <t>975670961V</t>
  </si>
  <si>
    <t>760967990, 764529678</t>
  </si>
  <si>
    <t>sohanitharushika97@gamil.com</t>
  </si>
  <si>
    <t>947420380V</t>
  </si>
  <si>
    <t>prabha94fernando@gmail.com</t>
  </si>
  <si>
    <t>0273</t>
  </si>
  <si>
    <t>961142172V</t>
  </si>
  <si>
    <t>lakshan.udara@gmail.com</t>
  </si>
  <si>
    <t>651053951V</t>
  </si>
  <si>
    <t>763397700,  776285798</t>
  </si>
  <si>
    <t>856973409V</t>
  </si>
  <si>
    <t>nimmisiriwardana@gamil.com</t>
  </si>
  <si>
    <t>955173732V</t>
  </si>
  <si>
    <t>763200130, 768721293</t>
  </si>
  <si>
    <t>mariyandilhanifernando@gmail.com</t>
  </si>
  <si>
    <t>907771164V</t>
  </si>
  <si>
    <t>938034435V</t>
  </si>
  <si>
    <t>772566357, 769962562</t>
  </si>
  <si>
    <t>chanuridesilva93@gmail.com</t>
  </si>
  <si>
    <t>968332058V</t>
  </si>
  <si>
    <t>996481824V</t>
  </si>
  <si>
    <t>2/051/200/0026</t>
  </si>
  <si>
    <t>2/051/586/0027</t>
  </si>
  <si>
    <t>2/051/782/0028</t>
  </si>
  <si>
    <t>2/051/791/0029</t>
  </si>
  <si>
    <t>2/052/788/0106</t>
  </si>
  <si>
    <t>2/052/861/0123</t>
  </si>
  <si>
    <t>2/053/018/0163</t>
  </si>
  <si>
    <t>2/053/034/0165</t>
  </si>
  <si>
    <t>2/053/037/0166</t>
  </si>
  <si>
    <t>2/053/042/0169</t>
  </si>
  <si>
    <t>2/053/082/0178</t>
  </si>
  <si>
    <t>2/053/101/0180</t>
  </si>
  <si>
    <t>2/053/117/0183</t>
  </si>
  <si>
    <t>2/053/120/0186</t>
  </si>
  <si>
    <t>2/053/154/0194</t>
  </si>
  <si>
    <t>2/053/181/0203</t>
  </si>
  <si>
    <t>2/053/188/0205</t>
  </si>
  <si>
    <t>2/053/189/0206</t>
  </si>
  <si>
    <t>2/053/209/0214</t>
  </si>
  <si>
    <t>2/053/213/0216</t>
  </si>
  <si>
    <t>2/053/215/0217</t>
  </si>
  <si>
    <t>2/053/217/0218</t>
  </si>
  <si>
    <t>2/053/235/0227</t>
  </si>
  <si>
    <t>2/053/259/0238</t>
  </si>
  <si>
    <t>2/053/274/0246</t>
  </si>
  <si>
    <t>2/053/275/0247</t>
  </si>
  <si>
    <t>2/053/320/0273</t>
  </si>
  <si>
    <t>3/051/424/0030</t>
  </si>
  <si>
    <t>3/051/685/0031</t>
  </si>
  <si>
    <t>3/051/723/0032</t>
  </si>
  <si>
    <t>3/051/xxx/0033</t>
  </si>
  <si>
    <t>3/051/882/0037</t>
  </si>
  <si>
    <t>009</t>
  </si>
  <si>
    <t>010</t>
  </si>
  <si>
    <t>012</t>
  </si>
  <si>
    <t>013</t>
  </si>
  <si>
    <t>014</t>
  </si>
  <si>
    <t>015</t>
  </si>
  <si>
    <t>016</t>
  </si>
  <si>
    <t>019</t>
  </si>
  <si>
    <t>020</t>
  </si>
  <si>
    <t>021</t>
  </si>
  <si>
    <t>022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</si>
  <si>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</si>
  <si>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</si>
  <si>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</si>
  <si>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</si>
  <si>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</si>
  <si>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</si>
  <si>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</si>
  <si>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</si>
  <si>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</si>
  <si>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</si>
  <si>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035</t>
  </si>
  <si>
    <t>036</t>
  </si>
  <si>
    <t>038</t>
  </si>
  <si>
    <t>041</t>
  </si>
  <si>
    <t>043</t>
  </si>
  <si>
    <t>044</t>
  </si>
  <si>
    <t>045</t>
  </si>
  <si>
    <t>046</t>
  </si>
  <si>
    <t>047</t>
  </si>
  <si>
    <t>049</t>
  </si>
  <si>
    <t>050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</si>
  <si>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</si>
  <si>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</si>
  <si>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</si>
  <si>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</si>
  <si>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</si>
  <si>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</si>
  <si>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</si>
  <si>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</si>
  <si>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</si>
  <si>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064</t>
  </si>
  <si>
    <t>065</t>
  </si>
  <si>
    <t>067</t>
  </si>
  <si>
    <t>069</t>
  </si>
  <si>
    <t>070</t>
  </si>
  <si>
    <t>072</t>
  </si>
  <si>
    <t>073</t>
  </si>
  <si>
    <t>076</t>
  </si>
  <si>
    <t>077</t>
  </si>
  <si>
    <t>078</t>
  </si>
  <si>
    <t>079</t>
  </si>
  <si>
    <t>081</t>
  </si>
  <si>
    <t>083</t>
  </si>
  <si>
    <t>084</t>
  </si>
  <si>
    <t>085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</si>
  <si>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</si>
  <si>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</si>
  <si>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</si>
  <si>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</si>
  <si>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</si>
  <si>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</si>
  <si>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</si>
  <si>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</si>
  <si>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</si>
  <si>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</si>
  <si>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</si>
  <si>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</si>
  <si>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</si>
  <si>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</si>
  <si>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</si>
  <si>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</si>
  <si>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</si>
  <si>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</si>
  <si>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</si>
  <si>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</si>
  <si>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</si>
  <si>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109</t>
  </si>
  <si>
    <t>110</t>
  </si>
  <si>
    <t>111</t>
  </si>
  <si>
    <t>112</t>
  </si>
  <si>
    <t>113</t>
  </si>
  <si>
    <t>114</t>
  </si>
  <si>
    <t>115</t>
  </si>
  <si>
    <t>Teacher Identification Number               (TIN)</t>
  </si>
  <si>
    <t>Rector/principal</t>
  </si>
  <si>
    <t>Vice rector</t>
  </si>
  <si>
    <t>Spiritual director</t>
  </si>
  <si>
    <t>Rev. Sr. Thirasa Vasanthy Gnanapragasam</t>
  </si>
  <si>
    <t>Rev.Sr.Rankothge Himali Winifred Rita Kumarasinghe</t>
  </si>
  <si>
    <t>Rev. Sr. Indivary Justine Kumar</t>
  </si>
  <si>
    <t>Chandramarakkalage Senani Srihali Harshani Silva</t>
  </si>
  <si>
    <t>85/07, Liyanagemulla, Seeduwa</t>
  </si>
  <si>
    <t>No 64/5, St. Anne's Road, Kurana</t>
  </si>
  <si>
    <t xml:space="preserve">Salvatorian Sisters, No.64/5, St.Ann's Church Road, Kurana, Negombo </t>
  </si>
  <si>
    <t>Salvatorian Sisters, Children Of Joy Home, 612/6, Mabola, Wattala</t>
  </si>
  <si>
    <t xml:space="preserve">102, Major Lalaka Fernando Mawatha,Weralugahawatta, Weligampitiya, Ja-Ela </t>
  </si>
  <si>
    <t>Mahamuge Anne Shalini Costa</t>
  </si>
  <si>
    <t>Pillaliyanage Tiyasha Shayani Perera</t>
  </si>
  <si>
    <t>Carmel Nimanthi Hettiarachchi</t>
  </si>
  <si>
    <t>Wishanthi Soloman Janak</t>
  </si>
  <si>
    <t>Rukshini Dilhani Fernando</t>
  </si>
  <si>
    <t>Nanayakkara Haddagodage Himali Gunaratne</t>
  </si>
  <si>
    <t>Hettiyadura Isuri Udayanthi Fernando</t>
  </si>
  <si>
    <t>Colondawahettige Ran Chrishanthi Perera</t>
  </si>
  <si>
    <t>Anne Dilrukshi Perera</t>
  </si>
  <si>
    <t>Don Brenda Minolee Wanniarachchi</t>
  </si>
  <si>
    <t>Melvin Priyantha Bulner</t>
  </si>
  <si>
    <t>Head Master Of Pti And Discipline Senior</t>
  </si>
  <si>
    <t>Head Master Of Sports</t>
  </si>
  <si>
    <t>No 139/12, Samanwela Mawatha, Demanhandiya</t>
  </si>
  <si>
    <t>80 D, Gampaha Road, Ekala, Ja-Ela</t>
  </si>
  <si>
    <t>No. 17/112, Nixon Court, Jude Mawatha, Mahahunupitiya, Negombo</t>
  </si>
  <si>
    <t>No.21, Wendesi Watta, Welhena, 3rd Lane, Mahabage, Welisara</t>
  </si>
  <si>
    <t>No.454/2 ,  Near The New Cemetary Road , Wennappuwa</t>
  </si>
  <si>
    <t>No. 64/15/3, Dharshana Mawatha, Liyanagemulla, Seeduwa.</t>
  </si>
  <si>
    <t>No. 21/6, A Rajasinghe Road, Mabola, Wattala</t>
  </si>
  <si>
    <t>No. 56/9, Morawatte Road, Nagoda, Kandana</t>
  </si>
  <si>
    <t>No. 66/2/C, Elehiwatte Road, Welisara, Ragama</t>
  </si>
  <si>
    <t>Samurdhi Mw, Dummalakotuwa, Dankotuwa</t>
  </si>
  <si>
    <t>No. 281/5, Madelgamuwa, Gampaha</t>
  </si>
  <si>
    <t>Madugoda Gunarathnalage Dulika Nayanakanthi</t>
  </si>
  <si>
    <t>Arachchige Tharushi Warnakulasuriya</t>
  </si>
  <si>
    <t>Kurukulasooriyage Shereen Mala Priyadarshani Fernando</t>
  </si>
  <si>
    <t>Jayasurya Kuranage Andrew Michael Priyantha Perera</t>
  </si>
  <si>
    <t>Chathurngi Lankesha Fernando</t>
  </si>
  <si>
    <t>Shalini Vithanage</t>
  </si>
  <si>
    <t>Deanna Theresa Anthony</t>
  </si>
  <si>
    <t>Kannangara Arachchige Benildus Sanjeewa Perera</t>
  </si>
  <si>
    <t>Halihinge Mary Shakila Perera</t>
  </si>
  <si>
    <t>Dassanayake Mudalige Maduka Dilmi Perera</t>
  </si>
  <si>
    <t>Warnakulasooriya Malka Ann Priyangi Fernando</t>
  </si>
  <si>
    <t>Marian Samanthi Wijesinghe</t>
  </si>
  <si>
    <t>Ethige Ayeshi Nilandika Silva</t>
  </si>
  <si>
    <t>No. 1b, 61l, Nhs, Raddolugama</t>
  </si>
  <si>
    <t>No. 515/10, Thissa Road, Liyanagemulla, Seeduwa</t>
  </si>
  <si>
    <t>No. 79/3, Church Road, Bandarawatta, Seeduwa</t>
  </si>
  <si>
    <t>No.187,Chilaw Road, Periyamulla, Negombo</t>
  </si>
  <si>
    <t>No.646/4,Nugagaha Road, Katunayake</t>
  </si>
  <si>
    <t>No. 4b 58 L, National Housing Scheme, Raddolugama</t>
  </si>
  <si>
    <t>No 65/7 Negambo Rd, Kandana</t>
  </si>
  <si>
    <t>No. 144/5, Morawatta, Nagoda, Kandana</t>
  </si>
  <si>
    <t>No. 227, Bopitiya, Pamunugama</t>
  </si>
  <si>
    <t>Vernon Cot'', St. Anthony's Road, P/ Katuneriya, Katuneriya</t>
  </si>
  <si>
    <t>No. 213/60, Jaya Mawatha, Kandawala, Katana</t>
  </si>
  <si>
    <t>Koswattage Dilki Ayesha Perera</t>
  </si>
  <si>
    <t>Wickramasinghe Arachchilage Chethana Kavindhi Perera</t>
  </si>
  <si>
    <t>Wickramarathnage Thilini Chanika Wickramarathna</t>
  </si>
  <si>
    <t>Aththidi Panagoda Liyanage Dona Nashani Thakshila Maduwanthi</t>
  </si>
  <si>
    <t>Jayashdesh Lakkhika Perera</t>
  </si>
  <si>
    <t>Roshan Anton Jude Peiris</t>
  </si>
  <si>
    <t>Hettiarachchige Don Omila Naushan Appuhamy</t>
  </si>
  <si>
    <t>Sarah Ayeshika Navodyni Soza</t>
  </si>
  <si>
    <t>Mahapatabandige Anne Rebeka Heshani Perera</t>
  </si>
  <si>
    <t>Warnakulasuriya Don Samson Roy</t>
  </si>
  <si>
    <t>Milani Gunawardena</t>
  </si>
  <si>
    <t>Emil Dulantha Cooray</t>
  </si>
  <si>
    <t>Chamika Kavindi Warnakulasuriya</t>
  </si>
  <si>
    <t>Ishara Dilki Silva</t>
  </si>
  <si>
    <t>Koralalage Dona Sri Tharini Dewmi Kalutara</t>
  </si>
  <si>
    <t>Kasadoruge Chamila Sudanthi Perera</t>
  </si>
  <si>
    <t>Mareena Dilshika Cooray</t>
  </si>
  <si>
    <t>Assistant Incharge Of Athletics</t>
  </si>
  <si>
    <t>Master In Charge Of Athletics Cum Athletic Coach</t>
  </si>
  <si>
    <t>No. 192/1a, Matagoda Road, Kerawalapitiya, Hendala, Wattala</t>
  </si>
  <si>
    <t>116/6, Dharshana Avenue, Liyanagemulla, Seeduwa</t>
  </si>
  <si>
    <t>No. 274/1a, Pattiyawala, Uswetakeiyawa</t>
  </si>
  <si>
    <t>No. 164/10/A, John Perera Mawatha, Kandawala, Katana</t>
  </si>
  <si>
    <t>No. 124/1/A, Demanhandiya</t>
  </si>
  <si>
    <t>No. 215/1b, Kadawatha Road, Wennappuwa</t>
  </si>
  <si>
    <t>No. 184/3b, Baseline Road, Thimbirigaskatuwa, Negombo</t>
  </si>
  <si>
    <t>No. 241/B, Batagama North, Jaela</t>
  </si>
  <si>
    <t>No. 176, 'Loretto', St. Mary's Road, Uswetakeiyawa</t>
  </si>
  <si>
    <t>No. 73, Amuna Road, Bandarawatta, Seeduwa</t>
  </si>
  <si>
    <t>No. 172/5, Chilaw Road, Negombo</t>
  </si>
  <si>
    <t>Samalka, Usweward, Anamaduwa</t>
  </si>
  <si>
    <t>No. 166a, Chilaw Road, Waikkala</t>
  </si>
  <si>
    <t>No. 55, Pansilgoda, Minuwangoda</t>
  </si>
  <si>
    <t>No 31/7 Temple Road, Hapugoda, Kandana</t>
  </si>
  <si>
    <t>No 169, St Nichlos Road, Munnakkaraya , Negombo</t>
  </si>
  <si>
    <t>Nallahandi Anne Dilhani Udeshika Nirmala De Silva</t>
  </si>
  <si>
    <t>Christopher Nishan De Mel</t>
  </si>
  <si>
    <t>Batepolage Don Ashan Lakmal</t>
  </si>
  <si>
    <t>Narayana Mudalige Suchithra Nadeeshani Perera</t>
  </si>
  <si>
    <t>Suzette Anne Ramona Jansz Fernando</t>
  </si>
  <si>
    <t>Galkissage Thilini Prasangika Fernando</t>
  </si>
  <si>
    <t>Karunanayake Marian Nishani Shaleendri Silva</t>
  </si>
  <si>
    <t>Tharushi Hangsika Weckasinghe</t>
  </si>
  <si>
    <t>Thelikada Palliye Guruge Poornima Nanayakkara</t>
  </si>
  <si>
    <t>Colombage Meeriam Nipuni Sahasrika Silva</t>
  </si>
  <si>
    <t>Warnakulasuriya Juwan Warnage Sinendry Hidy Fernando</t>
  </si>
  <si>
    <t>No 486,Kurana ,Katunayake</t>
  </si>
  <si>
    <t>103/35e ,Roland Park,Kapalakanda Rd,Weligampitiya , Ja Ela</t>
  </si>
  <si>
    <t>No 75, Jayaweedi Mawatha, Wennappuwa</t>
  </si>
  <si>
    <t>70/34, Walawwaththa, Churcg Road, Kandana</t>
  </si>
  <si>
    <t>No.14, Sri Wijaya Sri Mawatha, Gampaha</t>
  </si>
  <si>
    <t>No.96/B, Jayabima, Kadirana South, Negombo</t>
  </si>
  <si>
    <t>50/A, Rukmanidevi Mawatha, Negombo</t>
  </si>
  <si>
    <t>Kurukulasooriya Shelan Lalitha Shashanka Fernando</t>
  </si>
  <si>
    <t>Warnakulasooriya Mirissage Mayomi Lankika Fernando</t>
  </si>
  <si>
    <t>Panambarage Nicholie Nilmani Fernando</t>
  </si>
  <si>
    <t>Dona Dewmini Ayshwarya Opatha</t>
  </si>
  <si>
    <t>Hiruga Arachchige Susantha Saviour</t>
  </si>
  <si>
    <t>Warnakulasuriya Ayesha Dulanjalee Fernando</t>
  </si>
  <si>
    <t>Alagappage Hiruni Navodya Fernando</t>
  </si>
  <si>
    <t>Pauluge Promodhi Chathumadavi Rasangika Fernando</t>
  </si>
  <si>
    <t>Adhikari Mudiyanselage Rajeew Kaveendra Adhikari</t>
  </si>
  <si>
    <t>Warnakulasuriya Nimantha Lakmina Fernando</t>
  </si>
  <si>
    <t>Kurukulasuriya Anne Kaushalya Nirmani Fernando</t>
  </si>
  <si>
    <t>Geikianage Maximus Amila Suraj Fernando</t>
  </si>
  <si>
    <t>Gardiyawasam Lindamulage Veronica Rashini De Silva</t>
  </si>
  <si>
    <t>Swimming Insturctor</t>
  </si>
  <si>
    <t>Head Mistress</t>
  </si>
  <si>
    <t>Teacher - Pfe</t>
  </si>
  <si>
    <t>Assistant Teacher - Pfe</t>
  </si>
  <si>
    <t>Trainee Teacher - Pfe</t>
  </si>
  <si>
    <t>No. 117/1, Rejina Road, Munnakkara, Negombo.</t>
  </si>
  <si>
    <t>No. 286, Colombo Road, Weligampitiya, Ja Ela</t>
  </si>
  <si>
    <t>No.239/1a/1, Polgahahena Road, Ragama.</t>
  </si>
  <si>
    <t>No. 60/1 B, Cotta Road, Borella.</t>
  </si>
  <si>
    <t>730, Galbemma Road, Wennappuwa</t>
  </si>
  <si>
    <t>603/44 A, 3rd Kurana, Colombo Road, Negombo</t>
  </si>
  <si>
    <t>2a2, Gamunu Mawatha, Minuwangoda.</t>
  </si>
  <si>
    <t xml:space="preserve">No. 92/20, Ajency Watta, Kadawatha Road, Wennappuwa. </t>
  </si>
  <si>
    <t>95, St. Nicholas Road, Munnakaraya, Negombo</t>
  </si>
  <si>
    <t xml:space="preserve">No. 77, Dewomottawa, Andiambalama </t>
  </si>
  <si>
    <t>No. 70b, Towerside City, Kadirana, Negombo</t>
  </si>
  <si>
    <t>Nishshanka Savidi Sasinka Fernando</t>
  </si>
  <si>
    <t>Karen Melissa Sellar</t>
  </si>
  <si>
    <t>Dona Tinali Janeesha Pothupitiya</t>
  </si>
  <si>
    <t>Nisansala Piumanthi Gamage Gunasekara</t>
  </si>
  <si>
    <t>Heenkenda Mudalige Dona Buddhini Perera</t>
  </si>
  <si>
    <t>Gorakanage Inuri Chamathka Dharithri De Silva</t>
  </si>
  <si>
    <t>Rochelle Andrea Dissanayake</t>
  </si>
  <si>
    <t>Nidukshi Rangana Edirisinghe</t>
  </si>
  <si>
    <t>Sri Madhipathige Sajith Bimsara Thalgahagoda</t>
  </si>
  <si>
    <t>No. 5/390, Bathgammulla, Ragama</t>
  </si>
  <si>
    <t>T/07, Niwasipura, Kotugoda</t>
  </si>
  <si>
    <t>No. 1323/2, Jayawardena Place, Biyagama Road, Kelaniya</t>
  </si>
  <si>
    <t>176/D, Gonawila Central, Dankotuwa</t>
  </si>
  <si>
    <t>No. 83/2/1/1, Nicholas Macus Mawatha, Kadolkele, Negombo</t>
  </si>
  <si>
    <t>Gomullage Don Anne Oleevia Denuwanee</t>
  </si>
  <si>
    <t>Warnakulasuriya Anne Samani Nilusha Tissera</t>
  </si>
  <si>
    <t>Permunu Gamage Dona Sudarshani Priyangika</t>
  </si>
  <si>
    <t>Agampodi Disani Neranjala De Zoysa</t>
  </si>
  <si>
    <t>Bastian Koralalage Shelton Rodrigo</t>
  </si>
  <si>
    <t>Kumbalathara Arachchige Umesha Priyashakthi Wijesingha Gunarathne</t>
  </si>
  <si>
    <t>Aluthgamage Andrea Charmya Fernando</t>
  </si>
  <si>
    <t>Dombawalage Viyara Gemini Fernando</t>
  </si>
  <si>
    <t>Gamameda Liyanage Nimesha Mendis</t>
  </si>
  <si>
    <t>Nawarathnage Rangana Prasad</t>
  </si>
  <si>
    <t>Mary Sharmila Mascrenghe</t>
  </si>
  <si>
    <t>Marappulige Shelani Michelle Fernando</t>
  </si>
  <si>
    <t>Shyam Sunder Wijayendran</t>
  </si>
  <si>
    <t>No. 228/1, Kalwary Road, Bopitiya, Pamunugama</t>
  </si>
  <si>
    <t>"River Bank", Nainamadama (West), Nainamadama</t>
  </si>
  <si>
    <t>No 172, Batagama North, Duwa, Jaela</t>
  </si>
  <si>
    <t>No.27/A, Thissa Road, Mahawewa</t>
  </si>
  <si>
    <t>No52: St. Juwam Mawatha, Nagoda, Kandana</t>
  </si>
  <si>
    <t>No.280/B, Garden City , Katana.</t>
  </si>
  <si>
    <t xml:space="preserve">29/8 Norbert Mawalage Mawatha,  Maradana Road, Hendala, Wattala </t>
  </si>
  <si>
    <t>217/3,Pubudu Mawatha, Kopiyawatta,Ragama</t>
  </si>
  <si>
    <t>Senarath Wasamudali Arachchcige Sohani Thrushika Pananwala</t>
  </si>
  <si>
    <t>Prabhashwari Fernando</t>
  </si>
  <si>
    <t>Manam Prasanna De Silva</t>
  </si>
  <si>
    <t>Nimmi Dinusha Siriwardana</t>
  </si>
  <si>
    <t>Wijayakulasuriya Patabandige Mariyan Dilhani Fernando</t>
  </si>
  <si>
    <t xml:space="preserve">Nimasha Manojini Perera </t>
  </si>
  <si>
    <t>Chanuri Prathibha De Silva</t>
  </si>
  <si>
    <t>Galgamuge Ishara Kaumali Silva</t>
  </si>
  <si>
    <t>Kuruppu Arachchige Nawodya Subakthi Mendis</t>
  </si>
  <si>
    <t xml:space="preserve">Assistant Teacher </t>
  </si>
  <si>
    <t>94, Munidasa Kumarathunga Mawatha,Bandarawatta, Seeduwa</t>
  </si>
  <si>
    <t>56/A, ''Sarada,'' Church Yard Road, Katukenda East, Dankotuwa</t>
  </si>
  <si>
    <t>336/8a, Newcity Gardens, Timbirigaskotuwa.</t>
  </si>
  <si>
    <t>92/1/A/2, Thampala, Raddolugama</t>
  </si>
  <si>
    <t>11b/68r, National Housing Scheme, Raddolugama</t>
  </si>
  <si>
    <t>24/A, Church Lane, Weligampitiya, Ja-Ela</t>
  </si>
  <si>
    <t>53/1/1, St. Mary's Road, Ja-Ela</t>
  </si>
  <si>
    <t>211/4, Gama Mada Road, Raddolugama, Seeduwa</t>
  </si>
  <si>
    <t>Edirisinghe Mudiyanselage Dilini Rasika Edirisinghe</t>
  </si>
  <si>
    <t>Assistant Accountant</t>
  </si>
  <si>
    <t>No 276/7, Sugatharama Road, Seeduwa</t>
  </si>
  <si>
    <t>Wishmakarma Manam Muhandiramlage Susithe Edward</t>
  </si>
  <si>
    <t>Susith, Suse Road (West), Wennappuwa</t>
  </si>
  <si>
    <t>Mahamuge Charith Srimal Fernando</t>
  </si>
  <si>
    <t xml:space="preserve">Assistant Administrative Officer </t>
  </si>
  <si>
    <t>No. 18, Nirmala Mawatha, 8th Lane, Katuwapitiya, Negombo</t>
  </si>
  <si>
    <t>Paul Peter Dilan Alex</t>
  </si>
  <si>
    <t>Manager - It</t>
  </si>
  <si>
    <t>No 14/7, Dewala Road , Hendala, Wattala</t>
  </si>
  <si>
    <t>Robert Haemish Pemsiri De Silva</t>
  </si>
  <si>
    <t>Office Helper</t>
  </si>
  <si>
    <t>No. 57/1, Baseline Road, Amandoluwa, Seeduwa</t>
  </si>
  <si>
    <t>Thaleirathna Mudalige Don Tyronne Wickramasekara</t>
  </si>
  <si>
    <t>Assistant Academic Coordinator</t>
  </si>
  <si>
    <t>No. 10/1, Senasungoda, Pugoda</t>
  </si>
  <si>
    <t>Kalinga Prabuddi Shamel Silva</t>
  </si>
  <si>
    <t>Assistant Manager-It</t>
  </si>
  <si>
    <t>No.84,Visakawatta ,Ekala, Jaela</t>
  </si>
  <si>
    <t>Bothalage Shayani Dileka Fernando</t>
  </si>
  <si>
    <t>No.86,"Chandra",Bandarawatte, Seeduwa</t>
  </si>
  <si>
    <t>Polwattage Saman Jayananda Costa</t>
  </si>
  <si>
    <t xml:space="preserve">Front Officer </t>
  </si>
  <si>
    <t>No. 551, Sathuta, Dandugama, Jaela.</t>
  </si>
  <si>
    <t>Nadeesha Dilshanie Rochelle Vanderwall</t>
  </si>
  <si>
    <t>Examination Officer</t>
  </si>
  <si>
    <t>Piumi Ishara Jayakody</t>
  </si>
  <si>
    <t>No. 463/C, Pulluhena, Pamunugama</t>
  </si>
  <si>
    <t>Palihewadena Arachchige Shehan Asuk Perera Jayawardena</t>
  </si>
  <si>
    <t>No. 35/13, Dadly Senanayake Mawatha, Negombo</t>
  </si>
  <si>
    <t>Muthunamagonnage Anne Sanasha Nishmi Fernando</t>
  </si>
  <si>
    <t>No. 84a, St. Jude's Road, Enderamulla, Wattala</t>
  </si>
  <si>
    <t>Wadihiti Hamulage Harshani Mekala</t>
  </si>
  <si>
    <t>It Assistant</t>
  </si>
  <si>
    <t>No. 25/41, Kalyani Mawatha, Wattala</t>
  </si>
  <si>
    <t>Ruwan Sanjeewa Hettiarachchi</t>
  </si>
  <si>
    <t>Receptionist</t>
  </si>
  <si>
    <t>Pitawala Mawatha, Gonawila, Dankotuwa</t>
  </si>
  <si>
    <t>Warnakulasooriya Emmanuel Nilukshan Fernando</t>
  </si>
  <si>
    <t>Academic Assistant</t>
  </si>
  <si>
    <t>No 19/33, Cardinal Coorey Road, Sea Street, Negombo</t>
  </si>
  <si>
    <t>Hathurusinha Arachhilage Don Anuja Nirosh</t>
  </si>
  <si>
    <t>No.482/B, Jayasinhamavatha, Nugape, Pamunugama</t>
  </si>
  <si>
    <t>Menusha Prishani Wijerathna</t>
  </si>
  <si>
    <t>Administrative Officer</t>
  </si>
  <si>
    <t xml:space="preserve">No. 383, Mahawatta, Pamunugama </t>
  </si>
  <si>
    <t>Panambarage Madushi Sankalpana Fernando</t>
  </si>
  <si>
    <t>No. 79, Welihena South, Kochchikade</t>
  </si>
  <si>
    <t>Kariyakarawanage Malini Priyashani Fernando</t>
  </si>
  <si>
    <t>Admin Office - Assistant</t>
  </si>
  <si>
    <t>40/1, St. Nikula Mawatha, South Katuwapitiya , Negombo.</t>
  </si>
  <si>
    <t>Manannaidelage Lakshan Udara Fonseka</t>
  </si>
  <si>
    <t>37/4, St. Xavier Road, Ja-Ela</t>
  </si>
  <si>
    <t>Christian</t>
  </si>
  <si>
    <t>21915 days</t>
  </si>
  <si>
    <t>60 years</t>
  </si>
  <si>
    <t>Years</t>
  </si>
  <si>
    <t>Assistant Teacher</t>
  </si>
  <si>
    <t>1/053/031/0174</t>
  </si>
  <si>
    <t>1/053/035/0178</t>
  </si>
  <si>
    <t>51   -   St. nicholas International Schools, Pelawatta, Colombo</t>
  </si>
  <si>
    <t>52   -   St. Nicholas International School, Negombo</t>
  </si>
  <si>
    <t>53   -   St. Thomas International School, Seeduwa</t>
  </si>
  <si>
    <t>No. of Teachers</t>
  </si>
  <si>
    <t>Total No. of Teachers</t>
  </si>
  <si>
    <t>No. of Students</t>
  </si>
  <si>
    <t>1/053/051/0194</t>
  </si>
  <si>
    <t>1/053/053/0196</t>
  </si>
  <si>
    <t>1/053/056/0199</t>
  </si>
  <si>
    <t>1/053/060/0203</t>
  </si>
  <si>
    <t>1/053/068/0211</t>
  </si>
  <si>
    <t>1/053/075/0218</t>
  </si>
  <si>
    <t>1/053/077/0220</t>
  </si>
  <si>
    <t>1/053/078/0221</t>
  </si>
  <si>
    <t>1/053/080/0223</t>
  </si>
  <si>
    <t>STIC</t>
  </si>
  <si>
    <t>1/052/069/0097</t>
  </si>
  <si>
    <t>1/052/081/0109</t>
  </si>
  <si>
    <t>1/052/093/0121</t>
  </si>
  <si>
    <t>T. Dilmi U.</t>
  </si>
  <si>
    <t>1/052/095/0123</t>
  </si>
  <si>
    <t>1/052/108/0136</t>
  </si>
  <si>
    <t>SNIC, Col</t>
  </si>
  <si>
    <t>Those who left (before 31.03.2023)</t>
  </si>
  <si>
    <t>31.03.2023</t>
  </si>
  <si>
    <t>Rev. Fr. Sudam Perera</t>
  </si>
  <si>
    <t>sudhamperera12@gmail.com</t>
  </si>
  <si>
    <t>3198/6 Nelumpitiya Road, Thimbirigaskatuwa, Negombo</t>
  </si>
  <si>
    <t>217/C, Galahitiyawa, Ganemulla</t>
  </si>
  <si>
    <t>46/4 Millagahawatta, Amandoluwa, Seeduwa</t>
  </si>
  <si>
    <t xml:space="preserve">No: 58/3, Mount Calvary Road, Ja Ela </t>
  </si>
  <si>
    <t>26.02.2023</t>
  </si>
  <si>
    <t>01.03.2023</t>
  </si>
  <si>
    <t>26.03.2023</t>
  </si>
  <si>
    <t>Interviewed on</t>
  </si>
  <si>
    <t>Appointment Effective from</t>
  </si>
  <si>
    <t>GM's Interview and Confirmation Letter</t>
  </si>
  <si>
    <t>1/053/086/0229</t>
  </si>
  <si>
    <t>1/053/087/0230</t>
  </si>
  <si>
    <t>1/053/088/0231</t>
  </si>
  <si>
    <t>1/053/090/0233</t>
  </si>
  <si>
    <t>1/053/091/0234</t>
  </si>
  <si>
    <t>1/053/092/0235</t>
  </si>
  <si>
    <t>1/053/094/0237</t>
  </si>
  <si>
    <t>BK Shelton Rodrigo</t>
  </si>
  <si>
    <t>KA Umesha PW Gunarathne</t>
  </si>
  <si>
    <t>AA Charmya Fernando</t>
  </si>
  <si>
    <t>GL Nimesha Mendis</t>
  </si>
  <si>
    <t>M Sharmila Mascrenghe</t>
  </si>
  <si>
    <t>495B, Dakunu Pulluhena, Bopitiya, Pamunugama</t>
  </si>
  <si>
    <t>495 B, Dakunu Pulluhena, Bopitiya, Pamunugama</t>
  </si>
  <si>
    <t xml:space="preserve">TIN </t>
  </si>
  <si>
    <t>1st Appointment</t>
  </si>
  <si>
    <t>54</t>
  </si>
  <si>
    <t>786872936V</t>
  </si>
  <si>
    <t>0775900199</t>
  </si>
  <si>
    <t>FEMALE</t>
  </si>
  <si>
    <t>896371843V</t>
  </si>
  <si>
    <t xml:space="preserve">ISLAM </t>
  </si>
  <si>
    <t>0775151745</t>
  </si>
  <si>
    <t>safeekasithithi@gmail.com</t>
  </si>
  <si>
    <t>886190310V</t>
  </si>
  <si>
    <t>0771561983</t>
  </si>
  <si>
    <t>smanonst@gmail.com</t>
  </si>
  <si>
    <t>896170252V</t>
  </si>
  <si>
    <t>0769994590</t>
  </si>
  <si>
    <t>sriyanjaliwick@gmail.com</t>
  </si>
  <si>
    <t>877763196V</t>
  </si>
  <si>
    <t>0770770924</t>
  </si>
  <si>
    <t>jeenawijesinghe@gmail.com</t>
  </si>
  <si>
    <t>785960645V</t>
  </si>
  <si>
    <t>0761177386</t>
  </si>
  <si>
    <t>976820037V</t>
  </si>
  <si>
    <t>0775818008</t>
  </si>
  <si>
    <t>annedanya@gmail.com</t>
  </si>
  <si>
    <t>966861452V</t>
  </si>
  <si>
    <t>0779273088</t>
  </si>
  <si>
    <t>hmgpiumali@gmail.com</t>
  </si>
  <si>
    <t>988060992V</t>
  </si>
  <si>
    <t>0757148318</t>
  </si>
  <si>
    <t>isharadilshanind@gmail.com</t>
  </si>
  <si>
    <t>966142570V</t>
  </si>
  <si>
    <t>0711984844</t>
  </si>
  <si>
    <t>sachifoo4@gmail.com</t>
  </si>
  <si>
    <t>995091100V</t>
  </si>
  <si>
    <t>0771039092</t>
  </si>
  <si>
    <t xml:space="preserve">luvishasithumini1963@gmail.com </t>
  </si>
  <si>
    <t>855332329V</t>
  </si>
  <si>
    <t>0779915711</t>
  </si>
  <si>
    <t>roshanirangika50@gmail.com</t>
  </si>
  <si>
    <t>996052354V</t>
  </si>
  <si>
    <t>0765997374</t>
  </si>
  <si>
    <t>shenoliya99@icloud.com</t>
  </si>
  <si>
    <t>0770789775</t>
  </si>
  <si>
    <t xml:space="preserve">fernandonimalka193@gmail.com </t>
  </si>
  <si>
    <t>0713712218</t>
  </si>
  <si>
    <t>randeniyahashen@gmail.com</t>
  </si>
  <si>
    <t>0764313092</t>
  </si>
  <si>
    <t xml:space="preserve">sandaliarumapura@gmail.com </t>
  </si>
  <si>
    <t>2001</t>
  </si>
  <si>
    <t>898612759V</t>
  </si>
  <si>
    <t>sulfanaas@gmail.com</t>
  </si>
  <si>
    <t>798662961V</t>
  </si>
  <si>
    <t>0776413678</t>
  </si>
  <si>
    <t>shashikarr@yahoo.com</t>
  </si>
  <si>
    <t>0769034186</t>
  </si>
  <si>
    <t>antonwishwa77@gmail.com</t>
  </si>
  <si>
    <t>0778280053</t>
  </si>
  <si>
    <t>senurifdo45@gmail.com</t>
  </si>
  <si>
    <t xml:space="preserve">ASLAM DEEN FATHIMA HUSNA </t>
  </si>
  <si>
    <t xml:space="preserve">OFFICE </t>
  </si>
  <si>
    <t xml:space="preserve">331/C MAHAHUNUPITIYA, NEGOMBO </t>
  </si>
  <si>
    <t>0761793734</t>
  </si>
  <si>
    <t xml:space="preserve">onlinehus786@gmail.com </t>
  </si>
  <si>
    <t>54   -   St. Michelle's College, Negombo</t>
  </si>
  <si>
    <t>COUNTIF(B16:B1048576,51)  52,  53, 54</t>
  </si>
  <si>
    <t xml:space="preserve">Amaratunga Arachchige Shalika Roshani Amaratunga </t>
  </si>
  <si>
    <t xml:space="preserve">Teacher </t>
  </si>
  <si>
    <t xml:space="preserve">Near St. Ann's Church Ikiriwewa Thambuththagama </t>
  </si>
  <si>
    <t>Mohamed Rashideen Siththi Safeeka</t>
  </si>
  <si>
    <t xml:space="preserve">8/A Rahumanabath, Periyamulla, Negombo </t>
  </si>
  <si>
    <t xml:space="preserve">Irippuge Starina Manon Fernando </t>
  </si>
  <si>
    <t xml:space="preserve">132/A, Andimulla, Katana </t>
  </si>
  <si>
    <t>Gangabadage Tilani Sriyanjali</t>
  </si>
  <si>
    <t>14/40/1, Malberiwattha, Baseline Rd, Kadirana / North, Demanhandiya</t>
  </si>
  <si>
    <t xml:space="preserve">Wijesinghe Padipperuma Arachchige Jeena Madushani Wijesinghe  </t>
  </si>
  <si>
    <t xml:space="preserve">No, 149/2, Graseland Estate, Demanhandiya </t>
  </si>
  <si>
    <t xml:space="preserve">Singappulige Subani Wathsala Fernando </t>
  </si>
  <si>
    <t>117/A, Baseline Rd, Kadirana North, Timbirigaskatuwa</t>
  </si>
  <si>
    <t xml:space="preserve">Anne Danya Satsaranie Madanasinghe </t>
  </si>
  <si>
    <t xml:space="preserve">216a/32, Sri Jinawansha Nahimi Pi, Kimbulapitiya Rd, Negombo </t>
  </si>
  <si>
    <t xml:space="preserve">Hewa Madihage Gayana Piumali </t>
  </si>
  <si>
    <t xml:space="preserve">169/9, Cemetery Rd, Liyanagemull, Seeduwa </t>
  </si>
  <si>
    <t xml:space="preserve">Weerakkodi Mohottige Ishara Dilshani </t>
  </si>
  <si>
    <t xml:space="preserve">480/1, Jayakodi Place, Divulapitiya </t>
  </si>
  <si>
    <t xml:space="preserve">Illekuttige Sachini Sewwandi Fernando </t>
  </si>
  <si>
    <t xml:space="preserve">171/440, Palm Grove, 3rd Lane, Minuwangoda Rd, Kadirana, Negombo </t>
  </si>
  <si>
    <t xml:space="preserve">Palakuttige Luvisha Sithumini Fernando </t>
  </si>
  <si>
    <t xml:space="preserve">50/16 Mangala Rd, 3rd Kurana, Negombo </t>
  </si>
  <si>
    <t xml:space="preserve">10/32, Hiugo Palihawadana Mawatha Seeduwa </t>
  </si>
  <si>
    <t xml:space="preserve">George Nimalan Shenoliya </t>
  </si>
  <si>
    <t xml:space="preserve">33/2/1 Palangathura East, Kochchikade </t>
  </si>
  <si>
    <t xml:space="preserve">Magage Nimalka Dammini Fernando </t>
  </si>
  <si>
    <t xml:space="preserve">155/4, St. Jude Mawatha, Katuwapitiya </t>
  </si>
  <si>
    <t xml:space="preserve">Randeni Arachchi Ge Don Hashen Sadeepa Randeniya </t>
  </si>
  <si>
    <t xml:space="preserve">848/D St Rita Road Thampaliya, Jaela </t>
  </si>
  <si>
    <t xml:space="preserve">Arumapurage Sandali Rashmika Fernando </t>
  </si>
  <si>
    <t>419/2, Nelumpitiya, Thimbirigaskatuwa</t>
  </si>
  <si>
    <t>Mohamed Sulaiman Kamil Sulfa Naas</t>
  </si>
  <si>
    <t xml:space="preserve">463/8, Colombo Rd Negombo </t>
  </si>
  <si>
    <t xml:space="preserve">Shashika Rshani Rupasinghe </t>
  </si>
  <si>
    <t>96/16, Colombo Rd, Negombo</t>
  </si>
  <si>
    <t>Warnakulasuriya Anton Wishwa Sandakalum Fernando</t>
  </si>
  <si>
    <t xml:space="preserve">133/1, Mahahunupitiya, Negombo </t>
  </si>
  <si>
    <t xml:space="preserve">Warnakulasuriya Senuri Diwyangani Fernando </t>
  </si>
  <si>
    <t>148/A/15 Isuru Uyana, St. John Mawatha, Kandawala Katana</t>
  </si>
  <si>
    <t xml:space="preserve">Roman Catholic </t>
  </si>
  <si>
    <t xml:space="preserve">Islam </t>
  </si>
  <si>
    <t xml:space="preserve">Buddhist </t>
  </si>
  <si>
    <t xml:space="preserve">Male </t>
  </si>
  <si>
    <t>1/051/014/0014</t>
  </si>
  <si>
    <t>1/051/020/0020</t>
  </si>
  <si>
    <t>SNIC, Negombo</t>
  </si>
  <si>
    <t>H.N. Piumi Virajika</t>
  </si>
  <si>
    <t xml:space="preserve">Old number given to </t>
  </si>
  <si>
    <t>Piumi Virajika</t>
  </si>
  <si>
    <t>Date joined</t>
  </si>
  <si>
    <t>24.04.2023</t>
  </si>
  <si>
    <t>01.09.2023</t>
  </si>
  <si>
    <t>TM Asitha Madhawa Tennakoon</t>
  </si>
  <si>
    <t>Rev. Fr. Jipson Fernando</t>
  </si>
  <si>
    <t>Rev. Fr. Tyronne Perera</t>
  </si>
  <si>
    <t>Rev. Fr. Samith Rangana</t>
  </si>
  <si>
    <t>Principal</t>
  </si>
  <si>
    <t>St. Michelle's College, Thimbirigaskatuwa, Negombo</t>
  </si>
  <si>
    <t>Rev. Bro. Sajan Chilka</t>
  </si>
  <si>
    <t>PP - S 7634660</t>
  </si>
  <si>
    <t>sajanosb@gmail.com</t>
  </si>
  <si>
    <t>0756382823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</si>
  <si>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</si>
  <si>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</si>
  <si>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</si>
  <si>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</si>
  <si>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</si>
  <si>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</si>
  <si>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</si>
  <si>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</si>
  <si>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</si>
  <si>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</si>
  <si>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</si>
  <si>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</si>
  <si>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</si>
  <si>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</si>
  <si>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</si>
  <si>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</si>
  <si>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</si>
  <si>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</si>
  <si>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</si>
  <si>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</si>
  <si>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</si>
  <si>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</si>
  <si>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</si>
  <si>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</si>
  <si>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</si>
  <si>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</si>
  <si>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</si>
  <si>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</si>
  <si>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</si>
  <si>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</si>
  <si>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</si>
  <si>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0269</t>
  </si>
  <si>
    <t>0270</t>
  </si>
  <si>
    <t>0271</t>
  </si>
  <si>
    <t>0272</t>
  </si>
  <si>
    <t>0274</t>
  </si>
  <si>
    <t>0275</t>
  </si>
  <si>
    <t>0276</t>
  </si>
  <si>
    <t>0277</t>
  </si>
  <si>
    <t>0278</t>
  </si>
  <si>
    <t>No. 336/8A, Newcity Gardens, Thimbirigaskatuwa</t>
  </si>
  <si>
    <t>651053951v</t>
  </si>
  <si>
    <t>0776285798/0763397700</t>
  </si>
  <si>
    <t>chathuryadesilva081@gmail.com</t>
  </si>
  <si>
    <t>Jayathilake Hitihami Appuhamilage Nimansana Yasas Sri Jayathilake</t>
  </si>
  <si>
    <t>328, Ullalapola, Divulapitiya</t>
  </si>
  <si>
    <t>199874501149</t>
  </si>
  <si>
    <t>yasassrij@gmail.com</t>
  </si>
  <si>
    <t>Warnakulasuriya Maleesha Vinodi Lanza</t>
  </si>
  <si>
    <t>No. 71/6, 5th Lane, St. Jude place, Kadolkele, Thaladuwa, Negombo</t>
  </si>
  <si>
    <t>967821560v</t>
  </si>
  <si>
    <t>maleeshalanza2013@gmail.com</t>
  </si>
  <si>
    <t>Kumarasinghege Kosambi Manthila</t>
  </si>
  <si>
    <t>442 (17/1), Bakmeegolla, Ibbagamuwa</t>
  </si>
  <si>
    <t>0774946043</t>
  </si>
  <si>
    <t>hellomanthi@gmail.com</t>
  </si>
  <si>
    <t>126</t>
  </si>
  <si>
    <t>127</t>
  </si>
  <si>
    <t>128</t>
  </si>
  <si>
    <t>129</t>
  </si>
  <si>
    <t>130</t>
  </si>
  <si>
    <t>0279</t>
  </si>
  <si>
    <t>0280</t>
  </si>
  <si>
    <t>0281</t>
  </si>
  <si>
    <t>0282</t>
  </si>
  <si>
    <t>0283</t>
  </si>
  <si>
    <t>Jenifer Shehara Miral</t>
  </si>
  <si>
    <t>Anne Lakshani Tharuka Senaratne</t>
  </si>
  <si>
    <t>No. 193/17 A, Kimbulapitiya Road, Kadirana, Negombo</t>
  </si>
  <si>
    <t>967191108V</t>
  </si>
  <si>
    <t>0771244350</t>
  </si>
  <si>
    <t>lakshani909@gmail.com</t>
  </si>
  <si>
    <t>Muthuwadiyage Avindiya Sandeepani Fernando</t>
  </si>
  <si>
    <t>No. 152/B, Suhada Mawatha, Mahahunupitiya, Negombo</t>
  </si>
  <si>
    <t>200066502072</t>
  </si>
  <si>
    <t>0767264788</t>
  </si>
  <si>
    <t>avindiyafernando@gmail.com</t>
  </si>
  <si>
    <t>Weerakkody Pathirannehelage Shanesh Kanchanamala Ranasinghe</t>
  </si>
  <si>
    <t>31/3, Katana Road, Thimbirigaskatuwa</t>
  </si>
  <si>
    <t>915862683V</t>
  </si>
  <si>
    <t>0779909881, 0312279118</t>
  </si>
  <si>
    <t>shaneshranasinghe26@gmail.com</t>
  </si>
  <si>
    <t>51, Kattuwa Road, Ettukala, Negombo</t>
  </si>
  <si>
    <t>200271110310</t>
  </si>
  <si>
    <t>0761549647, 0312222451</t>
  </si>
  <si>
    <t>jsheharamiral@gmail.com</t>
  </si>
  <si>
    <t>162/3, Sea Street, Negombo</t>
  </si>
  <si>
    <t>200084203160</t>
  </si>
  <si>
    <t>0770431971, 0312236566</t>
  </si>
  <si>
    <t>annerashini@gmail.com</t>
  </si>
  <si>
    <t>Colombage Anne Rashmi Fernando</t>
  </si>
  <si>
    <t>Madonna Rathini Rajendran</t>
  </si>
  <si>
    <t>72 1/B, Vikshopa Matha Mawatha, Manaweriya, Kochchikade</t>
  </si>
  <si>
    <t>867781269V</t>
  </si>
  <si>
    <t>0766006319</t>
  </si>
  <si>
    <t>madonna.rathini@gmail.com</t>
  </si>
  <si>
    <t>1/051/027/0027</t>
  </si>
  <si>
    <t>Date of resignation</t>
  </si>
  <si>
    <t>0284</t>
  </si>
  <si>
    <t>0285</t>
  </si>
  <si>
    <t>0286</t>
  </si>
  <si>
    <t>0287</t>
  </si>
  <si>
    <t>0288</t>
  </si>
  <si>
    <t>0289</t>
  </si>
  <si>
    <t>Halpawattage Rachel Chrisheni Moureena Peiris</t>
  </si>
  <si>
    <t>101/38, Guwanwatta, Kadirana South, Thimbirigaskatuwa</t>
  </si>
  <si>
    <t>200371411320</t>
  </si>
  <si>
    <t>0760970922</t>
  </si>
  <si>
    <t>rachelpeiris0108@gmail.com</t>
  </si>
  <si>
    <t>Mukalana Road, Pahala Galayaya, Pannala</t>
  </si>
  <si>
    <t>200183000228</t>
  </si>
  <si>
    <t>0761250699</t>
  </si>
  <si>
    <t>Seemanda Sampayalage Senuri Thathsarani De Sampaya</t>
  </si>
  <si>
    <t>senurisampaya9@gmail.com</t>
  </si>
  <si>
    <t>M. D. Thnuja Sanjeevani Gunathilaka Jayawardana</t>
  </si>
  <si>
    <t>856490475V</t>
  </si>
  <si>
    <t>0776448683</t>
  </si>
  <si>
    <t>thanu.jaya@yahoo.com</t>
  </si>
  <si>
    <t>Cheryl Anne Don Paul</t>
  </si>
  <si>
    <t>226, Galkatuwa Road, Thimbirigaskatuwa, Negombo</t>
  </si>
  <si>
    <t>856760774V</t>
  </si>
  <si>
    <t>0777764045</t>
  </si>
  <si>
    <t>cheryldonpaul@yahoo.com</t>
  </si>
  <si>
    <t>Heeralu Pathirannehelage Mayanthi Anuradha Premasiri</t>
  </si>
  <si>
    <t>273, Farmgrove Estate, 1st lane, kadirana, negombo</t>
  </si>
  <si>
    <t>958353952V</t>
  </si>
  <si>
    <t>0767092480</t>
  </si>
  <si>
    <t>mayanthianuradha@gmail.com</t>
  </si>
  <si>
    <t>Arthy Amirthalingam</t>
  </si>
  <si>
    <t>668/3, Chilaw Road, kattuwa, Negombo</t>
  </si>
  <si>
    <t>926913417V</t>
  </si>
  <si>
    <t>0770329054</t>
  </si>
  <si>
    <t>arthy9@gmail.com</t>
  </si>
  <si>
    <t>Charles Roy Fernando</t>
  </si>
  <si>
    <t>212 /C, Kaluwarippuwa West, katana</t>
  </si>
  <si>
    <t>760021652V</t>
  </si>
  <si>
    <t>0777627285</t>
  </si>
  <si>
    <t>charlesroyfernando@gmail.com</t>
  </si>
  <si>
    <t>1/052/122/0275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</si>
  <si>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</si>
  <si>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</si>
  <si>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</si>
  <si>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</si>
  <si>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</si>
  <si>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</si>
  <si>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</si>
  <si>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</si>
  <si>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</si>
  <si>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Jayasekara Mudiyanselage Dona Mari Gimhani Jayasekara</t>
  </si>
  <si>
    <t>9/1, Otharawadiya</t>
  </si>
  <si>
    <t>996703134V</t>
  </si>
  <si>
    <t>0703282289, 0312269839</t>
  </si>
  <si>
    <t>gimhani.jayasekara99@gmail.com</t>
  </si>
  <si>
    <t>Warnakulasuriya Patabandi Muhandiramge Sheneli Nicolina Fernando</t>
  </si>
  <si>
    <t>328/A, Ano,mawatta, Kimbulapitiya Road, Negombo</t>
  </si>
  <si>
    <t>200461002555</t>
  </si>
  <si>
    <t>0773228474</t>
  </si>
  <si>
    <t>shenlinicolina19@gmail.com</t>
  </si>
  <si>
    <t>Srinath Chandralal Goonawardena</t>
  </si>
  <si>
    <t>6/E/1, Yapalana, Bokalagama, Mirigama</t>
  </si>
  <si>
    <t>571013010V</t>
  </si>
  <si>
    <t>0723302453</t>
  </si>
  <si>
    <t>chandralalgoonawardena@gmail.com</t>
  </si>
  <si>
    <t>Abysin JayawardenaYapa Amila Dilan Sunil</t>
  </si>
  <si>
    <t>394/1, Ransi Mawatha, Polgahawelena, Tissamarama</t>
  </si>
  <si>
    <t>932560313V</t>
  </si>
  <si>
    <t>0761002057</t>
  </si>
  <si>
    <t>jayawardana-amila@yahoo.com</t>
  </si>
  <si>
    <t>Jayaweera Hewage Pehesara</t>
  </si>
  <si>
    <t>380, Sayakkaramulla, Dunagaha</t>
  </si>
  <si>
    <t>200379900855</t>
  </si>
  <si>
    <t>0711127315</t>
  </si>
  <si>
    <t>pehesarajayaweera1@gmail.com</t>
  </si>
  <si>
    <t>Kachchakaduge Shenya Hasarangi Fernando</t>
  </si>
  <si>
    <t>485, Thakkiya Road, Daluwakotuwa</t>
  </si>
  <si>
    <t>200168000657</t>
  </si>
  <si>
    <t>0774507159</t>
  </si>
  <si>
    <t>shenyafernando2001@gmail.com</t>
  </si>
  <si>
    <t>Udatiyawala Acharige Don Jude Preethi Udaya Kumar</t>
  </si>
  <si>
    <t>511 E, Welikatiya, Pamunugama</t>
  </si>
  <si>
    <t>197925701743</t>
  </si>
  <si>
    <t>0771970115</t>
  </si>
  <si>
    <t>jude.prathibha@gmail.com</t>
  </si>
  <si>
    <t>Panapitiya Liyanage Suwetha Samadara</t>
  </si>
  <si>
    <t>27, Central Garden, Kaluwarippuwa, Katana</t>
  </si>
  <si>
    <t>20036101162</t>
  </si>
  <si>
    <t>suwetha.samadara@gmail.com</t>
  </si>
  <si>
    <t>Paranaliyanage Piumy Gayanthika Perera</t>
  </si>
  <si>
    <t>56/C, Premachandra Watta, Thimbirikaskatuwa, Negombpo</t>
  </si>
  <si>
    <t>198261701090</t>
  </si>
  <si>
    <t>0718683001</t>
  </si>
  <si>
    <t>peperagayanthika@gmail.com</t>
  </si>
  <si>
    <t>Manuel Sakura Roshini Fernando Anthony</t>
  </si>
  <si>
    <t>77, Udangawa, Kochchikade</t>
  </si>
  <si>
    <t>757172585V</t>
  </si>
  <si>
    <t>0768581263</t>
  </si>
  <si>
    <t>sakurafernando.atha@gmail.com</t>
  </si>
  <si>
    <t>Wickramasinghe Mudiyanselage Sanura Himansie Wickramasinghe</t>
  </si>
  <si>
    <t>268a, Dewala Road, Koswatte, Thalangama North, Thalangama</t>
  </si>
  <si>
    <t>948413450v</t>
  </si>
  <si>
    <t>himansiew1994@gmail.com</t>
  </si>
  <si>
    <t>Wannakuwatte Waduge Eshani Viranga Fernando</t>
  </si>
  <si>
    <t>16, St. Joseph 1st Cross Street, Negombo</t>
  </si>
  <si>
    <t>eshani.mirando@gmail.com</t>
  </si>
  <si>
    <t>847270349v</t>
  </si>
  <si>
    <t>ferram1484@gmail.com</t>
  </si>
  <si>
    <t>No. 110/E/1, Kudahakapola North, Ja Ela</t>
  </si>
  <si>
    <t>????</t>
  </si>
  <si>
    <t>Hetti Arachchige Thakshala Damayanthi Hettiarachchi</t>
  </si>
  <si>
    <t>116, Dorangoda, Udugampola, Gampaha</t>
  </si>
  <si>
    <t>835844285v</t>
  </si>
  <si>
    <t>thakshala24@gmail.com</t>
  </si>
  <si>
    <t>108</t>
  </si>
  <si>
    <t>Anthiya Janath Misso</t>
  </si>
  <si>
    <t>16/24d, Pio Mawatha, Kandana</t>
  </si>
  <si>
    <t>anthiyaj@gmail.com</t>
  </si>
  <si>
    <t>Gnei Karen Fezliya Abbas</t>
  </si>
  <si>
    <t>25/6, Agaradaguru Mawatha, Ekala, Ja-Ela</t>
  </si>
  <si>
    <t>Islam</t>
  </si>
  <si>
    <t>karenabbas1987@gmail.com</t>
  </si>
  <si>
    <t>Hettiarachchige Dona Shalini Wijewardena</t>
  </si>
  <si>
    <t>No. 07, Weboda Road, Negombo.</t>
  </si>
  <si>
    <t>Anglican</t>
  </si>
  <si>
    <t>shalini_wij@yahoo.com</t>
  </si>
  <si>
    <t>Kuranage Tania Shehani Perera</t>
  </si>
  <si>
    <t>No. 57/115, H.P.T. Watta, Ekala, Ja-Ela</t>
  </si>
  <si>
    <t>taniyaperera19992gmail.com</t>
  </si>
  <si>
    <t>Jayamaha Mudalige Don Vindya Sewwandi Jayamaha</t>
  </si>
  <si>
    <t>No. 547/4, Pitipana North, Negombo.</t>
  </si>
  <si>
    <t>967981079v</t>
  </si>
  <si>
    <t>vindya.jayamaha@gmail.com</t>
  </si>
  <si>
    <t>Warnakulasuriya Harsha Dinushka Fernando</t>
  </si>
  <si>
    <t>It Lab Assistant</t>
  </si>
  <si>
    <t>No. 231/8, Rev. Fr. Joseph Mawatha, Sea-Street, Negombo.</t>
  </si>
  <si>
    <t>952632680v</t>
  </si>
  <si>
    <t>harshadinushka95@gmail.com</t>
  </si>
  <si>
    <t>Karunanayaka Pathirajage Malki Krishmali Pathiraja</t>
  </si>
  <si>
    <t>No. 42/70, Belinco Avenue, Lansigama, Katuneriya.</t>
  </si>
  <si>
    <t>945712392v</t>
  </si>
  <si>
    <t>malkipathiraja@gmail.com</t>
  </si>
  <si>
    <t>0299</t>
  </si>
  <si>
    <t>0300</t>
  </si>
  <si>
    <t>0301</t>
  </si>
  <si>
    <t>0302</t>
  </si>
  <si>
    <t>0303</t>
  </si>
  <si>
    <t>0304</t>
  </si>
  <si>
    <t>………………………………………</t>
  </si>
  <si>
    <t>+</t>
  </si>
  <si>
    <t xml:space="preserve"> 937270402V</t>
  </si>
  <si>
    <t>0305</t>
  </si>
  <si>
    <t>Jayasinghe Arachchige Rammani Chandrika Jayasinghe</t>
  </si>
  <si>
    <t>No. 86, Negombo Lands, Pahala Kadirana, Thimbirigaskatuwa</t>
  </si>
  <si>
    <t>637461699V</t>
  </si>
  <si>
    <t>ramanijayasinghe1@gmail.com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</si>
  <si>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</si>
  <si>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</si>
  <si>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</si>
  <si>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</si>
  <si>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</si>
  <si>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</si>
  <si>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</si>
  <si>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</si>
  <si>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</si>
  <si>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</si>
  <si>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38 emoved on 26.09.2024</t>
  </si>
  <si>
    <t>1/053/001/0144</t>
  </si>
  <si>
    <t>1/053/002/0145</t>
  </si>
  <si>
    <t>1/053/003/0146</t>
  </si>
  <si>
    <t>1/053/004/0147</t>
  </si>
  <si>
    <t>1/053/005/0148</t>
  </si>
  <si>
    <t>1/053/006/0149</t>
  </si>
  <si>
    <t>1/053/007/0150</t>
  </si>
  <si>
    <t>1/053/008/0151</t>
  </si>
  <si>
    <t>1/053/009/0152</t>
  </si>
  <si>
    <t>1/053/010/0153</t>
  </si>
  <si>
    <t>1/053/011/0154</t>
  </si>
  <si>
    <t>1/053/012/0155</t>
  </si>
  <si>
    <t>1/053/013/0156</t>
  </si>
  <si>
    <t>1/053/014/0157</t>
  </si>
  <si>
    <t>1/053/015/0158</t>
  </si>
  <si>
    <t>1/053/016/0159</t>
  </si>
  <si>
    <t>1/053/017/0160</t>
  </si>
  <si>
    <t>1/053/018/0161</t>
  </si>
  <si>
    <t>1/053/019/0162</t>
  </si>
  <si>
    <t>1/053/020/0163</t>
  </si>
  <si>
    <t>1/053/021/0164</t>
  </si>
  <si>
    <t>1/053/022/0165</t>
  </si>
  <si>
    <t>1/053/023/0166</t>
  </si>
  <si>
    <t>1/053/024/0167</t>
  </si>
  <si>
    <t>1/053/025/0168</t>
  </si>
  <si>
    <t>1/053/026/0169</t>
  </si>
  <si>
    <t>1/053/027/0170</t>
  </si>
  <si>
    <t>1/053/028/0171</t>
  </si>
  <si>
    <t>1/053/029/0172</t>
  </si>
  <si>
    <t>1/053/030/0173</t>
  </si>
  <si>
    <t>1/053/032/0175</t>
  </si>
  <si>
    <t>1/053/033/0176</t>
  </si>
  <si>
    <t>1/053/034/0177</t>
  </si>
  <si>
    <t>1/053/036/0179</t>
  </si>
  <si>
    <t>1/053/037/0180</t>
  </si>
  <si>
    <t>1/053/038/0181</t>
  </si>
  <si>
    <t>1/053/039/0182</t>
  </si>
  <si>
    <t>1/053/040/0183</t>
  </si>
  <si>
    <t>1/053/041/0184</t>
  </si>
  <si>
    <t>1/053/042/0185</t>
  </si>
  <si>
    <t>1/053/043/0186</t>
  </si>
  <si>
    <t>1/053/044/0187</t>
  </si>
  <si>
    <t>1/053/045/0188</t>
  </si>
  <si>
    <t>1/053/046/0189</t>
  </si>
  <si>
    <t>1/053/047/0190</t>
  </si>
  <si>
    <t>1/053/048/0191</t>
  </si>
  <si>
    <t>1/053/049/0192</t>
  </si>
  <si>
    <t>1/053/050/0193</t>
  </si>
  <si>
    <t>1/053/052/0195</t>
  </si>
  <si>
    <t>1/053/054/0197</t>
  </si>
  <si>
    <t>1/053/055/0198</t>
  </si>
  <si>
    <t>1/053/057/0200</t>
  </si>
  <si>
    <t>1/053/058/0201</t>
  </si>
  <si>
    <t>1/053/059/0202</t>
  </si>
  <si>
    <t>1/053/061/0204</t>
  </si>
  <si>
    <t>1/053/062/0205</t>
  </si>
  <si>
    <t>1/053/063/0206</t>
  </si>
  <si>
    <t>1/053/064/0207</t>
  </si>
  <si>
    <t>1/053/065/0208</t>
  </si>
  <si>
    <t>1/053/066/0209</t>
  </si>
  <si>
    <t>1/053/067/0210</t>
  </si>
  <si>
    <t>1/053/069/0212</t>
  </si>
  <si>
    <t>1/053/070/0213</t>
  </si>
  <si>
    <t>1/053/071/0214</t>
  </si>
  <si>
    <t>1/053/072/0215</t>
  </si>
  <si>
    <t>1/053/073/0216</t>
  </si>
  <si>
    <t>1/053/074/0217</t>
  </si>
  <si>
    <t>1/053/076/0219</t>
  </si>
  <si>
    <t>1/053/079/0222</t>
  </si>
  <si>
    <t>1/053/081/0224</t>
  </si>
  <si>
    <t>1/053/082/0225</t>
  </si>
  <si>
    <t>1/053/083/0226</t>
  </si>
  <si>
    <t>1/053/084/0227</t>
  </si>
  <si>
    <t>1/053/085/0228</t>
  </si>
  <si>
    <t>1/053/089/0232</t>
  </si>
  <si>
    <t>1/053/093/0236</t>
  </si>
  <si>
    <t>1/053/095/0238</t>
  </si>
  <si>
    <t>1/053/096/0239</t>
  </si>
  <si>
    <t>1/053/097/0240</t>
  </si>
  <si>
    <t>1/053/098/0241</t>
  </si>
  <si>
    <t>1/053/099/0242</t>
  </si>
  <si>
    <t>1/053/100/0243</t>
  </si>
  <si>
    <t>1/053/101/0244</t>
  </si>
  <si>
    <t>1/053/102/0245</t>
  </si>
  <si>
    <t>1/053/103/0246</t>
  </si>
  <si>
    <t>1/053/104/0296</t>
  </si>
  <si>
    <t>1/053/105/0297</t>
  </si>
  <si>
    <t>1/053/106/0298</t>
  </si>
  <si>
    <t>1/053/107/0299</t>
  </si>
  <si>
    <t>1/053/108/0300</t>
  </si>
  <si>
    <t>1/053/109/0301</t>
  </si>
  <si>
    <t>1/053/110/0302</t>
  </si>
  <si>
    <t>1/053/111/0303</t>
  </si>
  <si>
    <t>1/053/112/0304</t>
  </si>
  <si>
    <t>Information available as at 26.09.2024</t>
  </si>
  <si>
    <t>Non-academic Staff of St. Thomas International College</t>
  </si>
  <si>
    <t>Kalpana Madhubhashini Rathnayake</t>
  </si>
  <si>
    <t>28/34 B, School Lane, Pelawatta, Battaramulla</t>
  </si>
  <si>
    <t>947502050V</t>
  </si>
  <si>
    <t>kalpanamadhu@gmail.com</t>
  </si>
  <si>
    <t>Navinda Bandara Dissanayake</t>
  </si>
  <si>
    <t>85/1, Polhena, Udupila, Delgoda</t>
  </si>
  <si>
    <t>840334236V</t>
  </si>
  <si>
    <t>navinda984@gmail.com</t>
  </si>
  <si>
    <t xml:space="preserve">Welipenna Pathirage Mary Nirmalee Devika Perera </t>
  </si>
  <si>
    <t>62/1, Aniyakanda road, Welisara, Ragama</t>
  </si>
  <si>
    <t>845132577V</t>
  </si>
  <si>
    <t>nirmalee83@gmail.com</t>
  </si>
  <si>
    <t>R.M. Dinendra S. Rathnayake</t>
  </si>
  <si>
    <t>Part-time</t>
  </si>
  <si>
    <t>dsrathnayake4@gmail.com</t>
  </si>
  <si>
    <t>2 days/wk</t>
  </si>
  <si>
    <t>Sandrea Michelle Dias</t>
  </si>
  <si>
    <t>2B/17, Jayawadanagama, Battaramulla</t>
  </si>
  <si>
    <t>sandream@gmail.com</t>
  </si>
  <si>
    <t>Pathmanathan Sanathana Sarma</t>
  </si>
  <si>
    <t>74/2, Walls Lane, Colombo 15</t>
  </si>
  <si>
    <t>911872447V</t>
  </si>
  <si>
    <t>psanathanan@yahoo.com</t>
  </si>
  <si>
    <t>Ananda Nimal Jayantha Nagahage</t>
  </si>
  <si>
    <t>341/1/6, Mahayayawatta, Gorakapitiya, Piliyandala</t>
  </si>
  <si>
    <t>anandanagaha@gmail.com</t>
  </si>
  <si>
    <t>Rev. Bro. Michael Philip Suhaharn Bernardshaw</t>
  </si>
  <si>
    <t>Head of Senior School</t>
  </si>
  <si>
    <t>284, Pahalawela Rd. Thalangama South</t>
  </si>
  <si>
    <t>781454117V</t>
  </si>
  <si>
    <t>sbernardshow@yahoo.com</t>
  </si>
  <si>
    <t>Jiwon Kang</t>
  </si>
  <si>
    <t>Head of Academics</t>
  </si>
  <si>
    <t>1 - 1/A, Mission Lane, Pitakotte</t>
  </si>
  <si>
    <t>SSL/017292</t>
  </si>
  <si>
    <t>jiwoka17@outlook.com</t>
  </si>
  <si>
    <t>Lokuliyanage Yanira Sonalie Cabral</t>
  </si>
  <si>
    <t>221/12, Sarojaniwatta, Hokandara South</t>
  </si>
  <si>
    <t>yaniracabral124@gmail.com</t>
  </si>
  <si>
    <t>Part-time/Asst. Exams Officer</t>
  </si>
  <si>
    <t>0316</t>
  </si>
  <si>
    <t>0317</t>
  </si>
  <si>
    <t>0318</t>
  </si>
  <si>
    <t>0319</t>
  </si>
  <si>
    <t>0320</t>
  </si>
  <si>
    <t>0321</t>
  </si>
  <si>
    <t>Wettasinghe Appuhamilage Vihanga Nethmal</t>
  </si>
  <si>
    <t>Kuruppu Arachchige Sawani Kanishka Rodrigo</t>
  </si>
  <si>
    <t>Hingurala Arachchige Shashini Judith</t>
  </si>
  <si>
    <t>Kapurubandarage   Priyanka Ridma Alwis</t>
  </si>
  <si>
    <t>Kalegana Koralage Madushika Milani</t>
  </si>
  <si>
    <t>664/01/B, Gamameda Road, Kurana, Katunayaka</t>
  </si>
  <si>
    <t>No. 424/A/1, Pulluhena, Pamunugama</t>
  </si>
  <si>
    <t>No. 27/35, Saama Mawatha, Mukalangamuwa, Seeduwa.</t>
  </si>
  <si>
    <t>No. 250/7, Colombo Road, Gampaha.</t>
  </si>
  <si>
    <t>37/B, Kandawatta, 3rd Lane, Maeliya, Ja Ela</t>
  </si>
  <si>
    <r>
      <t>Danoruwa Hettiarachchilage Roshani Rangika Kumari</t>
    </r>
    <r>
      <rPr>
        <sz val="12"/>
        <color theme="1"/>
        <rFont val="Cambria"/>
        <family val="1"/>
        <scheme val="major"/>
      </rPr>
      <t xml:space="preserve"> </t>
    </r>
  </si>
  <si>
    <t>977984289V</t>
  </si>
  <si>
    <t>928273873V</t>
  </si>
  <si>
    <t>885222781V</t>
  </si>
  <si>
    <t>vihanganeth26118@gmail.com</t>
  </si>
  <si>
    <t>k.k.m.milani@gmail.com</t>
  </si>
  <si>
    <t>shashijudith@gmail.com</t>
  </si>
  <si>
    <t>ridma999@gmail.com</t>
  </si>
  <si>
    <t>kasawani88@gmail.com</t>
  </si>
  <si>
    <t>0322</t>
  </si>
  <si>
    <t>0323</t>
  </si>
  <si>
    <t>0324</t>
  </si>
  <si>
    <t>0325</t>
  </si>
  <si>
    <t>Sanuri Malsha Ismini Wickramasinghe</t>
  </si>
  <si>
    <t>Dinuka Ruwanthi Rodrigo</t>
  </si>
  <si>
    <t>Herath Mudiyanselage Ayesha Malshani</t>
  </si>
  <si>
    <t>Hettiarachchige Chanika Yashodhani Jayasinghe</t>
  </si>
  <si>
    <t>No. 336/E, Christ King Road, Batagama North, Ja Ela</t>
  </si>
  <si>
    <t>No. 404, Dehiyagatha, Ja Ela.</t>
  </si>
  <si>
    <t xml:space="preserve">Karuwalagaswewa, Moragollagama. </t>
  </si>
  <si>
    <t>No. 65/A, "Nihathamani", Raddoluwa, Seeduwa</t>
  </si>
  <si>
    <t>965501878V</t>
  </si>
  <si>
    <t>947672100V</t>
  </si>
  <si>
    <t>995311410V</t>
  </si>
  <si>
    <t>956470218V</t>
  </si>
  <si>
    <t>071 5279093</t>
  </si>
  <si>
    <t>077 1428196</t>
  </si>
  <si>
    <t>071 3786456</t>
  </si>
  <si>
    <t>071 6014398</t>
  </si>
  <si>
    <t>sanuriwickramasinghe96@gmail.com</t>
  </si>
  <si>
    <t>rodrigo.dinu2@gmail.com</t>
  </si>
  <si>
    <t>ayu.premarathne@gmail.com</t>
  </si>
  <si>
    <t>cy95jayasingha@gmail.com</t>
  </si>
  <si>
    <t>Vijendra Waduge Navodha Dananjanie</t>
  </si>
  <si>
    <t>Kalpahewage Ishanka Ruchini Peiris</t>
  </si>
  <si>
    <t> Imesha Rangani Fernando </t>
  </si>
  <si>
    <t>Liyanage Dahami Raveesha Ajani Fernando</t>
  </si>
  <si>
    <t>No. 1066/B, Mayeliya, Ja-Ela</t>
  </si>
  <si>
    <t>No. 515/E, Polpithimukalana, Kandana</t>
  </si>
  <si>
    <t>No.220/6,Amandoluwa,Seeduwa,</t>
  </si>
  <si>
    <t>Teacher-Pe</t>
  </si>
  <si>
    <t>886092342V</t>
  </si>
  <si>
    <t>895573809V</t>
  </si>
  <si>
    <t>074 0068919</t>
  </si>
  <si>
    <t>077 9663018</t>
  </si>
  <si>
    <t>077 1686382</t>
  </si>
  <si>
    <t>076 5496956</t>
  </si>
  <si>
    <t>navodhadananjani17@gmail.com</t>
  </si>
  <si>
    <t>ruchinipeiris747@hotmail.com</t>
  </si>
  <si>
    <t>imeshawickramasuriya@gmail.com</t>
  </si>
  <si>
    <t>ajanifdo20@gmail.com</t>
  </si>
  <si>
    <t>0326</t>
  </si>
  <si>
    <t>0327</t>
  </si>
  <si>
    <t>0328</t>
  </si>
  <si>
    <t>0329</t>
  </si>
  <si>
    <t>0330</t>
  </si>
  <si>
    <t>0331</t>
  </si>
  <si>
    <t>0332</t>
  </si>
  <si>
    <t xml:space="preserve">Confirmation effective from </t>
  </si>
  <si>
    <t>No File</t>
  </si>
  <si>
    <t xml:space="preserve"> </t>
  </si>
  <si>
    <t>No conrimation letter</t>
  </si>
  <si>
    <t>Temporary Cadre 007</t>
  </si>
  <si>
    <t>Resigned</t>
  </si>
  <si>
    <t>Fixed Term Contract -006</t>
  </si>
  <si>
    <t>Confirmed -013</t>
  </si>
  <si>
    <t>31.08.2023</t>
  </si>
  <si>
    <t>13.09.2023</t>
  </si>
  <si>
    <t>01.11.2023</t>
  </si>
  <si>
    <t>30.11.2023</t>
  </si>
  <si>
    <t>29.02.2024</t>
  </si>
  <si>
    <t xml:space="preserve">Confirmed </t>
  </si>
  <si>
    <t>03.03.2024</t>
  </si>
  <si>
    <t>10.03.2024</t>
  </si>
  <si>
    <t>13.03.2024</t>
  </si>
  <si>
    <t>004 not released</t>
  </si>
  <si>
    <t>03.07.2024</t>
  </si>
  <si>
    <t>01.06.2023</t>
  </si>
  <si>
    <t>Permanent Cadre/Sgd. Fr Ivan on Sch L/H</t>
  </si>
  <si>
    <t>Receptionist/sgd Fr Ivan</t>
  </si>
  <si>
    <t>No L/Appointment</t>
  </si>
  <si>
    <t>05.11.2021</t>
  </si>
  <si>
    <t>03.01.2022</t>
  </si>
  <si>
    <t>02.01.2023</t>
  </si>
  <si>
    <t>17.05.2022</t>
  </si>
  <si>
    <t>10.05.2023</t>
  </si>
  <si>
    <t>08.07.2023</t>
  </si>
  <si>
    <t>29.07.2023</t>
  </si>
  <si>
    <t>05.09.2023</t>
  </si>
  <si>
    <t>24.04.2024</t>
  </si>
  <si>
    <t>No L/Appointment found in rthe file</t>
  </si>
  <si>
    <t>24.02.2024</t>
  </si>
  <si>
    <t>17.03.2024</t>
  </si>
  <si>
    <t>10.11.2023</t>
  </si>
  <si>
    <t>25.12.2023</t>
  </si>
  <si>
    <t>01.04.2024</t>
  </si>
  <si>
    <t>04.08.2024</t>
  </si>
  <si>
    <t>19.11.2024</t>
  </si>
  <si>
    <t>04.06.2024</t>
  </si>
  <si>
    <t>28.07.2024</t>
  </si>
  <si>
    <t>18.10.2024</t>
  </si>
  <si>
    <t>12.11.2024</t>
  </si>
  <si>
    <t>Not sent for nterview on 27.06.2024</t>
  </si>
  <si>
    <t>Aiyadorei Nelum Vasanthi</t>
  </si>
  <si>
    <t>No. 32/C/I, Sampath Uyana, Batagama North, Ja-Ela.</t>
  </si>
  <si>
    <t>Alagappage Sanduni Imasha Fernando</t>
  </si>
  <si>
    <t>No. 603/44a, 3rd Kurana, Colombo Road, Negombo</t>
  </si>
  <si>
    <t>Nethma Salomi Anton</t>
  </si>
  <si>
    <t>No. 4b/55/L, Raddolugama</t>
  </si>
  <si>
    <t>Kannangara Koralalage Lily Shenoen Benashi</t>
  </si>
  <si>
    <t>No. 229/13, St. Joseph Street, Negombo.</t>
  </si>
  <si>
    <t>Weebadda Liyanaarachchige Don Senuri Hirusha</t>
  </si>
  <si>
    <t>0333</t>
  </si>
  <si>
    <t>131</t>
  </si>
  <si>
    <t>0334</t>
  </si>
  <si>
    <t>Manisha Pabasari Wickramakarulu Arachchi</t>
  </si>
  <si>
    <t>sandunifernando257@gmail.com</t>
  </si>
  <si>
    <t>713555073, 755162676</t>
  </si>
  <si>
    <t>salomianton@gmail.com</t>
  </si>
  <si>
    <t>benashikannangara5@gmail.com</t>
  </si>
  <si>
    <t>senuh30@gmail.com</t>
  </si>
  <si>
    <t>nel.nelumvasanthi.nel@gmail.com</t>
  </si>
  <si>
    <t>918000496V</t>
  </si>
  <si>
    <t>sthomas.pregrades@gmail.com</t>
  </si>
  <si>
    <t>948472813V</t>
  </si>
  <si>
    <t>341, Kapuwagara Road, Kandana.</t>
  </si>
  <si>
    <t>No. 81, The Nest, Nivasiepura, Ekala</t>
  </si>
  <si>
    <t>8Years/7Months/9Days</t>
  </si>
  <si>
    <t>19Years/8Months/24Days</t>
  </si>
  <si>
    <t>28years , 4months and 3days</t>
  </si>
  <si>
    <t>placed on 13.08.2025</t>
  </si>
  <si>
    <t>8Years/3Months/20Days</t>
  </si>
  <si>
    <t>19Years/1Months/23Days</t>
  </si>
  <si>
    <t>27years , 5months and 12days</t>
  </si>
  <si>
    <t>1Years/11Months/19Days</t>
  </si>
  <si>
    <t>19Years/0Months/1Days</t>
  </si>
  <si>
    <t>20years , 11months and 20days</t>
  </si>
  <si>
    <t>3Years/10Months/1Days</t>
  </si>
  <si>
    <t>34Years/2Months/6Days</t>
  </si>
  <si>
    <t>38years , 0months and 7days</t>
  </si>
  <si>
    <t>5Years/6Months/17Days</t>
  </si>
  <si>
    <t>34Years/11Months/7Days</t>
  </si>
  <si>
    <t>40years , 5months and 23days</t>
  </si>
  <si>
    <t>Niriellage Kavithma Nethmini Niriella</t>
  </si>
  <si>
    <t>No. 96, Airforce Camp Road, Kurana, Katunayake</t>
  </si>
  <si>
    <t>Kavithmafonseka2004@Gmail.Com</t>
  </si>
  <si>
    <t>217/3, Kopiyawatta Road,Ragama</t>
  </si>
  <si>
    <t>995541645v</t>
  </si>
  <si>
    <t>Michellefernandofeb23@Gmail.Com/ Selanifernando50@Gmail.Com</t>
  </si>
  <si>
    <t>Galhenage Minduli Amanya</t>
  </si>
  <si>
    <t>No. 289/D/2, Muthuwadiya Road, Raddoluwa, Seeduwa</t>
  </si>
  <si>
    <t>Minduliamanya@Gmail.Com</t>
  </si>
  <si>
    <t>Palihawadana Arachchige Nipuni Shashikala Perera</t>
  </si>
  <si>
    <t>No. 14/A, St. Philip Neri's Avenue, Udammita South, Ja-Ela</t>
  </si>
  <si>
    <t>947990098v</t>
  </si>
  <si>
    <t>Nipunifernando2020@Gmail.Com</t>
  </si>
  <si>
    <t>Shyamila Lakshani Jayasundera</t>
  </si>
  <si>
    <t>No. 206/31, Shramadana Mawatha, Delathura, Ja-Ela</t>
  </si>
  <si>
    <t>956010276v</t>
  </si>
  <si>
    <t>Shyamila@Hotmail.Com</t>
  </si>
  <si>
    <t>Warnakulasuriya Latha Rhiana Fernando</t>
  </si>
  <si>
    <t>20,Peter Mendis Road,Kudapaduwa,Negombo</t>
  </si>
  <si>
    <t>846073779v</t>
  </si>
  <si>
    <t>Latira.Lf@Gmail.Com</t>
  </si>
  <si>
    <t>Maneesha Rochani Dissanayake Bulner</t>
  </si>
  <si>
    <t>No.119/A,Lansigama Beach Road,Lansigama,Katuneriya</t>
  </si>
  <si>
    <t>Manishabulner@Gmail.Com</t>
  </si>
  <si>
    <t>Kottage Dona Esterlita Jinani Goonewardena</t>
  </si>
  <si>
    <t>No. 444/2,Main Street,Negombo</t>
  </si>
  <si>
    <t>Jinanigoonewardena@Gmail.Com</t>
  </si>
  <si>
    <t>Kurugamage Hirushika Shanilki Perera</t>
  </si>
  <si>
    <t>No.80/4a,Paris Perera Mawatha, Ja Ela.</t>
  </si>
  <si>
    <t>997462270v</t>
  </si>
  <si>
    <t>Hirushikaperera02@Gmail.Com</t>
  </si>
  <si>
    <t>Warnakulasuriya Ranila Shivani Jeevanthi Fernando</t>
  </si>
  <si>
    <t>No. 21, Peter Mendis Road,Kadupaduwa,Negombo.</t>
  </si>
  <si>
    <t>996543196v</t>
  </si>
  <si>
    <t>Ranilashivani19994@Gmail.Com</t>
  </si>
  <si>
    <t>132</t>
  </si>
  <si>
    <t>133</t>
  </si>
  <si>
    <t>134</t>
  </si>
  <si>
    <t>135</t>
  </si>
  <si>
    <t>0335</t>
  </si>
  <si>
    <t>0336</t>
  </si>
  <si>
    <t>0337</t>
  </si>
  <si>
    <t>0338</t>
  </si>
  <si>
    <t>0339</t>
  </si>
  <si>
    <t>0340</t>
  </si>
  <si>
    <t>136</t>
  </si>
  <si>
    <t>137</t>
  </si>
  <si>
    <t>138</t>
  </si>
  <si>
    <t>139</t>
  </si>
  <si>
    <t>140</t>
  </si>
  <si>
    <t>141</t>
  </si>
  <si>
    <t>0341</t>
  </si>
  <si>
    <t>0342</t>
  </si>
  <si>
    <t>0343</t>
  </si>
  <si>
    <t>0344</t>
  </si>
  <si>
    <t>Weerakoon Mohottige Nushari Maleesha</t>
  </si>
  <si>
    <t>944/18, Municipal Council Road, Battaramulla</t>
  </si>
  <si>
    <t>nushariweerakoon@gmail.com</t>
  </si>
  <si>
    <t>Rebecca Juliana Pavey</t>
  </si>
  <si>
    <t>No. 44, Rajamahavihara Road, Pita Kotte, Kotte</t>
  </si>
  <si>
    <t>rebeccajuliana.p@gmail.com</t>
  </si>
  <si>
    <t>Samanthi Sujeewa Perera</t>
  </si>
  <si>
    <t>No. 435/B1, Thalangama South, Akuregoda, Battramulla</t>
  </si>
  <si>
    <t>708521833V</t>
  </si>
  <si>
    <t>samanthi.sperera@gmail.com</t>
  </si>
  <si>
    <t>Lakshika Dewathanthriarachchi</t>
  </si>
  <si>
    <t>187/C/5, Expo VIP City, Siyambalagoda, Polgasowita</t>
  </si>
  <si>
    <t>826360070V</t>
  </si>
  <si>
    <t>1/051/004/0004</t>
  </si>
  <si>
    <t>20.02.2025</t>
  </si>
  <si>
    <t>End date</t>
  </si>
  <si>
    <t>1/051/015/0015</t>
  </si>
  <si>
    <t>14.02.2025</t>
  </si>
  <si>
    <t>1/051/018/0018</t>
  </si>
  <si>
    <t>31.12.2024</t>
  </si>
  <si>
    <t>2025</t>
  </si>
  <si>
    <t>lakshikad82@gmail.com</t>
  </si>
  <si>
    <t>Faustina Rahani Maxwell</t>
  </si>
  <si>
    <t>Jayasooriya Kuranage Marion Theresa Princy Perera</t>
  </si>
  <si>
    <t>Welathanthrige Ishara Divyanjalee</t>
  </si>
  <si>
    <t>Randeni Arachchige Don Hashen Sandeepa Randeniya</t>
  </si>
  <si>
    <t>Kurukulasuriya Madumali Nilmini Menik Fernando</t>
  </si>
  <si>
    <t>Weerakkodi Pathirannahelage Shanesh Kanchanamala Ranasinghe</t>
  </si>
  <si>
    <t>Bandara Lokuge Upanie Nuwangika Fernando</t>
  </si>
  <si>
    <t>Pabasara Shashyamali Kannangara</t>
  </si>
  <si>
    <t>Piumika Samanmalee Periyathambi</t>
  </si>
  <si>
    <t>Kurukulaarachchige Don Primasha Nanayakkara</t>
  </si>
  <si>
    <t>Roshli Samindya Dewendra</t>
  </si>
  <si>
    <t>Hithara Manothmie Gunawardhane</t>
  </si>
  <si>
    <t>Magamage Lanka Chathurika Perera</t>
  </si>
  <si>
    <t>Music Teacher</t>
  </si>
  <si>
    <t>No. 103, Guwanwatte, Thimbirigaskatuwa, Negombo</t>
  </si>
  <si>
    <t>No. 147/152, Golden Terrace, Pahala Kadirana, Thibirigaskatuwa</t>
  </si>
  <si>
    <t>No. 569/2A, Sudarshan Mawatha, Kurana, Katunayake</t>
  </si>
  <si>
    <t>848/D, St. Reeta Road, Thumpaliya, Ja-ela</t>
  </si>
  <si>
    <t>463/15, Colombo Road, Negombo</t>
  </si>
  <si>
    <t>No 31/2, Katana Road, Negombo</t>
  </si>
  <si>
    <t>538, Daluwakotuwa, Kochchikade</t>
  </si>
  <si>
    <t>Sirishanthi, 160,Pahala Madampella, Katana</t>
  </si>
  <si>
    <t>No.157, Ethgala, Katana</t>
  </si>
  <si>
    <t>No 104,Lanka Lands, Peellawatta, Adiambalama</t>
  </si>
  <si>
    <t>300/197,Silveridge Park,Demanhandiya</t>
  </si>
  <si>
    <t>No 170, Negombo Rd, Maradagahamula</t>
  </si>
  <si>
    <t>No 22/16, Region City, Demanhandiya</t>
  </si>
  <si>
    <t>200484903985</t>
  </si>
  <si>
    <t>648340338v</t>
  </si>
  <si>
    <t>987130881v</t>
  </si>
  <si>
    <t>200018301050</t>
  </si>
  <si>
    <t>775171928v</t>
  </si>
  <si>
    <t>915862683v</t>
  </si>
  <si>
    <t>895293199v</t>
  </si>
  <si>
    <t>836384253v</t>
  </si>
  <si>
    <t>945694068v</t>
  </si>
  <si>
    <t>996682277v</t>
  </si>
  <si>
    <t>200164902910</t>
  </si>
  <si>
    <t>200382200891</t>
  </si>
  <si>
    <t>897313367V</t>
  </si>
  <si>
    <t>0773438034</t>
  </si>
  <si>
    <t>0775130847/0777077675</t>
  </si>
  <si>
    <t>fausrahafernando@gmail.com</t>
  </si>
  <si>
    <t>pereraprincy566@gmail.com</t>
  </si>
  <si>
    <t>ishu12398div@gmail.com</t>
  </si>
  <si>
    <t>hashenrandeniya@mail.com</t>
  </si>
  <si>
    <t>madumalifernando17@gmail.com</t>
  </si>
  <si>
    <t>blun2023@gmail.com</t>
  </si>
  <si>
    <t>pabasarakad@gmail.com</t>
  </si>
  <si>
    <t>pspiumika@gmail.com</t>
  </si>
  <si>
    <t>primashanana@gmail.com</t>
  </si>
  <si>
    <t>roshlidewendra28@gmail.com</t>
  </si>
  <si>
    <t>manothmie17@gmail.com</t>
  </si>
  <si>
    <t>lanka.chathurika@gmail.com</t>
  </si>
  <si>
    <t>Rev. Fr. Suren Peter</t>
  </si>
  <si>
    <t>Over 60 y</t>
  </si>
  <si>
    <t>59 - 60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</si>
</sst>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yyyy/mm/dd;@"/>
    <numFmt numFmtId="166" formatCode="dd/mm/yyyy;@"/>
    <numFmt numFmtId="167" formatCode="00000"/>
  </numFmts>
  <fonts count="70" x14ac:knownFonts="1">
    <font>
      <sz val="11"/>
      <color theme="1"/>
      <name val="Calibri"/>
      <family val="2"/>
      <scheme val="minor"/>
    </font>
    <font>
      <b/>
      <i/>
      <sz val="10"/>
      <color theme="1"/>
      <name val="Cambria"/>
      <family val="1"/>
      <scheme val="major"/>
    </font>
    <font>
      <sz val="12"/>
      <name val="Cambria"/>
      <family val="1"/>
      <scheme val="major"/>
    </font>
    <font>
      <sz val="12"/>
      <color rgb="FF0070C0"/>
      <name val="Cambria"/>
      <family val="1"/>
      <scheme val="major"/>
    </font>
    <font>
      <sz val="11"/>
      <color theme="1"/>
      <name val="Cambria"/>
      <family val="1"/>
      <scheme val="major"/>
    </font>
    <font>
      <u/>
      <sz val="11"/>
      <color theme="10"/>
      <name val="Calibri"/>
      <family val="2"/>
      <scheme val="minor"/>
    </font>
    <font>
      <sz val="12"/>
      <color theme="1"/>
      <name val="Cambria"/>
      <family val="1"/>
      <scheme val="major"/>
    </font>
    <font>
      <sz val="10"/>
      <name val="Arial"/>
      <family val="2"/>
    </font>
    <font>
      <sz val="11"/>
      <color theme="7" tint="-0.249977111117893"/>
      <name val="Cambria"/>
      <family val="2"/>
      <scheme val="major"/>
    </font>
    <font>
      <sz val="14"/>
      <color theme="1"/>
      <name val="Cambria"/>
      <family val="1"/>
      <scheme val="major"/>
    </font>
    <font>
      <sz val="11"/>
      <color theme="1"/>
      <name val="Cambria"/>
      <family val="2"/>
      <scheme val="major"/>
    </font>
    <font>
      <u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B0F0"/>
      <name val="Cambria"/>
      <family val="1"/>
      <scheme val="major"/>
    </font>
    <font>
      <u/>
      <sz val="11"/>
      <color theme="1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name val="Cambria"/>
      <family val="1"/>
      <scheme val="major"/>
    </font>
    <font>
      <sz val="11"/>
      <color rgb="FF0070C0"/>
      <name val="Cambria"/>
      <family val="1"/>
      <scheme val="major"/>
    </font>
    <font>
      <sz val="11"/>
      <color rgb="FF00B0F0"/>
      <name val="Cambria"/>
      <family val="1"/>
      <scheme val="major"/>
    </font>
    <font>
      <sz val="11"/>
      <color rgb="FFFF0000"/>
      <name val="Cambria"/>
      <family val="1"/>
    </font>
    <font>
      <sz val="11"/>
      <name val="Calibri"/>
      <family val="2"/>
      <scheme val="minor"/>
    </font>
    <font>
      <sz val="11"/>
      <name val="Cambria"/>
      <family val="1"/>
    </font>
    <font>
      <u/>
      <sz val="11"/>
      <name val="Calibri"/>
      <family val="2"/>
      <scheme val="minor"/>
    </font>
    <font>
      <sz val="12"/>
      <color rgb="FFFF0000"/>
      <name val="Cambria"/>
      <family val="1"/>
    </font>
    <font>
      <b/>
      <sz val="12"/>
      <name val="Cambria"/>
      <family val="1"/>
      <scheme val="major"/>
    </font>
    <font>
      <sz val="12"/>
      <color rgb="FFFF0000"/>
      <name val="Cambria"/>
      <family val="1"/>
      <scheme val="major"/>
    </font>
    <font>
      <sz val="11"/>
      <color rgb="FF7030A0"/>
      <name val="Calibri"/>
      <family val="2"/>
      <scheme val="minor"/>
    </font>
    <font>
      <sz val="11"/>
      <color rgb="FF7030A0"/>
      <name val="Cambria"/>
      <family val="1"/>
      <scheme val="major"/>
    </font>
    <font>
      <sz val="11"/>
      <color rgb="FF00B050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mbria"/>
      <family val="1"/>
      <scheme val="major"/>
    </font>
    <font>
      <b/>
      <sz val="12"/>
      <color rgb="FFFF0000"/>
      <name val="Cambria"/>
      <family val="1"/>
      <scheme val="maj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9" tint="-0.249977111117893"/>
      <name val="Cambria"/>
      <family val="1"/>
      <scheme val="major"/>
    </font>
    <font>
      <sz val="12"/>
      <color theme="9" tint="-0.249977111117893"/>
      <name val="Cambria"/>
      <family val="1"/>
      <scheme val="major"/>
    </font>
    <font>
      <b/>
      <sz val="12"/>
      <name val="Times New Roman"/>
      <family val="1"/>
    </font>
    <font>
      <sz val="12"/>
      <name val="Cambria"/>
      <family val="1"/>
    </font>
    <font>
      <u/>
      <sz val="11"/>
      <name val="Cambria"/>
      <family val="1"/>
      <scheme val="major"/>
    </font>
    <font>
      <sz val="11"/>
      <color rgb="FF7030A0"/>
      <name val="Cambria"/>
      <family val="2"/>
      <scheme val="major"/>
    </font>
    <font>
      <u/>
      <sz val="11"/>
      <color rgb="FF7030A0"/>
      <name val="Calibri"/>
      <family val="2"/>
      <scheme val="minor"/>
    </font>
    <font>
      <sz val="12"/>
      <color rgb="FF7030A0"/>
      <name val="Cambria"/>
      <family val="1"/>
      <scheme val="major"/>
    </font>
    <font>
      <b/>
      <sz val="12"/>
      <color rgb="FF7030A0"/>
      <name val="Cambria"/>
      <family val="1"/>
      <scheme val="major"/>
    </font>
    <font>
      <sz val="11"/>
      <color rgb="FF7030A0"/>
      <name val="Times New Roman"/>
      <family val="1"/>
    </font>
    <font>
      <b/>
      <sz val="14"/>
      <color theme="1"/>
      <name val="Calibri"/>
      <family val="2"/>
      <scheme val="minor"/>
    </font>
    <font>
      <b/>
      <sz val="10"/>
      <name val="Cambria"/>
      <family val="1"/>
      <scheme val="major"/>
    </font>
    <font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sz val="10"/>
      <color rgb="FFFF0000"/>
      <name val="Cambria"/>
      <family val="1"/>
      <scheme val="major"/>
    </font>
    <font>
      <b/>
      <sz val="10"/>
      <color theme="1"/>
      <name val="Cambria"/>
      <family val="1"/>
      <scheme val="major"/>
    </font>
    <font>
      <u/>
      <sz val="11"/>
      <color theme="10"/>
      <name val="Cambria"/>
      <family val="1"/>
      <scheme val="major"/>
    </font>
    <font>
      <sz val="11"/>
      <color rgb="FF000000"/>
      <name val="Cambria"/>
      <family val="1"/>
      <scheme val="major"/>
    </font>
    <font>
      <sz val="10"/>
      <color rgb="FF000000"/>
      <name val="Cambria"/>
      <family val="1"/>
      <scheme val="major"/>
    </font>
    <font>
      <sz val="9"/>
      <color theme="1"/>
      <name val="Cambria"/>
      <family val="1"/>
      <scheme val="major"/>
    </font>
    <font>
      <sz val="12"/>
      <color rgb="FF000000"/>
      <name val="Cambria"/>
      <family val="1"/>
      <scheme val="major"/>
    </font>
    <font>
      <u/>
      <sz val="11"/>
      <color rgb="FF000000"/>
      <name val="Cambria"/>
      <family val="1"/>
      <scheme val="major"/>
    </font>
    <font>
      <u/>
      <sz val="12"/>
      <color theme="1"/>
      <name val="Cambria"/>
      <family val="1"/>
      <scheme val="major"/>
    </font>
    <font>
      <sz val="12"/>
      <color rgb="FFC00000"/>
      <name val="Cambria"/>
      <family val="1"/>
      <scheme val="major"/>
    </font>
    <font>
      <sz val="8"/>
      <color theme="1"/>
      <name val="Cambria"/>
      <family val="1"/>
      <scheme val="major"/>
    </font>
    <font>
      <sz val="11"/>
      <color theme="5" tint="-0.249977111117893"/>
      <name val="Cambria"/>
      <family val="1"/>
      <scheme val="major"/>
    </font>
    <font>
      <sz val="11"/>
      <color theme="7" tint="-0.249977111117893"/>
      <name val="Cambria"/>
      <family val="1"/>
      <scheme val="major"/>
    </font>
    <font>
      <u/>
      <sz val="11"/>
      <color theme="7" tint="-0.249977111117893"/>
      <name val="Cambria"/>
      <family val="1"/>
      <scheme val="major"/>
    </font>
    <font>
      <sz val="10"/>
      <color rgb="FF00B0F0"/>
      <name val="Cambria"/>
      <family val="1"/>
      <scheme val="major"/>
    </font>
    <font>
      <sz val="11"/>
      <color rgb="FF0070C0"/>
      <name val="Cambria"/>
      <family val="1"/>
    </font>
    <font>
      <u/>
      <sz val="11"/>
      <color rgb="FF0070C0"/>
      <name val="Cambria"/>
      <family val="1"/>
    </font>
    <font>
      <u/>
      <sz val="11"/>
      <color rgb="FFFF0000"/>
      <name val="Cambria"/>
      <family val="1"/>
    </font>
  </fonts>
  <fills count="1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7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</cellStyleXfs>
  <cellXfs count="57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4" borderId="12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2" fillId="3" borderId="13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165" fontId="5" fillId="3" borderId="1" xfId="1" applyNumberForma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14" fontId="6" fillId="0" borderId="1" xfId="0" quotePrefix="1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/>
    <xf numFmtId="0" fontId="2" fillId="3" borderId="1" xfId="0" quotePrefix="1" applyFont="1" applyFill="1" applyBorder="1" applyAlignment="1">
      <alignment horizontal="center" vertical="center"/>
    </xf>
    <xf numFmtId="165" fontId="2" fillId="3" borderId="1" xfId="1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14" fontId="3" fillId="5" borderId="1" xfId="0" applyNumberFormat="1" applyFont="1" applyFill="1" applyBorder="1" applyAlignment="1">
      <alignment horizontal="center" vertical="center"/>
    </xf>
    <xf numFmtId="49" fontId="8" fillId="0" borderId="1" xfId="2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49" fontId="10" fillId="0" borderId="1" xfId="2" applyNumberFormat="1" applyFont="1" applyBorder="1" applyAlignment="1">
      <alignment horizontal="center" vertical="center"/>
    </xf>
    <xf numFmtId="49" fontId="4" fillId="0" borderId="13" xfId="0" applyNumberFormat="1" applyFont="1" applyBorder="1" applyAlignment="1">
      <alignment horizontal="center" vertical="center"/>
    </xf>
    <xf numFmtId="0" fontId="10" fillId="0" borderId="1" xfId="2" applyFont="1" applyBorder="1" applyAlignment="1">
      <alignment vertical="center"/>
    </xf>
    <xf numFmtId="0" fontId="4" fillId="0" borderId="0" xfId="0" applyFont="1" applyAlignment="1">
      <alignment vertical="center"/>
    </xf>
    <xf numFmtId="0" fontId="12" fillId="0" borderId="1" xfId="2" applyFont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49" fontId="6" fillId="0" borderId="1" xfId="0" applyNumberFormat="1" applyFont="1" applyBorder="1" applyAlignment="1">
      <alignment horizontal="left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1" applyFont="1" applyFill="1" applyBorder="1" applyAlignment="1" applyProtection="1">
      <alignment horizontal="center" vertical="center" wrapText="1"/>
    </xf>
    <xf numFmtId="166" fontId="4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13" fillId="0" borderId="1" xfId="0" applyNumberFormat="1" applyFont="1" applyFill="1" applyBorder="1" applyAlignment="1">
      <alignment horizontal="center" vertical="center"/>
    </xf>
    <xf numFmtId="49" fontId="2" fillId="0" borderId="12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center" vertical="center" wrapText="1"/>
    </xf>
    <xf numFmtId="166" fontId="2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 wrapText="1"/>
    </xf>
    <xf numFmtId="0" fontId="2" fillId="0" borderId="1" xfId="3" applyFont="1" applyFill="1" applyBorder="1" applyAlignment="1" applyProtection="1">
      <alignment horizontal="center" vertical="center" wrapText="1"/>
    </xf>
    <xf numFmtId="166" fontId="6" fillId="0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0" fontId="2" fillId="0" borderId="1" xfId="4" applyFont="1" applyFill="1" applyBorder="1" applyAlignment="1" applyProtection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167" fontId="6" fillId="0" borderId="1" xfId="0" applyNumberFormat="1" applyFont="1" applyFill="1" applyBorder="1" applyAlignment="1">
      <alignment horizontal="center" vertical="center"/>
    </xf>
    <xf numFmtId="49" fontId="17" fillId="2" borderId="2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 applyFont="1"/>
    <xf numFmtId="49" fontId="17" fillId="2" borderId="1" xfId="0" applyNumberFormat="1" applyFont="1" applyFill="1" applyBorder="1" applyAlignment="1">
      <alignment horizontal="center" vertical="center"/>
    </xf>
    <xf numFmtId="49" fontId="17" fillId="2" borderId="10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49" fontId="17" fillId="2" borderId="11" xfId="0" applyNumberFormat="1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/>
    </xf>
    <xf numFmtId="49" fontId="19" fillId="3" borderId="1" xfId="0" applyNumberFormat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left" vertical="center" wrapText="1"/>
    </xf>
    <xf numFmtId="49" fontId="19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/>
    </xf>
    <xf numFmtId="49" fontId="21" fillId="0" borderId="1" xfId="0" applyNumberFormat="1" applyFont="1" applyFill="1" applyBorder="1" applyAlignment="1">
      <alignment horizontal="center" vertical="center"/>
    </xf>
    <xf numFmtId="49" fontId="19" fillId="0" borderId="1" xfId="0" applyNumberFormat="1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left" vertical="center" wrapText="1"/>
    </xf>
    <xf numFmtId="0" fontId="19" fillId="0" borderId="1" xfId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/>
    </xf>
    <xf numFmtId="49" fontId="19" fillId="0" borderId="13" xfId="0" applyNumberFormat="1" applyFont="1" applyFill="1" applyBorder="1" applyAlignment="1">
      <alignment horizontal="center" vertical="center"/>
    </xf>
    <xf numFmtId="49" fontId="19" fillId="0" borderId="1" xfId="0" applyNumberFormat="1" applyFont="1" applyFill="1" applyBorder="1" applyAlignment="1">
      <alignment horizontal="left" vertical="center" wrapText="1"/>
    </xf>
    <xf numFmtId="165" fontId="19" fillId="0" borderId="1" xfId="1" applyNumberFormat="1" applyFont="1" applyFill="1" applyBorder="1" applyAlignment="1">
      <alignment horizontal="center" vertical="center" wrapText="1"/>
    </xf>
    <xf numFmtId="166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left" vertical="center" wrapText="1"/>
    </xf>
    <xf numFmtId="49" fontId="19" fillId="0" borderId="1" xfId="0" applyNumberFormat="1" applyFont="1" applyFill="1" applyBorder="1" applyAlignment="1">
      <alignment horizontal="left" vertical="center"/>
    </xf>
    <xf numFmtId="1" fontId="19" fillId="0" borderId="1" xfId="0" applyNumberFormat="1" applyFont="1" applyFill="1" applyBorder="1" applyAlignment="1">
      <alignment horizontal="center" vertical="center"/>
    </xf>
    <xf numFmtId="0" fontId="19" fillId="0" borderId="1" xfId="1" applyFont="1" applyFill="1" applyBorder="1" applyAlignment="1" applyProtection="1">
      <alignment horizontal="center" vertical="center" wrapText="1"/>
    </xf>
    <xf numFmtId="0" fontId="19" fillId="0" borderId="1" xfId="3" applyFont="1" applyFill="1" applyBorder="1" applyAlignment="1" applyProtection="1">
      <alignment horizontal="center" vertical="center" wrapText="1"/>
    </xf>
    <xf numFmtId="0" fontId="17" fillId="2" borderId="10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3" fillId="0" borderId="0" xfId="0" applyFont="1"/>
    <xf numFmtId="1" fontId="19" fillId="3" borderId="1" xfId="0" applyNumberFormat="1" applyFont="1" applyFill="1" applyBorder="1" applyAlignment="1">
      <alignment horizontal="center" vertical="center"/>
    </xf>
    <xf numFmtId="165" fontId="25" fillId="3" borderId="1" xfId="1" applyNumberFormat="1" applyFont="1" applyFill="1" applyBorder="1" applyAlignment="1">
      <alignment horizontal="center" vertical="center" wrapText="1"/>
    </xf>
    <xf numFmtId="49" fontId="19" fillId="0" borderId="1" xfId="1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17" xfId="0" applyFont="1" applyBorder="1" applyAlignment="1">
      <alignment vertical="center" wrapText="1"/>
    </xf>
    <xf numFmtId="0" fontId="26" fillId="0" borderId="17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/>
    </xf>
    <xf numFmtId="0" fontId="26" fillId="0" borderId="18" xfId="0" applyFont="1" applyBorder="1" applyAlignment="1">
      <alignment vertical="center" wrapText="1"/>
    </xf>
    <xf numFmtId="0" fontId="26" fillId="0" borderId="18" xfId="0" applyFont="1" applyBorder="1" applyAlignment="1">
      <alignment horizontal="center" vertical="center" wrapText="1"/>
    </xf>
    <xf numFmtId="0" fontId="22" fillId="0" borderId="18" xfId="0" applyFont="1" applyBorder="1" applyAlignment="1">
      <alignment vertical="center"/>
    </xf>
    <xf numFmtId="0" fontId="26" fillId="0" borderId="16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27" fillId="3" borderId="1" xfId="0" applyNumberFormat="1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49" fontId="31" fillId="3" borderId="1" xfId="0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Fill="1" applyBorder="1" applyAlignment="1">
      <alignment horizontal="center" vertical="center"/>
    </xf>
    <xf numFmtId="0" fontId="0" fillId="6" borderId="0" xfId="0" applyFill="1"/>
    <xf numFmtId="0" fontId="4" fillId="6" borderId="1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6" fontId="4" fillId="6" borderId="1" xfId="0" applyNumberFormat="1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left" vertical="center" wrapText="1"/>
    </xf>
    <xf numFmtId="14" fontId="30" fillId="0" borderId="1" xfId="0" quotePrefix="1" applyNumberFormat="1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164" fontId="27" fillId="0" borderId="1" xfId="0" applyNumberFormat="1" applyFont="1" applyFill="1" applyBorder="1" applyAlignment="1">
      <alignment horizontal="center" vertical="center"/>
    </xf>
    <xf numFmtId="0" fontId="32" fillId="0" borderId="0" xfId="0" applyFont="1"/>
    <xf numFmtId="0" fontId="19" fillId="6" borderId="1" xfId="0" applyFont="1" applyFill="1" applyBorder="1" applyAlignment="1">
      <alignment horizontal="center" vertical="center"/>
    </xf>
    <xf numFmtId="0" fontId="33" fillId="3" borderId="1" xfId="0" applyFont="1" applyFill="1" applyBorder="1" applyAlignment="1">
      <alignment horizontal="left" vertical="center" wrapText="1"/>
    </xf>
    <xf numFmtId="0" fontId="33" fillId="0" borderId="1" xfId="0" applyFont="1" applyBorder="1" applyAlignment="1">
      <alignment horizontal="center" vertical="center"/>
    </xf>
    <xf numFmtId="49" fontId="33" fillId="3" borderId="13" xfId="0" applyNumberFormat="1" applyFont="1" applyFill="1" applyBorder="1" applyAlignment="1">
      <alignment horizontal="center" vertical="center"/>
    </xf>
    <xf numFmtId="0" fontId="33" fillId="3" borderId="1" xfId="0" applyFont="1" applyFill="1" applyBorder="1" applyAlignment="1">
      <alignment horizontal="center" vertical="center" wrapText="1"/>
    </xf>
    <xf numFmtId="0" fontId="35" fillId="0" borderId="0" xfId="0" applyFont="1" applyFill="1"/>
    <xf numFmtId="0" fontId="36" fillId="0" borderId="0" xfId="0" applyFont="1" applyFill="1" applyBorder="1" applyAlignment="1">
      <alignment horizontal="center"/>
    </xf>
    <xf numFmtId="0" fontId="35" fillId="0" borderId="0" xfId="0" applyFont="1" applyFill="1" applyBorder="1"/>
    <xf numFmtId="14" fontId="33" fillId="0" borderId="1" xfId="0" quotePrefix="1" applyNumberFormat="1" applyFont="1" applyFill="1" applyBorder="1" applyAlignment="1">
      <alignment horizontal="center" vertical="center"/>
    </xf>
    <xf numFmtId="0" fontId="35" fillId="0" borderId="0" xfId="0" applyFont="1" applyFill="1" applyAlignment="1">
      <alignment horizontal="left"/>
    </xf>
    <xf numFmtId="0" fontId="35" fillId="0" borderId="0" xfId="0" applyFont="1" applyFill="1" applyBorder="1" applyAlignment="1">
      <alignment horizontal="left"/>
    </xf>
    <xf numFmtId="0" fontId="37" fillId="0" borderId="0" xfId="0" applyFont="1" applyFill="1" applyBorder="1" applyAlignment="1">
      <alignment horizontal="left"/>
    </xf>
    <xf numFmtId="166" fontId="19" fillId="0" borderId="0" xfId="0" applyNumberFormat="1" applyFont="1" applyFill="1" applyBorder="1" applyAlignment="1">
      <alignment horizontal="left" vertical="center"/>
    </xf>
    <xf numFmtId="14" fontId="19" fillId="0" borderId="0" xfId="0" quotePrefix="1" applyNumberFormat="1" applyFont="1" applyFill="1" applyBorder="1" applyAlignment="1">
      <alignment horizontal="left" vertical="center"/>
    </xf>
    <xf numFmtId="0" fontId="37" fillId="0" borderId="3" xfId="0" applyFont="1" applyFill="1" applyBorder="1" applyAlignment="1">
      <alignment horizontal="left"/>
    </xf>
    <xf numFmtId="0" fontId="35" fillId="0" borderId="4" xfId="0" applyFont="1" applyFill="1" applyBorder="1" applyAlignment="1">
      <alignment horizontal="left"/>
    </xf>
    <xf numFmtId="0" fontId="35" fillId="0" borderId="5" xfId="0" applyFont="1" applyFill="1" applyBorder="1"/>
    <xf numFmtId="0" fontId="35" fillId="0" borderId="14" xfId="0" applyFont="1" applyFill="1" applyBorder="1" applyAlignment="1">
      <alignment horizontal="left"/>
    </xf>
    <xf numFmtId="0" fontId="35" fillId="0" borderId="15" xfId="0" applyFont="1" applyFill="1" applyBorder="1"/>
    <xf numFmtId="0" fontId="35" fillId="0" borderId="15" xfId="0" applyFont="1" applyFill="1" applyBorder="1" applyAlignment="1">
      <alignment horizontal="left"/>
    </xf>
    <xf numFmtId="0" fontId="35" fillId="0" borderId="7" xfId="0" applyFont="1" applyFill="1" applyBorder="1" applyAlignment="1">
      <alignment horizontal="left"/>
    </xf>
    <xf numFmtId="0" fontId="36" fillId="0" borderId="8" xfId="0" applyFont="1" applyFill="1" applyBorder="1" applyAlignment="1">
      <alignment horizontal="left"/>
    </xf>
    <xf numFmtId="0" fontId="35" fillId="0" borderId="9" xfId="0" applyFont="1" applyFill="1" applyBorder="1"/>
    <xf numFmtId="0" fontId="35" fillId="0" borderId="4" xfId="0" applyFont="1" applyFill="1" applyBorder="1"/>
    <xf numFmtId="0" fontId="35" fillId="0" borderId="8" xfId="0" applyFont="1" applyFill="1" applyBorder="1"/>
    <xf numFmtId="166" fontId="38" fillId="3" borderId="1" xfId="0" applyNumberFormat="1" applyFont="1" applyFill="1" applyBorder="1" applyAlignment="1">
      <alignment horizontal="center" vertical="center"/>
    </xf>
    <xf numFmtId="166" fontId="30" fillId="0" borderId="1" xfId="0" quotePrefix="1" applyNumberFormat="1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6" fontId="6" fillId="9" borderId="1" xfId="0" applyNumberFormat="1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0" fontId="40" fillId="0" borderId="1" xfId="0" applyFont="1" applyBorder="1" applyAlignment="1">
      <alignment horizontal="left"/>
    </xf>
    <xf numFmtId="0" fontId="33" fillId="0" borderId="0" xfId="0" applyFont="1" applyBorder="1" applyAlignment="1">
      <alignment horizontal="center" vertical="center"/>
    </xf>
    <xf numFmtId="49" fontId="33" fillId="3" borderId="0" xfId="0" applyNumberFormat="1" applyFont="1" applyFill="1" applyBorder="1" applyAlignment="1">
      <alignment horizontal="center" vertical="center"/>
    </xf>
    <xf numFmtId="0" fontId="33" fillId="3" borderId="0" xfId="0" applyFont="1" applyFill="1" applyBorder="1" applyAlignment="1">
      <alignment horizontal="left" vertical="center" wrapText="1"/>
    </xf>
    <xf numFmtId="0" fontId="33" fillId="3" borderId="0" xfId="0" applyFont="1" applyFill="1" applyBorder="1" applyAlignment="1">
      <alignment horizontal="center" vertical="center" wrapText="1"/>
    </xf>
    <xf numFmtId="49" fontId="17" fillId="3" borderId="0" xfId="0" applyNumberFormat="1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66" fontId="19" fillId="3" borderId="1" xfId="0" applyNumberFormat="1" applyFont="1" applyFill="1" applyBorder="1" applyAlignment="1">
      <alignment horizontal="center" vertical="center"/>
    </xf>
    <xf numFmtId="166" fontId="19" fillId="0" borderId="1" xfId="0" quotePrefix="1" applyNumberFormat="1" applyFont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3" fillId="0" borderId="1" xfId="0" applyFont="1" applyFill="1" applyBorder="1" applyAlignment="1">
      <alignment horizontal="center" vertical="center"/>
    </xf>
    <xf numFmtId="49" fontId="33" fillId="0" borderId="1" xfId="0" applyNumberFormat="1" applyFont="1" applyFill="1" applyBorder="1" applyAlignment="1">
      <alignment horizontal="center" vertical="center"/>
    </xf>
    <xf numFmtId="1" fontId="33" fillId="0" borderId="1" xfId="0" applyNumberFormat="1" applyFont="1" applyFill="1" applyBorder="1" applyAlignment="1">
      <alignment horizontal="center" vertical="center"/>
    </xf>
    <xf numFmtId="0" fontId="33" fillId="0" borderId="1" xfId="0" applyFont="1" applyFill="1" applyBorder="1" applyAlignment="1">
      <alignment horizontal="left" vertical="center"/>
    </xf>
    <xf numFmtId="0" fontId="33" fillId="0" borderId="1" xfId="1" applyFont="1" applyFill="1" applyBorder="1" applyAlignment="1">
      <alignment horizontal="center" vertical="center" wrapText="1"/>
    </xf>
    <xf numFmtId="166" fontId="33" fillId="0" borderId="1" xfId="0" applyNumberFormat="1" applyFont="1" applyFill="1" applyBorder="1" applyAlignment="1">
      <alignment horizontal="center" vertical="center"/>
    </xf>
    <xf numFmtId="166" fontId="33" fillId="0" borderId="1" xfId="0" quotePrefix="1" applyNumberFormat="1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0" fontId="33" fillId="0" borderId="1" xfId="0" applyFont="1" applyFill="1" applyBorder="1" applyAlignment="1">
      <alignment horizontal="left" vertical="center" wrapText="1"/>
    </xf>
    <xf numFmtId="0" fontId="33" fillId="3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166" fontId="33" fillId="3" borderId="1" xfId="0" applyNumberFormat="1" applyFont="1" applyFill="1" applyBorder="1" applyAlignment="1">
      <alignment horizontal="center" vertical="center"/>
    </xf>
    <xf numFmtId="1" fontId="33" fillId="3" borderId="1" xfId="0" applyNumberFormat="1" applyFont="1" applyFill="1" applyBorder="1" applyAlignment="1">
      <alignment horizontal="center" vertical="center"/>
    </xf>
    <xf numFmtId="166" fontId="33" fillId="0" borderId="1" xfId="0" quotePrefix="1" applyNumberFormat="1" applyFont="1" applyBorder="1" applyAlignment="1">
      <alignment horizontal="center" vertical="center"/>
    </xf>
    <xf numFmtId="0" fontId="33" fillId="6" borderId="1" xfId="0" applyFont="1" applyFill="1" applyBorder="1" applyAlignment="1">
      <alignment horizontal="center" vertical="center"/>
    </xf>
    <xf numFmtId="164" fontId="34" fillId="3" borderId="1" xfId="0" applyNumberFormat="1" applyFont="1" applyFill="1" applyBorder="1" applyAlignment="1">
      <alignment horizontal="center" vertical="center"/>
    </xf>
    <xf numFmtId="0" fontId="42" fillId="0" borderId="1" xfId="1" applyFont="1" applyFill="1" applyBorder="1" applyAlignment="1">
      <alignment horizontal="left" vertical="top" wrapText="1"/>
    </xf>
    <xf numFmtId="0" fontId="32" fillId="0" borderId="0" xfId="0" applyFont="1" applyAlignment="1">
      <alignment wrapText="1"/>
    </xf>
    <xf numFmtId="0" fontId="4" fillId="0" borderId="1" xfId="0" applyNumberFormat="1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49" fontId="33" fillId="0" borderId="1" xfId="0" applyNumberFormat="1" applyFont="1" applyFill="1" applyBorder="1" applyAlignment="1">
      <alignment horizontal="left" vertical="center" wrapText="1"/>
    </xf>
    <xf numFmtId="0" fontId="33" fillId="0" borderId="1" xfId="3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>
      <alignment horizontal="center" wrapText="1"/>
    </xf>
    <xf numFmtId="166" fontId="17" fillId="2" borderId="1" xfId="0" applyNumberFormat="1" applyFont="1" applyFill="1" applyBorder="1" applyAlignment="1">
      <alignment wrapText="1"/>
    </xf>
    <xf numFmtId="166" fontId="17" fillId="2" borderId="1" xfId="0" applyNumberFormat="1" applyFont="1" applyFill="1" applyBorder="1" applyAlignment="1">
      <alignment horizontal="center" wrapText="1"/>
    </xf>
    <xf numFmtId="0" fontId="23" fillId="0" borderId="0" xfId="0" applyFont="1" applyBorder="1"/>
    <xf numFmtId="0" fontId="19" fillId="7" borderId="1" xfId="0" applyFont="1" applyFill="1" applyBorder="1" applyAlignment="1">
      <alignment horizontal="center" vertical="center"/>
    </xf>
    <xf numFmtId="49" fontId="19" fillId="7" borderId="1" xfId="0" applyNumberFormat="1" applyFont="1" applyFill="1" applyBorder="1" applyAlignment="1">
      <alignment horizontal="center" vertical="center" wrapText="1"/>
    </xf>
    <xf numFmtId="166" fontId="38" fillId="7" borderId="1" xfId="0" applyNumberFormat="1" applyFont="1" applyFill="1" applyBorder="1" applyAlignment="1">
      <alignment horizontal="center" vertical="center"/>
    </xf>
    <xf numFmtId="166" fontId="30" fillId="7" borderId="1" xfId="0" quotePrefix="1" applyNumberFormat="1" applyFont="1" applyFill="1" applyBorder="1" applyAlignment="1">
      <alignment horizontal="center" vertical="center"/>
    </xf>
    <xf numFmtId="165" fontId="19" fillId="7" borderId="1" xfId="1" applyNumberFormat="1" applyFont="1" applyFill="1" applyBorder="1" applyAlignment="1">
      <alignment horizontal="center" vertical="center" wrapText="1"/>
    </xf>
    <xf numFmtId="49" fontId="19" fillId="0" borderId="1" xfId="0" applyNumberFormat="1" applyFont="1" applyFill="1" applyBorder="1" applyAlignment="1">
      <alignment horizontal="center" vertical="center" wrapText="1"/>
    </xf>
    <xf numFmtId="166" fontId="19" fillId="0" borderId="1" xfId="0" quotePrefix="1" applyNumberFormat="1" applyFont="1" applyFill="1" applyBorder="1" applyAlignment="1">
      <alignment horizontal="center" vertical="center"/>
    </xf>
    <xf numFmtId="166" fontId="19" fillId="0" borderId="1" xfId="0" applyNumberFormat="1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left" vertical="top" wrapText="1"/>
    </xf>
    <xf numFmtId="49" fontId="19" fillId="0" borderId="1" xfId="0" applyNumberFormat="1" applyFont="1" applyFill="1" applyBorder="1" applyAlignment="1">
      <alignment horizontal="left" vertical="top"/>
    </xf>
    <xf numFmtId="0" fontId="19" fillId="0" borderId="1" xfId="0" applyFont="1" applyFill="1" applyBorder="1" applyAlignment="1">
      <alignment horizontal="left" vertical="top"/>
    </xf>
    <xf numFmtId="0" fontId="19" fillId="0" borderId="1" xfId="0" applyNumberFormat="1" applyFont="1" applyFill="1" applyBorder="1" applyAlignment="1">
      <alignment horizontal="center" vertical="center"/>
    </xf>
    <xf numFmtId="0" fontId="23" fillId="0" borderId="18" xfId="0" applyFont="1" applyFill="1" applyBorder="1" applyAlignment="1">
      <alignment vertical="center"/>
    </xf>
    <xf numFmtId="0" fontId="41" fillId="0" borderId="6" xfId="0" applyFont="1" applyFill="1" applyBorder="1" applyAlignment="1">
      <alignment vertical="center" wrapText="1"/>
    </xf>
    <xf numFmtId="0" fontId="41" fillId="0" borderId="18" xfId="0" applyFont="1" applyFill="1" applyBorder="1" applyAlignment="1">
      <alignment vertical="center"/>
    </xf>
    <xf numFmtId="0" fontId="23" fillId="0" borderId="0" xfId="0" applyFont="1" applyFill="1" applyAlignment="1">
      <alignment horizontal="center"/>
    </xf>
    <xf numFmtId="0" fontId="21" fillId="0" borderId="1" xfId="0" applyFont="1" applyFill="1" applyBorder="1" applyAlignment="1">
      <alignment horizontal="left" vertical="center" wrapText="1"/>
    </xf>
    <xf numFmtId="0" fontId="30" fillId="0" borderId="1" xfId="0" applyFont="1" applyBorder="1" applyAlignment="1">
      <alignment horizontal="center" vertical="center"/>
    </xf>
    <xf numFmtId="49" fontId="43" fillId="0" borderId="1" xfId="2" applyNumberFormat="1" applyFont="1" applyBorder="1" applyAlignment="1">
      <alignment horizontal="center" vertical="center"/>
    </xf>
    <xf numFmtId="49" fontId="30" fillId="0" borderId="1" xfId="0" applyNumberFormat="1" applyFont="1" applyFill="1" applyBorder="1" applyAlignment="1">
      <alignment horizontal="center" vertical="center"/>
    </xf>
    <xf numFmtId="49" fontId="30" fillId="0" borderId="12" xfId="0" applyNumberFormat="1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/>
    </xf>
    <xf numFmtId="49" fontId="30" fillId="0" borderId="13" xfId="0" applyNumberFormat="1" applyFont="1" applyFill="1" applyBorder="1" applyAlignment="1">
      <alignment horizontal="center" vertical="center"/>
    </xf>
    <xf numFmtId="0" fontId="43" fillId="0" borderId="1" xfId="2" applyFont="1" applyFill="1" applyBorder="1" applyAlignment="1">
      <alignment vertical="center" wrapText="1"/>
    </xf>
    <xf numFmtId="0" fontId="30" fillId="0" borderId="1" xfId="0" applyFont="1" applyFill="1" applyBorder="1" applyAlignment="1">
      <alignment horizontal="center" vertical="center" wrapText="1"/>
    </xf>
    <xf numFmtId="0" fontId="29" fillId="0" borderId="0" xfId="0" applyFont="1" applyFill="1" applyAlignment="1">
      <alignment vertical="center" wrapText="1"/>
    </xf>
    <xf numFmtId="49" fontId="30" fillId="0" borderId="1" xfId="0" applyNumberFormat="1" applyFont="1" applyFill="1" applyBorder="1" applyAlignment="1">
      <alignment horizontal="left" vertical="center"/>
    </xf>
    <xf numFmtId="49" fontId="30" fillId="0" borderId="1" xfId="0" applyNumberFormat="1" applyFont="1" applyFill="1" applyBorder="1" applyAlignment="1">
      <alignment horizontal="center" vertical="center" wrapText="1"/>
    </xf>
    <xf numFmtId="165" fontId="44" fillId="0" borderId="1" xfId="1" applyNumberFormat="1" applyFont="1" applyFill="1" applyBorder="1" applyAlignment="1">
      <alignment horizontal="center" vertical="center" wrapText="1"/>
    </xf>
    <xf numFmtId="166" fontId="30" fillId="0" borderId="1" xfId="0" applyNumberFormat="1" applyFont="1" applyFill="1" applyBorder="1" applyAlignment="1">
      <alignment horizontal="center" vertical="center"/>
    </xf>
    <xf numFmtId="1" fontId="30" fillId="0" borderId="1" xfId="0" applyNumberFormat="1" applyFont="1" applyFill="1" applyBorder="1" applyAlignment="1">
      <alignment horizontal="center" vertical="center"/>
    </xf>
    <xf numFmtId="166" fontId="30" fillId="0" borderId="1" xfId="0" quotePrefix="1" applyNumberFormat="1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left" vertical="center" wrapText="1"/>
    </xf>
    <xf numFmtId="0" fontId="29" fillId="0" borderId="1" xfId="0" applyFont="1" applyFill="1" applyBorder="1" applyAlignment="1">
      <alignment horizontal="center" vertical="center"/>
    </xf>
    <xf numFmtId="0" fontId="45" fillId="0" borderId="1" xfId="0" applyFont="1" applyFill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164" fontId="46" fillId="3" borderId="1" xfId="0" applyNumberFormat="1" applyFont="1" applyFill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29" fillId="0" borderId="0" xfId="0" applyFont="1" applyBorder="1"/>
    <xf numFmtId="0" fontId="29" fillId="0" borderId="0" xfId="0" applyFont="1"/>
    <xf numFmtId="0" fontId="47" fillId="0" borderId="1" xfId="2" applyFont="1" applyFill="1" applyBorder="1" applyAlignment="1">
      <alignment horizontal="left" vertical="center" wrapText="1"/>
    </xf>
    <xf numFmtId="49" fontId="30" fillId="0" borderId="9" xfId="0" applyNumberFormat="1" applyFont="1" applyFill="1" applyBorder="1" applyAlignment="1">
      <alignment horizontal="center" vertical="center"/>
    </xf>
    <xf numFmtId="0" fontId="30" fillId="0" borderId="11" xfId="0" applyFont="1" applyFill="1" applyBorder="1" applyAlignment="1">
      <alignment horizontal="center" vertical="center" wrapText="1"/>
    </xf>
    <xf numFmtId="49" fontId="30" fillId="0" borderId="11" xfId="0" applyNumberFormat="1" applyFont="1" applyFill="1" applyBorder="1" applyAlignment="1">
      <alignment horizontal="left" vertical="center"/>
    </xf>
    <xf numFmtId="49" fontId="30" fillId="0" borderId="11" xfId="0" applyNumberFormat="1" applyFont="1" applyFill="1" applyBorder="1" applyAlignment="1">
      <alignment horizontal="center" vertical="center" wrapText="1"/>
    </xf>
    <xf numFmtId="0" fontId="44" fillId="0" borderId="11" xfId="1" applyFont="1" applyFill="1" applyBorder="1" applyAlignment="1">
      <alignment horizontal="center" vertical="center" wrapText="1"/>
    </xf>
    <xf numFmtId="49" fontId="30" fillId="0" borderId="11" xfId="0" applyNumberFormat="1" applyFont="1" applyFill="1" applyBorder="1" applyAlignment="1">
      <alignment horizontal="center" vertical="center"/>
    </xf>
    <xf numFmtId="49" fontId="30" fillId="0" borderId="1" xfId="0" applyNumberFormat="1" applyFont="1" applyFill="1" applyBorder="1" applyAlignment="1">
      <alignment horizontal="left" vertical="center" wrapText="1"/>
    </xf>
    <xf numFmtId="0" fontId="44" fillId="0" borderId="1" xfId="1" applyFont="1" applyFill="1" applyBorder="1" applyAlignment="1">
      <alignment horizontal="center" vertical="center" wrapText="1"/>
    </xf>
    <xf numFmtId="0" fontId="30" fillId="0" borderId="13" xfId="0" applyFont="1" applyFill="1" applyBorder="1" applyAlignment="1">
      <alignment horizontal="center" vertical="center"/>
    </xf>
    <xf numFmtId="0" fontId="47" fillId="0" borderId="2" xfId="2" applyFont="1" applyFill="1" applyBorder="1" applyAlignment="1">
      <alignment horizontal="left" vertical="center" wrapText="1"/>
    </xf>
    <xf numFmtId="0" fontId="43" fillId="0" borderId="1" xfId="0" applyFont="1" applyFill="1" applyBorder="1" applyAlignment="1">
      <alignment vertical="center" wrapText="1"/>
    </xf>
    <xf numFmtId="49" fontId="29" fillId="0" borderId="1" xfId="0" applyNumberFormat="1" applyFont="1" applyFill="1" applyBorder="1" applyAlignment="1">
      <alignment horizontal="center" vertical="center"/>
    </xf>
    <xf numFmtId="0" fontId="44" fillId="0" borderId="1" xfId="1" applyFont="1" applyFill="1" applyBorder="1" applyAlignment="1" applyProtection="1">
      <alignment horizontal="center" vertical="center" wrapText="1"/>
    </xf>
    <xf numFmtId="49" fontId="43" fillId="0" borderId="1" xfId="2" applyNumberFormat="1" applyFont="1" applyFill="1" applyBorder="1" applyAlignment="1">
      <alignment horizontal="center" vertical="center"/>
    </xf>
    <xf numFmtId="164" fontId="46" fillId="0" borderId="1" xfId="0" applyNumberFormat="1" applyFont="1" applyFill="1" applyBorder="1" applyAlignment="1">
      <alignment horizontal="center" vertical="center"/>
    </xf>
    <xf numFmtId="0" fontId="30" fillId="0" borderId="12" xfId="0" applyFont="1" applyFill="1" applyBorder="1" applyAlignment="1">
      <alignment horizontal="center" vertical="center"/>
    </xf>
    <xf numFmtId="0" fontId="29" fillId="0" borderId="0" xfId="0" applyFont="1" applyFill="1" applyBorder="1"/>
    <xf numFmtId="0" fontId="29" fillId="0" borderId="0" xfId="0" applyFont="1" applyFill="1"/>
    <xf numFmtId="0" fontId="30" fillId="0" borderId="0" xfId="0" applyFont="1" applyFill="1" applyAlignment="1">
      <alignment horizontal="center" vertical="center"/>
    </xf>
    <xf numFmtId="0" fontId="29" fillId="0" borderId="1" xfId="0" applyFont="1" applyFill="1" applyBorder="1" applyAlignment="1">
      <alignment vertical="center" wrapText="1"/>
    </xf>
    <xf numFmtId="0" fontId="30" fillId="0" borderId="1" xfId="0" applyFont="1" applyFill="1" applyBorder="1" applyAlignment="1">
      <alignment horizontal="left" vertical="top" wrapText="1"/>
    </xf>
    <xf numFmtId="0" fontId="29" fillId="0" borderId="0" xfId="0" applyFont="1" applyBorder="1" applyAlignment="1">
      <alignment horizontal="center" vertical="center"/>
    </xf>
    <xf numFmtId="49" fontId="44" fillId="0" borderId="1" xfId="1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/>
    </xf>
    <xf numFmtId="0" fontId="17" fillId="2" borderId="1" xfId="0" applyFont="1" applyFill="1" applyBorder="1" applyAlignment="1">
      <alignment horizontal="center" vertical="center" wrapText="1"/>
    </xf>
    <xf numFmtId="49" fontId="17" fillId="2" borderId="1" xfId="0" applyNumberFormat="1" applyFont="1" applyFill="1" applyBorder="1" applyAlignment="1">
      <alignment horizontal="center" vertical="center"/>
    </xf>
    <xf numFmtId="49" fontId="17" fillId="2" borderId="2" xfId="0" applyNumberFormat="1" applyFont="1" applyFill="1" applyBorder="1" applyAlignment="1">
      <alignment horizontal="center" vertical="center" wrapText="1"/>
    </xf>
    <xf numFmtId="49" fontId="17" fillId="2" borderId="10" xfId="0" applyNumberFormat="1" applyFont="1" applyFill="1" applyBorder="1" applyAlignment="1">
      <alignment horizontal="center" vertical="center" wrapText="1"/>
    </xf>
    <xf numFmtId="49" fontId="17" fillId="2" borderId="11" xfId="0" applyNumberFormat="1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wrapText="1"/>
    </xf>
    <xf numFmtId="0" fontId="24" fillId="0" borderId="16" xfId="0" applyFont="1" applyFill="1" applyBorder="1" applyAlignment="1">
      <alignment vertical="center" wrapText="1"/>
    </xf>
    <xf numFmtId="0" fontId="24" fillId="0" borderId="16" xfId="0" applyFont="1" applyFill="1" applyBorder="1" applyAlignment="1">
      <alignment horizontal="center" vertical="center" wrapText="1"/>
    </xf>
    <xf numFmtId="0" fontId="24" fillId="0" borderId="6" xfId="0" applyFont="1" applyFill="1" applyBorder="1" applyAlignment="1">
      <alignment vertical="center" wrapText="1"/>
    </xf>
    <xf numFmtId="0" fontId="24" fillId="0" borderId="6" xfId="0" applyFont="1" applyFill="1" applyBorder="1" applyAlignment="1">
      <alignment horizontal="center" vertical="center" wrapText="1"/>
    </xf>
    <xf numFmtId="0" fontId="24" fillId="0" borderId="18" xfId="0" applyFont="1" applyFill="1" applyBorder="1" applyAlignment="1">
      <alignment vertical="center" wrapText="1"/>
    </xf>
    <xf numFmtId="0" fontId="23" fillId="0" borderId="0" xfId="0" applyFont="1" applyFill="1" applyAlignment="1">
      <alignment horizontal="center" wrapText="1"/>
    </xf>
    <xf numFmtId="0" fontId="2" fillId="7" borderId="1" xfId="0" applyFont="1" applyFill="1" applyBorder="1" applyAlignment="1">
      <alignment horizontal="center" vertical="center"/>
    </xf>
    <xf numFmtId="49" fontId="13" fillId="7" borderId="1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7" borderId="12" xfId="0" applyNumberFormat="1" applyFont="1" applyFill="1" applyBorder="1" applyAlignment="1">
      <alignment horizontal="center" vertical="center"/>
    </xf>
    <xf numFmtId="0" fontId="26" fillId="7" borderId="18" xfId="0" applyFont="1" applyFill="1" applyBorder="1" applyAlignment="1">
      <alignment horizontal="center" vertical="center"/>
    </xf>
    <xf numFmtId="0" fontId="26" fillId="7" borderId="18" xfId="0" applyFont="1" applyFill="1" applyBorder="1" applyAlignment="1">
      <alignment vertical="center" wrapText="1"/>
    </xf>
    <xf numFmtId="0" fontId="26" fillId="7" borderId="18" xfId="0" applyFont="1" applyFill="1" applyBorder="1" applyAlignment="1">
      <alignment horizontal="center" vertical="center" wrapText="1"/>
    </xf>
    <xf numFmtId="49" fontId="6" fillId="7" borderId="1" xfId="0" applyNumberFormat="1" applyFont="1" applyFill="1" applyBorder="1" applyAlignment="1">
      <alignment horizontal="center" vertical="center"/>
    </xf>
    <xf numFmtId="0" fontId="26" fillId="7" borderId="6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7" borderId="1" xfId="1" applyFont="1" applyFill="1" applyBorder="1" applyAlignment="1">
      <alignment horizontal="center" vertical="center" wrapText="1"/>
    </xf>
    <xf numFmtId="166" fontId="2" fillId="7" borderId="1" xfId="0" applyNumberFormat="1" applyFont="1" applyFill="1" applyBorder="1" applyAlignment="1">
      <alignment horizontal="center" vertical="center"/>
    </xf>
    <xf numFmtId="1" fontId="3" fillId="7" borderId="1" xfId="0" applyNumberFormat="1" applyFont="1" applyFill="1" applyBorder="1" applyAlignment="1">
      <alignment horizontal="center" vertical="center"/>
    </xf>
    <xf numFmtId="0" fontId="26" fillId="7" borderId="6" xfId="0" applyFont="1" applyFill="1" applyBorder="1" applyAlignment="1">
      <alignment horizontal="center" vertical="center"/>
    </xf>
    <xf numFmtId="14" fontId="6" fillId="7" borderId="1" xfId="0" quotePrefix="1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166" fontId="6" fillId="7" borderId="1" xfId="0" applyNumberFormat="1" applyFont="1" applyFill="1" applyBorder="1" applyAlignment="1">
      <alignment horizontal="center" vertical="center"/>
    </xf>
    <xf numFmtId="0" fontId="6" fillId="7" borderId="0" xfId="0" applyFont="1" applyFill="1"/>
    <xf numFmtId="0" fontId="0" fillId="7" borderId="0" xfId="0" applyFill="1"/>
    <xf numFmtId="0" fontId="0" fillId="0" borderId="0" xfId="0" applyFill="1" applyAlignment="1"/>
    <xf numFmtId="0" fontId="48" fillId="0" borderId="0" xfId="0" applyFont="1" applyFill="1" applyAlignment="1">
      <alignment vertical="center"/>
    </xf>
    <xf numFmtId="1" fontId="49" fillId="2" borderId="1" xfId="0" applyNumberFormat="1" applyFont="1" applyFill="1" applyBorder="1" applyAlignment="1">
      <alignment horizontal="center"/>
    </xf>
    <xf numFmtId="1" fontId="50" fillId="7" borderId="1" xfId="0" applyNumberFormat="1" applyFont="1" applyFill="1" applyBorder="1" applyAlignment="1">
      <alignment horizontal="center" vertical="center"/>
    </xf>
    <xf numFmtId="1" fontId="50" fillId="0" borderId="1" xfId="0" applyNumberFormat="1" applyFont="1" applyFill="1" applyBorder="1" applyAlignment="1">
      <alignment horizontal="center" vertical="center"/>
    </xf>
    <xf numFmtId="1" fontId="50" fillId="3" borderId="1" xfId="0" applyNumberFormat="1" applyFont="1" applyFill="1" applyBorder="1" applyAlignment="1">
      <alignment horizontal="center" vertical="center"/>
    </xf>
    <xf numFmtId="1" fontId="50" fillId="3" borderId="1" xfId="0" quotePrefix="1" applyNumberFormat="1" applyFont="1" applyFill="1" applyBorder="1" applyAlignment="1">
      <alignment horizontal="center" vertical="center"/>
    </xf>
    <xf numFmtId="1" fontId="50" fillId="0" borderId="1" xfId="0" applyNumberFormat="1" applyFont="1" applyFill="1" applyBorder="1" applyAlignment="1">
      <alignment horizontal="left" vertical="center"/>
    </xf>
    <xf numFmtId="1" fontId="50" fillId="0" borderId="1" xfId="0" applyNumberFormat="1" applyFont="1" applyFill="1" applyBorder="1" applyAlignment="1">
      <alignment horizontal="left" vertical="center" wrapText="1"/>
    </xf>
    <xf numFmtId="1" fontId="51" fillId="0" borderId="1" xfId="0" applyNumberFormat="1" applyFont="1" applyFill="1" applyBorder="1" applyAlignment="1">
      <alignment horizontal="center" vertical="center"/>
    </xf>
    <xf numFmtId="1" fontId="52" fillId="0" borderId="1" xfId="0" applyNumberFormat="1" applyFont="1" applyFill="1" applyBorder="1" applyAlignment="1">
      <alignment horizontal="center" vertical="center"/>
    </xf>
    <xf numFmtId="1" fontId="50" fillId="0" borderId="1" xfId="0" applyNumberFormat="1" applyFont="1" applyFill="1" applyBorder="1" applyAlignment="1">
      <alignment horizontal="center" vertical="center" wrapText="1"/>
    </xf>
    <xf numFmtId="1" fontId="51" fillId="0" borderId="1" xfId="0" applyNumberFormat="1" applyFont="1" applyFill="1" applyBorder="1" applyAlignment="1">
      <alignment horizontal="center" vertical="center" wrapText="1"/>
    </xf>
    <xf numFmtId="1" fontId="50" fillId="0" borderId="1" xfId="0" applyNumberFormat="1" applyFont="1" applyFill="1" applyBorder="1" applyAlignment="1">
      <alignment horizontal="left" vertical="top"/>
    </xf>
    <xf numFmtId="1" fontId="50" fillId="0" borderId="1" xfId="0" applyNumberFormat="1" applyFont="1" applyFill="1" applyBorder="1" applyAlignment="1">
      <alignment vertical="top"/>
    </xf>
    <xf numFmtId="0" fontId="19" fillId="0" borderId="1" xfId="0" applyFont="1" applyFill="1" applyBorder="1" applyAlignment="1" applyProtection="1">
      <alignment horizontal="left" vertical="top" wrapText="1"/>
      <protection locked="0"/>
    </xf>
    <xf numFmtId="165" fontId="42" fillId="7" borderId="1" xfId="1" applyNumberFormat="1" applyFont="1" applyFill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/>
    </xf>
    <xf numFmtId="165" fontId="42" fillId="3" borderId="1" xfId="1" applyNumberFormat="1" applyFont="1" applyFill="1" applyBorder="1" applyAlignment="1">
      <alignment horizontal="center" vertical="center" wrapText="1"/>
    </xf>
    <xf numFmtId="49" fontId="38" fillId="0" borderId="1" xfId="2" applyNumberFormat="1" applyFont="1" applyBorder="1" applyAlignment="1">
      <alignment horizontal="center" vertical="center"/>
    </xf>
    <xf numFmtId="165" fontId="42" fillId="0" borderId="1" xfId="1" applyNumberFormat="1" applyFont="1" applyFill="1" applyBorder="1" applyAlignment="1">
      <alignment horizontal="center" vertical="center" wrapText="1"/>
    </xf>
    <xf numFmtId="0" fontId="33" fillId="0" borderId="1" xfId="2" applyFont="1" applyFill="1" applyBorder="1" applyAlignment="1">
      <alignment vertical="center" wrapText="1"/>
    </xf>
    <xf numFmtId="0" fontId="19" fillId="0" borderId="1" xfId="0" applyFont="1" applyFill="1" applyBorder="1" applyAlignment="1">
      <alignment vertical="center" wrapText="1"/>
    </xf>
    <xf numFmtId="0" fontId="19" fillId="0" borderId="1" xfId="0" applyFont="1" applyFill="1" applyBorder="1" applyAlignment="1">
      <alignment vertical="center"/>
    </xf>
    <xf numFmtId="0" fontId="19" fillId="0" borderId="1" xfId="2" applyFont="1" applyFill="1" applyBorder="1" applyAlignment="1">
      <alignment horizontal="left" vertical="center" wrapText="1"/>
    </xf>
    <xf numFmtId="1" fontId="50" fillId="0" borderId="1" xfId="2" applyNumberFormat="1" applyFont="1" applyFill="1" applyBorder="1" applyAlignment="1">
      <alignment horizontal="left" vertical="center"/>
    </xf>
    <xf numFmtId="0" fontId="19" fillId="0" borderId="1" xfId="2" applyFont="1" applyFill="1" applyBorder="1" applyAlignment="1">
      <alignment horizontal="center" vertical="center"/>
    </xf>
    <xf numFmtId="0" fontId="21" fillId="0" borderId="1" xfId="2" applyFont="1" applyFill="1" applyBorder="1" applyAlignment="1">
      <alignment vertical="center" wrapText="1"/>
    </xf>
    <xf numFmtId="0" fontId="21" fillId="0" borderId="1" xfId="0" applyFont="1" applyFill="1" applyBorder="1" applyAlignment="1">
      <alignment vertical="center" wrapText="1"/>
    </xf>
    <xf numFmtId="49" fontId="42" fillId="0" borderId="1" xfId="1" applyNumberFormat="1" applyFont="1" applyFill="1" applyBorder="1" applyAlignment="1">
      <alignment horizontal="center" vertical="center" wrapText="1"/>
    </xf>
    <xf numFmtId="0" fontId="42" fillId="0" borderId="1" xfId="1" applyFont="1" applyFill="1" applyBorder="1" applyAlignment="1">
      <alignment horizontal="center" vertical="center" wrapText="1"/>
    </xf>
    <xf numFmtId="0" fontId="19" fillId="0" borderId="1" xfId="2" applyFont="1" applyFill="1" applyBorder="1" applyAlignment="1">
      <alignment vertical="center" wrapText="1"/>
    </xf>
    <xf numFmtId="0" fontId="42" fillId="0" borderId="1" xfId="1" applyFont="1" applyFill="1" applyBorder="1" applyAlignment="1" applyProtection="1">
      <alignment horizontal="center" vertical="center" wrapText="1"/>
    </xf>
    <xf numFmtId="0" fontId="4" fillId="0" borderId="1" xfId="0" applyFont="1" applyBorder="1" applyAlignment="1">
      <alignment vertical="center"/>
    </xf>
    <xf numFmtId="49" fontId="38" fillId="0" borderId="1" xfId="2" applyNumberFormat="1" applyFont="1" applyFill="1" applyBorder="1" applyAlignment="1">
      <alignment horizontal="center" vertical="center"/>
    </xf>
    <xf numFmtId="0" fontId="33" fillId="0" borderId="1" xfId="0" applyFont="1" applyFill="1" applyBorder="1" applyAlignment="1">
      <alignment vertical="center" wrapText="1"/>
    </xf>
    <xf numFmtId="0" fontId="54" fillId="0" borderId="1" xfId="1" applyFont="1" applyFill="1" applyBorder="1" applyAlignment="1">
      <alignment horizontal="center" vertical="center" wrapText="1"/>
    </xf>
    <xf numFmtId="0" fontId="4" fillId="6" borderId="1" xfId="0" applyFont="1" applyFill="1" applyBorder="1"/>
    <xf numFmtId="0" fontId="4" fillId="0" borderId="1" xfId="0" applyFont="1" applyFill="1" applyBorder="1"/>
    <xf numFmtId="0" fontId="54" fillId="0" borderId="1" xfId="1" applyFont="1" applyFill="1" applyBorder="1" applyAlignment="1" applyProtection="1">
      <alignment horizontal="center" vertical="center" wrapText="1"/>
    </xf>
    <xf numFmtId="0" fontId="39" fillId="0" borderId="1" xfId="0" applyFont="1" applyBorder="1" applyAlignment="1">
      <alignment horizontal="center"/>
    </xf>
    <xf numFmtId="165" fontId="54" fillId="3" borderId="1" xfId="1" applyNumberFormat="1" applyFont="1" applyFill="1" applyBorder="1" applyAlignment="1">
      <alignment horizontal="center" vertical="center" wrapText="1"/>
    </xf>
    <xf numFmtId="0" fontId="38" fillId="0" borderId="1" xfId="2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right" wrapText="1"/>
    </xf>
    <xf numFmtId="0" fontId="6" fillId="10" borderId="1" xfId="0" applyFont="1" applyFill="1" applyBorder="1" applyAlignment="1">
      <alignment wrapText="1"/>
    </xf>
    <xf numFmtId="0" fontId="6" fillId="10" borderId="1" xfId="0" applyFont="1" applyFill="1" applyBorder="1" applyAlignment="1">
      <alignment horizontal="center" wrapText="1"/>
    </xf>
    <xf numFmtId="0" fontId="4" fillId="0" borderId="1" xfId="0" applyFont="1" applyBorder="1"/>
    <xf numFmtId="0" fontId="6" fillId="10" borderId="1" xfId="0" applyFont="1" applyFill="1" applyBorder="1" applyAlignment="1">
      <alignment horizontal="right" wrapText="1"/>
    </xf>
    <xf numFmtId="0" fontId="54" fillId="10" borderId="1" xfId="1" applyFont="1" applyFill="1" applyBorder="1" applyAlignment="1">
      <alignment wrapText="1"/>
    </xf>
    <xf numFmtId="0" fontId="6" fillId="0" borderId="1" xfId="0" applyFont="1" applyBorder="1" applyAlignment="1">
      <alignment horizontal="right"/>
    </xf>
    <xf numFmtId="0" fontId="60" fillId="0" borderId="1" xfId="0" applyFont="1" applyBorder="1"/>
    <xf numFmtId="0" fontId="6" fillId="0" borderId="1" xfId="0" applyFont="1" applyBorder="1" applyAlignment="1">
      <alignment horizontal="center" wrapText="1"/>
    </xf>
    <xf numFmtId="0" fontId="2" fillId="0" borderId="1" xfId="0" applyFont="1" applyFill="1" applyBorder="1" applyAlignment="1">
      <alignment horizontal="right" wrapText="1"/>
    </xf>
    <xf numFmtId="0" fontId="42" fillId="0" borderId="1" xfId="1" applyFont="1" applyFill="1" applyBorder="1" applyAlignment="1">
      <alignment wrapText="1"/>
    </xf>
    <xf numFmtId="0" fontId="2" fillId="0" borderId="1" xfId="0" applyFont="1" applyFill="1" applyBorder="1" applyAlignment="1">
      <alignment horizontal="center" wrapText="1"/>
    </xf>
    <xf numFmtId="0" fontId="19" fillId="0" borderId="1" xfId="0" applyFont="1" applyFill="1" applyBorder="1"/>
    <xf numFmtId="0" fontId="21" fillId="7" borderId="1" xfId="2" applyFont="1" applyFill="1" applyBorder="1" applyAlignment="1">
      <alignment vertical="center" wrapText="1"/>
    </xf>
    <xf numFmtId="0" fontId="19" fillId="7" borderId="1" xfId="0" applyFont="1" applyFill="1" applyBorder="1" applyAlignment="1">
      <alignment horizontal="center" vertical="center" wrapText="1"/>
    </xf>
    <xf numFmtId="49" fontId="38" fillId="7" borderId="1" xfId="2" applyNumberFormat="1" applyFont="1" applyFill="1" applyBorder="1" applyAlignment="1">
      <alignment horizontal="center" vertical="center"/>
    </xf>
    <xf numFmtId="49" fontId="19" fillId="7" borderId="1" xfId="0" applyNumberFormat="1" applyFont="1" applyFill="1" applyBorder="1" applyAlignment="1">
      <alignment horizontal="center" vertical="center"/>
    </xf>
    <xf numFmtId="0" fontId="19" fillId="7" borderId="1" xfId="2" applyFont="1" applyFill="1" applyBorder="1" applyAlignment="1">
      <alignment horizontal="left" vertical="center" wrapText="1"/>
    </xf>
    <xf numFmtId="1" fontId="50" fillId="7" borderId="1" xfId="0" applyNumberFormat="1" applyFont="1" applyFill="1" applyBorder="1" applyAlignment="1">
      <alignment horizontal="left" vertical="center" wrapText="1"/>
    </xf>
    <xf numFmtId="49" fontId="19" fillId="7" borderId="1" xfId="0" quotePrefix="1" applyNumberFormat="1" applyFont="1" applyFill="1" applyBorder="1" applyAlignment="1">
      <alignment horizontal="center" vertical="center" wrapText="1"/>
    </xf>
    <xf numFmtId="0" fontId="42" fillId="7" borderId="1" xfId="1" applyFont="1" applyFill="1" applyBorder="1" applyAlignment="1">
      <alignment horizontal="center" vertical="center" wrapText="1"/>
    </xf>
    <xf numFmtId="166" fontId="19" fillId="7" borderId="1" xfId="0" applyNumberFormat="1" applyFont="1" applyFill="1" applyBorder="1" applyAlignment="1">
      <alignment horizontal="center" vertical="center"/>
    </xf>
    <xf numFmtId="1" fontId="19" fillId="7" borderId="1" xfId="0" applyNumberFormat="1" applyFont="1" applyFill="1" applyBorder="1" applyAlignment="1">
      <alignment horizontal="center" vertical="center"/>
    </xf>
    <xf numFmtId="166" fontId="19" fillId="7" borderId="1" xfId="0" quotePrefix="1" applyNumberFormat="1" applyFont="1" applyFill="1" applyBorder="1" applyAlignment="1">
      <alignment horizontal="center" vertical="center"/>
    </xf>
    <xf numFmtId="164" fontId="27" fillId="7" borderId="1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vertical="center" wrapText="1"/>
    </xf>
    <xf numFmtId="0" fontId="21" fillId="0" borderId="1" xfId="0" applyFont="1" applyBorder="1" applyAlignment="1">
      <alignment wrapText="1"/>
    </xf>
    <xf numFmtId="0" fontId="54" fillId="0" borderId="1" xfId="1" applyFont="1" applyFill="1" applyBorder="1" applyAlignment="1">
      <alignment wrapText="1"/>
    </xf>
    <xf numFmtId="49" fontId="21" fillId="0" borderId="1" xfId="0" applyNumberFormat="1" applyFont="1" applyBorder="1" applyAlignment="1">
      <alignment wrapText="1"/>
    </xf>
    <xf numFmtId="14" fontId="21" fillId="0" borderId="1" xfId="0" applyNumberFormat="1" applyFont="1" applyBorder="1" applyAlignment="1">
      <alignment wrapText="1"/>
    </xf>
    <xf numFmtId="0" fontId="2" fillId="0" borderId="1" xfId="0" applyFont="1" applyFill="1" applyBorder="1" applyAlignment="1">
      <alignment vertical="center" wrapText="1"/>
    </xf>
    <xf numFmtId="1" fontId="50" fillId="0" borderId="1" xfId="0" applyNumberFormat="1" applyFont="1" applyFill="1" applyBorder="1" applyAlignment="1">
      <alignment vertical="center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1" fontId="53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31" fillId="0" borderId="1" xfId="0" applyFont="1" applyBorder="1"/>
    <xf numFmtId="166" fontId="31" fillId="0" borderId="1" xfId="0" applyNumberFormat="1" applyFont="1" applyBorder="1"/>
    <xf numFmtId="166" fontId="30" fillId="0" borderId="1" xfId="0" applyNumberFormat="1" applyFont="1" applyBorder="1"/>
    <xf numFmtId="0" fontId="4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62" fillId="0" borderId="1" xfId="0" applyFont="1" applyBorder="1" applyAlignment="1">
      <alignment wrapText="1"/>
    </xf>
    <xf numFmtId="1" fontId="5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Fill="1" applyBorder="1" applyAlignment="1">
      <alignment vertical="center"/>
    </xf>
    <xf numFmtId="1" fontId="51" fillId="0" borderId="1" xfId="0" applyNumberFormat="1" applyFont="1" applyBorder="1"/>
    <xf numFmtId="164" fontId="1" fillId="2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1" fontId="51" fillId="2" borderId="1" xfId="0" applyNumberFormat="1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33" fillId="0" borderId="1" xfId="0" applyFont="1" applyBorder="1"/>
    <xf numFmtId="0" fontId="4" fillId="7" borderId="1" xfId="0" applyFont="1" applyFill="1" applyBorder="1"/>
    <xf numFmtId="0" fontId="19" fillId="0" borderId="1" xfId="0" applyFont="1" applyBorder="1" applyAlignment="1">
      <alignment vertical="center" wrapText="1"/>
    </xf>
    <xf numFmtId="0" fontId="19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/>
    </xf>
    <xf numFmtId="0" fontId="33" fillId="0" borderId="1" xfId="0" applyFont="1" applyFill="1" applyBorder="1" applyAlignment="1">
      <alignment horizontal="center" vertical="center" wrapText="1"/>
    </xf>
    <xf numFmtId="0" fontId="33" fillId="0" borderId="1" xfId="0" applyFont="1" applyFill="1" applyBorder="1" applyAlignment="1">
      <alignment horizontal="center"/>
    </xf>
    <xf numFmtId="0" fontId="33" fillId="0" borderId="1" xfId="0" applyFont="1" applyFill="1" applyBorder="1"/>
    <xf numFmtId="0" fontId="33" fillId="0" borderId="1" xfId="0" applyFont="1" applyBorder="1" applyAlignment="1">
      <alignment horizontal="center"/>
    </xf>
    <xf numFmtId="0" fontId="33" fillId="0" borderId="1" xfId="0" applyFont="1" applyBorder="1" applyAlignment="1">
      <alignment vertical="center" wrapText="1"/>
    </xf>
    <xf numFmtId="0" fontId="55" fillId="0" borderId="1" xfId="0" applyFont="1" applyBorder="1" applyAlignment="1">
      <alignment vertical="center" wrapText="1"/>
    </xf>
    <xf numFmtId="1" fontId="56" fillId="0" borderId="1" xfId="0" applyNumberFormat="1" applyFont="1" applyBorder="1" applyAlignment="1">
      <alignment vertical="center" wrapText="1"/>
    </xf>
    <xf numFmtId="0" fontId="55" fillId="0" borderId="1" xfId="0" applyFont="1" applyBorder="1" applyAlignment="1">
      <alignment horizontal="right" vertical="center" wrapText="1"/>
    </xf>
    <xf numFmtId="0" fontId="55" fillId="10" borderId="1" xfId="0" applyFont="1" applyFill="1" applyBorder="1" applyAlignment="1">
      <alignment horizontal="center" vertical="center" wrapText="1"/>
    </xf>
    <xf numFmtId="1" fontId="56" fillId="0" borderId="1" xfId="0" applyNumberFormat="1" applyFont="1" applyBorder="1" applyAlignment="1">
      <alignment horizontal="right" vertical="center" wrapText="1"/>
    </xf>
    <xf numFmtId="0" fontId="54" fillId="0" borderId="1" xfId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6" fillId="10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left"/>
    </xf>
    <xf numFmtId="0" fontId="57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vertical="center" wrapText="1"/>
    </xf>
    <xf numFmtId="0" fontId="58" fillId="0" borderId="1" xfId="0" applyFont="1" applyBorder="1" applyAlignment="1">
      <alignment vertical="center" wrapText="1"/>
    </xf>
    <xf numFmtId="0" fontId="58" fillId="0" borderId="1" xfId="0" applyFont="1" applyBorder="1" applyAlignment="1">
      <alignment horizontal="center" vertical="center"/>
    </xf>
    <xf numFmtId="0" fontId="58" fillId="0" borderId="1" xfId="0" applyFont="1" applyBorder="1" applyAlignment="1">
      <alignment horizontal="center" vertical="center" wrapText="1"/>
    </xf>
    <xf numFmtId="0" fontId="54" fillId="0" borderId="1" xfId="1" applyFont="1" applyBorder="1" applyAlignment="1">
      <alignment horizontal="center" vertical="center" wrapText="1"/>
    </xf>
    <xf numFmtId="0" fontId="19" fillId="0" borderId="1" xfId="0" applyFont="1" applyFill="1" applyBorder="1" applyAlignment="1">
      <alignment wrapText="1"/>
    </xf>
    <xf numFmtId="49" fontId="20" fillId="0" borderId="1" xfId="0" applyNumberFormat="1" applyFont="1" applyFill="1" applyBorder="1" applyAlignment="1">
      <alignment horizontal="center" vertical="center"/>
    </xf>
    <xf numFmtId="0" fontId="59" fillId="0" borderId="1" xfId="0" applyFont="1" applyBorder="1" applyAlignment="1">
      <alignment vertical="center" wrapText="1"/>
    </xf>
    <xf numFmtId="49" fontId="19" fillId="0" borderId="1" xfId="0" applyNumberFormat="1" applyFont="1" applyBorder="1" applyAlignment="1">
      <alignment horizontal="center" vertical="center"/>
    </xf>
    <xf numFmtId="0" fontId="55" fillId="0" borderId="1" xfId="0" applyFont="1" applyBorder="1" applyAlignment="1">
      <alignment vertical="center"/>
    </xf>
    <xf numFmtId="1" fontId="56" fillId="0" borderId="1" xfId="0" applyNumberFormat="1" applyFont="1" applyBorder="1" applyAlignment="1">
      <alignment vertical="center"/>
    </xf>
    <xf numFmtId="0" fontId="58" fillId="10" borderId="1" xfId="0" applyFont="1" applyFill="1" applyBorder="1" applyAlignment="1">
      <alignment vertical="center" wrapText="1"/>
    </xf>
    <xf numFmtId="0" fontId="6" fillId="0" borderId="1" xfId="0" applyFont="1" applyFill="1" applyBorder="1"/>
    <xf numFmtId="1" fontId="56" fillId="10" borderId="1" xfId="0" applyNumberFormat="1" applyFont="1" applyFill="1" applyBorder="1" applyAlignment="1">
      <alignment horizontal="center" vertical="center" wrapText="1"/>
    </xf>
    <xf numFmtId="0" fontId="58" fillId="0" borderId="1" xfId="0" applyFont="1" applyBorder="1" applyAlignment="1">
      <alignment vertical="center"/>
    </xf>
    <xf numFmtId="0" fontId="61" fillId="0" borderId="1" xfId="0" applyFont="1" applyBorder="1" applyAlignment="1">
      <alignment vertical="center" wrapText="1"/>
    </xf>
    <xf numFmtId="0" fontId="55" fillId="0" borderId="1" xfId="0" applyFont="1" applyFill="1" applyBorder="1" applyAlignment="1">
      <alignment vertical="center" wrapText="1"/>
    </xf>
    <xf numFmtId="0" fontId="55" fillId="0" borderId="1" xfId="0" applyFont="1" applyFill="1" applyBorder="1" applyAlignment="1">
      <alignment vertical="center"/>
    </xf>
    <xf numFmtId="0" fontId="54" fillId="0" borderId="1" xfId="1" applyFont="1" applyFill="1" applyBorder="1" applyAlignment="1">
      <alignment vertical="center"/>
    </xf>
    <xf numFmtId="0" fontId="4" fillId="7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63" fillId="0" borderId="1" xfId="0" applyFont="1" applyBorder="1" applyAlignment="1"/>
    <xf numFmtId="0" fontId="64" fillId="10" borderId="1" xfId="0" applyFont="1" applyFill="1" applyBorder="1" applyAlignment="1">
      <alignment vertical="center" wrapText="1"/>
    </xf>
    <xf numFmtId="1" fontId="64" fillId="10" borderId="1" xfId="0" applyNumberFormat="1" applyFont="1" applyFill="1" applyBorder="1" applyAlignment="1">
      <alignment horizontal="center" wrapText="1"/>
    </xf>
    <xf numFmtId="0" fontId="64" fillId="0" borderId="1" xfId="0" applyFont="1" applyBorder="1" applyAlignment="1">
      <alignment vertical="center" wrapText="1"/>
    </xf>
    <xf numFmtId="0" fontId="64" fillId="10" borderId="1" xfId="0" applyFont="1" applyFill="1" applyBorder="1" applyAlignment="1">
      <alignment wrapText="1"/>
    </xf>
    <xf numFmtId="0" fontId="65" fillId="10" borderId="1" xfId="1" applyFont="1" applyFill="1" applyBorder="1" applyAlignment="1">
      <alignment wrapText="1"/>
    </xf>
    <xf numFmtId="1" fontId="64" fillId="10" borderId="1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20" fillId="0" borderId="1" xfId="0" applyFont="1" applyBorder="1" applyAlignment="1">
      <alignment vertical="center"/>
    </xf>
    <xf numFmtId="1" fontId="20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/>
    </xf>
    <xf numFmtId="0" fontId="27" fillId="2" borderId="1" xfId="0" applyFont="1" applyFill="1" applyBorder="1" applyAlignment="1">
      <alignment horizontal="center" wrapText="1"/>
    </xf>
    <xf numFmtId="0" fontId="27" fillId="2" borderId="1" xfId="0" applyFont="1" applyFill="1" applyBorder="1" applyAlignment="1">
      <alignment horizontal="center"/>
    </xf>
    <xf numFmtId="49" fontId="17" fillId="2" borderId="1" xfId="0" applyNumberFormat="1" applyFont="1" applyFill="1" applyBorder="1" applyAlignment="1">
      <alignment horizontal="center"/>
    </xf>
    <xf numFmtId="49" fontId="17" fillId="2" borderId="1" xfId="0" applyNumberFormat="1" applyFont="1" applyFill="1" applyBorder="1" applyAlignment="1">
      <alignment horizontal="center" wrapText="1"/>
    </xf>
    <xf numFmtId="0" fontId="19" fillId="0" borderId="2" xfId="0" applyFont="1" applyBorder="1" applyAlignment="1">
      <alignment horizontal="center" vertical="center"/>
    </xf>
    <xf numFmtId="49" fontId="19" fillId="3" borderId="5" xfId="0" applyNumberFormat="1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left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/>
    </xf>
    <xf numFmtId="49" fontId="19" fillId="3" borderId="2" xfId="0" applyNumberFormat="1" applyFont="1" applyFill="1" applyBorder="1" applyAlignment="1">
      <alignment horizontal="center" vertical="center" wrapText="1"/>
    </xf>
    <xf numFmtId="165" fontId="25" fillId="3" borderId="2" xfId="1" applyNumberFormat="1" applyFont="1" applyFill="1" applyBorder="1" applyAlignment="1">
      <alignment horizontal="center" vertical="center" wrapText="1"/>
    </xf>
    <xf numFmtId="49" fontId="19" fillId="3" borderId="2" xfId="0" applyNumberFormat="1" applyFont="1" applyFill="1" applyBorder="1" applyAlignment="1">
      <alignment horizontal="center" vertical="center"/>
    </xf>
    <xf numFmtId="166" fontId="19" fillId="3" borderId="2" xfId="0" applyNumberFormat="1" applyFont="1" applyFill="1" applyBorder="1" applyAlignment="1">
      <alignment horizontal="center" vertical="center"/>
    </xf>
    <xf numFmtId="1" fontId="19" fillId="3" borderId="2" xfId="0" applyNumberFormat="1" applyFont="1" applyFill="1" applyBorder="1" applyAlignment="1">
      <alignment horizontal="center" vertical="center"/>
    </xf>
    <xf numFmtId="166" fontId="19" fillId="0" borderId="2" xfId="0" quotePrefix="1" applyNumberFormat="1" applyFont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0" fontId="23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7" fillId="3" borderId="2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3" fillId="0" borderId="1" xfId="0" applyFont="1" applyBorder="1"/>
    <xf numFmtId="0" fontId="33" fillId="0" borderId="1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1" fontId="4" fillId="0" borderId="1" xfId="0" applyNumberFormat="1" applyFont="1" applyBorder="1" applyAlignment="1">
      <alignment horizontal="center" vertical="center"/>
    </xf>
    <xf numFmtId="14" fontId="5" fillId="0" borderId="1" xfId="1" applyNumberFormat="1" applyBorder="1" applyAlignment="1">
      <alignment wrapText="1"/>
    </xf>
    <xf numFmtId="0" fontId="31" fillId="0" borderId="1" xfId="0" applyFont="1" applyBorder="1" applyAlignment="1">
      <alignment vertical="center"/>
    </xf>
    <xf numFmtId="0" fontId="31" fillId="0" borderId="1" xfId="0" applyFont="1" applyFill="1" applyBorder="1" applyAlignment="1">
      <alignment vertical="center" wrapText="1"/>
    </xf>
    <xf numFmtId="0" fontId="21" fillId="0" borderId="1" xfId="0" applyFont="1" applyBorder="1" applyAlignment="1">
      <alignment vertical="center"/>
    </xf>
    <xf numFmtId="0" fontId="21" fillId="0" borderId="1" xfId="0" applyFont="1" applyBorder="1"/>
    <xf numFmtId="0" fontId="13" fillId="0" borderId="1" xfId="0" applyFont="1" applyFill="1" applyBorder="1" applyAlignment="1">
      <alignment vertical="center" wrapText="1"/>
    </xf>
    <xf numFmtId="1" fontId="66" fillId="0" borderId="1" xfId="0" applyNumberFormat="1" applyFont="1" applyFill="1" applyBorder="1" applyAlignment="1">
      <alignment vertical="center"/>
    </xf>
    <xf numFmtId="0" fontId="13" fillId="0" borderId="1" xfId="0" applyFont="1" applyFill="1" applyBorder="1" applyAlignment="1">
      <alignment horizontal="right" wrapText="1"/>
    </xf>
    <xf numFmtId="0" fontId="21" fillId="0" borderId="1" xfId="0" applyFont="1" applyFill="1" applyBorder="1" applyAlignment="1">
      <alignment vertical="center"/>
    </xf>
    <xf numFmtId="0" fontId="21" fillId="0" borderId="1" xfId="0" applyFont="1" applyBorder="1" applyAlignment="1">
      <alignment horizontal="center" vertical="center"/>
    </xf>
    <xf numFmtId="1" fontId="66" fillId="0" borderId="1" xfId="0" applyNumberFormat="1" applyFont="1" applyBorder="1" applyAlignment="1">
      <alignment vertical="center"/>
    </xf>
    <xf numFmtId="0" fontId="5" fillId="0" borderId="1" xfId="1" applyBorder="1" applyAlignment="1">
      <alignment vertical="center"/>
    </xf>
    <xf numFmtId="49" fontId="31" fillId="0" borderId="1" xfId="0" applyNumberFormat="1" applyFont="1" applyFill="1" applyBorder="1" applyAlignment="1">
      <alignment horizontal="center" vertical="center"/>
    </xf>
    <xf numFmtId="0" fontId="31" fillId="0" borderId="1" xfId="0" applyNumberFormat="1" applyFont="1" applyFill="1" applyBorder="1" applyAlignment="1">
      <alignment horizontal="center" vertical="center"/>
    </xf>
    <xf numFmtId="49" fontId="38" fillId="0" borderId="1" xfId="0" applyNumberFormat="1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 vertical="center"/>
    </xf>
    <xf numFmtId="49" fontId="38" fillId="7" borderId="1" xfId="0" applyNumberFormat="1" applyFont="1" applyFill="1" applyBorder="1" applyAlignment="1">
      <alignment horizontal="center" vertical="center"/>
    </xf>
    <xf numFmtId="0" fontId="38" fillId="7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1" fillId="0" borderId="1" xfId="0" applyNumberFormat="1" applyFont="1" applyFill="1" applyBorder="1" applyAlignment="1">
      <alignment horizontal="center" vertical="center"/>
    </xf>
    <xf numFmtId="0" fontId="21" fillId="0" borderId="1" xfId="0" applyNumberFormat="1" applyFont="1" applyBorder="1" applyAlignment="1">
      <alignment horizontal="center" vertical="center"/>
    </xf>
    <xf numFmtId="0" fontId="38" fillId="0" borderId="1" xfId="0" applyNumberFormat="1" applyFont="1" applyFill="1" applyBorder="1" applyAlignment="1">
      <alignment horizontal="center" vertical="center"/>
    </xf>
    <xf numFmtId="49" fontId="45" fillId="0" borderId="1" xfId="0" applyNumberFormat="1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vertical="center" wrapText="1"/>
    </xf>
    <xf numFmtId="0" fontId="38" fillId="0" borderId="1" xfId="0" applyFont="1" applyFill="1" applyBorder="1" applyAlignment="1">
      <alignment horizontal="center"/>
    </xf>
    <xf numFmtId="166" fontId="38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49" fontId="67" fillId="0" borderId="1" xfId="0" applyNumberFormat="1" applyFont="1" applyBorder="1" applyAlignment="1" applyProtection="1">
      <alignment horizontal="left" vertical="center" wrapText="1"/>
      <protection locked="0"/>
    </xf>
    <xf numFmtId="49" fontId="67" fillId="0" borderId="1" xfId="0" applyNumberFormat="1" applyFont="1" applyBorder="1" applyAlignment="1">
      <alignment horizontal="left" vertical="center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left" vertical="center" wrapText="1"/>
    </xf>
    <xf numFmtId="0" fontId="67" fillId="0" borderId="1" xfId="0" applyFont="1" applyBorder="1" applyAlignment="1">
      <alignment vertical="center"/>
    </xf>
    <xf numFmtId="49" fontId="67" fillId="0" borderId="1" xfId="0" applyNumberFormat="1" applyFont="1" applyBorder="1" applyAlignment="1">
      <alignment horizontal="left" vertical="center" wrapText="1"/>
    </xf>
    <xf numFmtId="49" fontId="67" fillId="0" borderId="1" xfId="0" quotePrefix="1" applyNumberFormat="1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 wrapText="1"/>
    </xf>
    <xf numFmtId="0" fontId="68" fillId="0" borderId="1" xfId="1" applyFont="1" applyFill="1" applyBorder="1" applyAlignment="1">
      <alignment horizontal="center" vertical="center" wrapText="1"/>
    </xf>
    <xf numFmtId="0" fontId="68" fillId="0" borderId="1" xfId="1" applyFont="1" applyBorder="1" applyAlignment="1">
      <alignment horizontal="center" vertical="center" wrapText="1"/>
    </xf>
    <xf numFmtId="0" fontId="68" fillId="0" borderId="1" xfId="1" applyFont="1" applyFill="1" applyBorder="1" applyAlignment="1" applyProtection="1">
      <alignment horizontal="center" vertical="center" wrapText="1"/>
    </xf>
    <xf numFmtId="0" fontId="68" fillId="0" borderId="1" xfId="1" applyNumberFormat="1" applyFont="1" applyFill="1" applyBorder="1" applyAlignment="1" applyProtection="1">
      <alignment horizontal="center" vertical="center" wrapText="1"/>
    </xf>
    <xf numFmtId="0" fontId="67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 wrapText="1"/>
    </xf>
    <xf numFmtId="49" fontId="22" fillId="0" borderId="1" xfId="0" applyNumberFormat="1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0" fontId="69" fillId="0" borderId="1" xfId="1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49" fontId="38" fillId="0" borderId="1" xfId="0" applyNumberFormat="1" applyFont="1" applyBorder="1" applyAlignment="1">
      <alignment horizontal="center" vertical="center"/>
    </xf>
    <xf numFmtId="0" fontId="33" fillId="11" borderId="1" xfId="2" applyFont="1" applyFill="1" applyBorder="1" applyAlignment="1">
      <alignment vertical="center" wrapText="1"/>
    </xf>
    <xf numFmtId="0" fontId="21" fillId="11" borderId="1" xfId="2" applyFont="1" applyFill="1" applyBorder="1" applyAlignment="1">
      <alignment vertical="center" wrapText="1"/>
    </xf>
    <xf numFmtId="0" fontId="19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vertical="center" wrapText="1"/>
    </xf>
    <xf numFmtId="0" fontId="19" fillId="11" borderId="1" xfId="0" applyFont="1" applyFill="1" applyBorder="1" applyAlignment="1" applyProtection="1">
      <alignment horizontal="left" vertical="top" wrapText="1"/>
      <protection locked="0"/>
    </xf>
    <xf numFmtId="0" fontId="2" fillId="11" borderId="1" xfId="0" applyFont="1" applyFill="1" applyBorder="1" applyAlignment="1">
      <alignment vertical="center" wrapText="1"/>
    </xf>
    <xf numFmtId="49" fontId="22" fillId="11" borderId="1" xfId="0" applyNumberFormat="1" applyFont="1" applyFill="1" applyBorder="1" applyAlignment="1" applyProtection="1">
      <alignment horizontal="left" vertical="center" wrapText="1"/>
      <protection locked="0"/>
    </xf>
    <xf numFmtId="0" fontId="19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  <xf numFmtId="0" fontId="19" fillId="11" borderId="1" xfId="0" applyFont="1" applyFill="1" applyBorder="1" applyAlignment="1">
      <alignment horizontal="left" vertical="center" wrapText="1"/>
    </xf>
    <xf numFmtId="1" fontId="19" fillId="11" borderId="1" xfId="0" applyNumberFormat="1" applyFont="1" applyFill="1" applyBorder="1" applyAlignment="1">
      <alignment horizontal="center" vertical="center"/>
    </xf>
    <xf numFmtId="1" fontId="33" fillId="11" borderId="1" xfId="0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1" fontId="19" fillId="12" borderId="1" xfId="0" applyNumberFormat="1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left" vertical="center" wrapText="1"/>
    </xf>
    <xf numFmtId="0" fontId="19" fillId="12" borderId="1" xfId="0" applyFont="1" applyFill="1" applyBorder="1" applyAlignment="1">
      <alignment horizontal="center" vertical="center"/>
    </xf>
    <xf numFmtId="0" fontId="38" fillId="0" borderId="1" xfId="0" applyNumberFormat="1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wrapText="1"/>
    </xf>
    <xf numFmtId="0" fontId="27" fillId="2" borderId="1" xfId="0" applyFont="1" applyFill="1" applyBorder="1" applyAlignment="1">
      <alignment horizontal="center"/>
    </xf>
    <xf numFmtId="14" fontId="17" fillId="2" borderId="1" xfId="0" applyNumberFormat="1" applyFont="1" applyFill="1" applyBorder="1" applyAlignment="1">
      <alignment horizontal="center" wrapText="1"/>
    </xf>
    <xf numFmtId="49" fontId="17" fillId="2" borderId="1" xfId="0" applyNumberFormat="1" applyFont="1" applyFill="1" applyBorder="1" applyAlignment="1">
      <alignment horizontal="center"/>
    </xf>
    <xf numFmtId="49" fontId="17" fillId="2" borderId="1" xfId="0" applyNumberFormat="1" applyFont="1" applyFill="1" applyBorder="1" applyAlignment="1">
      <alignment horizontal="center" wrapText="1"/>
    </xf>
    <xf numFmtId="49" fontId="17" fillId="2" borderId="2" xfId="0" applyNumberFormat="1" applyFont="1" applyFill="1" applyBorder="1" applyAlignment="1">
      <alignment horizontal="center" vertical="center" wrapText="1"/>
    </xf>
    <xf numFmtId="49" fontId="17" fillId="2" borderId="10" xfId="0" applyNumberFormat="1" applyFont="1" applyFill="1" applyBorder="1" applyAlignment="1">
      <alignment horizontal="center" vertical="center" wrapText="1"/>
    </xf>
    <xf numFmtId="49" fontId="17" fillId="2" borderId="11" xfId="0" applyNumberFormat="1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49" fontId="17" fillId="2" borderId="3" xfId="0" applyNumberFormat="1" applyFont="1" applyFill="1" applyBorder="1" applyAlignment="1">
      <alignment horizontal="center" vertical="center" wrapText="1"/>
    </xf>
    <xf numFmtId="49" fontId="17" fillId="2" borderId="14" xfId="0" applyNumberFormat="1" applyFont="1" applyFill="1" applyBorder="1" applyAlignment="1">
      <alignment horizontal="center" vertical="center" wrapText="1"/>
    </xf>
    <xf numFmtId="49" fontId="17" fillId="2" borderId="7" xfId="0" applyNumberFormat="1" applyFont="1" applyFill="1" applyBorder="1" applyAlignment="1">
      <alignment horizontal="center" vertical="center" wrapText="1"/>
    </xf>
    <xf numFmtId="14" fontId="17" fillId="2" borderId="19" xfId="0" applyNumberFormat="1" applyFont="1" applyFill="1" applyBorder="1" applyAlignment="1">
      <alignment horizontal="center" vertical="center" wrapText="1"/>
    </xf>
    <xf numFmtId="14" fontId="17" fillId="2" borderId="20" xfId="0" applyNumberFormat="1" applyFont="1" applyFill="1" applyBorder="1" applyAlignment="1">
      <alignment horizontal="center" vertical="center" wrapText="1"/>
    </xf>
    <xf numFmtId="14" fontId="17" fillId="2" borderId="21" xfId="0" applyNumberFormat="1" applyFont="1" applyFill="1" applyBorder="1" applyAlignment="1">
      <alignment horizontal="center" vertical="center" wrapText="1"/>
    </xf>
    <xf numFmtId="14" fontId="17" fillId="2" borderId="5" xfId="0" applyNumberFormat="1" applyFont="1" applyFill="1" applyBorder="1" applyAlignment="1">
      <alignment horizontal="center" vertical="center" wrapText="1"/>
    </xf>
    <xf numFmtId="14" fontId="17" fillId="2" borderId="15" xfId="0" applyNumberFormat="1" applyFont="1" applyFill="1" applyBorder="1" applyAlignment="1">
      <alignment horizontal="center" vertical="center" wrapText="1"/>
    </xf>
    <xf numFmtId="14" fontId="17" fillId="2" borderId="9" xfId="0" applyNumberFormat="1" applyFont="1" applyFill="1" applyBorder="1" applyAlignment="1">
      <alignment horizontal="center" vertical="center" wrapText="1"/>
    </xf>
    <xf numFmtId="49" fontId="17" fillId="2" borderId="1" xfId="0" applyNumberFormat="1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49" fontId="17" fillId="2" borderId="1" xfId="0" applyNumberFormat="1" applyFont="1" applyFill="1" applyBorder="1" applyAlignment="1">
      <alignment horizontal="center" vertical="center"/>
    </xf>
    <xf numFmtId="0" fontId="17" fillId="0" borderId="10" xfId="0" applyFont="1" applyFill="1" applyBorder="1" applyAlignment="1">
      <alignment horizontal="center" vertical="center" wrapText="1"/>
    </xf>
    <xf numFmtId="0" fontId="17" fillId="0" borderId="11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 wrapText="1"/>
    </xf>
  </cellXfs>
  <cellStyles count="5">
    <cellStyle name="Hyperlink" xfId="1" builtinId="8"/>
    <cellStyle name="Hyperlink 11" xfId="4" xr:uid="{00000000-0005-0000-0000-000001000000}"/>
    <cellStyle name="Hyperlink 3" xfId="3" xr:uid="{00000000-0005-0000-0000-000002000000}"/>
    <cellStyle name="Normal" xfId="0" builtinId="0"/>
    <cellStyle name="Normal 2" xfId="2" xr:uid="{00000000-0005-0000-0000-000004000000}"/>
  </cellStyles>
  <dxfs count="112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19051</xdr:colOff>
      <xdr:row>0</xdr:row>
      <xdr:rowOff>28575</xdr:rowOff>
    </xdr:from>
    <xdr:to>
      <xdr:col>7</xdr:col>
      <xdr:colOff>857250</xdr:colOff>
      <xdr:row>5</xdr:row>
      <xdr:rowOff>74500</xdr:rowOff>
    </xdr:to>
    <xdr:sp macro="" textlink="">
      <xdr:nvSpPr>
        <xdr:cNvPr id="2" name="Round Same Side Corner 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95326" y="409575"/>
          <a:ext cx="7781924" cy="998425"/>
        </a:xfrm>
        <a:prstGeom prst="round2SameRect">
          <a:avLst/>
        </a:prstGeom>
        <a:solidFill>
          <a:schemeClr val="accent1">
            <a:lumMod val="60000"/>
            <a:lumOff val="40000"/>
          </a:schemeClr>
        </a:solidFill>
        <a:scene3d>
          <a:camera prst="orthographicFront"/>
          <a:lightRig rig="threePt" dir="t"/>
        </a:scene3d>
        <a:sp3d>
          <a:bevelT/>
        </a:sp3d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 eaLnBrk="1" fontAlgn="auto" latinLnBrk="0" hangingPunct="1"/>
          <a:r>
            <a:rPr lang="en-US" sz="2500" b="1">
              <a:effectLst/>
              <a:latin typeface="Cambria" panose="02040503050406030204" pitchFamily="18" charset="0"/>
              <a:ea typeface="Cambria" panose="02040503050406030204" pitchFamily="18" charset="0"/>
            </a:rPr>
            <a:t>Archdiocesan</a:t>
          </a:r>
          <a:r>
            <a:rPr lang="en-US" sz="2500" b="1" baseline="0">
              <a:effectLst/>
              <a:latin typeface="Cambria" panose="02040503050406030204" pitchFamily="18" charset="0"/>
              <a:ea typeface="Cambria" panose="02040503050406030204" pitchFamily="18" charset="0"/>
            </a:rPr>
            <a:t> Catholic International Schools </a:t>
          </a:r>
        </a:p>
        <a:p>
          <a:pPr algn="ctr" eaLnBrk="1" fontAlgn="auto" latinLnBrk="0" hangingPunct="1"/>
          <a:r>
            <a:rPr lang="en-US" sz="2500" b="1" baseline="0">
              <a:effectLst/>
              <a:latin typeface="Cambria" panose="02040503050406030204" pitchFamily="18" charset="0"/>
              <a:ea typeface="Cambria" panose="02040503050406030204" pitchFamily="18" charset="0"/>
            </a:rPr>
            <a:t>Database - 2025</a:t>
          </a:r>
          <a:endParaRPr lang="en-US" sz="2500" b="1">
            <a:effectLst/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jude.prathibha@gmail.com" TargetMode="External"/><Relationship Id="rId21" Type="http://schemas.openxmlformats.org/officeDocument/2006/relationships/hyperlink" Target="mailto:ranasinghe769@gmail.com" TargetMode="External"/><Relationship Id="rId42" Type="http://schemas.openxmlformats.org/officeDocument/2006/relationships/hyperlink" Target="mailto:dominicarex@gmail.com" TargetMode="External"/><Relationship Id="rId63" Type="http://schemas.openxmlformats.org/officeDocument/2006/relationships/hyperlink" Target="mailto:shahiniparamasivam@gmail.com" TargetMode="External"/><Relationship Id="rId84" Type="http://schemas.openxmlformats.org/officeDocument/2006/relationships/hyperlink" Target="mailto:luvishasithumini1963@gmail.com" TargetMode="External"/><Relationship Id="rId138" Type="http://schemas.openxmlformats.org/officeDocument/2006/relationships/hyperlink" Target="mailto:shashijudith@gmail.com" TargetMode="External"/><Relationship Id="rId159" Type="http://schemas.openxmlformats.org/officeDocument/2006/relationships/hyperlink" Target="mailto:manothmie17@gmail.com" TargetMode="External"/><Relationship Id="rId170" Type="http://schemas.openxmlformats.org/officeDocument/2006/relationships/hyperlink" Target="mailto:lanka.chathurika@gmail.com" TargetMode="External"/><Relationship Id="rId107" Type="http://schemas.openxmlformats.org/officeDocument/2006/relationships/hyperlink" Target="mailto:cheryldonpaul@yahoo.com" TargetMode="External"/><Relationship Id="rId11" Type="http://schemas.openxmlformats.org/officeDocument/2006/relationships/hyperlink" Target="mailto:dilkie123@gmail.com" TargetMode="External"/><Relationship Id="rId32" Type="http://schemas.openxmlformats.org/officeDocument/2006/relationships/hyperlink" Target="mailto:vishmivindaya@gmail.com" TargetMode="External"/><Relationship Id="rId53" Type="http://schemas.openxmlformats.org/officeDocument/2006/relationships/hyperlink" Target="mailto:ishanisamaranayake25@gmail.com" TargetMode="External"/><Relationship Id="rId74" Type="http://schemas.openxmlformats.org/officeDocument/2006/relationships/hyperlink" Target="mailto:ayeshafernando93@gmail.com" TargetMode="External"/><Relationship Id="rId128" Type="http://schemas.openxmlformats.org/officeDocument/2006/relationships/hyperlink" Target="mailto:dsrathnayake4@gmail.com" TargetMode="External"/><Relationship Id="rId149" Type="http://schemas.openxmlformats.org/officeDocument/2006/relationships/hyperlink" Target="mailto:fausrahafernando@gmail.com" TargetMode="External"/><Relationship Id="rId5" Type="http://schemas.openxmlformats.org/officeDocument/2006/relationships/hyperlink" Target="mailto:hirunimaheshika29@gmail.com" TargetMode="External"/><Relationship Id="rId95" Type="http://schemas.openxmlformats.org/officeDocument/2006/relationships/hyperlink" Target="mailto:chathuryadesilva081@gmail.com" TargetMode="External"/><Relationship Id="rId160" Type="http://schemas.openxmlformats.org/officeDocument/2006/relationships/hyperlink" Target="mailto:pabasarakad@gmail.com" TargetMode="External"/><Relationship Id="rId22" Type="http://schemas.openxmlformats.org/officeDocument/2006/relationships/hyperlink" Target="mailto:asangaperera17@gmail.com" TargetMode="External"/><Relationship Id="rId43" Type="http://schemas.openxmlformats.org/officeDocument/2006/relationships/hyperlink" Target="mailto:nishanthigunasekara.1982@gmail.com" TargetMode="External"/><Relationship Id="rId64" Type="http://schemas.openxmlformats.org/officeDocument/2006/relationships/hyperlink" Target="mailto:fernandoranila@gmail.com" TargetMode="External"/><Relationship Id="rId118" Type="http://schemas.openxmlformats.org/officeDocument/2006/relationships/hyperlink" Target="mailto:suwetha.samadara@gmail.com" TargetMode="External"/><Relationship Id="rId139" Type="http://schemas.openxmlformats.org/officeDocument/2006/relationships/hyperlink" Target="mailto:kasawani88@gmail.com" TargetMode="External"/><Relationship Id="rId85" Type="http://schemas.openxmlformats.org/officeDocument/2006/relationships/hyperlink" Target="mailto:roshanirangika50@gmail.com" TargetMode="External"/><Relationship Id="rId150" Type="http://schemas.openxmlformats.org/officeDocument/2006/relationships/hyperlink" Target="mailto:hashenrandeniya@mail.com" TargetMode="External"/><Relationship Id="rId171" Type="http://schemas.openxmlformats.org/officeDocument/2006/relationships/hyperlink" Target="mailto:manothmie17@gmail.com" TargetMode="External"/><Relationship Id="rId12" Type="http://schemas.openxmlformats.org/officeDocument/2006/relationships/hyperlink" Target="mailto:nadeeshaandradi@gmail.com" TargetMode="External"/><Relationship Id="rId33" Type="http://schemas.openxmlformats.org/officeDocument/2006/relationships/hyperlink" Target="mailto:isharaappuhamy91@gmail.com" TargetMode="External"/><Relationship Id="rId108" Type="http://schemas.openxmlformats.org/officeDocument/2006/relationships/hyperlink" Target="mailto:mayanthianuradha@gmail.com" TargetMode="External"/><Relationship Id="rId129" Type="http://schemas.openxmlformats.org/officeDocument/2006/relationships/hyperlink" Target="mailto:sandream@gmail.com" TargetMode="External"/><Relationship Id="rId54" Type="http://schemas.openxmlformats.org/officeDocument/2006/relationships/hyperlink" Target="mailto:cinethra1982@gmail.com" TargetMode="External"/><Relationship Id="rId75" Type="http://schemas.openxmlformats.org/officeDocument/2006/relationships/hyperlink" Target="mailto:sudhamperera12@gmail.com" TargetMode="External"/><Relationship Id="rId96" Type="http://schemas.openxmlformats.org/officeDocument/2006/relationships/hyperlink" Target="mailto:yasassrij@gmail.com" TargetMode="External"/><Relationship Id="rId140" Type="http://schemas.openxmlformats.org/officeDocument/2006/relationships/hyperlink" Target="mailto:sanuriwickramasinghe96@gmail.com" TargetMode="External"/><Relationship Id="rId161" Type="http://schemas.openxmlformats.org/officeDocument/2006/relationships/hyperlink" Target="mailto:fausrahafernando@gmail.com" TargetMode="External"/><Relationship Id="rId6" Type="http://schemas.openxmlformats.org/officeDocument/2006/relationships/hyperlink" Target="mailto:sajithmalshan1996@gmail.com" TargetMode="External"/><Relationship Id="rId23" Type="http://schemas.openxmlformats.org/officeDocument/2006/relationships/hyperlink" Target="mailto:alomanissanka@gmail.com" TargetMode="External"/><Relationship Id="rId28" Type="http://schemas.openxmlformats.org/officeDocument/2006/relationships/hyperlink" Target="mailto:christopharjayasingha@gmail.com" TargetMode="External"/><Relationship Id="rId49" Type="http://schemas.openxmlformats.org/officeDocument/2006/relationships/hyperlink" Target="mailto:judithfernando18@snic.com" TargetMode="External"/><Relationship Id="rId114" Type="http://schemas.openxmlformats.org/officeDocument/2006/relationships/hyperlink" Target="mailto:jayawardana-amila@yahoo.com" TargetMode="External"/><Relationship Id="rId119" Type="http://schemas.openxmlformats.org/officeDocument/2006/relationships/hyperlink" Target="mailto:peperagayanthika@gmail.com" TargetMode="External"/><Relationship Id="rId44" Type="http://schemas.openxmlformats.org/officeDocument/2006/relationships/hyperlink" Target="mailto:ruvini1.lk@gmail.com" TargetMode="External"/><Relationship Id="rId60" Type="http://schemas.openxmlformats.org/officeDocument/2006/relationships/hyperlink" Target="mailto:wathsalawimalihettiarachchi@gmail.com" TargetMode="External"/><Relationship Id="rId65" Type="http://schemas.openxmlformats.org/officeDocument/2006/relationships/hyperlink" Target="mailto:shameerayen9@gmail.com" TargetMode="External"/><Relationship Id="rId81" Type="http://schemas.openxmlformats.org/officeDocument/2006/relationships/hyperlink" Target="mailto:hmgpiumali@gmail.com" TargetMode="External"/><Relationship Id="rId86" Type="http://schemas.openxmlformats.org/officeDocument/2006/relationships/hyperlink" Target="mailto:shenoliya99@icloud.com" TargetMode="External"/><Relationship Id="rId130" Type="http://schemas.openxmlformats.org/officeDocument/2006/relationships/hyperlink" Target="mailto:psanathanan@yahoo.com" TargetMode="External"/><Relationship Id="rId135" Type="http://schemas.openxmlformats.org/officeDocument/2006/relationships/hyperlink" Target="mailto:vihanganeth26118@gmail.com" TargetMode="External"/><Relationship Id="rId151" Type="http://schemas.openxmlformats.org/officeDocument/2006/relationships/hyperlink" Target="mailto:ishu12398div@gmail.com" TargetMode="External"/><Relationship Id="rId156" Type="http://schemas.openxmlformats.org/officeDocument/2006/relationships/hyperlink" Target="mailto:primashanana@gmail.com" TargetMode="External"/><Relationship Id="rId177" Type="http://schemas.openxmlformats.org/officeDocument/2006/relationships/vmlDrawing" Target="../drawings/vmlDrawing1.vml"/><Relationship Id="rId172" Type="http://schemas.openxmlformats.org/officeDocument/2006/relationships/hyperlink" Target="mailto:pabasarakad@gmail.com" TargetMode="External"/><Relationship Id="rId13" Type="http://schemas.openxmlformats.org/officeDocument/2006/relationships/hyperlink" Target="mailto:gmkdil@gmail.com" TargetMode="External"/><Relationship Id="rId18" Type="http://schemas.openxmlformats.org/officeDocument/2006/relationships/hyperlink" Target="mailto:sachinthaaththanagoda@gmail.com" TargetMode="External"/><Relationship Id="rId39" Type="http://schemas.openxmlformats.org/officeDocument/2006/relationships/hyperlink" Target="mailto:roshenipeiris@gmail.com" TargetMode="External"/><Relationship Id="rId109" Type="http://schemas.openxmlformats.org/officeDocument/2006/relationships/hyperlink" Target="mailto:arthy9@gmail.com" TargetMode="External"/><Relationship Id="rId34" Type="http://schemas.openxmlformats.org/officeDocument/2006/relationships/hyperlink" Target="mailto:niranjikafernando@gmail.com" TargetMode="External"/><Relationship Id="rId50" Type="http://schemas.openxmlformats.org/officeDocument/2006/relationships/hyperlink" Target="mailto:niranjalaindu111@gmail.com" TargetMode="External"/><Relationship Id="rId55" Type="http://schemas.openxmlformats.org/officeDocument/2006/relationships/hyperlink" Target="mailto:shermilahf@gmail.com" TargetMode="External"/><Relationship Id="rId76" Type="http://schemas.openxmlformats.org/officeDocument/2006/relationships/hyperlink" Target="mailto:safeekasithithi@gmail.com" TargetMode="External"/><Relationship Id="rId97" Type="http://schemas.openxmlformats.org/officeDocument/2006/relationships/hyperlink" Target="mailto:maleeshalanza2013@gmail.com" TargetMode="External"/><Relationship Id="rId104" Type="http://schemas.openxmlformats.org/officeDocument/2006/relationships/hyperlink" Target="mailto:rachelpeiris0108@gmail.com" TargetMode="External"/><Relationship Id="rId120" Type="http://schemas.openxmlformats.org/officeDocument/2006/relationships/hyperlink" Target="mailto:sakurafernando.atha@gmail.com" TargetMode="External"/><Relationship Id="rId125" Type="http://schemas.openxmlformats.org/officeDocument/2006/relationships/hyperlink" Target="mailto:kalpanamadhu@gmail.com" TargetMode="External"/><Relationship Id="rId141" Type="http://schemas.openxmlformats.org/officeDocument/2006/relationships/hyperlink" Target="mailto:navodhadananjani17@gmail.com" TargetMode="External"/><Relationship Id="rId146" Type="http://schemas.openxmlformats.org/officeDocument/2006/relationships/hyperlink" Target="mailto:rebeccajuliana.p@gmail.com" TargetMode="External"/><Relationship Id="rId167" Type="http://schemas.openxmlformats.org/officeDocument/2006/relationships/hyperlink" Target="mailto:pspiumika@gmail.com" TargetMode="External"/><Relationship Id="rId7" Type="http://schemas.openxmlformats.org/officeDocument/2006/relationships/hyperlink" Target="mailto:sumudusewwandi734@gmail.com" TargetMode="External"/><Relationship Id="rId71" Type="http://schemas.openxmlformats.org/officeDocument/2006/relationships/hyperlink" Target="mailto:lahiruaioit@gmail.com" TargetMode="External"/><Relationship Id="rId92" Type="http://schemas.openxmlformats.org/officeDocument/2006/relationships/hyperlink" Target="mailto:antonwishwa77@gmail.com" TargetMode="External"/><Relationship Id="rId162" Type="http://schemas.openxmlformats.org/officeDocument/2006/relationships/hyperlink" Target="mailto:hashenrandeniya@mail.com" TargetMode="External"/><Relationship Id="rId2" Type="http://schemas.openxmlformats.org/officeDocument/2006/relationships/hyperlink" Target="mailto:kdalakshman@gmail.com" TargetMode="External"/><Relationship Id="rId29" Type="http://schemas.openxmlformats.org/officeDocument/2006/relationships/hyperlink" Target="mailto:helendumulag@gmail.com" TargetMode="External"/><Relationship Id="rId24" Type="http://schemas.openxmlformats.org/officeDocument/2006/relationships/hyperlink" Target="mailto:nimanthirevel222@gmail.com" TargetMode="External"/><Relationship Id="rId40" Type="http://schemas.openxmlformats.org/officeDocument/2006/relationships/hyperlink" Target="mailto:r.upekshafdo@gmail.com" TargetMode="External"/><Relationship Id="rId45" Type="http://schemas.openxmlformats.org/officeDocument/2006/relationships/hyperlink" Target="mailto:niroshinipeiris@gmail.com" TargetMode="External"/><Relationship Id="rId66" Type="http://schemas.openxmlformats.org/officeDocument/2006/relationships/hyperlink" Target="mailto:annejayani126@gmail.com" TargetMode="External"/><Relationship Id="rId87" Type="http://schemas.openxmlformats.org/officeDocument/2006/relationships/hyperlink" Target="mailto:fernandonimalka193@gmail.com" TargetMode="External"/><Relationship Id="rId110" Type="http://schemas.openxmlformats.org/officeDocument/2006/relationships/hyperlink" Target="mailto:charlesroyfernando@gmail.com" TargetMode="External"/><Relationship Id="rId115" Type="http://schemas.openxmlformats.org/officeDocument/2006/relationships/hyperlink" Target="mailto:pehesarajayaweera1@gmail.com" TargetMode="External"/><Relationship Id="rId131" Type="http://schemas.openxmlformats.org/officeDocument/2006/relationships/hyperlink" Target="mailto:anandanagaha@gmail.com" TargetMode="External"/><Relationship Id="rId136" Type="http://schemas.openxmlformats.org/officeDocument/2006/relationships/hyperlink" Target="mailto:ridma999@gmail.com" TargetMode="External"/><Relationship Id="rId157" Type="http://schemas.openxmlformats.org/officeDocument/2006/relationships/hyperlink" Target="mailto:roshlidewendra28@gmail.com" TargetMode="External"/><Relationship Id="rId178" Type="http://schemas.openxmlformats.org/officeDocument/2006/relationships/comments" Target="../comments1.xml"/><Relationship Id="rId61" Type="http://schemas.openxmlformats.org/officeDocument/2006/relationships/hyperlink" Target="mailto:majellasilva1981@gmail.com" TargetMode="External"/><Relationship Id="rId82" Type="http://schemas.openxmlformats.org/officeDocument/2006/relationships/hyperlink" Target="mailto:isharadilshanind@gmail.com" TargetMode="External"/><Relationship Id="rId152" Type="http://schemas.openxmlformats.org/officeDocument/2006/relationships/hyperlink" Target="mailto:madumalifernando17@gmail.com" TargetMode="External"/><Relationship Id="rId173" Type="http://schemas.openxmlformats.org/officeDocument/2006/relationships/hyperlink" Target="mailto:pereraprincy566@gmail.com" TargetMode="External"/><Relationship Id="rId19" Type="http://schemas.openxmlformats.org/officeDocument/2006/relationships/hyperlink" Target="mailto:naleenfonseka@gmail.com" TargetMode="External"/><Relationship Id="rId14" Type="http://schemas.openxmlformats.org/officeDocument/2006/relationships/hyperlink" Target="mailto:sureni.fdo@gmail.com" TargetMode="External"/><Relationship Id="rId30" Type="http://schemas.openxmlformats.org/officeDocument/2006/relationships/hyperlink" Target="mailto:pereram08@gmail.com" TargetMode="External"/><Relationship Id="rId35" Type="http://schemas.openxmlformats.org/officeDocument/2006/relationships/hyperlink" Target="mailto:dinuphilip92@gmail.com" TargetMode="External"/><Relationship Id="rId56" Type="http://schemas.openxmlformats.org/officeDocument/2006/relationships/hyperlink" Target="mailto:udeshikaratnasiri@gmail.com" TargetMode="External"/><Relationship Id="rId77" Type="http://schemas.openxmlformats.org/officeDocument/2006/relationships/hyperlink" Target="mailto:smanonst@gmail.com" TargetMode="External"/><Relationship Id="rId100" Type="http://schemas.openxmlformats.org/officeDocument/2006/relationships/hyperlink" Target="mailto:avindiyafernando@gmail.com" TargetMode="External"/><Relationship Id="rId105" Type="http://schemas.openxmlformats.org/officeDocument/2006/relationships/hyperlink" Target="mailto:senurisampaya9@gmail.com" TargetMode="External"/><Relationship Id="rId126" Type="http://schemas.openxmlformats.org/officeDocument/2006/relationships/hyperlink" Target="mailto:navinda984@gmail.com" TargetMode="External"/><Relationship Id="rId147" Type="http://schemas.openxmlformats.org/officeDocument/2006/relationships/hyperlink" Target="mailto:samanthi.sperera@gmail.com" TargetMode="External"/><Relationship Id="rId168" Type="http://schemas.openxmlformats.org/officeDocument/2006/relationships/hyperlink" Target="mailto:primashanana@gmail.com" TargetMode="External"/><Relationship Id="rId8" Type="http://schemas.openxmlformats.org/officeDocument/2006/relationships/hyperlink" Target="mailto:mdaravindra@gmail.com" TargetMode="External"/><Relationship Id="rId51" Type="http://schemas.openxmlformats.org/officeDocument/2006/relationships/hyperlink" Target="mailto:dinalekannangara@gmail.com" TargetMode="External"/><Relationship Id="rId72" Type="http://schemas.openxmlformats.org/officeDocument/2006/relationships/hyperlink" Target="mailto:keildonald390@gmail.com" TargetMode="External"/><Relationship Id="rId93" Type="http://schemas.openxmlformats.org/officeDocument/2006/relationships/hyperlink" Target="mailto:senurifdo45@gmail.com" TargetMode="External"/><Relationship Id="rId98" Type="http://schemas.openxmlformats.org/officeDocument/2006/relationships/hyperlink" Target="mailto:hellomanthi@gmail.com" TargetMode="External"/><Relationship Id="rId121" Type="http://schemas.openxmlformats.org/officeDocument/2006/relationships/hyperlink" Target="mailto:eshani.mirando@gmail.com" TargetMode="External"/><Relationship Id="rId142" Type="http://schemas.openxmlformats.org/officeDocument/2006/relationships/hyperlink" Target="mailto:ruchinipeiris747@hotmail.com" TargetMode="External"/><Relationship Id="rId163" Type="http://schemas.openxmlformats.org/officeDocument/2006/relationships/hyperlink" Target="mailto:ishu12398div@gmail.com" TargetMode="External"/><Relationship Id="rId3" Type="http://schemas.openxmlformats.org/officeDocument/2006/relationships/hyperlink" Target="mailto:dilansalika077@gmail.com" TargetMode="External"/><Relationship Id="rId25" Type="http://schemas.openxmlformats.org/officeDocument/2006/relationships/hyperlink" Target="mailto:sweerawardene@gmail.com" TargetMode="External"/><Relationship Id="rId46" Type="http://schemas.openxmlformats.org/officeDocument/2006/relationships/hyperlink" Target="mailto:rmoshakumarasena@gmail.com" TargetMode="External"/><Relationship Id="rId67" Type="http://schemas.openxmlformats.org/officeDocument/2006/relationships/hyperlink" Target="mailto:chathuri005@yahoo.com" TargetMode="External"/><Relationship Id="rId116" Type="http://schemas.openxmlformats.org/officeDocument/2006/relationships/hyperlink" Target="mailto:shenyafernando2001@gmail.com" TargetMode="External"/><Relationship Id="rId137" Type="http://schemas.openxmlformats.org/officeDocument/2006/relationships/hyperlink" Target="mailto:k.k.m.milani@gmail.com" TargetMode="External"/><Relationship Id="rId158" Type="http://schemas.openxmlformats.org/officeDocument/2006/relationships/hyperlink" Target="mailto:lanka.chathurika@gmail.com" TargetMode="External"/><Relationship Id="rId20" Type="http://schemas.openxmlformats.org/officeDocument/2006/relationships/hyperlink" Target="mailto:nirosha.sandamali90@gmail.com" TargetMode="External"/><Relationship Id="rId41" Type="http://schemas.openxmlformats.org/officeDocument/2006/relationships/hyperlink" Target="mailto:upeka.sewwandi01@gmail.com" TargetMode="External"/><Relationship Id="rId62" Type="http://schemas.openxmlformats.org/officeDocument/2006/relationships/hyperlink" Target="mailto:shamalifernando84@gmail.com" TargetMode="External"/><Relationship Id="rId83" Type="http://schemas.openxmlformats.org/officeDocument/2006/relationships/hyperlink" Target="mailto:sachifoo4@gmail.com" TargetMode="External"/><Relationship Id="rId88" Type="http://schemas.openxmlformats.org/officeDocument/2006/relationships/hyperlink" Target="mailto:randeniyahashen@gmail.com" TargetMode="External"/><Relationship Id="rId111" Type="http://schemas.openxmlformats.org/officeDocument/2006/relationships/hyperlink" Target="mailto:gimhani.jayasekara99@gmail.com" TargetMode="External"/><Relationship Id="rId132" Type="http://schemas.openxmlformats.org/officeDocument/2006/relationships/hyperlink" Target="mailto:sbernardshow@yahoo.com" TargetMode="External"/><Relationship Id="rId153" Type="http://schemas.openxmlformats.org/officeDocument/2006/relationships/hyperlink" Target="mailto:shaneshranasinghe26@gmail.com" TargetMode="External"/><Relationship Id="rId174" Type="http://schemas.openxmlformats.org/officeDocument/2006/relationships/hyperlink" Target="mailto:pereraprincy566@gmail.com" TargetMode="External"/><Relationship Id="rId15" Type="http://schemas.openxmlformats.org/officeDocument/2006/relationships/hyperlink" Target="mailto:saduniwelgama1993@gmail.com" TargetMode="External"/><Relationship Id="rId36" Type="http://schemas.openxmlformats.org/officeDocument/2006/relationships/hyperlink" Target="mailto:sanduninadeeshatkd@gmail.com" TargetMode="External"/><Relationship Id="rId57" Type="http://schemas.openxmlformats.org/officeDocument/2006/relationships/hyperlink" Target="mailto:dishanif@gmail.com" TargetMode="External"/><Relationship Id="rId106" Type="http://schemas.openxmlformats.org/officeDocument/2006/relationships/hyperlink" Target="mailto:thanu.jaya@yahoo.com" TargetMode="External"/><Relationship Id="rId127" Type="http://schemas.openxmlformats.org/officeDocument/2006/relationships/hyperlink" Target="mailto:nirmalee83@gmail.com" TargetMode="External"/><Relationship Id="rId10" Type="http://schemas.openxmlformats.org/officeDocument/2006/relationships/hyperlink" Target="mailto:kaushalrodrigo@gmail.com" TargetMode="External"/><Relationship Id="rId31" Type="http://schemas.openxmlformats.org/officeDocument/2006/relationships/hyperlink" Target="mailto:udminamaushanki@gmail.com" TargetMode="External"/><Relationship Id="rId52" Type="http://schemas.openxmlformats.org/officeDocument/2006/relationships/hyperlink" Target="mailto:sheringm123@gmail.com" TargetMode="External"/><Relationship Id="rId73" Type="http://schemas.openxmlformats.org/officeDocument/2006/relationships/hyperlink" Target="mailto:nuwanthajayakody11@gmail.com" TargetMode="External"/><Relationship Id="rId78" Type="http://schemas.openxmlformats.org/officeDocument/2006/relationships/hyperlink" Target="mailto:sriyanjaliwick@gmail.com" TargetMode="External"/><Relationship Id="rId94" Type="http://schemas.openxmlformats.org/officeDocument/2006/relationships/hyperlink" Target="mailto:sajanosb@gmail.com" TargetMode="External"/><Relationship Id="rId99" Type="http://schemas.openxmlformats.org/officeDocument/2006/relationships/hyperlink" Target="mailto:lakshani909@gmail.com" TargetMode="External"/><Relationship Id="rId101" Type="http://schemas.openxmlformats.org/officeDocument/2006/relationships/hyperlink" Target="mailto:jsheharamiral@gmail.com" TargetMode="External"/><Relationship Id="rId122" Type="http://schemas.openxmlformats.org/officeDocument/2006/relationships/hyperlink" Target="http://taniyaperera19992gmail.com/" TargetMode="External"/><Relationship Id="rId143" Type="http://schemas.openxmlformats.org/officeDocument/2006/relationships/hyperlink" Target="mailto:imeshawickramasuriya@gmail.com" TargetMode="External"/><Relationship Id="rId148" Type="http://schemas.openxmlformats.org/officeDocument/2006/relationships/hyperlink" Target="mailto:lakshikad82@gmail.com" TargetMode="External"/><Relationship Id="rId164" Type="http://schemas.openxmlformats.org/officeDocument/2006/relationships/hyperlink" Target="mailto:madumalifernando17@gmail.com" TargetMode="External"/><Relationship Id="rId169" Type="http://schemas.openxmlformats.org/officeDocument/2006/relationships/hyperlink" Target="mailto:roshlidewendra28@gmail.com" TargetMode="External"/><Relationship Id="rId4" Type="http://schemas.openxmlformats.org/officeDocument/2006/relationships/hyperlink" Target="mailto:pradeeplakmal378@gmail.com" TargetMode="External"/><Relationship Id="rId9" Type="http://schemas.openxmlformats.org/officeDocument/2006/relationships/hyperlink" Target="mailto:wadjthlw@yahoo.com" TargetMode="External"/><Relationship Id="rId26" Type="http://schemas.openxmlformats.org/officeDocument/2006/relationships/hyperlink" Target="mailto:anneshashi16@gmail.com" TargetMode="External"/><Relationship Id="rId47" Type="http://schemas.openxmlformats.org/officeDocument/2006/relationships/hyperlink" Target="mailto:fshammika@gmail.com" TargetMode="External"/><Relationship Id="rId68" Type="http://schemas.openxmlformats.org/officeDocument/2006/relationships/hyperlink" Target="mailto:fernahgaw@gmail.com" TargetMode="External"/><Relationship Id="rId89" Type="http://schemas.openxmlformats.org/officeDocument/2006/relationships/hyperlink" Target="mailto:sandaliarumapura@gmail.com" TargetMode="External"/><Relationship Id="rId112" Type="http://schemas.openxmlformats.org/officeDocument/2006/relationships/hyperlink" Target="mailto:shenlinicolina19@gmail.com" TargetMode="External"/><Relationship Id="rId133" Type="http://schemas.openxmlformats.org/officeDocument/2006/relationships/hyperlink" Target="mailto:jiwoka17@outlook.com" TargetMode="External"/><Relationship Id="rId154" Type="http://schemas.openxmlformats.org/officeDocument/2006/relationships/hyperlink" Target="mailto:blun2023@gmail.com" TargetMode="External"/><Relationship Id="rId175" Type="http://schemas.openxmlformats.org/officeDocument/2006/relationships/printerSettings" Target="../printerSettings/printerSettings1.bin"/><Relationship Id="rId16" Type="http://schemas.openxmlformats.org/officeDocument/2006/relationships/hyperlink" Target="mailto:shashiniperera194@gmail.com" TargetMode="External"/><Relationship Id="rId37" Type="http://schemas.openxmlformats.org/officeDocument/2006/relationships/hyperlink" Target="mailto:nuwanthi597@gmail.com" TargetMode="External"/><Relationship Id="rId58" Type="http://schemas.openxmlformats.org/officeDocument/2006/relationships/hyperlink" Target="mailto:mithila.wijayasinghe@gmail.com" TargetMode="External"/><Relationship Id="rId79" Type="http://schemas.openxmlformats.org/officeDocument/2006/relationships/hyperlink" Target="mailto:jeenawijesinghe@gmail.com" TargetMode="External"/><Relationship Id="rId102" Type="http://schemas.openxmlformats.org/officeDocument/2006/relationships/hyperlink" Target="mailto:annerashini@gmail.com" TargetMode="External"/><Relationship Id="rId123" Type="http://schemas.openxmlformats.org/officeDocument/2006/relationships/hyperlink" Target="mailto:chanuridesilva93@gmail.com" TargetMode="External"/><Relationship Id="rId144" Type="http://schemas.openxmlformats.org/officeDocument/2006/relationships/hyperlink" Target="mailto:ajanifdo20@gmail.com" TargetMode="External"/><Relationship Id="rId90" Type="http://schemas.openxmlformats.org/officeDocument/2006/relationships/hyperlink" Target="mailto:sulfanaas@gmail.com" TargetMode="External"/><Relationship Id="rId165" Type="http://schemas.openxmlformats.org/officeDocument/2006/relationships/hyperlink" Target="mailto:shaneshranasinghe26@gmail.com" TargetMode="External"/><Relationship Id="rId27" Type="http://schemas.openxmlformats.org/officeDocument/2006/relationships/hyperlink" Target="mailto:asitha.snic@gmail.com" TargetMode="External"/><Relationship Id="rId48" Type="http://schemas.openxmlformats.org/officeDocument/2006/relationships/hyperlink" Target="mailto:fernandoerin08@gmail.com" TargetMode="External"/><Relationship Id="rId69" Type="http://schemas.openxmlformats.org/officeDocument/2006/relationships/hyperlink" Target="mailto:mayaarumapura98@gmail.com" TargetMode="External"/><Relationship Id="rId113" Type="http://schemas.openxmlformats.org/officeDocument/2006/relationships/hyperlink" Target="mailto:chandralalgoonawardena@gmail.com" TargetMode="External"/><Relationship Id="rId134" Type="http://schemas.openxmlformats.org/officeDocument/2006/relationships/hyperlink" Target="mailto:yaniracabral124@gmail.com" TargetMode="External"/><Relationship Id="rId80" Type="http://schemas.openxmlformats.org/officeDocument/2006/relationships/hyperlink" Target="mailto:annedanya@gmail.com" TargetMode="External"/><Relationship Id="rId155" Type="http://schemas.openxmlformats.org/officeDocument/2006/relationships/hyperlink" Target="mailto:pspiumika@gmail.com" TargetMode="External"/><Relationship Id="rId176" Type="http://schemas.openxmlformats.org/officeDocument/2006/relationships/drawing" Target="../drawings/drawing1.xml"/><Relationship Id="rId17" Type="http://schemas.openxmlformats.org/officeDocument/2006/relationships/hyperlink" Target="mailto:marian.stephni@gmail.com" TargetMode="External"/><Relationship Id="rId38" Type="http://schemas.openxmlformats.org/officeDocument/2006/relationships/hyperlink" Target="mailto:niromifernando3@gmail.com" TargetMode="External"/><Relationship Id="rId59" Type="http://schemas.openxmlformats.org/officeDocument/2006/relationships/hyperlink" Target="mailto:sinthikabdn@gmail.com" TargetMode="External"/><Relationship Id="rId103" Type="http://schemas.openxmlformats.org/officeDocument/2006/relationships/hyperlink" Target="mailto:madonna.rathini@gmail.com" TargetMode="External"/><Relationship Id="rId124" Type="http://schemas.openxmlformats.org/officeDocument/2006/relationships/hyperlink" Target="mailto:ramanijayasinghe1@gmail.com" TargetMode="External"/><Relationship Id="rId70" Type="http://schemas.openxmlformats.org/officeDocument/2006/relationships/hyperlink" Target="mailto:shanonfonseka311@gmail.com" TargetMode="External"/><Relationship Id="rId91" Type="http://schemas.openxmlformats.org/officeDocument/2006/relationships/hyperlink" Target="mailto:shashikarr@yahoo.com" TargetMode="External"/><Relationship Id="rId145" Type="http://schemas.openxmlformats.org/officeDocument/2006/relationships/hyperlink" Target="mailto:nushariweerakoon@gmail.com" TargetMode="External"/><Relationship Id="rId166" Type="http://schemas.openxmlformats.org/officeDocument/2006/relationships/hyperlink" Target="mailto:blun2023@gmail.com" TargetMode="External"/><Relationship Id="rId1" Type="http://schemas.openxmlformats.org/officeDocument/2006/relationships/hyperlink" Target="mailto:mariyandilhanifernando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vindya412@gmail.com" TargetMode="External"/><Relationship Id="rId2" Type="http://schemas.openxmlformats.org/officeDocument/2006/relationships/hyperlink" Target="mailto:ionikoelmeyer@yahoo.com" TargetMode="External"/><Relationship Id="rId1" Type="http://schemas.openxmlformats.org/officeDocument/2006/relationships/hyperlink" Target="mailto:viviansavery@yahoo.com" TargetMode="External"/><Relationship Id="rId6" Type="http://schemas.openxmlformats.org/officeDocument/2006/relationships/hyperlink" Target="mailto:onlinehus786@gmail.com" TargetMode="External"/><Relationship Id="rId5" Type="http://schemas.openxmlformats.org/officeDocument/2006/relationships/hyperlink" Target="mailto:sumuduperera54@gmail.com" TargetMode="External"/><Relationship Id="rId4" Type="http://schemas.openxmlformats.org/officeDocument/2006/relationships/hyperlink" Target="mailto:subashkurera7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vindya412@gmail.com" TargetMode="External"/><Relationship Id="rId2" Type="http://schemas.openxmlformats.org/officeDocument/2006/relationships/hyperlink" Target="mailto:ionikoelmeyer@yahoo.com" TargetMode="External"/><Relationship Id="rId1" Type="http://schemas.openxmlformats.org/officeDocument/2006/relationships/hyperlink" Target="mailto:viviansavery@yahoo.com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sumuduperera54@gmail.com" TargetMode="External"/><Relationship Id="rId4" Type="http://schemas.openxmlformats.org/officeDocument/2006/relationships/hyperlink" Target="mailto:subashkurera7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janith@gmail.com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89rukshika@gmail.com" TargetMode="External"/><Relationship Id="rId18" Type="http://schemas.openxmlformats.org/officeDocument/2006/relationships/hyperlink" Target="mailto:rumeshdinukafernando@gmail.com" TargetMode="External"/><Relationship Id="rId26" Type="http://schemas.openxmlformats.org/officeDocument/2006/relationships/hyperlink" Target="mailto:dasunifernando662@gmail.com" TargetMode="External"/><Relationship Id="rId39" Type="http://schemas.openxmlformats.org/officeDocument/2006/relationships/vmlDrawing" Target="../drawings/vmlDrawing2.vml"/><Relationship Id="rId21" Type="http://schemas.openxmlformats.org/officeDocument/2006/relationships/hyperlink" Target="mailto:nirajazz6@gmail.com" TargetMode="External"/><Relationship Id="rId34" Type="http://schemas.openxmlformats.org/officeDocument/2006/relationships/hyperlink" Target="mailto:sharanfernando@gmail.com" TargetMode="External"/><Relationship Id="rId7" Type="http://schemas.openxmlformats.org/officeDocument/2006/relationships/hyperlink" Target="mailto:chanperera22@gmail.com" TargetMode="External"/><Relationship Id="rId12" Type="http://schemas.openxmlformats.org/officeDocument/2006/relationships/hyperlink" Target="mailto:gaya3edirisinghe@gmail.com" TargetMode="External"/><Relationship Id="rId17" Type="http://schemas.openxmlformats.org/officeDocument/2006/relationships/hyperlink" Target="mailto:jithma.wijewardene@gmail.com" TargetMode="External"/><Relationship Id="rId25" Type="http://schemas.openxmlformats.org/officeDocument/2006/relationships/hyperlink" Target="mailto:shrimaliecon@gmail.com" TargetMode="External"/><Relationship Id="rId33" Type="http://schemas.openxmlformats.org/officeDocument/2006/relationships/hyperlink" Target="mailto:shainysanchila@gmail.com" TargetMode="External"/><Relationship Id="rId38" Type="http://schemas.openxmlformats.org/officeDocument/2006/relationships/printerSettings" Target="../printerSettings/printerSettings3.bin"/><Relationship Id="rId2" Type="http://schemas.openxmlformats.org/officeDocument/2006/relationships/hyperlink" Target="mailto:jayalalifernando@gmail.com" TargetMode="External"/><Relationship Id="rId16" Type="http://schemas.openxmlformats.org/officeDocument/2006/relationships/hyperlink" Target="mailto:deyanthileanage16@gmail.com" TargetMode="External"/><Relationship Id="rId20" Type="http://schemas.openxmlformats.org/officeDocument/2006/relationships/hyperlink" Target="mailto:mackey.marshally@gmail.com" TargetMode="External"/><Relationship Id="rId29" Type="http://schemas.openxmlformats.org/officeDocument/2006/relationships/hyperlink" Target="mailto:nimeshaperera9719@gmail.com" TargetMode="External"/><Relationship Id="rId1" Type="http://schemas.openxmlformats.org/officeDocument/2006/relationships/hyperlink" Target="mailto:lakshi.rajarathne@gmail.com" TargetMode="External"/><Relationship Id="rId6" Type="http://schemas.openxmlformats.org/officeDocument/2006/relationships/hyperlink" Target="mailto:randika.perera@gmail.com" TargetMode="External"/><Relationship Id="rId11" Type="http://schemas.openxmlformats.org/officeDocument/2006/relationships/hyperlink" Target="mailto:myumie.fernando@gmail.com" TargetMode="External"/><Relationship Id="rId24" Type="http://schemas.openxmlformats.org/officeDocument/2006/relationships/hyperlink" Target="mailto:niroshanironey@gmail.com" TargetMode="External"/><Relationship Id="rId32" Type="http://schemas.openxmlformats.org/officeDocument/2006/relationships/hyperlink" Target="mailto:madushix91@gmail.com" TargetMode="External"/><Relationship Id="rId37" Type="http://schemas.openxmlformats.org/officeDocument/2006/relationships/hyperlink" Target="mailto:mithilawanigasekara@gmail.com" TargetMode="External"/><Relationship Id="rId40" Type="http://schemas.openxmlformats.org/officeDocument/2006/relationships/comments" Target="../comments2.xml"/><Relationship Id="rId5" Type="http://schemas.openxmlformats.org/officeDocument/2006/relationships/hyperlink" Target="mailto:thakshiladanushani@gmail.com" TargetMode="External"/><Relationship Id="rId15" Type="http://schemas.openxmlformats.org/officeDocument/2006/relationships/hyperlink" Target="mailto:nirmasuhi@gmail.com" TargetMode="External"/><Relationship Id="rId23" Type="http://schemas.openxmlformats.org/officeDocument/2006/relationships/hyperlink" Target="mailto:dmashaj@gmail.com" TargetMode="External"/><Relationship Id="rId28" Type="http://schemas.openxmlformats.org/officeDocument/2006/relationships/hyperlink" Target="mailto:hiroshiwickramasinghe@gmail.com" TargetMode="External"/><Relationship Id="rId36" Type="http://schemas.openxmlformats.org/officeDocument/2006/relationships/hyperlink" Target="mailto:shaneshranasinghe26@gmail.com" TargetMode="External"/><Relationship Id="rId10" Type="http://schemas.openxmlformats.org/officeDocument/2006/relationships/hyperlink" Target="mailto:paulranga45@gmail.com" TargetMode="External"/><Relationship Id="rId19" Type="http://schemas.openxmlformats.org/officeDocument/2006/relationships/hyperlink" Target="mailto:shehanifernando65@gmail.com" TargetMode="External"/><Relationship Id="rId31" Type="http://schemas.openxmlformats.org/officeDocument/2006/relationships/hyperlink" Target="mailto:shavinifernando6@gmail.com" TargetMode="External"/><Relationship Id="rId4" Type="http://schemas.openxmlformats.org/officeDocument/2006/relationships/hyperlink" Target="mailto:mpperis50@gmail.com" TargetMode="External"/><Relationship Id="rId9" Type="http://schemas.openxmlformats.org/officeDocument/2006/relationships/hyperlink" Target="mailto:wickramanayakeas@gmail.com" TargetMode="External"/><Relationship Id="rId14" Type="http://schemas.openxmlformats.org/officeDocument/2006/relationships/hyperlink" Target="mailto:ayomihettiarachchi@gmail.com" TargetMode="External"/><Relationship Id="rId22" Type="http://schemas.openxmlformats.org/officeDocument/2006/relationships/hyperlink" Target="mailto:darry.franklin@yahoo.com" TargetMode="External"/><Relationship Id="rId27" Type="http://schemas.openxmlformats.org/officeDocument/2006/relationships/hyperlink" Target="mailto:hansinifonseka@gmail.com" TargetMode="External"/><Relationship Id="rId30" Type="http://schemas.openxmlformats.org/officeDocument/2006/relationships/hyperlink" Target="mailto:suwetha.samadara17@gmail.com" TargetMode="External"/><Relationship Id="rId35" Type="http://schemas.openxmlformats.org/officeDocument/2006/relationships/hyperlink" Target="mailto:sssrobertha@gmail.com" TargetMode="External"/><Relationship Id="rId8" Type="http://schemas.openxmlformats.org/officeDocument/2006/relationships/hyperlink" Target="mailto:malshaphilip@gmail.com" TargetMode="External"/><Relationship Id="rId3" Type="http://schemas.openxmlformats.org/officeDocument/2006/relationships/hyperlink" Target="mailto:dmslhc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J1009"/>
  <sheetViews>
    <sheetView tabSelected="1" zoomScale="80" zoomScaleNormal="80" workbookViewId="0">
      <selection activeCell="H306" sqref="H306"/>
    </sheetView>
  </sheetViews>
  <sheetFormatPr defaultColWidth="9.109375" defaultRowHeight="13.8" x14ac:dyDescent="0.25"/>
  <cols>
    <col min="1" max="2" width="10.109375" style="336" customWidth="1"/>
    <col min="3" max="4" width="7.5546875" style="336" customWidth="1"/>
    <col min="5" max="5" width="19.5546875" style="336" customWidth="1"/>
    <col min="6" max="6" width="12.6640625" style="336" customWidth="1"/>
    <col min="7" max="7" width="37" style="365" customWidth="1"/>
    <col min="8" max="8" width="20" style="366" customWidth="1"/>
    <col min="9" max="9" width="40" style="365" customWidth="1"/>
    <col min="10" max="10" width="17" style="379" customWidth="1"/>
    <col min="11" max="11" width="17.88671875" style="336" customWidth="1"/>
    <col min="12" max="12" width="15.44140625" style="336" customWidth="1"/>
    <col min="13" max="13" width="40" style="369" customWidth="1"/>
    <col min="14" max="16" width="9.109375" style="370" customWidth="1"/>
    <col min="17" max="17" width="16.44140625" style="371" customWidth="1"/>
    <col min="18" max="18" width="8.6640625" style="369" customWidth="1"/>
    <col min="19" max="19" width="10.33203125" style="369" customWidth="1"/>
    <col min="20" max="21" width="9.109375" style="336" customWidth="1"/>
    <col min="22" max="22" width="11.5546875" style="336" customWidth="1"/>
    <col min="23" max="23" width="16.88671875" style="372" customWidth="1"/>
    <col min="24" max="24" width="14.88671875" style="336" customWidth="1"/>
    <col min="25" max="25" width="14.88671875" style="327" customWidth="1"/>
    <col min="26" max="26" width="10" style="336" customWidth="1"/>
    <col min="27" max="27" width="8.33203125" style="336" customWidth="1"/>
    <col min="28" max="28" width="9.109375" style="336" customWidth="1"/>
    <col min="29" max="29" width="28.5546875" style="336" customWidth="1"/>
    <col min="30" max="30" width="40" style="336" customWidth="1"/>
    <col min="31" max="31" width="11.6640625" style="336" customWidth="1"/>
    <col min="32" max="32" width="8.5546875" style="336" customWidth="1"/>
    <col min="33" max="33" width="9.44140625" style="336" customWidth="1"/>
    <col min="34" max="35" width="32" style="336" customWidth="1"/>
    <col min="36" max="38" width="10.6640625" style="336" customWidth="1"/>
    <col min="39" max="40" width="14.6640625" style="5" customWidth="1"/>
    <col min="41" max="41" width="18.109375" style="366" customWidth="1"/>
    <col min="42" max="43" width="15" style="336" customWidth="1"/>
    <col min="44" max="44" width="13.33203125" style="336" customWidth="1"/>
    <col min="45" max="16384" width="9.109375" style="336"/>
  </cols>
  <sheetData>
    <row r="1" spans="1:62" ht="24.75" customHeight="1" x14ac:dyDescent="0.25">
      <c r="J1" s="367" t="s">
        <v>1718</v>
      </c>
      <c r="K1" s="368" t="s">
        <v>1720</v>
      </c>
      <c r="Z1" s="373"/>
      <c r="AA1" s="373"/>
      <c r="AB1" s="373"/>
      <c r="AC1" s="373"/>
      <c r="AD1" s="374"/>
      <c r="AE1" s="373"/>
      <c r="AF1" s="373"/>
      <c r="AG1" s="373"/>
      <c r="AH1" s="373"/>
      <c r="AI1" s="373"/>
      <c r="AJ1" s="375"/>
      <c r="AK1" s="375"/>
      <c r="AL1" s="375"/>
    </row>
    <row r="2" spans="1:62" ht="24.75" customHeight="1" x14ac:dyDescent="0.25">
      <c r="I2" s="376" t="s">
        <v>1715</v>
      </c>
      <c r="J2" s="377">
        <f>COUNTIF(B10:B1048576,51)</f>
        <v>38</v>
      </c>
      <c r="W2" s="148" t="e">
        <f t="shared" ref="W2" si="0">DATE(V2,U2,T2)</f>
        <v>#NUM!</v>
      </c>
      <c r="Y2" s="328"/>
      <c r="Z2" s="373"/>
      <c r="AA2" s="373"/>
      <c r="AB2" s="373"/>
      <c r="AC2" s="373"/>
      <c r="AD2" s="374"/>
      <c r="AE2" s="373"/>
      <c r="AF2" s="373"/>
      <c r="AG2" s="373"/>
      <c r="AH2" s="373"/>
      <c r="AI2" s="373"/>
      <c r="AJ2" s="375"/>
      <c r="AK2" s="375"/>
      <c r="AL2" s="375"/>
    </row>
    <row r="3" spans="1:62" ht="24.75" customHeight="1" x14ac:dyDescent="0.25">
      <c r="I3" s="376" t="s">
        <v>1716</v>
      </c>
      <c r="J3" s="377">
        <f>COUNTIF(B10:B1048576,52)</f>
        <v>112</v>
      </c>
      <c r="Y3" s="328"/>
      <c r="Z3" s="373"/>
      <c r="AA3" s="373"/>
      <c r="AB3" s="373"/>
      <c r="AC3" s="373"/>
      <c r="AD3" s="374"/>
      <c r="AE3" s="373"/>
      <c r="AF3" s="373"/>
      <c r="AG3" s="373"/>
      <c r="AH3" s="373"/>
      <c r="AI3" s="373"/>
      <c r="AJ3" s="375"/>
      <c r="AK3" s="375"/>
      <c r="AL3" s="375"/>
    </row>
    <row r="4" spans="1:62" ht="24.75" customHeight="1" x14ac:dyDescent="0.25">
      <c r="I4" s="376" t="s">
        <v>1717</v>
      </c>
      <c r="J4" s="377">
        <f>COUNTIF(B10:B1048576,53)</f>
        <v>132</v>
      </c>
      <c r="K4" s="378" t="s">
        <v>1830</v>
      </c>
      <c r="Y4" s="328"/>
      <c r="Z4" s="373"/>
      <c r="AA4" s="373"/>
      <c r="AB4" s="327" t="s">
        <v>1710</v>
      </c>
      <c r="AC4" s="327" t="s">
        <v>1709</v>
      </c>
      <c r="AD4" s="374"/>
      <c r="AE4" s="373"/>
      <c r="AF4" s="373"/>
      <c r="AG4" s="373"/>
      <c r="AH4" s="373"/>
      <c r="AI4" s="373" t="s">
        <v>17</v>
      </c>
      <c r="AJ4" s="375"/>
      <c r="AK4" s="375"/>
      <c r="AL4" s="375"/>
    </row>
    <row r="5" spans="1:62" ht="24.75" customHeight="1" x14ac:dyDescent="0.25">
      <c r="I5" s="376" t="s">
        <v>1829</v>
      </c>
      <c r="J5" s="377">
        <f>COUNTIF(B10:B1048576,54)</f>
        <v>22</v>
      </c>
      <c r="L5" s="536" t="s">
        <v>2586</v>
      </c>
      <c r="Y5" s="328"/>
      <c r="Z5" s="373"/>
      <c r="AA5" s="373"/>
      <c r="AB5" s="373"/>
      <c r="AC5" s="373"/>
      <c r="AD5" s="374"/>
      <c r="AE5" s="373"/>
      <c r="AF5" s="373"/>
      <c r="AG5" s="373"/>
      <c r="AH5" s="373"/>
      <c r="AI5" s="373"/>
      <c r="AJ5" s="375"/>
      <c r="AK5" s="375"/>
      <c r="AL5" s="375"/>
    </row>
    <row r="6" spans="1:62" ht="21" customHeight="1" x14ac:dyDescent="0.25">
      <c r="L6" s="539" t="s">
        <v>2587</v>
      </c>
      <c r="Y6" s="328"/>
      <c r="Z6" s="373"/>
      <c r="AA6" s="373"/>
      <c r="AB6" s="373"/>
      <c r="AC6" s="373"/>
      <c r="AD6" s="374"/>
      <c r="AE6" s="373"/>
      <c r="AF6" s="373"/>
      <c r="AG6" s="373"/>
      <c r="AH6" s="373"/>
      <c r="AI6" s="373"/>
      <c r="AJ6" s="375"/>
      <c r="AK6" s="375"/>
      <c r="AL6" s="375"/>
    </row>
    <row r="7" spans="1:62" ht="21" customHeight="1" x14ac:dyDescent="0.25">
      <c r="G7" s="380">
        <f ca="1">TODAY()</f>
        <v>46027</v>
      </c>
      <c r="I7" s="381" t="s">
        <v>1719</v>
      </c>
      <c r="J7" s="367">
        <f>SUM(J2:J5)</f>
        <v>304</v>
      </c>
      <c r="Y7" s="328"/>
      <c r="Z7" s="373"/>
      <c r="AA7" s="373"/>
      <c r="AB7" s="373"/>
      <c r="AC7" s="373"/>
      <c r="AD7" s="374"/>
      <c r="AE7" s="373"/>
      <c r="AF7" s="373"/>
      <c r="AG7" s="373"/>
      <c r="AH7" s="373"/>
      <c r="AI7" s="373"/>
      <c r="AJ7" s="375"/>
      <c r="AK7" s="375"/>
      <c r="AL7" s="375"/>
    </row>
    <row r="8" spans="1:62" s="366" customFormat="1" ht="33" customHeight="1" x14ac:dyDescent="0.25">
      <c r="A8" s="541" t="s">
        <v>0</v>
      </c>
      <c r="B8" s="541"/>
      <c r="C8" s="541"/>
      <c r="D8" s="541"/>
      <c r="E8" s="542" t="s">
        <v>1458</v>
      </c>
      <c r="F8" s="542" t="s">
        <v>1</v>
      </c>
      <c r="G8" s="190" t="s">
        <v>2</v>
      </c>
      <c r="H8" s="190" t="s">
        <v>3</v>
      </c>
      <c r="I8" s="190" t="s">
        <v>4</v>
      </c>
      <c r="J8" s="292" t="s">
        <v>5</v>
      </c>
      <c r="K8" s="190" t="s">
        <v>6</v>
      </c>
      <c r="L8" s="450" t="s">
        <v>7</v>
      </c>
      <c r="M8" s="190" t="s">
        <v>8</v>
      </c>
      <c r="N8" s="546" t="s">
        <v>9</v>
      </c>
      <c r="O8" s="546"/>
      <c r="P8" s="546"/>
      <c r="Q8" s="191"/>
      <c r="R8" s="382"/>
      <c r="S8" s="547"/>
      <c r="T8" s="541" t="s">
        <v>12</v>
      </c>
      <c r="U8" s="541"/>
      <c r="V8" s="541"/>
      <c r="W8" s="191"/>
      <c r="X8" s="545"/>
      <c r="Y8" s="545"/>
      <c r="Z8" s="544" t="s">
        <v>15</v>
      </c>
      <c r="AA8" s="544"/>
      <c r="AB8" s="544"/>
      <c r="AC8" s="448" t="s">
        <v>15</v>
      </c>
      <c r="AD8" s="543" t="s">
        <v>16</v>
      </c>
      <c r="AE8" s="543"/>
      <c r="AF8" s="543"/>
      <c r="AG8" s="543"/>
      <c r="AH8" s="543"/>
      <c r="AI8" s="543"/>
      <c r="AJ8" s="382"/>
      <c r="AK8" s="382"/>
      <c r="AL8" s="382"/>
      <c r="AM8" s="543" t="s">
        <v>1751</v>
      </c>
      <c r="AN8" s="543"/>
      <c r="AO8" s="383" t="s">
        <v>2369</v>
      </c>
      <c r="AP8" s="387" t="s">
        <v>2372</v>
      </c>
      <c r="AQ8" s="387" t="s">
        <v>2375</v>
      </c>
      <c r="AR8" s="387" t="s">
        <v>2373</v>
      </c>
      <c r="AS8" s="387" t="s">
        <v>2370</v>
      </c>
      <c r="AT8" s="369" t="s">
        <v>2374</v>
      </c>
    </row>
    <row r="9" spans="1:62" s="366" customFormat="1" ht="33" customHeight="1" x14ac:dyDescent="0.25">
      <c r="A9" s="190"/>
      <c r="B9" s="190"/>
      <c r="C9" s="190"/>
      <c r="D9" s="190" t="s">
        <v>17</v>
      </c>
      <c r="E9" s="542"/>
      <c r="F9" s="542"/>
      <c r="G9" s="383"/>
      <c r="H9" s="382"/>
      <c r="I9" s="383"/>
      <c r="J9" s="384"/>
      <c r="K9" s="382"/>
      <c r="L9" s="382"/>
      <c r="M9" s="382"/>
      <c r="N9" s="449" t="s">
        <v>18</v>
      </c>
      <c r="O9" s="449" t="s">
        <v>19</v>
      </c>
      <c r="P9" s="449" t="s">
        <v>20</v>
      </c>
      <c r="Q9" s="192" t="s">
        <v>9</v>
      </c>
      <c r="R9" s="450" t="s">
        <v>10</v>
      </c>
      <c r="S9" s="547"/>
      <c r="T9" s="446" t="s">
        <v>21</v>
      </c>
      <c r="U9" s="446" t="s">
        <v>19</v>
      </c>
      <c r="V9" s="446" t="s">
        <v>20</v>
      </c>
      <c r="W9" s="192" t="s">
        <v>12</v>
      </c>
      <c r="X9" s="545"/>
      <c r="Y9" s="545"/>
      <c r="Z9" s="448" t="s">
        <v>22</v>
      </c>
      <c r="AA9" s="448" t="s">
        <v>23</v>
      </c>
      <c r="AB9" s="448" t="s">
        <v>24</v>
      </c>
      <c r="AC9" s="448"/>
      <c r="AD9" s="447"/>
      <c r="AE9" s="447" t="s">
        <v>1711</v>
      </c>
      <c r="AF9" s="448" t="s">
        <v>23</v>
      </c>
      <c r="AG9" s="447" t="s">
        <v>24</v>
      </c>
      <c r="AH9" s="447"/>
      <c r="AI9" s="543"/>
      <c r="AJ9" s="190" t="s">
        <v>1711</v>
      </c>
      <c r="AK9" s="446" t="s">
        <v>23</v>
      </c>
      <c r="AL9" s="190" t="s">
        <v>24</v>
      </c>
      <c r="AM9" s="385" t="s">
        <v>1749</v>
      </c>
      <c r="AN9" s="386" t="s">
        <v>1750</v>
      </c>
      <c r="AO9" s="383" t="s">
        <v>2369</v>
      </c>
    </row>
    <row r="10" spans="1:62" ht="31.5" customHeight="1" x14ac:dyDescent="0.25">
      <c r="A10" s="67">
        <v>1</v>
      </c>
      <c r="B10" s="110" t="s">
        <v>25</v>
      </c>
      <c r="C10" s="110" t="s">
        <v>329</v>
      </c>
      <c r="D10" s="487" t="s">
        <v>27</v>
      </c>
      <c r="E10" s="111" t="str">
        <f t="shared" ref="E10:E73" si="1">CONCATENATE(A10,"/",B10,"/",C10,"/",D10)</f>
        <v>1/051/001/0001</v>
      </c>
      <c r="F10" s="68" t="s">
        <v>28</v>
      </c>
      <c r="G10" s="70" t="s">
        <v>1887</v>
      </c>
      <c r="H10" s="69" t="s">
        <v>29</v>
      </c>
      <c r="I10" s="70" t="s">
        <v>30</v>
      </c>
      <c r="J10" s="293"/>
      <c r="K10" s="69" t="s">
        <v>31</v>
      </c>
      <c r="L10" s="195"/>
      <c r="M10" s="306"/>
      <c r="N10" s="110"/>
      <c r="O10" s="110"/>
      <c r="P10" s="110"/>
      <c r="Q10" s="196"/>
      <c r="R10" s="92"/>
      <c r="S10" s="67" t="s">
        <v>34</v>
      </c>
      <c r="T10" s="68" t="s">
        <v>170</v>
      </c>
      <c r="U10" s="68" t="s">
        <v>36</v>
      </c>
      <c r="V10" s="68" t="s">
        <v>64</v>
      </c>
      <c r="W10" s="197">
        <f>DATE(V10,U10,T10)</f>
        <v>45224</v>
      </c>
      <c r="X10" s="5" t="s">
        <v>38</v>
      </c>
      <c r="Y10" s="115"/>
      <c r="Z10" s="307"/>
      <c r="AA10" s="149"/>
      <c r="AB10" s="150"/>
      <c r="AC10" s="15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 t="s">
        <v>2371</v>
      </c>
      <c r="AP10" s="109"/>
      <c r="AQ10" s="109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09"/>
      <c r="BG10" s="109"/>
      <c r="BH10" s="109"/>
      <c r="BI10" s="109"/>
      <c r="BJ10" s="109"/>
    </row>
    <row r="11" spans="1:62" ht="31.5" customHeight="1" x14ac:dyDescent="0.25">
      <c r="A11" s="67">
        <v>1</v>
      </c>
      <c r="B11" s="110" t="s">
        <v>25</v>
      </c>
      <c r="C11" s="110" t="s">
        <v>338</v>
      </c>
      <c r="D11" s="487" t="s">
        <v>39</v>
      </c>
      <c r="E11" s="111" t="str">
        <f t="shared" si="1"/>
        <v>1/051/002/0002</v>
      </c>
      <c r="F11" s="68" t="s">
        <v>40</v>
      </c>
      <c r="G11" s="533" t="s">
        <v>41</v>
      </c>
      <c r="H11" s="69" t="s">
        <v>42</v>
      </c>
      <c r="I11" s="70" t="s">
        <v>43</v>
      </c>
      <c r="J11" s="294" t="s">
        <v>44</v>
      </c>
      <c r="K11" s="69" t="s">
        <v>31</v>
      </c>
      <c r="L11" s="71" t="s">
        <v>45</v>
      </c>
      <c r="M11" s="308" t="s">
        <v>46</v>
      </c>
      <c r="N11" s="110" t="s">
        <v>47</v>
      </c>
      <c r="O11" s="110" t="s">
        <v>48</v>
      </c>
      <c r="P11" s="110" t="s">
        <v>49</v>
      </c>
      <c r="Q11" s="147">
        <f t="shared" ref="Q11:Q23" si="2">DATE(P11,O11,N11)</f>
        <v>18869</v>
      </c>
      <c r="R11" s="534">
        <f t="shared" ref="R11:R23" ca="1" si="3">($G$7-Q11)/365</f>
        <v>74.405479452054792</v>
      </c>
      <c r="S11" s="67" t="s">
        <v>50</v>
      </c>
      <c r="T11" s="68" t="s">
        <v>35</v>
      </c>
      <c r="U11" s="68" t="s">
        <v>51</v>
      </c>
      <c r="V11" s="68" t="s">
        <v>52</v>
      </c>
      <c r="W11" s="148">
        <f t="shared" ref="W11:W24" si="4">DATE(V11,U11,T11)</f>
        <v>43710</v>
      </c>
      <c r="X11" s="5" t="s">
        <v>38</v>
      </c>
      <c r="Y11" s="115" t="s">
        <v>38</v>
      </c>
      <c r="Z11" s="124">
        <f ca="1">DATEDIF(W11,G7,"Y")</f>
        <v>6</v>
      </c>
      <c r="AA11" s="109">
        <f ca="1">DATEDIF(W11,G7,"YM")</f>
        <v>4</v>
      </c>
      <c r="AB11" s="150">
        <f t="shared" ref="AB11:AB24" ca="1" si="5">DATEDIF(W11,TODAY(),"MD")</f>
        <v>3</v>
      </c>
      <c r="AC11" s="15" t="str">
        <f t="shared" ref="AC11:AC24" ca="1" si="6">CONCATENATE(Z11,"Years","/",,AA11,"Months","/",AB11,"Days")</f>
        <v>6Years/4Months/3Days</v>
      </c>
      <c r="AD11" s="108">
        <f t="shared" ref="AD11:AD27" si="7">(DATE(P11,O11,N11)+21915)</f>
        <v>40784</v>
      </c>
      <c r="AE11" s="15" t="e">
        <f t="shared" ref="AE11:AE22" ca="1" si="8">DATEDIF(TODAY(),AD11,"Y")</f>
        <v>#NUM!</v>
      </c>
      <c r="AF11" s="15" t="e">
        <f t="shared" ref="AF11:AF22" ca="1" si="9">DATEDIF(TODAY(),AD11,"YM")</f>
        <v>#NUM!</v>
      </c>
      <c r="AG11" s="15" t="e">
        <f t="shared" ref="AG11:AG22" ca="1" si="10">DATEDIF(TODAY(),AD11,"MD")</f>
        <v>#NUM!</v>
      </c>
      <c r="AH11" s="15" t="e">
        <f t="shared" ref="AH11:AH22" ca="1" si="11">CONCATENATE(AE11,"Years","/",AF11,"Months","/",AG11,"Days")</f>
        <v>#NUM!</v>
      </c>
      <c r="AI11" s="15" t="e">
        <f t="shared" ref="AI11:AI22" si="12">CONCATENATE(AJ11,"years", " ",",", " ",AK11,"months ","and"," ",AL11,"days")</f>
        <v>#NUM!</v>
      </c>
      <c r="AJ11" s="15" t="e">
        <f t="shared" ref="AJ11:AJ22" si="13">DATEDIF(W11,AD11,"Y")</f>
        <v>#NUM!</v>
      </c>
      <c r="AK11" s="15" t="e">
        <f t="shared" ref="AK11:AK22" si="14">DATEDIF(W11,AD11,"YM")</f>
        <v>#NUM!</v>
      </c>
      <c r="AL11" s="15" t="e">
        <f t="shared" ref="AL11:AL22" si="15">DATEDIF(W11,AD11,"MD")</f>
        <v>#NUM!</v>
      </c>
      <c r="AM11" s="336"/>
      <c r="AN11" s="336"/>
      <c r="AO11" s="336"/>
    </row>
    <row r="12" spans="1:62" ht="31.5" customHeight="1" x14ac:dyDescent="0.25">
      <c r="A12" s="67">
        <v>1</v>
      </c>
      <c r="B12" s="110" t="s">
        <v>25</v>
      </c>
      <c r="C12" s="110" t="s">
        <v>345</v>
      </c>
      <c r="D12" s="487" t="s">
        <v>53</v>
      </c>
      <c r="E12" s="111" t="str">
        <f t="shared" si="1"/>
        <v>1/051/003/0003</v>
      </c>
      <c r="F12" s="68" t="s">
        <v>54</v>
      </c>
      <c r="G12" s="70" t="s">
        <v>55</v>
      </c>
      <c r="H12" s="69" t="s">
        <v>42</v>
      </c>
      <c r="I12" s="70" t="s">
        <v>56</v>
      </c>
      <c r="J12" s="294" t="s">
        <v>57</v>
      </c>
      <c r="K12" s="69" t="s">
        <v>31</v>
      </c>
      <c r="L12" s="71" t="s">
        <v>58</v>
      </c>
      <c r="M12" s="308" t="s">
        <v>59</v>
      </c>
      <c r="N12" s="110" t="s">
        <v>60</v>
      </c>
      <c r="O12" s="110" t="s">
        <v>48</v>
      </c>
      <c r="P12" s="110" t="s">
        <v>61</v>
      </c>
      <c r="Q12" s="147">
        <f t="shared" si="2"/>
        <v>35653</v>
      </c>
      <c r="R12" s="92">
        <f t="shared" ca="1" si="3"/>
        <v>28.421917808219177</v>
      </c>
      <c r="S12" s="67" t="s">
        <v>50</v>
      </c>
      <c r="T12" s="68" t="s">
        <v>62</v>
      </c>
      <c r="U12" s="68" t="s">
        <v>63</v>
      </c>
      <c r="V12" s="68" t="s">
        <v>64</v>
      </c>
      <c r="W12" s="148">
        <f t="shared" si="4"/>
        <v>44929</v>
      </c>
      <c r="X12" s="5" t="s">
        <v>65</v>
      </c>
      <c r="Y12" s="115"/>
      <c r="Z12" s="124">
        <f ca="1">DATEDIF(W12,G7,"Y")</f>
        <v>3</v>
      </c>
      <c r="AA12" s="109">
        <f ca="1">DATEDIF(W12,G7,"YM")</f>
        <v>0</v>
      </c>
      <c r="AB12" s="150">
        <f t="shared" ca="1" si="5"/>
        <v>2</v>
      </c>
      <c r="AC12" s="15" t="str">
        <f t="shared" ca="1" si="6"/>
        <v>3Years/0Months/2Days</v>
      </c>
      <c r="AD12" s="108">
        <f t="shared" si="7"/>
        <v>57568</v>
      </c>
      <c r="AE12" s="15">
        <f ca="1">DATEDIF(TODAY(),AD12,"Y")</f>
        <v>31</v>
      </c>
      <c r="AF12" s="15">
        <f t="shared" ca="1" si="9"/>
        <v>7</v>
      </c>
      <c r="AG12" s="15">
        <f t="shared" ca="1" si="10"/>
        <v>6</v>
      </c>
      <c r="AH12" s="15" t="str">
        <f t="shared" ca="1" si="11"/>
        <v>31Years/7Months/6Days</v>
      </c>
      <c r="AI12" s="15" t="str">
        <f t="shared" si="12"/>
        <v>34years , 7months and 8days</v>
      </c>
      <c r="AJ12" s="15">
        <f t="shared" si="13"/>
        <v>34</v>
      </c>
      <c r="AK12" s="15">
        <f t="shared" si="14"/>
        <v>7</v>
      </c>
      <c r="AL12" s="15">
        <f t="shared" si="15"/>
        <v>8</v>
      </c>
      <c r="AM12" s="336"/>
      <c r="AN12" s="336"/>
      <c r="AO12" s="336"/>
    </row>
    <row r="13" spans="1:62" ht="31.5" customHeight="1" x14ac:dyDescent="0.25">
      <c r="A13" s="67">
        <v>1</v>
      </c>
      <c r="B13" s="110" t="s">
        <v>25</v>
      </c>
      <c r="C13" s="110" t="s">
        <v>352</v>
      </c>
      <c r="D13" s="487" t="s">
        <v>66</v>
      </c>
      <c r="E13" s="111" t="str">
        <f t="shared" si="1"/>
        <v>1/051/004/0004</v>
      </c>
      <c r="F13" s="68"/>
      <c r="G13" s="358" t="s">
        <v>2512</v>
      </c>
      <c r="H13" s="484" t="s">
        <v>42</v>
      </c>
      <c r="I13" s="358" t="s">
        <v>2513</v>
      </c>
      <c r="J13" s="485">
        <v>200165410135</v>
      </c>
      <c r="K13" s="478" t="s">
        <v>31</v>
      </c>
      <c r="L13" s="478">
        <v>741217723</v>
      </c>
      <c r="M13" s="486" t="s">
        <v>2514</v>
      </c>
      <c r="N13" s="476">
        <v>2</v>
      </c>
      <c r="O13" s="476">
        <v>6</v>
      </c>
      <c r="P13" s="476">
        <v>2001</v>
      </c>
      <c r="Q13" s="147">
        <f t="shared" si="2"/>
        <v>37044</v>
      </c>
      <c r="R13" s="92">
        <f t="shared" ca="1" si="3"/>
        <v>24.610958904109587</v>
      </c>
      <c r="S13" s="67" t="s">
        <v>50</v>
      </c>
      <c r="T13" s="68" t="s">
        <v>297</v>
      </c>
      <c r="U13" s="68" t="s">
        <v>360</v>
      </c>
      <c r="V13" s="68" t="s">
        <v>2529</v>
      </c>
      <c r="W13" s="148">
        <f t="shared" si="4"/>
        <v>45796</v>
      </c>
      <c r="X13" s="5"/>
      <c r="Y13" s="115"/>
      <c r="Z13" s="323" t="e">
        <f ca="1">DATEDIF(#REF!,TODAY(),"Y")</f>
        <v>#REF!</v>
      </c>
      <c r="AA13" s="323" t="e">
        <f ca="1">DATEDIF(#REF!,TODAY(),"YM")</f>
        <v>#REF!</v>
      </c>
      <c r="AB13" s="323" t="e">
        <f ca="1">DATEDIF(#REF!,TODAY(),"MD")</f>
        <v>#REF!</v>
      </c>
      <c r="AC13" s="323" t="e">
        <f ca="1">CONCATENATE(Z13,"Years","/",,AA13,"Months","/",AB13,"Days")</f>
        <v>#REF!</v>
      </c>
      <c r="AD13" s="108">
        <f>(DATE(P13,O13,N13)+21915)</f>
        <v>58959</v>
      </c>
      <c r="AE13" s="15">
        <f ca="1">DATEDIF(TODAY(),AD13,"Y")</f>
        <v>35</v>
      </c>
      <c r="AF13" s="15">
        <f t="shared" ca="1" si="9"/>
        <v>4</v>
      </c>
      <c r="AG13" s="15">
        <f t="shared" ca="1" si="10"/>
        <v>28</v>
      </c>
      <c r="AH13" s="15" t="str">
        <f t="shared" ca="1" si="11"/>
        <v>35Years/4Months/28Days</v>
      </c>
      <c r="AI13" s="15" t="str">
        <f t="shared" si="12"/>
        <v>36years , 0months and 14days</v>
      </c>
      <c r="AJ13" s="15">
        <f t="shared" si="13"/>
        <v>36</v>
      </c>
      <c r="AK13" s="15">
        <f t="shared" si="14"/>
        <v>0</v>
      </c>
      <c r="AL13" s="15">
        <f t="shared" si="15"/>
        <v>14</v>
      </c>
      <c r="AM13" s="336"/>
      <c r="AN13" s="336"/>
      <c r="AO13" s="336"/>
    </row>
    <row r="14" spans="1:62" ht="31.5" customHeight="1" x14ac:dyDescent="0.25">
      <c r="A14" s="67">
        <v>1</v>
      </c>
      <c r="B14" s="110" t="s">
        <v>25</v>
      </c>
      <c r="C14" s="110" t="s">
        <v>361</v>
      </c>
      <c r="D14" s="487" t="s">
        <v>73</v>
      </c>
      <c r="E14" s="111" t="str">
        <f t="shared" si="1"/>
        <v>1/051/005/0005</v>
      </c>
      <c r="F14" s="68" t="s">
        <v>40</v>
      </c>
      <c r="G14" s="533" t="s">
        <v>74</v>
      </c>
      <c r="H14" s="69" t="s">
        <v>42</v>
      </c>
      <c r="I14" s="70" t="s">
        <v>75</v>
      </c>
      <c r="J14" s="295" t="s">
        <v>76</v>
      </c>
      <c r="K14" s="69" t="s">
        <v>31</v>
      </c>
      <c r="L14" s="71" t="s">
        <v>77</v>
      </c>
      <c r="M14" s="308" t="s">
        <v>78</v>
      </c>
      <c r="N14" s="110" t="s">
        <v>79</v>
      </c>
      <c r="O14" s="110" t="s">
        <v>80</v>
      </c>
      <c r="P14" s="110" t="s">
        <v>81</v>
      </c>
      <c r="Q14" s="147">
        <f t="shared" si="2"/>
        <v>20573</v>
      </c>
      <c r="R14" s="534">
        <f t="shared" ca="1" si="3"/>
        <v>69.736986301369868</v>
      </c>
      <c r="S14" s="67" t="s">
        <v>50</v>
      </c>
      <c r="T14" s="68" t="s">
        <v>63</v>
      </c>
      <c r="U14" s="68" t="s">
        <v>63</v>
      </c>
      <c r="V14" s="68" t="s">
        <v>82</v>
      </c>
      <c r="W14" s="148">
        <f t="shared" si="4"/>
        <v>41640</v>
      </c>
      <c r="X14" s="5" t="s">
        <v>38</v>
      </c>
      <c r="Y14" s="115" t="s">
        <v>38</v>
      </c>
      <c r="Z14" s="168">
        <f t="shared" ref="Z14:Z24" ca="1" si="16">DATEDIF(W14,TODAY(),"Y")</f>
        <v>12</v>
      </c>
      <c r="AA14" s="119">
        <f t="shared" ref="AA14:AA24" ca="1" si="17">DATEDIF(W14,TODAY(),"YM")</f>
        <v>0</v>
      </c>
      <c r="AB14" s="150">
        <f t="shared" ca="1" si="5"/>
        <v>4</v>
      </c>
      <c r="AC14" s="15" t="str">
        <f t="shared" ca="1" si="6"/>
        <v>12Years/0Months/4Days</v>
      </c>
      <c r="AD14" s="108">
        <f t="shared" si="7"/>
        <v>42488</v>
      </c>
      <c r="AE14" s="15"/>
      <c r="AF14" s="15"/>
      <c r="AG14" s="15"/>
      <c r="AH14" s="15" t="str">
        <f t="shared" si="11"/>
        <v>Years/Months/Days</v>
      </c>
      <c r="AI14" s="15" t="str">
        <f t="shared" si="12"/>
        <v>2years , 3months and 27days</v>
      </c>
      <c r="AJ14" s="15">
        <f t="shared" si="13"/>
        <v>2</v>
      </c>
      <c r="AK14" s="15">
        <f t="shared" si="14"/>
        <v>3</v>
      </c>
      <c r="AL14" s="15">
        <f t="shared" si="15"/>
        <v>27</v>
      </c>
      <c r="AM14" s="336"/>
      <c r="AN14" s="336"/>
      <c r="AO14" s="336"/>
    </row>
    <row r="15" spans="1:62" ht="31.5" customHeight="1" x14ac:dyDescent="0.25">
      <c r="A15" s="67">
        <v>1</v>
      </c>
      <c r="B15" s="110" t="s">
        <v>25</v>
      </c>
      <c r="C15" s="110" t="s">
        <v>369</v>
      </c>
      <c r="D15" s="487" t="s">
        <v>83</v>
      </c>
      <c r="E15" s="111" t="str">
        <f t="shared" si="1"/>
        <v>1/051/006/0006</v>
      </c>
      <c r="F15" s="68" t="s">
        <v>40</v>
      </c>
      <c r="G15" s="533" t="s">
        <v>84</v>
      </c>
      <c r="H15" s="69" t="s">
        <v>42</v>
      </c>
      <c r="I15" s="70" t="s">
        <v>85</v>
      </c>
      <c r="J15" s="295" t="s">
        <v>86</v>
      </c>
      <c r="K15" s="69" t="s">
        <v>31</v>
      </c>
      <c r="L15" s="71" t="s">
        <v>87</v>
      </c>
      <c r="M15" s="308" t="s">
        <v>88</v>
      </c>
      <c r="N15" s="110" t="s">
        <v>89</v>
      </c>
      <c r="O15" s="110" t="s">
        <v>62</v>
      </c>
      <c r="P15" s="110" t="s">
        <v>90</v>
      </c>
      <c r="Q15" s="147">
        <f t="shared" si="2"/>
        <v>19069</v>
      </c>
      <c r="R15" s="534">
        <f t="shared" ca="1" si="3"/>
        <v>73.857534246575341</v>
      </c>
      <c r="S15" s="67" t="s">
        <v>50</v>
      </c>
      <c r="T15" s="68" t="s">
        <v>63</v>
      </c>
      <c r="U15" s="68" t="s">
        <v>80</v>
      </c>
      <c r="V15" s="68" t="s">
        <v>91</v>
      </c>
      <c r="W15" s="148">
        <f t="shared" si="4"/>
        <v>41365</v>
      </c>
      <c r="X15" s="5" t="s">
        <v>38</v>
      </c>
      <c r="Y15" s="115" t="s">
        <v>38</v>
      </c>
      <c r="Z15" s="168">
        <f t="shared" ca="1" si="16"/>
        <v>12</v>
      </c>
      <c r="AA15" s="119">
        <f t="shared" ca="1" si="17"/>
        <v>9</v>
      </c>
      <c r="AB15" s="150">
        <f t="shared" ca="1" si="5"/>
        <v>4</v>
      </c>
      <c r="AC15" s="15" t="str">
        <f t="shared" ca="1" si="6"/>
        <v>12Years/9Months/4Days</v>
      </c>
      <c r="AD15" s="108">
        <f t="shared" si="7"/>
        <v>40984</v>
      </c>
      <c r="AE15" s="15" t="e">
        <f t="shared" ca="1" si="8"/>
        <v>#NUM!</v>
      </c>
      <c r="AF15" s="15" t="e">
        <f t="shared" ca="1" si="9"/>
        <v>#NUM!</v>
      </c>
      <c r="AG15" s="15" t="e">
        <f t="shared" ca="1" si="10"/>
        <v>#NUM!</v>
      </c>
      <c r="AH15" s="15" t="e">
        <f t="shared" ca="1" si="11"/>
        <v>#NUM!</v>
      </c>
      <c r="AI15" s="15" t="e">
        <f t="shared" si="12"/>
        <v>#NUM!</v>
      </c>
      <c r="AJ15" s="15" t="e">
        <f t="shared" si="13"/>
        <v>#NUM!</v>
      </c>
      <c r="AK15" s="15" t="e">
        <f t="shared" si="14"/>
        <v>#NUM!</v>
      </c>
      <c r="AL15" s="15" t="e">
        <f t="shared" si="15"/>
        <v>#NUM!</v>
      </c>
      <c r="AM15" s="336"/>
      <c r="AN15" s="336"/>
      <c r="AO15" s="336"/>
    </row>
    <row r="16" spans="1:62" ht="76.5" customHeight="1" x14ac:dyDescent="0.25">
      <c r="A16" s="67">
        <v>1</v>
      </c>
      <c r="B16" s="110" t="s">
        <v>25</v>
      </c>
      <c r="C16" s="110" t="s">
        <v>377</v>
      </c>
      <c r="D16" s="487" t="s">
        <v>92</v>
      </c>
      <c r="E16" s="111" t="str">
        <f t="shared" si="1"/>
        <v>1/051/007/0007</v>
      </c>
      <c r="F16" s="68" t="s">
        <v>28</v>
      </c>
      <c r="G16" s="538" t="s">
        <v>93</v>
      </c>
      <c r="H16" s="69" t="s">
        <v>42</v>
      </c>
      <c r="I16" s="70" t="s">
        <v>94</v>
      </c>
      <c r="J16" s="295" t="s">
        <v>95</v>
      </c>
      <c r="K16" s="69" t="s">
        <v>96</v>
      </c>
      <c r="L16" s="71" t="s">
        <v>97</v>
      </c>
      <c r="M16" s="308" t="s">
        <v>98</v>
      </c>
      <c r="N16" s="110" t="s">
        <v>80</v>
      </c>
      <c r="O16" s="110" t="s">
        <v>70</v>
      </c>
      <c r="P16" s="110" t="s">
        <v>99</v>
      </c>
      <c r="Q16" s="147">
        <f t="shared" si="2"/>
        <v>24445</v>
      </c>
      <c r="R16" s="537">
        <f t="shared" ca="1" si="3"/>
        <v>59.128767123287673</v>
      </c>
      <c r="S16" s="67" t="s">
        <v>34</v>
      </c>
      <c r="T16" s="68" t="s">
        <v>100</v>
      </c>
      <c r="U16" s="68" t="s">
        <v>63</v>
      </c>
      <c r="V16" s="68" t="s">
        <v>91</v>
      </c>
      <c r="W16" s="148">
        <f t="shared" si="4"/>
        <v>41288</v>
      </c>
      <c r="X16" s="5" t="s">
        <v>38</v>
      </c>
      <c r="Y16" s="115"/>
      <c r="Z16" s="168">
        <f t="shared" ca="1" si="16"/>
        <v>12</v>
      </c>
      <c r="AA16" s="119">
        <f t="shared" ca="1" si="17"/>
        <v>11</v>
      </c>
      <c r="AB16" s="150">
        <f t="shared" ca="1" si="5"/>
        <v>22</v>
      </c>
      <c r="AC16" s="15" t="str">
        <f t="shared" ca="1" si="6"/>
        <v>12Years/11Months/22Days</v>
      </c>
      <c r="AD16" s="108">
        <f t="shared" si="7"/>
        <v>46360</v>
      </c>
      <c r="AE16" s="15">
        <f t="shared" ca="1" si="8"/>
        <v>0</v>
      </c>
      <c r="AF16" s="15">
        <f t="shared" ca="1" si="9"/>
        <v>10</v>
      </c>
      <c r="AG16" s="15">
        <f t="shared" ca="1" si="10"/>
        <v>29</v>
      </c>
      <c r="AH16" s="15" t="str">
        <f t="shared" ca="1" si="11"/>
        <v>0Years/10Months/29Days</v>
      </c>
      <c r="AI16" s="15" t="str">
        <f t="shared" si="12"/>
        <v>13years , 10months and 20days</v>
      </c>
      <c r="AJ16" s="15">
        <f t="shared" si="13"/>
        <v>13</v>
      </c>
      <c r="AK16" s="15">
        <f t="shared" si="14"/>
        <v>10</v>
      </c>
      <c r="AL16" s="15">
        <f t="shared" si="15"/>
        <v>20</v>
      </c>
      <c r="AM16" s="336"/>
      <c r="AN16" s="336"/>
      <c r="AO16" s="336"/>
    </row>
    <row r="17" spans="1:46" ht="31.5" customHeight="1" x14ac:dyDescent="0.25">
      <c r="A17" s="67">
        <v>1</v>
      </c>
      <c r="B17" s="110" t="s">
        <v>25</v>
      </c>
      <c r="C17" s="110" t="s">
        <v>384</v>
      </c>
      <c r="D17" s="487" t="s">
        <v>101</v>
      </c>
      <c r="E17" s="111" t="str">
        <f t="shared" si="1"/>
        <v>1/051/008/0008</v>
      </c>
      <c r="F17" s="68" t="s">
        <v>28</v>
      </c>
      <c r="G17" s="70" t="s">
        <v>102</v>
      </c>
      <c r="H17" s="69" t="s">
        <v>42</v>
      </c>
      <c r="I17" s="70" t="s">
        <v>103</v>
      </c>
      <c r="J17" s="295" t="s">
        <v>104</v>
      </c>
      <c r="K17" s="69" t="s">
        <v>31</v>
      </c>
      <c r="L17" s="71" t="s">
        <v>105</v>
      </c>
      <c r="M17" s="308" t="s">
        <v>106</v>
      </c>
      <c r="N17" s="110" t="s">
        <v>79</v>
      </c>
      <c r="O17" s="110" t="s">
        <v>36</v>
      </c>
      <c r="P17" s="110" t="s">
        <v>71</v>
      </c>
      <c r="Q17" s="147">
        <f t="shared" si="2"/>
        <v>30252</v>
      </c>
      <c r="R17" s="92">
        <f t="shared" ca="1" si="3"/>
        <v>43.219178082191782</v>
      </c>
      <c r="S17" s="67" t="s">
        <v>50</v>
      </c>
      <c r="T17" s="68" t="s">
        <v>107</v>
      </c>
      <c r="U17" s="68" t="s">
        <v>51</v>
      </c>
      <c r="V17" s="68" t="s">
        <v>91</v>
      </c>
      <c r="W17" s="148">
        <f t="shared" si="4"/>
        <v>41540</v>
      </c>
      <c r="X17" s="5" t="s">
        <v>38</v>
      </c>
      <c r="Y17" s="115"/>
      <c r="Z17" s="168">
        <f t="shared" ca="1" si="16"/>
        <v>12</v>
      </c>
      <c r="AA17" s="119">
        <f t="shared" ca="1" si="17"/>
        <v>3</v>
      </c>
      <c r="AB17" s="150">
        <f t="shared" ca="1" si="5"/>
        <v>13</v>
      </c>
      <c r="AC17" s="15" t="str">
        <f t="shared" ca="1" si="6"/>
        <v>12Years/3Months/13Days</v>
      </c>
      <c r="AD17" s="108">
        <f t="shared" si="7"/>
        <v>52167</v>
      </c>
      <c r="AE17" s="15">
        <f t="shared" ca="1" si="8"/>
        <v>16</v>
      </c>
      <c r="AF17" s="15">
        <f t="shared" ca="1" si="9"/>
        <v>9</v>
      </c>
      <c r="AG17" s="15">
        <f t="shared" ca="1" si="10"/>
        <v>23</v>
      </c>
      <c r="AH17" s="15" t="str">
        <f t="shared" ca="1" si="11"/>
        <v>16Years/9Months/23Days</v>
      </c>
      <c r="AI17" s="15" t="str">
        <f t="shared" si="12"/>
        <v>29years , 1months and 5days</v>
      </c>
      <c r="AJ17" s="15">
        <f t="shared" si="13"/>
        <v>29</v>
      </c>
      <c r="AK17" s="15">
        <f t="shared" si="14"/>
        <v>1</v>
      </c>
      <c r="AL17" s="15">
        <f t="shared" si="15"/>
        <v>5</v>
      </c>
      <c r="AM17" s="336"/>
      <c r="AN17" s="336"/>
      <c r="AO17" s="336"/>
    </row>
    <row r="18" spans="1:46" ht="31.5" customHeight="1" x14ac:dyDescent="0.25">
      <c r="A18" s="67">
        <v>1</v>
      </c>
      <c r="B18" s="110" t="s">
        <v>25</v>
      </c>
      <c r="C18" s="110" t="s">
        <v>1374</v>
      </c>
      <c r="D18" s="487" t="s">
        <v>108</v>
      </c>
      <c r="E18" s="111" t="str">
        <f t="shared" si="1"/>
        <v>1/051/009/0009</v>
      </c>
      <c r="F18" s="68" t="s">
        <v>28</v>
      </c>
      <c r="G18" s="70" t="s">
        <v>109</v>
      </c>
      <c r="H18" s="69" t="s">
        <v>42</v>
      </c>
      <c r="I18" s="70" t="s">
        <v>110</v>
      </c>
      <c r="J18" s="295" t="s">
        <v>111</v>
      </c>
      <c r="K18" s="69" t="s">
        <v>31</v>
      </c>
      <c r="L18" s="71" t="s">
        <v>112</v>
      </c>
      <c r="M18" s="308" t="s">
        <v>113</v>
      </c>
      <c r="N18" s="110" t="s">
        <v>114</v>
      </c>
      <c r="O18" s="110" t="s">
        <v>70</v>
      </c>
      <c r="P18" s="110" t="s">
        <v>115</v>
      </c>
      <c r="Q18" s="147">
        <f t="shared" si="2"/>
        <v>33222</v>
      </c>
      <c r="R18" s="92">
        <f t="shared" ca="1" si="3"/>
        <v>35.082191780821915</v>
      </c>
      <c r="S18" s="67" t="s">
        <v>50</v>
      </c>
      <c r="T18" s="68" t="s">
        <v>62</v>
      </c>
      <c r="U18" s="68" t="s">
        <v>60</v>
      </c>
      <c r="V18" s="68" t="s">
        <v>82</v>
      </c>
      <c r="W18" s="148">
        <f t="shared" si="4"/>
        <v>41946</v>
      </c>
      <c r="X18" s="5" t="s">
        <v>38</v>
      </c>
      <c r="Y18" s="115"/>
      <c r="Z18" s="168">
        <f t="shared" ca="1" si="16"/>
        <v>11</v>
      </c>
      <c r="AA18" s="119">
        <f t="shared" ca="1" si="17"/>
        <v>2</v>
      </c>
      <c r="AB18" s="150">
        <f t="shared" ca="1" si="5"/>
        <v>2</v>
      </c>
      <c r="AC18" s="15" t="str">
        <f t="shared" ca="1" si="6"/>
        <v>11Years/2Months/2Days</v>
      </c>
      <c r="AD18" s="108">
        <f t="shared" si="7"/>
        <v>55137</v>
      </c>
      <c r="AE18" s="15">
        <f t="shared" ca="1" si="8"/>
        <v>24</v>
      </c>
      <c r="AF18" s="15">
        <f t="shared" ca="1" si="9"/>
        <v>11</v>
      </c>
      <c r="AG18" s="15">
        <f t="shared" ca="1" si="10"/>
        <v>10</v>
      </c>
      <c r="AH18" s="15" t="str">
        <f t="shared" ca="1" si="11"/>
        <v>24Years/11Months/10Days</v>
      </c>
      <c r="AI18" s="15" t="str">
        <f t="shared" si="12"/>
        <v>36years , 1months and 12days</v>
      </c>
      <c r="AJ18" s="15">
        <f t="shared" si="13"/>
        <v>36</v>
      </c>
      <c r="AK18" s="15">
        <f t="shared" si="14"/>
        <v>1</v>
      </c>
      <c r="AL18" s="15">
        <f t="shared" si="15"/>
        <v>12</v>
      </c>
      <c r="AM18" s="336"/>
      <c r="AN18" s="336"/>
      <c r="AO18" s="336"/>
    </row>
    <row r="19" spans="1:46" ht="31.5" customHeight="1" x14ac:dyDescent="0.25">
      <c r="A19" s="67">
        <v>1</v>
      </c>
      <c r="B19" s="110" t="s">
        <v>25</v>
      </c>
      <c r="C19" s="110" t="s">
        <v>1375</v>
      </c>
      <c r="D19" s="487" t="s">
        <v>116</v>
      </c>
      <c r="E19" s="111" t="str">
        <f t="shared" si="1"/>
        <v>1/051/010/0010</v>
      </c>
      <c r="F19" s="68" t="s">
        <v>28</v>
      </c>
      <c r="G19" s="70" t="s">
        <v>117</v>
      </c>
      <c r="H19" s="69" t="s">
        <v>42</v>
      </c>
      <c r="I19" s="117"/>
      <c r="J19" s="295" t="s">
        <v>118</v>
      </c>
      <c r="K19" s="69" t="s">
        <v>31</v>
      </c>
      <c r="L19" s="71" t="s">
        <v>119</v>
      </c>
      <c r="M19" s="308" t="s">
        <v>120</v>
      </c>
      <c r="N19" s="110" t="s">
        <v>70</v>
      </c>
      <c r="O19" s="110" t="s">
        <v>32</v>
      </c>
      <c r="P19" s="110" t="s">
        <v>121</v>
      </c>
      <c r="Q19" s="147">
        <f t="shared" si="2"/>
        <v>31544</v>
      </c>
      <c r="R19" s="92">
        <f t="shared" ca="1" si="3"/>
        <v>39.679452054794524</v>
      </c>
      <c r="S19" s="67" t="s">
        <v>50</v>
      </c>
      <c r="T19" s="68" t="s">
        <v>80</v>
      </c>
      <c r="U19" s="68" t="s">
        <v>63</v>
      </c>
      <c r="V19" s="68" t="s">
        <v>122</v>
      </c>
      <c r="W19" s="148">
        <f t="shared" si="4"/>
        <v>42373</v>
      </c>
      <c r="X19" s="5" t="s">
        <v>38</v>
      </c>
      <c r="Y19" s="115"/>
      <c r="Z19" s="168">
        <f t="shared" ca="1" si="16"/>
        <v>10</v>
      </c>
      <c r="AA19" s="119">
        <f t="shared" ca="1" si="17"/>
        <v>0</v>
      </c>
      <c r="AB19" s="150">
        <f t="shared" ca="1" si="5"/>
        <v>1</v>
      </c>
      <c r="AC19" s="15" t="str">
        <f t="shared" ca="1" si="6"/>
        <v>10Years/0Months/1Days</v>
      </c>
      <c r="AD19" s="108">
        <f t="shared" si="7"/>
        <v>53459</v>
      </c>
      <c r="AE19" s="15">
        <f t="shared" ca="1" si="8"/>
        <v>20</v>
      </c>
      <c r="AF19" s="15">
        <f t="shared" ca="1" si="9"/>
        <v>4</v>
      </c>
      <c r="AG19" s="15">
        <f t="shared" ca="1" si="10"/>
        <v>7</v>
      </c>
      <c r="AH19" s="15" t="str">
        <f t="shared" ca="1" si="11"/>
        <v>20Years/4Months/7Days</v>
      </c>
      <c r="AI19" s="15" t="str">
        <f t="shared" si="12"/>
        <v>30years , 4months and 8days</v>
      </c>
      <c r="AJ19" s="15">
        <f t="shared" si="13"/>
        <v>30</v>
      </c>
      <c r="AK19" s="15">
        <f t="shared" si="14"/>
        <v>4</v>
      </c>
      <c r="AL19" s="15">
        <f t="shared" si="15"/>
        <v>8</v>
      </c>
      <c r="AM19" s="336"/>
      <c r="AN19" s="336"/>
      <c r="AO19" s="336"/>
    </row>
    <row r="20" spans="1:46" ht="31.5" customHeight="1" x14ac:dyDescent="0.25">
      <c r="A20" s="67">
        <v>1</v>
      </c>
      <c r="B20" s="110" t="s">
        <v>25</v>
      </c>
      <c r="C20" s="110" t="s">
        <v>1037</v>
      </c>
      <c r="D20" s="487" t="s">
        <v>123</v>
      </c>
      <c r="E20" s="111" t="str">
        <f t="shared" si="1"/>
        <v>1/051/011/0011</v>
      </c>
      <c r="F20" s="68" t="s">
        <v>28</v>
      </c>
      <c r="G20" s="70" t="s">
        <v>124</v>
      </c>
      <c r="H20" s="69" t="s">
        <v>42</v>
      </c>
      <c r="I20" s="70" t="s">
        <v>125</v>
      </c>
      <c r="J20" s="295" t="s">
        <v>126</v>
      </c>
      <c r="K20" s="69" t="s">
        <v>68</v>
      </c>
      <c r="L20" s="71" t="s">
        <v>127</v>
      </c>
      <c r="M20" s="308" t="s">
        <v>128</v>
      </c>
      <c r="N20" s="110" t="s">
        <v>89</v>
      </c>
      <c r="O20" s="110" t="s">
        <v>60</v>
      </c>
      <c r="P20" s="110" t="s">
        <v>129</v>
      </c>
      <c r="Q20" s="147">
        <f t="shared" si="2"/>
        <v>29541</v>
      </c>
      <c r="R20" s="92">
        <f t="shared" ca="1" si="3"/>
        <v>45.167123287671231</v>
      </c>
      <c r="S20" s="67" t="s">
        <v>50</v>
      </c>
      <c r="T20" s="68" t="s">
        <v>79</v>
      </c>
      <c r="U20" s="68" t="s">
        <v>80</v>
      </c>
      <c r="V20" s="68" t="s">
        <v>122</v>
      </c>
      <c r="W20" s="148">
        <f t="shared" si="4"/>
        <v>42488</v>
      </c>
      <c r="X20" s="5" t="s">
        <v>38</v>
      </c>
      <c r="Y20" s="115"/>
      <c r="Z20" s="168">
        <f t="shared" ca="1" si="16"/>
        <v>9</v>
      </c>
      <c r="AA20" s="119">
        <f t="shared" ca="1" si="17"/>
        <v>8</v>
      </c>
      <c r="AB20" s="150">
        <f t="shared" ca="1" si="5"/>
        <v>8</v>
      </c>
      <c r="AC20" s="15" t="str">
        <f t="shared" ca="1" si="6"/>
        <v>9Years/8Months/8Days</v>
      </c>
      <c r="AD20" s="108">
        <f t="shared" si="7"/>
        <v>51456</v>
      </c>
      <c r="AE20" s="15">
        <f t="shared" ca="1" si="8"/>
        <v>14</v>
      </c>
      <c r="AF20" s="15">
        <f t="shared" ca="1" si="9"/>
        <v>10</v>
      </c>
      <c r="AG20" s="15">
        <f t="shared" ca="1" si="10"/>
        <v>11</v>
      </c>
      <c r="AH20" s="15" t="str">
        <f t="shared" ca="1" si="11"/>
        <v>14Years/10Months/11Days</v>
      </c>
      <c r="AI20" s="15" t="str">
        <f t="shared" si="12"/>
        <v>24years , 6months and 19days</v>
      </c>
      <c r="AJ20" s="15">
        <f t="shared" si="13"/>
        <v>24</v>
      </c>
      <c r="AK20" s="15">
        <f t="shared" si="14"/>
        <v>6</v>
      </c>
      <c r="AL20" s="15">
        <f t="shared" si="15"/>
        <v>19</v>
      </c>
      <c r="AM20" s="336"/>
      <c r="AN20" s="336"/>
      <c r="AO20" s="336"/>
    </row>
    <row r="21" spans="1:46" ht="31.5" customHeight="1" x14ac:dyDescent="0.25">
      <c r="A21" s="67">
        <v>1</v>
      </c>
      <c r="B21" s="110" t="s">
        <v>25</v>
      </c>
      <c r="C21" s="110" t="s">
        <v>1376</v>
      </c>
      <c r="D21" s="487" t="s">
        <v>130</v>
      </c>
      <c r="E21" s="111" t="str">
        <f t="shared" si="1"/>
        <v>1/051/012/0012</v>
      </c>
      <c r="F21" s="68" t="s">
        <v>28</v>
      </c>
      <c r="G21" s="70" t="s">
        <v>131</v>
      </c>
      <c r="H21" s="69" t="s">
        <v>42</v>
      </c>
      <c r="I21" s="70" t="s">
        <v>132</v>
      </c>
      <c r="J21" s="296" t="s">
        <v>133</v>
      </c>
      <c r="K21" s="69" t="s">
        <v>31</v>
      </c>
      <c r="L21" s="71" t="s">
        <v>134</v>
      </c>
      <c r="M21" s="308" t="s">
        <v>135</v>
      </c>
      <c r="N21" s="110" t="s">
        <v>136</v>
      </c>
      <c r="O21" s="110" t="s">
        <v>32</v>
      </c>
      <c r="P21" s="110" t="s">
        <v>137</v>
      </c>
      <c r="Q21" s="147">
        <f t="shared" si="2"/>
        <v>30460</v>
      </c>
      <c r="R21" s="92">
        <f t="shared" ca="1" si="3"/>
        <v>42.649315068493152</v>
      </c>
      <c r="S21" s="67" t="s">
        <v>50</v>
      </c>
      <c r="T21" s="68" t="s">
        <v>63</v>
      </c>
      <c r="U21" s="68" t="s">
        <v>51</v>
      </c>
      <c r="V21" s="68" t="s">
        <v>122</v>
      </c>
      <c r="W21" s="148">
        <f t="shared" si="4"/>
        <v>42614</v>
      </c>
      <c r="X21" s="5" t="s">
        <v>38</v>
      </c>
      <c r="Y21" s="115"/>
      <c r="Z21" s="168">
        <f t="shared" ca="1" si="16"/>
        <v>9</v>
      </c>
      <c r="AA21" s="119">
        <f t="shared" ca="1" si="17"/>
        <v>4</v>
      </c>
      <c r="AB21" s="150">
        <f t="shared" ca="1" si="5"/>
        <v>4</v>
      </c>
      <c r="AC21" s="15" t="str">
        <f t="shared" ca="1" si="6"/>
        <v>9Years/4Months/4Days</v>
      </c>
      <c r="AD21" s="108">
        <f t="shared" si="7"/>
        <v>52375</v>
      </c>
      <c r="AE21" s="15">
        <f t="shared" ca="1" si="8"/>
        <v>17</v>
      </c>
      <c r="AF21" s="15">
        <f t="shared" ca="1" si="9"/>
        <v>4</v>
      </c>
      <c r="AG21" s="15">
        <f t="shared" ca="1" si="10"/>
        <v>19</v>
      </c>
      <c r="AH21" s="15" t="str">
        <f t="shared" ca="1" si="11"/>
        <v>17Years/4Months/19Days</v>
      </c>
      <c r="AI21" s="15" t="str">
        <f t="shared" si="12"/>
        <v>26years , 8months and 23days</v>
      </c>
      <c r="AJ21" s="15">
        <f t="shared" si="13"/>
        <v>26</v>
      </c>
      <c r="AK21" s="15">
        <f t="shared" si="14"/>
        <v>8</v>
      </c>
      <c r="AL21" s="15">
        <f t="shared" si="15"/>
        <v>23</v>
      </c>
      <c r="AM21" s="336"/>
      <c r="AN21" s="336"/>
      <c r="AO21" s="336"/>
    </row>
    <row r="22" spans="1:46" ht="31.5" customHeight="1" x14ac:dyDescent="0.25">
      <c r="A22" s="67">
        <v>1</v>
      </c>
      <c r="B22" s="110" t="s">
        <v>25</v>
      </c>
      <c r="C22" s="110" t="s">
        <v>1377</v>
      </c>
      <c r="D22" s="487" t="s">
        <v>138</v>
      </c>
      <c r="E22" s="111" t="str">
        <f t="shared" si="1"/>
        <v>1/051/013/0013</v>
      </c>
      <c r="F22" s="68" t="s">
        <v>28</v>
      </c>
      <c r="G22" s="70" t="s">
        <v>139</v>
      </c>
      <c r="H22" s="69" t="s">
        <v>42</v>
      </c>
      <c r="I22" s="70" t="s">
        <v>140</v>
      </c>
      <c r="J22" s="295" t="s">
        <v>141</v>
      </c>
      <c r="K22" s="69" t="s">
        <v>142</v>
      </c>
      <c r="L22" s="71" t="s">
        <v>143</v>
      </c>
      <c r="M22" s="308" t="s">
        <v>144</v>
      </c>
      <c r="N22" s="110" t="s">
        <v>47</v>
      </c>
      <c r="O22" s="110" t="s">
        <v>48</v>
      </c>
      <c r="P22" s="110" t="s">
        <v>115</v>
      </c>
      <c r="Q22" s="147">
        <f t="shared" si="2"/>
        <v>33114</v>
      </c>
      <c r="R22" s="92">
        <f t="shared" ca="1" si="3"/>
        <v>35.37808219178082</v>
      </c>
      <c r="S22" s="67" t="s">
        <v>34</v>
      </c>
      <c r="T22" s="68" t="s">
        <v>80</v>
      </c>
      <c r="U22" s="68" t="s">
        <v>51</v>
      </c>
      <c r="V22" s="68" t="s">
        <v>145</v>
      </c>
      <c r="W22" s="148">
        <f t="shared" si="4"/>
        <v>42982</v>
      </c>
      <c r="X22" s="5" t="s">
        <v>38</v>
      </c>
      <c r="Y22" s="115"/>
      <c r="Z22" s="168">
        <f t="shared" ca="1" si="16"/>
        <v>8</v>
      </c>
      <c r="AA22" s="119">
        <f t="shared" ca="1" si="17"/>
        <v>4</v>
      </c>
      <c r="AB22" s="150">
        <f t="shared" ca="1" si="5"/>
        <v>1</v>
      </c>
      <c r="AC22" s="15" t="str">
        <f t="shared" ca="1" si="6"/>
        <v>8Years/4Months/1Days</v>
      </c>
      <c r="AD22" s="108">
        <f t="shared" si="7"/>
        <v>55029</v>
      </c>
      <c r="AE22" s="15">
        <f t="shared" ca="1" si="8"/>
        <v>24</v>
      </c>
      <c r="AF22" s="15">
        <f t="shared" ca="1" si="9"/>
        <v>7</v>
      </c>
      <c r="AG22" s="15">
        <f t="shared" ca="1" si="10"/>
        <v>24</v>
      </c>
      <c r="AH22" s="15" t="str">
        <f t="shared" ca="1" si="11"/>
        <v>24Years/7Months/24Days</v>
      </c>
      <c r="AI22" s="15" t="str">
        <f t="shared" si="12"/>
        <v>32years , 11months and 25days</v>
      </c>
      <c r="AJ22" s="15">
        <f t="shared" si="13"/>
        <v>32</v>
      </c>
      <c r="AK22" s="15">
        <f t="shared" si="14"/>
        <v>11</v>
      </c>
      <c r="AL22" s="15">
        <f t="shared" si="15"/>
        <v>25</v>
      </c>
      <c r="AM22" s="336"/>
      <c r="AN22" s="336"/>
      <c r="AO22" s="336"/>
    </row>
    <row r="23" spans="1:46" s="369" customFormat="1" ht="31.5" customHeight="1" x14ac:dyDescent="0.3">
      <c r="A23" s="67">
        <v>1</v>
      </c>
      <c r="B23" s="110" t="s">
        <v>25</v>
      </c>
      <c r="C23" s="110" t="s">
        <v>1378</v>
      </c>
      <c r="D23" s="487" t="s">
        <v>146</v>
      </c>
      <c r="E23" s="111" t="str">
        <f t="shared" si="1"/>
        <v>1/051/014/0014</v>
      </c>
      <c r="F23" s="68" t="s">
        <v>54</v>
      </c>
      <c r="G23" s="480" t="s">
        <v>2515</v>
      </c>
      <c r="H23" s="318" t="s">
        <v>42</v>
      </c>
      <c r="I23" s="480" t="s">
        <v>2516</v>
      </c>
      <c r="J23" s="481" t="s">
        <v>2517</v>
      </c>
      <c r="K23" s="479" t="s">
        <v>96</v>
      </c>
      <c r="L23" s="482">
        <v>718182371</v>
      </c>
      <c r="M23" s="475" t="s">
        <v>2518</v>
      </c>
      <c r="N23" s="344">
        <v>17</v>
      </c>
      <c r="O23" s="344">
        <v>12</v>
      </c>
      <c r="P23" s="344">
        <v>1970</v>
      </c>
      <c r="Q23" s="147">
        <f t="shared" si="2"/>
        <v>25919</v>
      </c>
      <c r="R23" s="92">
        <f t="shared" ca="1" si="3"/>
        <v>55.090410958904108</v>
      </c>
      <c r="S23" s="67" t="s">
        <v>50</v>
      </c>
      <c r="T23" s="68" t="s">
        <v>63</v>
      </c>
      <c r="U23" s="68" t="s">
        <v>51</v>
      </c>
      <c r="V23" s="68" t="s">
        <v>2529</v>
      </c>
      <c r="W23" s="165">
        <f t="shared" si="4"/>
        <v>45901</v>
      </c>
      <c r="X23" s="163"/>
      <c r="Y23" s="122"/>
      <c r="Z23" s="73">
        <f t="shared" ca="1" si="16"/>
        <v>0</v>
      </c>
      <c r="AA23" s="40">
        <f t="shared" ca="1" si="17"/>
        <v>4</v>
      </c>
      <c r="AB23" s="167">
        <f t="shared" ca="1" si="5"/>
        <v>4</v>
      </c>
      <c r="AC23" s="167" t="str">
        <f t="shared" ca="1" si="6"/>
        <v>0Years/4Months/4Days</v>
      </c>
      <c r="AD23" s="108">
        <f t="shared" si="7"/>
        <v>47834</v>
      </c>
      <c r="AE23" s="15">
        <f t="shared" ref="AE23:AE27" ca="1" si="18">DATEDIF(TODAY(),AD23,"Y")</f>
        <v>4</v>
      </c>
      <c r="AF23" s="15">
        <f t="shared" ref="AF23:AF27" ca="1" si="19">DATEDIF(TODAY(),AD23,"YM")</f>
        <v>11</v>
      </c>
      <c r="AG23" s="15">
        <f t="shared" ref="AG23:AG27" ca="1" si="20">DATEDIF(TODAY(),AD23,"MD")</f>
        <v>12</v>
      </c>
      <c r="AH23" s="15" t="str">
        <f t="shared" ref="AH23:AH27" ca="1" si="21">CONCATENATE(AE23,"Years","/",AF23,"Months","/",AG23,"Days")</f>
        <v>4Years/11Months/12Days</v>
      </c>
      <c r="AI23" s="15" t="str">
        <f t="shared" ref="AI23:AI27" si="22">CONCATENATE(AJ23,"years", " ",",", " ",AK23,"months ","and"," ",AL23,"days")</f>
        <v>5years , 3months and 16days</v>
      </c>
      <c r="AJ23" s="15">
        <f t="shared" ref="AJ23:AJ27" si="23">DATEDIF(W23,AD23,"Y")</f>
        <v>5</v>
      </c>
      <c r="AK23" s="15">
        <f t="shared" ref="AK23:AK27" si="24">DATEDIF(W23,AD23,"YM")</f>
        <v>3</v>
      </c>
      <c r="AL23" s="15">
        <f t="shared" ref="AL23:AL27" si="25">DATEDIF(W23,AD23,"MD")</f>
        <v>16</v>
      </c>
      <c r="AT23" s="369" t="s">
        <v>2374</v>
      </c>
    </row>
    <row r="24" spans="1:46" ht="31.5" customHeight="1" x14ac:dyDescent="0.3">
      <c r="A24" s="67">
        <v>1</v>
      </c>
      <c r="B24" s="110" t="s">
        <v>25</v>
      </c>
      <c r="C24" s="110" t="s">
        <v>1379</v>
      </c>
      <c r="D24" s="487" t="s">
        <v>149</v>
      </c>
      <c r="E24" s="111" t="str">
        <f t="shared" si="1"/>
        <v>1/051/015/0015</v>
      </c>
      <c r="F24" s="68" t="s">
        <v>54</v>
      </c>
      <c r="G24" s="480" t="s">
        <v>2509</v>
      </c>
      <c r="H24" s="318" t="s">
        <v>42</v>
      </c>
      <c r="I24" s="480" t="s">
        <v>2510</v>
      </c>
      <c r="J24" s="481">
        <v>199786210020</v>
      </c>
      <c r="K24" s="478" t="s">
        <v>31</v>
      </c>
      <c r="L24" s="482">
        <v>775882870</v>
      </c>
      <c r="M24" s="475" t="s">
        <v>2511</v>
      </c>
      <c r="N24" s="344">
        <v>27</v>
      </c>
      <c r="O24" s="344">
        <v>12</v>
      </c>
      <c r="P24" s="344">
        <v>1997</v>
      </c>
      <c r="Q24" s="147">
        <f t="shared" ref="Q24" si="26">DATE(P24,O24,N24)</f>
        <v>35791</v>
      </c>
      <c r="R24" s="92">
        <f t="shared" ref="R24" ca="1" si="27">($G$7-Q24)/365</f>
        <v>28.043835616438358</v>
      </c>
      <c r="S24" s="67" t="s">
        <v>50</v>
      </c>
      <c r="T24" s="68" t="s">
        <v>70</v>
      </c>
      <c r="U24" s="68" t="s">
        <v>51</v>
      </c>
      <c r="V24" s="68" t="s">
        <v>2529</v>
      </c>
      <c r="W24" s="148">
        <f t="shared" si="4"/>
        <v>45912</v>
      </c>
      <c r="X24" s="5"/>
      <c r="Y24" s="115"/>
      <c r="Z24" s="124">
        <f t="shared" ca="1" si="16"/>
        <v>0</v>
      </c>
      <c r="AA24" s="109">
        <f t="shared" ca="1" si="17"/>
        <v>3</v>
      </c>
      <c r="AB24" s="150">
        <f t="shared" ca="1" si="5"/>
        <v>24</v>
      </c>
      <c r="AC24" s="15" t="str">
        <f t="shared" ca="1" si="6"/>
        <v>0Years/3Months/24Days</v>
      </c>
      <c r="AD24" s="108">
        <f t="shared" si="7"/>
        <v>57706</v>
      </c>
      <c r="AE24" s="15">
        <f t="shared" ca="1" si="18"/>
        <v>31</v>
      </c>
      <c r="AF24" s="15">
        <f t="shared" ca="1" si="19"/>
        <v>11</v>
      </c>
      <c r="AG24" s="15">
        <f t="shared" ca="1" si="20"/>
        <v>22</v>
      </c>
      <c r="AH24" s="15" t="str">
        <f t="shared" ca="1" si="21"/>
        <v>31Years/11Months/22Days</v>
      </c>
      <c r="AI24" s="15" t="str">
        <f t="shared" si="22"/>
        <v>32years , 3months and 15days</v>
      </c>
      <c r="AJ24" s="15">
        <f t="shared" si="23"/>
        <v>32</v>
      </c>
      <c r="AK24" s="15">
        <f t="shared" si="24"/>
        <v>3</v>
      </c>
      <c r="AL24" s="15">
        <f t="shared" si="25"/>
        <v>15</v>
      </c>
      <c r="AM24" s="336"/>
      <c r="AN24" s="336"/>
      <c r="AO24" s="336"/>
    </row>
    <row r="25" spans="1:46" ht="31.5" customHeight="1" x14ac:dyDescent="0.25">
      <c r="A25" s="67">
        <v>1</v>
      </c>
      <c r="B25" s="110" t="s">
        <v>25</v>
      </c>
      <c r="C25" s="110" t="s">
        <v>1380</v>
      </c>
      <c r="D25" s="487" t="s">
        <v>151</v>
      </c>
      <c r="E25" s="111" t="str">
        <f t="shared" si="1"/>
        <v>1/051/016/0016</v>
      </c>
      <c r="F25" s="68" t="s">
        <v>40</v>
      </c>
      <c r="G25" s="533" t="s">
        <v>152</v>
      </c>
      <c r="H25" s="69" t="s">
        <v>42</v>
      </c>
      <c r="I25" s="70" t="s">
        <v>153</v>
      </c>
      <c r="J25" s="295" t="s">
        <v>154</v>
      </c>
      <c r="K25" s="69" t="s">
        <v>31</v>
      </c>
      <c r="L25" s="71" t="s">
        <v>155</v>
      </c>
      <c r="M25" s="308" t="s">
        <v>156</v>
      </c>
      <c r="N25" s="110" t="s">
        <v>157</v>
      </c>
      <c r="O25" s="110" t="s">
        <v>48</v>
      </c>
      <c r="P25" s="110" t="s">
        <v>158</v>
      </c>
      <c r="Q25" s="147">
        <f t="shared" ref="Q25:Q35" si="28">DATE(P25,O25,N25)</f>
        <v>18127</v>
      </c>
      <c r="R25" s="534">
        <f t="shared" ref="R25:R35" ca="1" si="29">($G$7-Q25)/365</f>
        <v>76.438356164383563</v>
      </c>
      <c r="S25" s="67" t="s">
        <v>50</v>
      </c>
      <c r="T25" s="68" t="s">
        <v>35</v>
      </c>
      <c r="U25" s="68" t="s">
        <v>62</v>
      </c>
      <c r="V25" s="68" t="s">
        <v>159</v>
      </c>
      <c r="W25" s="148">
        <f t="shared" ref="W25:W35" si="30">DATE(V25,U25,T25)</f>
        <v>43892</v>
      </c>
      <c r="X25" s="5" t="s">
        <v>65</v>
      </c>
      <c r="Y25" s="115" t="s">
        <v>38</v>
      </c>
      <c r="Z25" s="124">
        <f t="shared" ref="Z25:Z35" ca="1" si="31">DATEDIF(W25,TODAY(),"Y")</f>
        <v>5</v>
      </c>
      <c r="AA25" s="109">
        <f t="shared" ref="AA25:AA35" ca="1" si="32">DATEDIF(W25,TODAY(),"YM")</f>
        <v>10</v>
      </c>
      <c r="AB25" s="150">
        <f t="shared" ref="AB25:AB35" ca="1" si="33">DATEDIF(W25,TODAY(),"MD")</f>
        <v>3</v>
      </c>
      <c r="AC25" s="15" t="str">
        <f t="shared" ref="AC25:AC35" ca="1" si="34">CONCATENATE(Z25,"Years","/",,AA25,"Months","/",AB25,"Days")</f>
        <v>5Years/10Months/3Days</v>
      </c>
      <c r="AD25" s="108">
        <f t="shared" si="7"/>
        <v>40042</v>
      </c>
      <c r="AE25" s="15" t="e">
        <f t="shared" ca="1" si="18"/>
        <v>#NUM!</v>
      </c>
      <c r="AF25" s="15" t="e">
        <f t="shared" ca="1" si="19"/>
        <v>#NUM!</v>
      </c>
      <c r="AG25" s="15" t="e">
        <f t="shared" ca="1" si="20"/>
        <v>#NUM!</v>
      </c>
      <c r="AH25" s="15" t="e">
        <f t="shared" ca="1" si="21"/>
        <v>#NUM!</v>
      </c>
      <c r="AI25" s="15" t="e">
        <f t="shared" si="22"/>
        <v>#NUM!</v>
      </c>
      <c r="AJ25" s="15" t="e">
        <f t="shared" si="23"/>
        <v>#NUM!</v>
      </c>
      <c r="AK25" s="15" t="e">
        <f t="shared" si="24"/>
        <v>#NUM!</v>
      </c>
      <c r="AL25" s="15" t="e">
        <f t="shared" si="25"/>
        <v>#NUM!</v>
      </c>
      <c r="AM25" s="336"/>
      <c r="AN25" s="336"/>
      <c r="AO25" s="336"/>
    </row>
    <row r="26" spans="1:46" ht="31.5" customHeight="1" x14ac:dyDescent="0.25">
      <c r="A26" s="67">
        <v>1</v>
      </c>
      <c r="B26" s="110" t="s">
        <v>25</v>
      </c>
      <c r="C26" s="110" t="s">
        <v>1021</v>
      </c>
      <c r="D26" s="487" t="s">
        <v>160</v>
      </c>
      <c r="E26" s="111" t="str">
        <f t="shared" si="1"/>
        <v>1/051/017/0017</v>
      </c>
      <c r="F26" s="68" t="s">
        <v>54</v>
      </c>
      <c r="G26" s="70" t="s">
        <v>161</v>
      </c>
      <c r="H26" s="69" t="s">
        <v>42</v>
      </c>
      <c r="I26" s="70" t="s">
        <v>162</v>
      </c>
      <c r="J26" s="295" t="s">
        <v>163</v>
      </c>
      <c r="K26" s="69" t="s">
        <v>31</v>
      </c>
      <c r="L26" s="71" t="s">
        <v>164</v>
      </c>
      <c r="M26" s="308" t="s">
        <v>165</v>
      </c>
      <c r="N26" s="110" t="s">
        <v>80</v>
      </c>
      <c r="O26" s="110" t="s">
        <v>62</v>
      </c>
      <c r="P26" s="110" t="s">
        <v>115</v>
      </c>
      <c r="Q26" s="147">
        <f t="shared" si="28"/>
        <v>32936</v>
      </c>
      <c r="R26" s="92">
        <f t="shared" ca="1" si="29"/>
        <v>35.865753424657534</v>
      </c>
      <c r="S26" s="67" t="s">
        <v>50</v>
      </c>
      <c r="T26" s="68" t="s">
        <v>166</v>
      </c>
      <c r="U26" s="68" t="s">
        <v>35</v>
      </c>
      <c r="V26" s="68" t="s">
        <v>37</v>
      </c>
      <c r="W26" s="148">
        <f t="shared" si="30"/>
        <v>44599</v>
      </c>
      <c r="X26" s="5" t="s">
        <v>65</v>
      </c>
      <c r="Y26" s="115" t="s">
        <v>38</v>
      </c>
      <c r="Z26" s="124">
        <f t="shared" ca="1" si="31"/>
        <v>3</v>
      </c>
      <c r="AA26" s="109">
        <f t="shared" ca="1" si="32"/>
        <v>10</v>
      </c>
      <c r="AB26" s="150">
        <f t="shared" ca="1" si="33"/>
        <v>29</v>
      </c>
      <c r="AC26" s="15" t="str">
        <f t="shared" ca="1" si="34"/>
        <v>3Years/10Months/29Days</v>
      </c>
      <c r="AD26" s="108">
        <f t="shared" si="7"/>
        <v>54851</v>
      </c>
      <c r="AE26" s="15">
        <f t="shared" ca="1" si="18"/>
        <v>24</v>
      </c>
      <c r="AF26" s="15">
        <f t="shared" ca="1" si="19"/>
        <v>1</v>
      </c>
      <c r="AG26" s="15">
        <f t="shared" ca="1" si="20"/>
        <v>27</v>
      </c>
      <c r="AH26" s="15" t="str">
        <f t="shared" ca="1" si="21"/>
        <v>24Years/1Months/27Days</v>
      </c>
      <c r="AI26" s="15" t="str">
        <f t="shared" si="22"/>
        <v>28years , 0months and 25days</v>
      </c>
      <c r="AJ26" s="15">
        <f t="shared" si="23"/>
        <v>28</v>
      </c>
      <c r="AK26" s="15">
        <f t="shared" si="24"/>
        <v>0</v>
      </c>
      <c r="AL26" s="15">
        <f t="shared" si="25"/>
        <v>25</v>
      </c>
      <c r="AM26" s="336"/>
      <c r="AN26" s="336"/>
      <c r="AO26" s="336"/>
    </row>
    <row r="27" spans="1:46" ht="31.5" customHeight="1" x14ac:dyDescent="0.3">
      <c r="A27" s="67">
        <v>1</v>
      </c>
      <c r="B27" s="110" t="s">
        <v>25</v>
      </c>
      <c r="C27" s="110" t="s">
        <v>1041</v>
      </c>
      <c r="D27" s="487" t="s">
        <v>167</v>
      </c>
      <c r="E27" s="111" t="str">
        <f t="shared" si="1"/>
        <v>1/051/018/0018</v>
      </c>
      <c r="F27" s="68" t="s">
        <v>54</v>
      </c>
      <c r="G27" s="480" t="s">
        <v>2519</v>
      </c>
      <c r="H27" s="483" t="s">
        <v>42</v>
      </c>
      <c r="I27" s="480" t="s">
        <v>2520</v>
      </c>
      <c r="J27" s="481" t="s">
        <v>2521</v>
      </c>
      <c r="K27" s="478" t="s">
        <v>31</v>
      </c>
      <c r="L27" s="482">
        <v>777480715</v>
      </c>
      <c r="M27" s="475" t="s">
        <v>2530</v>
      </c>
      <c r="N27" s="344">
        <v>15</v>
      </c>
      <c r="O27" s="344">
        <v>5</v>
      </c>
      <c r="P27" s="344">
        <v>1982</v>
      </c>
      <c r="Q27" s="147">
        <f t="shared" ref="Q27" si="35">DATE(P27,O27,N27)</f>
        <v>30086</v>
      </c>
      <c r="R27" s="92">
        <f t="shared" ref="R27" ca="1" si="36">($G$7-Q27)/365</f>
        <v>43.673972602739724</v>
      </c>
      <c r="S27" s="67" t="s">
        <v>50</v>
      </c>
      <c r="T27" s="68" t="s">
        <v>63</v>
      </c>
      <c r="U27" s="68" t="s">
        <v>36</v>
      </c>
      <c r="V27" s="68" t="s">
        <v>2529</v>
      </c>
      <c r="W27" s="148">
        <f t="shared" si="30"/>
        <v>45931</v>
      </c>
      <c r="X27" s="5"/>
      <c r="Y27" s="115"/>
      <c r="Z27" s="124">
        <f t="shared" ca="1" si="31"/>
        <v>0</v>
      </c>
      <c r="AA27" s="109">
        <f t="shared" ca="1" si="32"/>
        <v>3</v>
      </c>
      <c r="AB27" s="150">
        <f t="shared" ca="1" si="33"/>
        <v>4</v>
      </c>
      <c r="AC27" s="15" t="str">
        <f t="shared" ca="1" si="34"/>
        <v>0Years/3Months/4Days</v>
      </c>
      <c r="AD27" s="108">
        <f t="shared" si="7"/>
        <v>52001</v>
      </c>
      <c r="AE27" s="15">
        <f t="shared" ca="1" si="18"/>
        <v>16</v>
      </c>
      <c r="AF27" s="15">
        <f t="shared" ca="1" si="19"/>
        <v>4</v>
      </c>
      <c r="AG27" s="15">
        <f t="shared" ca="1" si="20"/>
        <v>10</v>
      </c>
      <c r="AH27" s="15" t="str">
        <f t="shared" ca="1" si="21"/>
        <v>16Years/4Months/10Days</v>
      </c>
      <c r="AI27" s="15" t="str">
        <f t="shared" si="22"/>
        <v>16years , 7months and 14days</v>
      </c>
      <c r="AJ27" s="15">
        <f t="shared" si="23"/>
        <v>16</v>
      </c>
      <c r="AK27" s="15">
        <f t="shared" si="24"/>
        <v>7</v>
      </c>
      <c r="AL27" s="15">
        <f t="shared" si="25"/>
        <v>14</v>
      </c>
      <c r="AM27" s="336"/>
      <c r="AN27" s="336"/>
      <c r="AO27" s="336"/>
    </row>
    <row r="28" spans="1:46" ht="31.5" customHeight="1" x14ac:dyDescent="0.25">
      <c r="A28" s="67">
        <v>1</v>
      </c>
      <c r="B28" s="110" t="s">
        <v>25</v>
      </c>
      <c r="C28" s="110" t="s">
        <v>1381</v>
      </c>
      <c r="D28" s="487" t="s">
        <v>171</v>
      </c>
      <c r="E28" s="111" t="str">
        <f t="shared" si="1"/>
        <v>1/051/019/0019</v>
      </c>
      <c r="F28" s="68" t="s">
        <v>40</v>
      </c>
      <c r="G28" s="533" t="s">
        <v>172</v>
      </c>
      <c r="H28" s="69" t="s">
        <v>42</v>
      </c>
      <c r="I28" s="70" t="s">
        <v>173</v>
      </c>
      <c r="J28" s="295" t="s">
        <v>174</v>
      </c>
      <c r="K28" s="69" t="s">
        <v>31</v>
      </c>
      <c r="L28" s="71" t="s">
        <v>175</v>
      </c>
      <c r="M28" s="198"/>
      <c r="N28" s="110" t="s">
        <v>63</v>
      </c>
      <c r="O28" s="110" t="s">
        <v>48</v>
      </c>
      <c r="P28" s="110" t="s">
        <v>176</v>
      </c>
      <c r="Q28" s="147">
        <f t="shared" si="28"/>
        <v>23590</v>
      </c>
      <c r="R28" s="534">
        <f t="shared" ca="1" si="29"/>
        <v>61.471232876712328</v>
      </c>
      <c r="S28" s="67" t="s">
        <v>50</v>
      </c>
      <c r="T28" s="68" t="s">
        <v>35</v>
      </c>
      <c r="U28" s="68" t="s">
        <v>63</v>
      </c>
      <c r="V28" s="68" t="s">
        <v>177</v>
      </c>
      <c r="W28" s="148">
        <f t="shared" si="30"/>
        <v>35066</v>
      </c>
      <c r="X28" s="5" t="s">
        <v>65</v>
      </c>
      <c r="Y28" s="115" t="s">
        <v>38</v>
      </c>
      <c r="Z28" s="124">
        <f t="shared" ca="1" si="31"/>
        <v>30</v>
      </c>
      <c r="AA28" s="109">
        <f t="shared" ca="1" si="32"/>
        <v>0</v>
      </c>
      <c r="AB28" s="150">
        <f t="shared" ca="1" si="33"/>
        <v>3</v>
      </c>
      <c r="AC28" s="15" t="str">
        <f t="shared" ca="1" si="34"/>
        <v>30Years/0Months/3Days</v>
      </c>
      <c r="AD28" s="108">
        <f t="shared" ref="AD28:AD35" si="37">(DATE(P28,O28,N28)+21915)</f>
        <v>45505</v>
      </c>
      <c r="AE28" s="15" t="e">
        <f t="shared" ref="AE28:AE35" ca="1" si="38">DATEDIF(TODAY(),AD28,"Y")</f>
        <v>#NUM!</v>
      </c>
      <c r="AF28" s="15" t="e">
        <f t="shared" ref="AF28:AF35" ca="1" si="39">DATEDIF(TODAY(),AD28,"YM")</f>
        <v>#NUM!</v>
      </c>
      <c r="AG28" s="15" t="e">
        <f t="shared" ref="AG28:AG35" ca="1" si="40">DATEDIF(TODAY(),AD28,"MD")</f>
        <v>#NUM!</v>
      </c>
      <c r="AH28" s="15" t="e">
        <f t="shared" ref="AH28:AH35" ca="1" si="41">CONCATENATE(AE28,"Years","/",AF28,"Months","/",AG28,"Days")</f>
        <v>#NUM!</v>
      </c>
      <c r="AI28" s="15" t="str">
        <f t="shared" ref="AI28:AI35" si="42">CONCATENATE(AJ28,"years", " ",",", " ",AK28,"months ","and"," ",AL28,"days")</f>
        <v>28years , 6months and 30days</v>
      </c>
      <c r="AJ28" s="15">
        <f t="shared" ref="AJ28:AJ35" si="43">DATEDIF(W28,AD28,"Y")</f>
        <v>28</v>
      </c>
      <c r="AK28" s="15">
        <f t="shared" ref="AK28:AK35" si="44">DATEDIF(W28,AD28,"YM")</f>
        <v>6</v>
      </c>
      <c r="AL28" s="15">
        <f t="shared" ref="AL28:AL35" si="45">DATEDIF(W28,AD28,"MD")</f>
        <v>30</v>
      </c>
      <c r="AM28" s="336"/>
      <c r="AN28" s="336"/>
      <c r="AO28" s="336"/>
    </row>
    <row r="29" spans="1:46" s="369" customFormat="1" ht="31.5" customHeight="1" x14ac:dyDescent="0.25">
      <c r="A29" s="67">
        <v>1</v>
      </c>
      <c r="B29" s="110" t="s">
        <v>25</v>
      </c>
      <c r="C29" s="110" t="s">
        <v>1382</v>
      </c>
      <c r="D29" s="487" t="s">
        <v>178</v>
      </c>
      <c r="E29" s="111" t="str">
        <f t="shared" si="1"/>
        <v>1/051/020/0020</v>
      </c>
      <c r="F29" s="68"/>
      <c r="G29" s="70"/>
      <c r="H29" s="69"/>
      <c r="I29" s="70"/>
      <c r="J29" s="295"/>
      <c r="K29" s="69"/>
      <c r="L29" s="71"/>
      <c r="M29" s="308"/>
      <c r="N29" s="68"/>
      <c r="O29" s="68"/>
      <c r="P29" s="68"/>
      <c r="Q29" s="164"/>
      <c r="R29" s="92"/>
      <c r="S29" s="67"/>
      <c r="T29" s="68"/>
      <c r="U29" s="68"/>
      <c r="V29" s="68"/>
      <c r="W29" s="165"/>
      <c r="X29" s="163"/>
      <c r="Y29" s="122"/>
      <c r="Z29" s="163"/>
      <c r="AA29" s="167"/>
      <c r="AB29" s="167"/>
      <c r="AC29" s="167"/>
      <c r="AD29" s="108"/>
      <c r="AE29" s="167"/>
      <c r="AF29" s="167"/>
      <c r="AG29" s="167"/>
      <c r="AH29" s="167"/>
      <c r="AI29" s="167"/>
      <c r="AJ29" s="167"/>
      <c r="AK29" s="167"/>
      <c r="AL29" s="167"/>
    </row>
    <row r="30" spans="1:46" ht="31.5" customHeight="1" x14ac:dyDescent="0.25">
      <c r="A30" s="67">
        <v>1</v>
      </c>
      <c r="B30" s="110" t="s">
        <v>25</v>
      </c>
      <c r="C30" s="110" t="s">
        <v>1383</v>
      </c>
      <c r="D30" s="487" t="s">
        <v>182</v>
      </c>
      <c r="E30" s="111" t="str">
        <f t="shared" si="1"/>
        <v>1/051/021/0021</v>
      </c>
      <c r="F30" s="68" t="s">
        <v>40</v>
      </c>
      <c r="G30" s="533" t="s">
        <v>183</v>
      </c>
      <c r="H30" s="69" t="s">
        <v>42</v>
      </c>
      <c r="I30" s="70" t="s">
        <v>184</v>
      </c>
      <c r="J30" s="295" t="s">
        <v>185</v>
      </c>
      <c r="K30" s="69" t="s">
        <v>31</v>
      </c>
      <c r="L30" s="71" t="s">
        <v>186</v>
      </c>
      <c r="M30" s="308" t="s">
        <v>187</v>
      </c>
      <c r="N30" s="110" t="s">
        <v>35</v>
      </c>
      <c r="O30" s="110" t="s">
        <v>80</v>
      </c>
      <c r="P30" s="110" t="s">
        <v>176</v>
      </c>
      <c r="Q30" s="147">
        <f t="shared" si="28"/>
        <v>23469</v>
      </c>
      <c r="R30" s="534">
        <f t="shared" ca="1" si="29"/>
        <v>61.802739726027397</v>
      </c>
      <c r="S30" s="67" t="s">
        <v>50</v>
      </c>
      <c r="T30" s="68" t="s">
        <v>188</v>
      </c>
      <c r="U30" s="68" t="s">
        <v>36</v>
      </c>
      <c r="V30" s="68" t="s">
        <v>189</v>
      </c>
      <c r="W30" s="148">
        <f t="shared" si="30"/>
        <v>37550</v>
      </c>
      <c r="X30" s="5" t="s">
        <v>38</v>
      </c>
      <c r="Y30" s="115" t="s">
        <v>38</v>
      </c>
      <c r="Z30" s="124">
        <f t="shared" ca="1" si="31"/>
        <v>23</v>
      </c>
      <c r="AA30" s="109">
        <f t="shared" ca="1" si="32"/>
        <v>2</v>
      </c>
      <c r="AB30" s="150">
        <f t="shared" ca="1" si="33"/>
        <v>15</v>
      </c>
      <c r="AC30" s="15" t="str">
        <f t="shared" ca="1" si="34"/>
        <v>23Years/2Months/15Days</v>
      </c>
      <c r="AD30" s="108">
        <f t="shared" si="37"/>
        <v>45384</v>
      </c>
      <c r="AE30" s="15" t="e">
        <f t="shared" ca="1" si="38"/>
        <v>#NUM!</v>
      </c>
      <c r="AF30" s="15" t="e">
        <f t="shared" ca="1" si="39"/>
        <v>#NUM!</v>
      </c>
      <c r="AG30" s="15" t="e">
        <f t="shared" ca="1" si="40"/>
        <v>#NUM!</v>
      </c>
      <c r="AH30" s="15" t="e">
        <f t="shared" ca="1" si="41"/>
        <v>#NUM!</v>
      </c>
      <c r="AI30" s="15" t="str">
        <f t="shared" si="42"/>
        <v>21years , 5months and 12days</v>
      </c>
      <c r="AJ30" s="15">
        <f t="shared" si="43"/>
        <v>21</v>
      </c>
      <c r="AK30" s="15">
        <f t="shared" si="44"/>
        <v>5</v>
      </c>
      <c r="AL30" s="15">
        <f t="shared" si="45"/>
        <v>12</v>
      </c>
      <c r="AM30" s="336"/>
      <c r="AN30" s="336"/>
      <c r="AO30" s="336"/>
    </row>
    <row r="31" spans="1:46" ht="31.5" customHeight="1" x14ac:dyDescent="0.25">
      <c r="A31" s="67">
        <v>1</v>
      </c>
      <c r="B31" s="110" t="s">
        <v>25</v>
      </c>
      <c r="C31" s="110" t="s">
        <v>1384</v>
      </c>
      <c r="D31" s="487" t="s">
        <v>190</v>
      </c>
      <c r="E31" s="111" t="str">
        <f t="shared" si="1"/>
        <v>1/051/022/0022</v>
      </c>
      <c r="F31" s="68" t="s">
        <v>40</v>
      </c>
      <c r="G31" s="533" t="s">
        <v>191</v>
      </c>
      <c r="H31" s="69" t="s">
        <v>42</v>
      </c>
      <c r="I31" s="70" t="s">
        <v>192</v>
      </c>
      <c r="J31" s="295" t="s">
        <v>193</v>
      </c>
      <c r="K31" s="69" t="s">
        <v>31</v>
      </c>
      <c r="L31" s="71" t="s">
        <v>194</v>
      </c>
      <c r="M31" s="198"/>
      <c r="N31" s="110" t="s">
        <v>136</v>
      </c>
      <c r="O31" s="110" t="s">
        <v>80</v>
      </c>
      <c r="P31" s="110" t="s">
        <v>195</v>
      </c>
      <c r="Q31" s="147">
        <f t="shared" si="28"/>
        <v>22760</v>
      </c>
      <c r="R31" s="534">
        <f t="shared" ca="1" si="29"/>
        <v>63.745205479452054</v>
      </c>
      <c r="S31" s="67" t="s">
        <v>50</v>
      </c>
      <c r="T31" s="68" t="s">
        <v>32</v>
      </c>
      <c r="U31" s="68" t="s">
        <v>63</v>
      </c>
      <c r="V31" s="68" t="s">
        <v>196</v>
      </c>
      <c r="W31" s="148">
        <f t="shared" si="30"/>
        <v>39818</v>
      </c>
      <c r="X31" s="5" t="s">
        <v>38</v>
      </c>
      <c r="Y31" s="115" t="s">
        <v>38</v>
      </c>
      <c r="Z31" s="124">
        <f t="shared" ca="1" si="31"/>
        <v>17</v>
      </c>
      <c r="AA31" s="109">
        <f t="shared" ca="1" si="32"/>
        <v>0</v>
      </c>
      <c r="AB31" s="150">
        <f t="shared" ca="1" si="33"/>
        <v>0</v>
      </c>
      <c r="AC31" s="15" t="str">
        <f t="shared" ca="1" si="34"/>
        <v>17Years/0Months/0Days</v>
      </c>
      <c r="AD31" s="108">
        <f t="shared" si="37"/>
        <v>44675</v>
      </c>
      <c r="AE31" s="15" t="e">
        <f t="shared" ca="1" si="38"/>
        <v>#NUM!</v>
      </c>
      <c r="AF31" s="15" t="e">
        <f t="shared" ca="1" si="39"/>
        <v>#NUM!</v>
      </c>
      <c r="AG31" s="15" t="e">
        <f t="shared" ca="1" si="40"/>
        <v>#NUM!</v>
      </c>
      <c r="AH31" s="15" t="e">
        <f t="shared" ca="1" si="41"/>
        <v>#NUM!</v>
      </c>
      <c r="AI31" s="15" t="str">
        <f t="shared" si="42"/>
        <v>13years , 3months and 19days</v>
      </c>
      <c r="AJ31" s="15">
        <f t="shared" si="43"/>
        <v>13</v>
      </c>
      <c r="AK31" s="15">
        <f t="shared" si="44"/>
        <v>3</v>
      </c>
      <c r="AL31" s="15">
        <f t="shared" si="45"/>
        <v>19</v>
      </c>
      <c r="AM31" s="336"/>
      <c r="AN31" s="336"/>
      <c r="AO31" s="336"/>
    </row>
    <row r="32" spans="1:46" ht="31.5" customHeight="1" x14ac:dyDescent="0.25">
      <c r="A32" s="67">
        <v>1</v>
      </c>
      <c r="B32" s="110" t="s">
        <v>25</v>
      </c>
      <c r="C32" s="110" t="s">
        <v>1045</v>
      </c>
      <c r="D32" s="487" t="s">
        <v>197</v>
      </c>
      <c r="E32" s="111" t="str">
        <f t="shared" si="1"/>
        <v>1/051/023/0023</v>
      </c>
      <c r="F32" s="68" t="s">
        <v>28</v>
      </c>
      <c r="G32" s="70" t="s">
        <v>198</v>
      </c>
      <c r="H32" s="69" t="s">
        <v>42</v>
      </c>
      <c r="I32" s="70" t="s">
        <v>199</v>
      </c>
      <c r="J32" s="295" t="s">
        <v>200</v>
      </c>
      <c r="K32" s="69" t="s">
        <v>31</v>
      </c>
      <c r="L32" s="71" t="s">
        <v>201</v>
      </c>
      <c r="M32" s="308" t="s">
        <v>202</v>
      </c>
      <c r="N32" s="110" t="s">
        <v>203</v>
      </c>
      <c r="O32" s="110" t="s">
        <v>166</v>
      </c>
      <c r="P32" s="110" t="s">
        <v>204</v>
      </c>
      <c r="Q32" s="147">
        <f t="shared" si="28"/>
        <v>27597</v>
      </c>
      <c r="R32" s="92">
        <f t="shared" ca="1" si="29"/>
        <v>50.493150684931507</v>
      </c>
      <c r="S32" s="67" t="s">
        <v>50</v>
      </c>
      <c r="T32" s="68" t="s">
        <v>205</v>
      </c>
      <c r="U32" s="68" t="s">
        <v>51</v>
      </c>
      <c r="V32" s="68" t="s">
        <v>206</v>
      </c>
      <c r="W32" s="148">
        <f t="shared" si="30"/>
        <v>40441</v>
      </c>
      <c r="X32" s="5" t="s">
        <v>38</v>
      </c>
      <c r="Y32" s="115"/>
      <c r="Z32" s="124">
        <f t="shared" ca="1" si="31"/>
        <v>15</v>
      </c>
      <c r="AA32" s="109">
        <f t="shared" ca="1" si="32"/>
        <v>3</v>
      </c>
      <c r="AB32" s="150">
        <f t="shared" ca="1" si="33"/>
        <v>16</v>
      </c>
      <c r="AC32" s="15" t="str">
        <f t="shared" ca="1" si="34"/>
        <v>15Years/3Months/16Days</v>
      </c>
      <c r="AD32" s="108">
        <f t="shared" si="37"/>
        <v>49512</v>
      </c>
      <c r="AE32" s="15">
        <f t="shared" ca="1" si="38"/>
        <v>9</v>
      </c>
      <c r="AF32" s="15">
        <f t="shared" ca="1" si="39"/>
        <v>6</v>
      </c>
      <c r="AG32" s="15">
        <f t="shared" ca="1" si="40"/>
        <v>17</v>
      </c>
      <c r="AH32" s="15" t="str">
        <f t="shared" ca="1" si="41"/>
        <v>9Years/6Months/17Days</v>
      </c>
      <c r="AI32" s="15" t="str">
        <f t="shared" si="42"/>
        <v>24years , 10months and 2days</v>
      </c>
      <c r="AJ32" s="15">
        <f t="shared" si="43"/>
        <v>24</v>
      </c>
      <c r="AK32" s="15">
        <f t="shared" si="44"/>
        <v>10</v>
      </c>
      <c r="AL32" s="15">
        <f t="shared" si="45"/>
        <v>2</v>
      </c>
      <c r="AM32" s="336"/>
      <c r="AN32" s="336"/>
      <c r="AO32" s="336"/>
    </row>
    <row r="33" spans="1:41" ht="31.5" customHeight="1" x14ac:dyDescent="0.25">
      <c r="A33" s="67">
        <v>1</v>
      </c>
      <c r="B33" s="110" t="s">
        <v>25</v>
      </c>
      <c r="C33" s="110" t="s">
        <v>1385</v>
      </c>
      <c r="D33" s="487" t="s">
        <v>207</v>
      </c>
      <c r="E33" s="111" t="str">
        <f t="shared" si="1"/>
        <v>1/051/024/0024</v>
      </c>
      <c r="F33" s="68" t="s">
        <v>28</v>
      </c>
      <c r="G33" s="70" t="s">
        <v>208</v>
      </c>
      <c r="H33" s="69" t="s">
        <v>42</v>
      </c>
      <c r="I33" s="70" t="s">
        <v>209</v>
      </c>
      <c r="J33" s="295" t="s">
        <v>210</v>
      </c>
      <c r="K33" s="69" t="s">
        <v>96</v>
      </c>
      <c r="L33" s="71" t="s">
        <v>211</v>
      </c>
      <c r="M33" s="308" t="s">
        <v>212</v>
      </c>
      <c r="N33" s="110" t="s">
        <v>48</v>
      </c>
      <c r="O33" s="110" t="s">
        <v>32</v>
      </c>
      <c r="P33" s="110" t="s">
        <v>137</v>
      </c>
      <c r="Q33" s="147">
        <f t="shared" si="28"/>
        <v>30444</v>
      </c>
      <c r="R33" s="92">
        <f t="shared" ca="1" si="29"/>
        <v>42.69315068493151</v>
      </c>
      <c r="S33" s="67" t="s">
        <v>50</v>
      </c>
      <c r="T33" s="68" t="s">
        <v>62</v>
      </c>
      <c r="U33" s="68" t="s">
        <v>36</v>
      </c>
      <c r="V33" s="68" t="s">
        <v>213</v>
      </c>
      <c r="W33" s="148">
        <f t="shared" si="30"/>
        <v>40819</v>
      </c>
      <c r="X33" s="5" t="s">
        <v>38</v>
      </c>
      <c r="Y33" s="115"/>
      <c r="Z33" s="124">
        <f t="shared" ca="1" si="31"/>
        <v>14</v>
      </c>
      <c r="AA33" s="109">
        <f t="shared" ca="1" si="32"/>
        <v>3</v>
      </c>
      <c r="AB33" s="150">
        <f t="shared" ca="1" si="33"/>
        <v>2</v>
      </c>
      <c r="AC33" s="15" t="str">
        <f t="shared" ca="1" si="34"/>
        <v>14Years/3Months/2Days</v>
      </c>
      <c r="AD33" s="108">
        <f t="shared" si="37"/>
        <v>52359</v>
      </c>
      <c r="AE33" s="15">
        <f t="shared" ca="1" si="38"/>
        <v>17</v>
      </c>
      <c r="AF33" s="15">
        <f t="shared" ca="1" si="39"/>
        <v>4</v>
      </c>
      <c r="AG33" s="15">
        <f t="shared" ca="1" si="40"/>
        <v>3</v>
      </c>
      <c r="AH33" s="15" t="str">
        <f t="shared" ca="1" si="41"/>
        <v>17Years/4Months/3Days</v>
      </c>
      <c r="AI33" s="15" t="str">
        <f t="shared" si="42"/>
        <v>31years , 7months and 5days</v>
      </c>
      <c r="AJ33" s="15">
        <f t="shared" si="43"/>
        <v>31</v>
      </c>
      <c r="AK33" s="15">
        <f t="shared" si="44"/>
        <v>7</v>
      </c>
      <c r="AL33" s="15">
        <f t="shared" si="45"/>
        <v>5</v>
      </c>
      <c r="AM33" s="336"/>
      <c r="AN33" s="336"/>
      <c r="AO33" s="336"/>
    </row>
    <row r="34" spans="1:41" ht="31.5" customHeight="1" x14ac:dyDescent="0.25">
      <c r="A34" s="67">
        <v>1</v>
      </c>
      <c r="B34" s="110" t="s">
        <v>25</v>
      </c>
      <c r="C34" s="110" t="s">
        <v>1386</v>
      </c>
      <c r="D34" s="487" t="s">
        <v>214</v>
      </c>
      <c r="E34" s="111" t="str">
        <f t="shared" si="1"/>
        <v>1/051/025/0025</v>
      </c>
      <c r="F34" s="68" t="s">
        <v>28</v>
      </c>
      <c r="G34" s="70" t="s">
        <v>215</v>
      </c>
      <c r="H34" s="69" t="s">
        <v>42</v>
      </c>
      <c r="I34" s="70" t="s">
        <v>216</v>
      </c>
      <c r="J34" s="296" t="s">
        <v>217</v>
      </c>
      <c r="K34" s="69" t="s">
        <v>31</v>
      </c>
      <c r="L34" s="71" t="s">
        <v>218</v>
      </c>
      <c r="M34" s="308" t="s">
        <v>219</v>
      </c>
      <c r="N34" s="110" t="s">
        <v>80</v>
      </c>
      <c r="O34" s="110" t="s">
        <v>48</v>
      </c>
      <c r="P34" s="110" t="s">
        <v>181</v>
      </c>
      <c r="Q34" s="147">
        <f t="shared" si="28"/>
        <v>36742</v>
      </c>
      <c r="R34" s="92">
        <f t="shared" ca="1" si="29"/>
        <v>25.438356164383563</v>
      </c>
      <c r="S34" s="67" t="s">
        <v>50</v>
      </c>
      <c r="T34" s="68" t="s">
        <v>203</v>
      </c>
      <c r="U34" s="68" t="s">
        <v>51</v>
      </c>
      <c r="V34" s="68" t="s">
        <v>220</v>
      </c>
      <c r="W34" s="148">
        <f t="shared" si="30"/>
        <v>44461</v>
      </c>
      <c r="X34" s="5" t="s">
        <v>38</v>
      </c>
      <c r="Y34" s="115"/>
      <c r="Z34" s="124">
        <f t="shared" ca="1" si="31"/>
        <v>4</v>
      </c>
      <c r="AA34" s="109">
        <f t="shared" ca="1" si="32"/>
        <v>3</v>
      </c>
      <c r="AB34" s="150">
        <f t="shared" ca="1" si="33"/>
        <v>14</v>
      </c>
      <c r="AC34" s="15" t="str">
        <f t="shared" ca="1" si="34"/>
        <v>4Years/3Months/14Days</v>
      </c>
      <c r="AD34" s="108">
        <f t="shared" si="37"/>
        <v>58657</v>
      </c>
      <c r="AE34" s="15">
        <f t="shared" ca="1" si="38"/>
        <v>34</v>
      </c>
      <c r="AF34" s="15">
        <f t="shared" ca="1" si="39"/>
        <v>6</v>
      </c>
      <c r="AG34" s="15">
        <f t="shared" ca="1" si="40"/>
        <v>30</v>
      </c>
      <c r="AH34" s="15" t="str">
        <f t="shared" ca="1" si="41"/>
        <v>34Years/6Months/30Days</v>
      </c>
      <c r="AI34" s="15" t="str">
        <f t="shared" si="42"/>
        <v>38years , 10months and 13days</v>
      </c>
      <c r="AJ34" s="15">
        <f t="shared" si="43"/>
        <v>38</v>
      </c>
      <c r="AK34" s="15">
        <f t="shared" si="44"/>
        <v>10</v>
      </c>
      <c r="AL34" s="15">
        <f t="shared" si="45"/>
        <v>13</v>
      </c>
      <c r="AM34" s="336"/>
      <c r="AN34" s="336"/>
      <c r="AO34" s="336"/>
    </row>
    <row r="35" spans="1:41" ht="31.5" customHeight="1" x14ac:dyDescent="0.25">
      <c r="A35" s="67">
        <v>1</v>
      </c>
      <c r="B35" s="110" t="s">
        <v>25</v>
      </c>
      <c r="C35" s="110" t="s">
        <v>1387</v>
      </c>
      <c r="D35" s="487" t="s">
        <v>222</v>
      </c>
      <c r="E35" s="111" t="str">
        <f t="shared" si="1"/>
        <v>1/051/026/0026</v>
      </c>
      <c r="F35" s="68" t="s">
        <v>40</v>
      </c>
      <c r="G35" s="533" t="s">
        <v>283</v>
      </c>
      <c r="H35" s="69" t="s">
        <v>42</v>
      </c>
      <c r="I35" s="70" t="s">
        <v>284</v>
      </c>
      <c r="J35" s="294" t="s">
        <v>285</v>
      </c>
      <c r="K35" s="69" t="s">
        <v>31</v>
      </c>
      <c r="L35" s="71" t="s">
        <v>286</v>
      </c>
      <c r="M35" s="308" t="s">
        <v>287</v>
      </c>
      <c r="N35" s="110" t="s">
        <v>288</v>
      </c>
      <c r="O35" s="110" t="s">
        <v>166</v>
      </c>
      <c r="P35" s="110" t="s">
        <v>49</v>
      </c>
      <c r="Q35" s="147">
        <f t="shared" si="28"/>
        <v>18836</v>
      </c>
      <c r="R35" s="534">
        <f t="shared" ca="1" si="29"/>
        <v>74.495890410958907</v>
      </c>
      <c r="S35" s="67" t="s">
        <v>34</v>
      </c>
      <c r="T35" s="68" t="s">
        <v>203</v>
      </c>
      <c r="U35" s="68" t="s">
        <v>36</v>
      </c>
      <c r="V35" s="68" t="s">
        <v>52</v>
      </c>
      <c r="W35" s="148">
        <f t="shared" si="30"/>
        <v>43760</v>
      </c>
      <c r="X35" s="5" t="s">
        <v>38</v>
      </c>
      <c r="Y35" s="115" t="s">
        <v>38</v>
      </c>
      <c r="Z35" s="124">
        <f t="shared" ca="1" si="31"/>
        <v>6</v>
      </c>
      <c r="AA35" s="109">
        <f t="shared" ca="1" si="32"/>
        <v>2</v>
      </c>
      <c r="AB35" s="150">
        <f t="shared" ca="1" si="33"/>
        <v>14</v>
      </c>
      <c r="AC35" s="15" t="str">
        <f t="shared" ca="1" si="34"/>
        <v>6Years/2Months/14Days</v>
      </c>
      <c r="AD35" s="108">
        <f t="shared" si="37"/>
        <v>40751</v>
      </c>
      <c r="AE35" s="15" t="e">
        <f t="shared" ca="1" si="38"/>
        <v>#NUM!</v>
      </c>
      <c r="AF35" s="15" t="e">
        <f t="shared" ca="1" si="39"/>
        <v>#NUM!</v>
      </c>
      <c r="AG35" s="15" t="e">
        <f t="shared" ca="1" si="40"/>
        <v>#NUM!</v>
      </c>
      <c r="AH35" s="15" t="e">
        <f t="shared" ca="1" si="41"/>
        <v>#NUM!</v>
      </c>
      <c r="AI35" s="15" t="e">
        <f t="shared" si="42"/>
        <v>#NUM!</v>
      </c>
      <c r="AJ35" s="15" t="e">
        <f t="shared" si="43"/>
        <v>#NUM!</v>
      </c>
      <c r="AK35" s="15" t="e">
        <f t="shared" si="44"/>
        <v>#NUM!</v>
      </c>
      <c r="AL35" s="15" t="e">
        <f t="shared" si="45"/>
        <v>#NUM!</v>
      </c>
      <c r="AM35" s="336"/>
      <c r="AN35" s="336"/>
      <c r="AO35" s="336"/>
    </row>
    <row r="36" spans="1:41" ht="31.5" customHeight="1" x14ac:dyDescent="0.25">
      <c r="A36" s="67">
        <v>1</v>
      </c>
      <c r="B36" s="110" t="s">
        <v>25</v>
      </c>
      <c r="C36" s="110" t="s">
        <v>1388</v>
      </c>
      <c r="D36" s="487" t="s">
        <v>230</v>
      </c>
      <c r="E36" s="111" t="str">
        <f t="shared" si="1"/>
        <v>1/051/027/0027</v>
      </c>
      <c r="F36" s="68"/>
      <c r="G36" s="70"/>
      <c r="H36" s="69"/>
      <c r="I36" s="70"/>
      <c r="J36" s="294"/>
      <c r="K36" s="69"/>
      <c r="L36" s="71"/>
      <c r="M36" s="308"/>
      <c r="N36" s="110"/>
      <c r="O36" s="110"/>
      <c r="P36" s="110"/>
      <c r="Q36" s="147"/>
      <c r="R36" s="92"/>
      <c r="S36" s="67"/>
      <c r="T36" s="68"/>
      <c r="U36" s="68"/>
      <c r="V36" s="68"/>
      <c r="W36" s="148"/>
      <c r="X36" s="5"/>
      <c r="Y36" s="115"/>
      <c r="Z36" s="124"/>
      <c r="AA36" s="109"/>
      <c r="AB36" s="150"/>
      <c r="AC36" s="15"/>
      <c r="AD36" s="108"/>
      <c r="AE36" s="15"/>
      <c r="AF36" s="15"/>
      <c r="AG36" s="15"/>
      <c r="AH36" s="15"/>
      <c r="AI36" s="15"/>
      <c r="AJ36" s="15"/>
      <c r="AK36" s="15"/>
      <c r="AL36" s="15"/>
      <c r="AM36" s="336"/>
      <c r="AN36" s="336"/>
      <c r="AO36" s="336"/>
    </row>
    <row r="37" spans="1:41" ht="31.5" customHeight="1" x14ac:dyDescent="0.25">
      <c r="A37" s="67">
        <v>1</v>
      </c>
      <c r="B37" s="110" t="s">
        <v>25</v>
      </c>
      <c r="C37" s="110" t="s">
        <v>1389</v>
      </c>
      <c r="D37" s="487" t="s">
        <v>240</v>
      </c>
      <c r="E37" s="111" t="str">
        <f t="shared" si="1"/>
        <v>1/051/028/0028</v>
      </c>
      <c r="F37" s="68" t="s">
        <v>40</v>
      </c>
      <c r="G37" s="70" t="s">
        <v>292</v>
      </c>
      <c r="H37" s="69" t="s">
        <v>42</v>
      </c>
      <c r="I37" s="70" t="s">
        <v>293</v>
      </c>
      <c r="J37" s="294" t="s">
        <v>294</v>
      </c>
      <c r="K37" s="69" t="s">
        <v>96</v>
      </c>
      <c r="L37" s="71" t="s">
        <v>295</v>
      </c>
      <c r="M37" s="308" t="s">
        <v>296</v>
      </c>
      <c r="N37" s="110" t="s">
        <v>297</v>
      </c>
      <c r="O37" s="110" t="s">
        <v>70</v>
      </c>
      <c r="P37" s="110" t="s">
        <v>298</v>
      </c>
      <c r="Q37" s="147">
        <f>DATE(P37,O37,N37)</f>
        <v>31035</v>
      </c>
      <c r="R37" s="92">
        <f ca="1">($G$7-Q37)/365</f>
        <v>41.073972602739723</v>
      </c>
      <c r="S37" s="67" t="s">
        <v>34</v>
      </c>
      <c r="T37" s="68" t="s">
        <v>62</v>
      </c>
      <c r="U37" s="68" t="s">
        <v>63</v>
      </c>
      <c r="V37" s="68" t="s">
        <v>37</v>
      </c>
      <c r="W37" s="148">
        <f>DATE(V37,U37,T37)</f>
        <v>44564</v>
      </c>
      <c r="X37" s="5" t="s">
        <v>65</v>
      </c>
      <c r="Y37" s="115" t="s">
        <v>38</v>
      </c>
      <c r="Z37" s="124">
        <f ca="1">DATEDIF(W37,TODAY(),"Y")</f>
        <v>4</v>
      </c>
      <c r="AA37" s="109">
        <f ca="1">DATEDIF(W37,TODAY(),"YM")</f>
        <v>0</v>
      </c>
      <c r="AB37" s="150">
        <f ca="1">DATEDIF(W37,TODAY(),"MD")</f>
        <v>2</v>
      </c>
      <c r="AC37" s="15" t="str">
        <f ca="1">CONCATENATE(Z37,"Years","/",,AA37,"Months","/",AB37,"Days")</f>
        <v>4Years/0Months/2Days</v>
      </c>
      <c r="AD37" s="108">
        <f>(DATE(P37,O37,N37)+21915)</f>
        <v>52950</v>
      </c>
      <c r="AE37" s="15">
        <f ca="1">DATEDIF(TODAY(),AD37,"Y")</f>
        <v>18</v>
      </c>
      <c r="AF37" s="15">
        <f ca="1">DATEDIF(TODAY(),AD37,"YM")</f>
        <v>11</v>
      </c>
      <c r="AG37" s="15">
        <f ca="1">DATEDIF(TODAY(),AD37,"MD")</f>
        <v>14</v>
      </c>
      <c r="AH37" s="15" t="str">
        <f t="shared" ref="AH37:AH68" ca="1" si="46">CONCATENATE(AE37,"Years","/",AF37,"Months","/",AG37,"Days")</f>
        <v>18Years/11Months/14Days</v>
      </c>
      <c r="AI37" s="15" t="str">
        <f t="shared" ref="AI37:AI51" si="47">CONCATENATE(AJ37,"years", " ",",", " ",AK37,"months ","and"," ",AL37,"days")</f>
        <v>22years , 11months and 16days</v>
      </c>
      <c r="AJ37" s="15">
        <f t="shared" ref="AJ37:AJ68" si="48">DATEDIF(W37,AD37,"Y")</f>
        <v>22</v>
      </c>
      <c r="AK37" s="15">
        <f t="shared" ref="AK37:AK68" si="49">DATEDIF(W37,AD37,"YM")</f>
        <v>11</v>
      </c>
      <c r="AL37" s="15">
        <f t="shared" ref="AL37:AL68" si="50">DATEDIF(W37,AD37,"MD")</f>
        <v>16</v>
      </c>
      <c r="AM37" s="336"/>
      <c r="AN37" s="336"/>
      <c r="AO37" s="336"/>
    </row>
    <row r="38" spans="1:41" ht="31.5" customHeight="1" x14ac:dyDescent="0.25">
      <c r="A38" s="67">
        <v>1</v>
      </c>
      <c r="B38" s="309" t="s">
        <v>306</v>
      </c>
      <c r="C38" s="489" t="s">
        <v>329</v>
      </c>
      <c r="D38" s="489" t="s">
        <v>248</v>
      </c>
      <c r="E38" s="490" t="str">
        <f t="shared" si="1"/>
        <v>1/052/001/0029</v>
      </c>
      <c r="F38" s="75"/>
      <c r="G38" s="210" t="s">
        <v>308</v>
      </c>
      <c r="H38" s="76" t="s">
        <v>29</v>
      </c>
      <c r="I38" s="77" t="s">
        <v>309</v>
      </c>
      <c r="J38" s="297" t="s">
        <v>310</v>
      </c>
      <c r="K38" s="76" t="s">
        <v>311</v>
      </c>
      <c r="L38" s="199" t="s">
        <v>312</v>
      </c>
      <c r="M38" s="310" t="s">
        <v>313</v>
      </c>
      <c r="N38" s="75" t="s">
        <v>205</v>
      </c>
      <c r="O38" s="75" t="s">
        <v>33</v>
      </c>
      <c r="P38" s="75" t="s">
        <v>169</v>
      </c>
      <c r="Q38" s="201">
        <f>DATE(P38,O38,N38)</f>
        <v>28661</v>
      </c>
      <c r="R38" s="86">
        <f ca="1">($G$7-Q38)/365</f>
        <v>47.578082191780823</v>
      </c>
      <c r="S38" s="73" t="s">
        <v>34</v>
      </c>
      <c r="T38" s="75" t="s">
        <v>314</v>
      </c>
      <c r="U38" s="75" t="s">
        <v>315</v>
      </c>
      <c r="V38" s="75" t="s">
        <v>52</v>
      </c>
      <c r="W38" s="200">
        <f>DATE(V38,U38,T38)</f>
        <v>43649</v>
      </c>
      <c r="X38" s="5"/>
      <c r="Y38" s="115"/>
      <c r="Z38" s="73">
        <f ca="1">DATEDIF(W38,TODAY(),"Y")</f>
        <v>6</v>
      </c>
      <c r="AA38" s="40">
        <f ca="1">DATEDIF(W38,TODAY(),"YM")</f>
        <v>6</v>
      </c>
      <c r="AB38" s="40">
        <f ca="1">DATEDIF(W38,TODAY(),"MD")</f>
        <v>2</v>
      </c>
      <c r="AC38" s="15" t="str">
        <f ca="1">CONCATENATE(Z38,"Years","/",,AA38,"Months","/",AB38,"Days")</f>
        <v>6Years/6Months/2Days</v>
      </c>
      <c r="AD38" s="108">
        <f>(DATE(P38,O38,N38)+21915)</f>
        <v>50576</v>
      </c>
      <c r="AE38" s="15">
        <f ca="1">DATEDIF(TODAY(),AD38,"Y")</f>
        <v>12</v>
      </c>
      <c r="AF38" s="15">
        <f ca="1">DATEDIF(TODAY(),AD38,"YM")</f>
        <v>5</v>
      </c>
      <c r="AG38" s="15">
        <f ca="1">DATEDIF(TODAY(),AD38,"MD")</f>
        <v>15</v>
      </c>
      <c r="AH38" s="15" t="str">
        <f t="shared" ca="1" si="46"/>
        <v>12Years/5Months/15Days</v>
      </c>
      <c r="AI38" s="15" t="str">
        <f t="shared" si="47"/>
        <v>18years , 11months and 17days</v>
      </c>
      <c r="AJ38" s="5">
        <f t="shared" si="48"/>
        <v>18</v>
      </c>
      <c r="AK38" s="5">
        <f t="shared" si="49"/>
        <v>11</v>
      </c>
      <c r="AL38" s="5">
        <f t="shared" si="50"/>
        <v>17</v>
      </c>
      <c r="AM38" s="336"/>
      <c r="AN38" s="336"/>
    </row>
    <row r="39" spans="1:41" ht="31.5" customHeight="1" x14ac:dyDescent="0.25">
      <c r="A39" s="67">
        <v>1</v>
      </c>
      <c r="B39" s="309" t="s">
        <v>306</v>
      </c>
      <c r="C39" s="489" t="s">
        <v>338</v>
      </c>
      <c r="D39" s="489" t="s">
        <v>257</v>
      </c>
      <c r="E39" s="490" t="str">
        <f t="shared" si="1"/>
        <v>1/052/002/0030</v>
      </c>
      <c r="F39" s="75"/>
      <c r="G39" s="210" t="s">
        <v>317</v>
      </c>
      <c r="H39" s="76" t="s">
        <v>318</v>
      </c>
      <c r="I39" s="77" t="s">
        <v>319</v>
      </c>
      <c r="J39" s="297" t="s">
        <v>320</v>
      </c>
      <c r="K39" s="76" t="s">
        <v>311</v>
      </c>
      <c r="L39" s="199" t="s">
        <v>321</v>
      </c>
      <c r="M39" s="310" t="s">
        <v>322</v>
      </c>
      <c r="N39" s="75" t="s">
        <v>36</v>
      </c>
      <c r="O39" s="75" t="s">
        <v>314</v>
      </c>
      <c r="P39" s="75" t="s">
        <v>323</v>
      </c>
      <c r="Q39" s="201">
        <f>DATE(P39,O39,N39)</f>
        <v>34038</v>
      </c>
      <c r="R39" s="86">
        <f ca="1">($G$7-Q39)/365</f>
        <v>32.846575342465755</v>
      </c>
      <c r="S39" s="73" t="s">
        <v>34</v>
      </c>
      <c r="T39" s="75" t="s">
        <v>324</v>
      </c>
      <c r="U39" s="75" t="s">
        <v>36</v>
      </c>
      <c r="V39" s="75" t="s">
        <v>37</v>
      </c>
      <c r="W39" s="200">
        <f>DATE(V39,U39,T39)</f>
        <v>44838</v>
      </c>
      <c r="X39" s="5"/>
      <c r="Y39" s="115"/>
      <c r="Z39" s="73">
        <f ca="1">DATEDIF(W39,TODAY(),"Y")</f>
        <v>3</v>
      </c>
      <c r="AA39" s="40">
        <f ca="1">DATEDIF(W39,TODAY(),"YM")</f>
        <v>3</v>
      </c>
      <c r="AB39" s="40">
        <f ca="1">DATEDIF(W39,TODAY(),"MD")</f>
        <v>1</v>
      </c>
      <c r="AC39" s="15" t="str">
        <f ca="1">CONCATENATE(Z39,"Years","/",,AA39,"Months","/",AB39,"Days")</f>
        <v>3Years/3Months/1Days</v>
      </c>
      <c r="AD39" s="108">
        <f>(DATE(P39,O39,N39)+21915)</f>
        <v>55953</v>
      </c>
      <c r="AE39" s="15">
        <f ca="1">DATEDIF(TODAY(),AD39,"Y")</f>
        <v>27</v>
      </c>
      <c r="AF39" s="15">
        <f ca="1">DATEDIF(TODAY(),AD39,"YM")</f>
        <v>2</v>
      </c>
      <c r="AG39" s="15">
        <f ca="1">DATEDIF(TODAY(),AD39,"MD")</f>
        <v>5</v>
      </c>
      <c r="AH39" s="15" t="str">
        <f t="shared" ca="1" si="46"/>
        <v>27Years/2Months/5Days</v>
      </c>
      <c r="AI39" s="15" t="str">
        <f t="shared" si="47"/>
        <v>30years , 5months and 6days</v>
      </c>
      <c r="AJ39" s="5">
        <f t="shared" si="48"/>
        <v>30</v>
      </c>
      <c r="AK39" s="5">
        <f t="shared" si="49"/>
        <v>5</v>
      </c>
      <c r="AL39" s="5">
        <f t="shared" si="50"/>
        <v>6</v>
      </c>
      <c r="AM39" s="336"/>
      <c r="AN39" s="336"/>
    </row>
    <row r="40" spans="1:41" s="388" customFormat="1" ht="31.5" customHeight="1" x14ac:dyDescent="0.25">
      <c r="A40" s="177">
        <v>1</v>
      </c>
      <c r="B40" s="309" t="s">
        <v>306</v>
      </c>
      <c r="C40" s="489" t="s">
        <v>345</v>
      </c>
      <c r="D40" s="489" t="s">
        <v>265</v>
      </c>
      <c r="E40" s="490" t="str">
        <f t="shared" si="1"/>
        <v>1/052/003/0031</v>
      </c>
      <c r="F40" s="75"/>
      <c r="G40" s="210" t="s">
        <v>1886</v>
      </c>
      <c r="H40" s="76" t="s">
        <v>1461</v>
      </c>
      <c r="I40" s="77" t="s">
        <v>309</v>
      </c>
      <c r="J40" s="297"/>
      <c r="K40" s="76" t="s">
        <v>311</v>
      </c>
      <c r="L40" s="199"/>
      <c r="M40" s="310"/>
      <c r="N40" s="75"/>
      <c r="O40" s="75"/>
      <c r="P40" s="75"/>
      <c r="Q40" s="201"/>
      <c r="R40" s="86"/>
      <c r="S40" s="73" t="s">
        <v>34</v>
      </c>
      <c r="T40" s="75"/>
      <c r="U40" s="75"/>
      <c r="V40" s="75"/>
      <c r="W40" s="200"/>
      <c r="X40" s="124"/>
      <c r="Y40" s="182"/>
      <c r="Z40" s="73"/>
      <c r="AA40" s="40"/>
      <c r="AB40" s="40"/>
      <c r="AC40" s="109"/>
      <c r="AD40" s="183"/>
      <c r="AE40" s="109"/>
      <c r="AF40" s="109"/>
      <c r="AG40" s="109"/>
      <c r="AH40" s="109" t="str">
        <f t="shared" si="46"/>
        <v>Years/Months/Days</v>
      </c>
      <c r="AI40" s="109" t="str">
        <f t="shared" si="47"/>
        <v>0years , 0months and 0days</v>
      </c>
      <c r="AJ40" s="124">
        <f t="shared" si="48"/>
        <v>0</v>
      </c>
      <c r="AK40" s="124">
        <f t="shared" si="49"/>
        <v>0</v>
      </c>
      <c r="AL40" s="124">
        <f t="shared" si="50"/>
        <v>0</v>
      </c>
      <c r="AO40" s="396"/>
    </row>
    <row r="41" spans="1:41" ht="31.5" customHeight="1" x14ac:dyDescent="0.25">
      <c r="A41" s="5">
        <v>1</v>
      </c>
      <c r="B41" s="309" t="s">
        <v>306</v>
      </c>
      <c r="C41" s="489" t="s">
        <v>352</v>
      </c>
      <c r="D41" s="489" t="s">
        <v>271</v>
      </c>
      <c r="E41" s="490" t="str">
        <f t="shared" si="1"/>
        <v>1/052/004/0032</v>
      </c>
      <c r="F41" s="75"/>
      <c r="G41" s="524" t="s">
        <v>331</v>
      </c>
      <c r="H41" s="76" t="s">
        <v>332</v>
      </c>
      <c r="I41" s="312" t="s">
        <v>333</v>
      </c>
      <c r="J41" s="297" t="s">
        <v>334</v>
      </c>
      <c r="K41" s="73" t="s">
        <v>311</v>
      </c>
      <c r="L41" s="75" t="s">
        <v>335</v>
      </c>
      <c r="M41" s="313" t="s">
        <v>336</v>
      </c>
      <c r="N41" s="75" t="s">
        <v>100</v>
      </c>
      <c r="O41" s="75" t="s">
        <v>328</v>
      </c>
      <c r="P41" s="75" t="s">
        <v>81</v>
      </c>
      <c r="Q41" s="201">
        <f t="shared" ref="Q41:Q72" si="51">DATE(P41,O41,N41)</f>
        <v>20620</v>
      </c>
      <c r="R41" s="534">
        <f t="shared" ref="R41:R72" ca="1" si="52">($G$7-Q41)/365</f>
        <v>69.608219178082194</v>
      </c>
      <c r="S41" s="73" t="s">
        <v>50</v>
      </c>
      <c r="T41" s="75" t="s">
        <v>324</v>
      </c>
      <c r="U41" s="75" t="s">
        <v>337</v>
      </c>
      <c r="V41" s="75" t="s">
        <v>37</v>
      </c>
      <c r="W41" s="200">
        <f t="shared" ref="W41:W72" si="53">DATE(V41,U41,T41)</f>
        <v>44808</v>
      </c>
      <c r="X41" s="5"/>
      <c r="Y41" s="115" t="s">
        <v>38</v>
      </c>
      <c r="Z41" s="73">
        <f t="shared" ref="Z41:Z72" ca="1" si="54">DATEDIF(W41,TODAY(),"Y")</f>
        <v>3</v>
      </c>
      <c r="AA41" s="40">
        <f t="shared" ref="AA41:AA72" ca="1" si="55">DATEDIF(W41,TODAY(),"YM")</f>
        <v>4</v>
      </c>
      <c r="AB41" s="40">
        <f t="shared" ref="AB41:AB72" ca="1" si="56">DATEDIF(W41,TODAY(),"MD")</f>
        <v>1</v>
      </c>
      <c r="AC41" s="15" t="str">
        <f t="shared" ref="AC41:AC72" ca="1" si="57">CONCATENATE(Z41,"Years","/",,AA41,"Months","/",AB41,"Days")</f>
        <v>3Years/4Months/1Days</v>
      </c>
      <c r="AD41" s="108">
        <f t="shared" ref="AD41:AD72" si="58">(DATE(P41,O41,N41)+21915)</f>
        <v>42535</v>
      </c>
      <c r="AE41" s="15" t="e">
        <f t="shared" ref="AE41:AE72" ca="1" si="59">DATEDIF(TODAY(),AD41,"Y")</f>
        <v>#NUM!</v>
      </c>
      <c r="AF41" s="15" t="e">
        <f t="shared" ref="AF41:AF72" ca="1" si="60">DATEDIF(TODAY(),AD41,"YM")</f>
        <v>#NUM!</v>
      </c>
      <c r="AG41" s="15" t="e">
        <f t="shared" ref="AG41:AG72" ca="1" si="61">DATEDIF(TODAY(),AD41,"MD")</f>
        <v>#NUM!</v>
      </c>
      <c r="AH41" s="15" t="e">
        <f t="shared" ca="1" si="46"/>
        <v>#NUM!</v>
      </c>
      <c r="AI41" s="15" t="e">
        <f t="shared" si="47"/>
        <v>#NUM!</v>
      </c>
      <c r="AJ41" s="5" t="e">
        <f t="shared" si="48"/>
        <v>#NUM!</v>
      </c>
      <c r="AK41" s="5" t="e">
        <f t="shared" si="49"/>
        <v>#NUM!</v>
      </c>
      <c r="AL41" s="5" t="e">
        <f t="shared" si="50"/>
        <v>#NUM!</v>
      </c>
      <c r="AM41" s="336"/>
      <c r="AN41" s="336"/>
    </row>
    <row r="42" spans="1:41" ht="31.5" customHeight="1" x14ac:dyDescent="0.25">
      <c r="A42" s="5">
        <v>1</v>
      </c>
      <c r="B42" s="309" t="s">
        <v>306</v>
      </c>
      <c r="C42" s="489" t="s">
        <v>361</v>
      </c>
      <c r="D42" s="489" t="s">
        <v>277</v>
      </c>
      <c r="E42" s="490" t="str">
        <f t="shared" si="1"/>
        <v>1/052/005/0033</v>
      </c>
      <c r="F42" s="75"/>
      <c r="G42" s="524" t="s">
        <v>340</v>
      </c>
      <c r="H42" s="76" t="s">
        <v>332</v>
      </c>
      <c r="I42" s="77" t="s">
        <v>341</v>
      </c>
      <c r="J42" s="297" t="s">
        <v>342</v>
      </c>
      <c r="K42" s="76" t="s">
        <v>311</v>
      </c>
      <c r="L42" s="199" t="s">
        <v>343</v>
      </c>
      <c r="M42" s="310" t="s">
        <v>344</v>
      </c>
      <c r="N42" s="75" t="s">
        <v>314</v>
      </c>
      <c r="O42" s="75" t="s">
        <v>314</v>
      </c>
      <c r="P42" s="75" t="s">
        <v>90</v>
      </c>
      <c r="Q42" s="201">
        <f t="shared" si="51"/>
        <v>19056</v>
      </c>
      <c r="R42" s="534">
        <f t="shared" ca="1" si="52"/>
        <v>73.893150684931513</v>
      </c>
      <c r="S42" s="73" t="s">
        <v>34</v>
      </c>
      <c r="T42" s="313">
        <v>3</v>
      </c>
      <c r="U42" s="75" t="s">
        <v>315</v>
      </c>
      <c r="V42" s="75" t="s">
        <v>37</v>
      </c>
      <c r="W42" s="200">
        <f t="shared" si="53"/>
        <v>44745</v>
      </c>
      <c r="X42" s="5"/>
      <c r="Y42" s="115" t="s">
        <v>38</v>
      </c>
      <c r="Z42" s="73">
        <f t="shared" ca="1" si="54"/>
        <v>3</v>
      </c>
      <c r="AA42" s="40">
        <f t="shared" ca="1" si="55"/>
        <v>6</v>
      </c>
      <c r="AB42" s="40">
        <f t="shared" ca="1" si="56"/>
        <v>2</v>
      </c>
      <c r="AC42" s="15" t="str">
        <f t="shared" ca="1" si="57"/>
        <v>3Years/6Months/2Days</v>
      </c>
      <c r="AD42" s="108">
        <f t="shared" si="58"/>
        <v>40971</v>
      </c>
      <c r="AE42" s="15" t="e">
        <f t="shared" ca="1" si="59"/>
        <v>#NUM!</v>
      </c>
      <c r="AF42" s="15" t="e">
        <f t="shared" ca="1" si="60"/>
        <v>#NUM!</v>
      </c>
      <c r="AG42" s="15" t="e">
        <f t="shared" ca="1" si="61"/>
        <v>#NUM!</v>
      </c>
      <c r="AH42" s="15" t="e">
        <f t="shared" ca="1" si="46"/>
        <v>#NUM!</v>
      </c>
      <c r="AI42" s="15" t="e">
        <f t="shared" si="47"/>
        <v>#NUM!</v>
      </c>
      <c r="AJ42" s="5" t="e">
        <f t="shared" si="48"/>
        <v>#NUM!</v>
      </c>
      <c r="AK42" s="5" t="e">
        <f t="shared" si="49"/>
        <v>#NUM!</v>
      </c>
      <c r="AL42" s="5" t="e">
        <f t="shared" si="50"/>
        <v>#NUM!</v>
      </c>
      <c r="AM42" s="336"/>
      <c r="AN42" s="336"/>
    </row>
    <row r="43" spans="1:41" ht="31.5" customHeight="1" x14ac:dyDescent="0.25">
      <c r="A43" s="5">
        <v>1</v>
      </c>
      <c r="B43" s="309" t="s">
        <v>306</v>
      </c>
      <c r="C43" s="489" t="s">
        <v>369</v>
      </c>
      <c r="D43" s="489" t="s">
        <v>282</v>
      </c>
      <c r="E43" s="490" t="str">
        <f t="shared" si="1"/>
        <v>1/052/006/0034</v>
      </c>
      <c r="F43" s="75"/>
      <c r="G43" s="311" t="s">
        <v>347</v>
      </c>
      <c r="H43" s="76" t="s">
        <v>332</v>
      </c>
      <c r="I43" s="77" t="s">
        <v>348</v>
      </c>
      <c r="J43" s="297" t="s">
        <v>349</v>
      </c>
      <c r="K43" s="76" t="s">
        <v>311</v>
      </c>
      <c r="L43" s="199" t="s">
        <v>350</v>
      </c>
      <c r="M43" s="310" t="s">
        <v>351</v>
      </c>
      <c r="N43" s="75" t="s">
        <v>89</v>
      </c>
      <c r="O43" s="75" t="s">
        <v>60</v>
      </c>
      <c r="P43" s="75" t="s">
        <v>181</v>
      </c>
      <c r="Q43" s="201">
        <f t="shared" si="51"/>
        <v>36846</v>
      </c>
      <c r="R43" s="86">
        <f t="shared" ca="1" si="52"/>
        <v>25.153424657534245</v>
      </c>
      <c r="S43" s="73" t="s">
        <v>50</v>
      </c>
      <c r="T43" s="75" t="s">
        <v>328</v>
      </c>
      <c r="U43" s="75" t="s">
        <v>337</v>
      </c>
      <c r="V43" s="75" t="s">
        <v>37</v>
      </c>
      <c r="W43" s="200">
        <f t="shared" si="53"/>
        <v>44810</v>
      </c>
      <c r="X43" s="5"/>
      <c r="Y43" s="115" t="s">
        <v>38</v>
      </c>
      <c r="Z43" s="73">
        <f t="shared" ca="1" si="54"/>
        <v>3</v>
      </c>
      <c r="AA43" s="40">
        <f t="shared" ca="1" si="55"/>
        <v>3</v>
      </c>
      <c r="AB43" s="40">
        <f t="shared" ca="1" si="56"/>
        <v>30</v>
      </c>
      <c r="AC43" s="15" t="str">
        <f t="shared" ca="1" si="57"/>
        <v>3Years/3Months/30Days</v>
      </c>
      <c r="AD43" s="108">
        <f t="shared" si="58"/>
        <v>58761</v>
      </c>
      <c r="AE43" s="15">
        <f t="shared" ca="1" si="59"/>
        <v>34</v>
      </c>
      <c r="AF43" s="15">
        <f t="shared" ca="1" si="60"/>
        <v>10</v>
      </c>
      <c r="AG43" s="15">
        <f t="shared" ca="1" si="61"/>
        <v>11</v>
      </c>
      <c r="AH43" s="15" t="str">
        <f t="shared" ca="1" si="46"/>
        <v>34Years/10Months/11Days</v>
      </c>
      <c r="AI43" s="15" t="str">
        <f t="shared" si="47"/>
        <v>38years , 2months and 10days</v>
      </c>
      <c r="AJ43" s="5">
        <f t="shared" si="48"/>
        <v>38</v>
      </c>
      <c r="AK43" s="5">
        <f t="shared" si="49"/>
        <v>2</v>
      </c>
      <c r="AL43" s="5">
        <f t="shared" si="50"/>
        <v>10</v>
      </c>
      <c r="AM43" s="336"/>
      <c r="AN43" s="336"/>
    </row>
    <row r="44" spans="1:41" ht="31.5" customHeight="1" x14ac:dyDescent="0.25">
      <c r="A44" s="5">
        <v>1</v>
      </c>
      <c r="B44" s="309" t="s">
        <v>306</v>
      </c>
      <c r="C44" s="489" t="s">
        <v>1374</v>
      </c>
      <c r="D44" s="489" t="s">
        <v>300</v>
      </c>
      <c r="E44" s="490" t="str">
        <f t="shared" si="1"/>
        <v>1/052/009/0037</v>
      </c>
      <c r="F44" s="75"/>
      <c r="G44" s="311" t="s">
        <v>371</v>
      </c>
      <c r="H44" s="76" t="s">
        <v>332</v>
      </c>
      <c r="I44" s="77" t="s">
        <v>372</v>
      </c>
      <c r="J44" s="297" t="s">
        <v>373</v>
      </c>
      <c r="K44" s="76" t="s">
        <v>311</v>
      </c>
      <c r="L44" s="199" t="s">
        <v>374</v>
      </c>
      <c r="M44" s="310" t="s">
        <v>375</v>
      </c>
      <c r="N44" s="75" t="s">
        <v>327</v>
      </c>
      <c r="O44" s="75" t="s">
        <v>328</v>
      </c>
      <c r="P44" s="75" t="s">
        <v>376</v>
      </c>
      <c r="Q44" s="201">
        <f t="shared" si="51"/>
        <v>31929</v>
      </c>
      <c r="R44" s="86">
        <f t="shared" ca="1" si="52"/>
        <v>38.624657534246573</v>
      </c>
      <c r="S44" s="73" t="s">
        <v>34</v>
      </c>
      <c r="T44" s="75" t="s">
        <v>327</v>
      </c>
      <c r="U44" s="75" t="s">
        <v>315</v>
      </c>
      <c r="V44" s="75" t="s">
        <v>37</v>
      </c>
      <c r="W44" s="200">
        <f t="shared" si="53"/>
        <v>44743</v>
      </c>
      <c r="X44" s="5"/>
      <c r="Y44" s="115" t="s">
        <v>38</v>
      </c>
      <c r="Z44" s="73">
        <f t="shared" ca="1" si="54"/>
        <v>3</v>
      </c>
      <c r="AA44" s="40">
        <f t="shared" ca="1" si="55"/>
        <v>6</v>
      </c>
      <c r="AB44" s="40">
        <f t="shared" ca="1" si="56"/>
        <v>4</v>
      </c>
      <c r="AC44" s="15" t="str">
        <f t="shared" ca="1" si="57"/>
        <v>3Years/6Months/4Days</v>
      </c>
      <c r="AD44" s="108">
        <f t="shared" si="58"/>
        <v>53844</v>
      </c>
      <c r="AE44" s="15">
        <f t="shared" ca="1" si="59"/>
        <v>21</v>
      </c>
      <c r="AF44" s="15">
        <f t="shared" ca="1" si="60"/>
        <v>4</v>
      </c>
      <c r="AG44" s="15">
        <f t="shared" ca="1" si="61"/>
        <v>27</v>
      </c>
      <c r="AH44" s="15" t="str">
        <f t="shared" ca="1" si="46"/>
        <v>21Years/4Months/27Days</v>
      </c>
      <c r="AI44" s="15" t="str">
        <f t="shared" si="47"/>
        <v>24years , 11months and 0days</v>
      </c>
      <c r="AJ44" s="5">
        <f t="shared" si="48"/>
        <v>24</v>
      </c>
      <c r="AK44" s="5">
        <f t="shared" si="49"/>
        <v>11</v>
      </c>
      <c r="AL44" s="5">
        <f t="shared" si="50"/>
        <v>0</v>
      </c>
      <c r="AM44" s="336"/>
      <c r="AN44" s="336"/>
    </row>
    <row r="45" spans="1:41" ht="31.5" customHeight="1" x14ac:dyDescent="0.25">
      <c r="A45" s="5">
        <v>1</v>
      </c>
      <c r="B45" s="309" t="s">
        <v>306</v>
      </c>
      <c r="C45" s="489" t="s">
        <v>1037</v>
      </c>
      <c r="D45" s="489" t="s">
        <v>316</v>
      </c>
      <c r="E45" s="490" t="str">
        <f t="shared" si="1"/>
        <v>1/052/011/0039</v>
      </c>
      <c r="F45" s="75"/>
      <c r="G45" s="311" t="s">
        <v>386</v>
      </c>
      <c r="H45" s="76" t="s">
        <v>332</v>
      </c>
      <c r="I45" s="314" t="s">
        <v>387</v>
      </c>
      <c r="J45" s="315" t="s">
        <v>388</v>
      </c>
      <c r="K45" s="76" t="s">
        <v>311</v>
      </c>
      <c r="L45" s="316">
        <v>779848898</v>
      </c>
      <c r="M45" s="82" t="s">
        <v>389</v>
      </c>
      <c r="N45" s="75" t="s">
        <v>324</v>
      </c>
      <c r="O45" s="75" t="s">
        <v>70</v>
      </c>
      <c r="P45" s="75" t="s">
        <v>390</v>
      </c>
      <c r="Q45" s="201">
        <f t="shared" si="51"/>
        <v>25541</v>
      </c>
      <c r="R45" s="86">
        <f t="shared" ca="1" si="52"/>
        <v>56.126027397260273</v>
      </c>
      <c r="S45" s="73" t="s">
        <v>34</v>
      </c>
      <c r="T45" s="75" t="s">
        <v>314</v>
      </c>
      <c r="U45" s="75" t="s">
        <v>327</v>
      </c>
      <c r="V45" s="75" t="s">
        <v>64</v>
      </c>
      <c r="W45" s="200">
        <f t="shared" si="53"/>
        <v>44929</v>
      </c>
      <c r="X45" s="5"/>
      <c r="Y45" s="115" t="s">
        <v>38</v>
      </c>
      <c r="Z45" s="73">
        <f t="shared" ca="1" si="54"/>
        <v>3</v>
      </c>
      <c r="AA45" s="40">
        <f t="shared" ca="1" si="55"/>
        <v>0</v>
      </c>
      <c r="AB45" s="40">
        <f t="shared" ca="1" si="56"/>
        <v>2</v>
      </c>
      <c r="AC45" s="15" t="str">
        <f t="shared" ca="1" si="57"/>
        <v>3Years/0Months/2Days</v>
      </c>
      <c r="AD45" s="108">
        <f t="shared" si="58"/>
        <v>47456</v>
      </c>
      <c r="AE45" s="15">
        <f t="shared" ca="1" si="59"/>
        <v>3</v>
      </c>
      <c r="AF45" s="15">
        <f t="shared" ca="1" si="60"/>
        <v>10</v>
      </c>
      <c r="AG45" s="15">
        <f t="shared" ca="1" si="61"/>
        <v>29</v>
      </c>
      <c r="AH45" s="15" t="str">
        <f t="shared" ca="1" si="46"/>
        <v>3Years/10Months/29Days</v>
      </c>
      <c r="AI45" s="15" t="str">
        <f t="shared" si="47"/>
        <v>6years , 11months and 1days</v>
      </c>
      <c r="AJ45" s="5">
        <f t="shared" si="48"/>
        <v>6</v>
      </c>
      <c r="AK45" s="5">
        <f t="shared" si="49"/>
        <v>11</v>
      </c>
      <c r="AL45" s="5">
        <f t="shared" si="50"/>
        <v>1</v>
      </c>
      <c r="AM45" s="336"/>
      <c r="AN45" s="336"/>
    </row>
    <row r="46" spans="1:41" ht="31.5" customHeight="1" x14ac:dyDescent="0.25">
      <c r="A46" s="5">
        <v>1</v>
      </c>
      <c r="B46" s="309" t="s">
        <v>306</v>
      </c>
      <c r="C46" s="489" t="s">
        <v>1376</v>
      </c>
      <c r="D46" s="489" t="s">
        <v>325</v>
      </c>
      <c r="E46" s="490" t="str">
        <f t="shared" si="1"/>
        <v>1/052/012/0040</v>
      </c>
      <c r="F46" s="75"/>
      <c r="G46" s="317" t="s">
        <v>392</v>
      </c>
      <c r="H46" s="73" t="s">
        <v>393</v>
      </c>
      <c r="I46" s="77" t="s">
        <v>394</v>
      </c>
      <c r="J46" s="297" t="s">
        <v>395</v>
      </c>
      <c r="K46" s="76" t="s">
        <v>311</v>
      </c>
      <c r="L46" s="199" t="s">
        <v>396</v>
      </c>
      <c r="M46" s="310" t="s">
        <v>397</v>
      </c>
      <c r="N46" s="75" t="s">
        <v>203</v>
      </c>
      <c r="O46" s="75" t="s">
        <v>324</v>
      </c>
      <c r="P46" s="75" t="s">
        <v>398</v>
      </c>
      <c r="Q46" s="201">
        <f t="shared" si="51"/>
        <v>24950</v>
      </c>
      <c r="R46" s="86">
        <f t="shared" ca="1" si="52"/>
        <v>57.745205479452054</v>
      </c>
      <c r="S46" s="73" t="s">
        <v>50</v>
      </c>
      <c r="T46" s="75" t="s">
        <v>327</v>
      </c>
      <c r="U46" s="75" t="s">
        <v>328</v>
      </c>
      <c r="V46" s="75" t="s">
        <v>72</v>
      </c>
      <c r="W46" s="200">
        <f t="shared" si="53"/>
        <v>37773</v>
      </c>
      <c r="X46" s="5" t="s">
        <v>38</v>
      </c>
      <c r="Y46" s="115"/>
      <c r="Z46" s="73">
        <f t="shared" ca="1" si="54"/>
        <v>22</v>
      </c>
      <c r="AA46" s="40">
        <f t="shared" ca="1" si="55"/>
        <v>7</v>
      </c>
      <c r="AB46" s="40">
        <f t="shared" ca="1" si="56"/>
        <v>4</v>
      </c>
      <c r="AC46" s="15" t="str">
        <f t="shared" ca="1" si="57"/>
        <v>22Years/7Months/4Days</v>
      </c>
      <c r="AD46" s="108">
        <f t="shared" si="58"/>
        <v>46865</v>
      </c>
      <c r="AE46" s="15">
        <f t="shared" ca="1" si="59"/>
        <v>2</v>
      </c>
      <c r="AF46" s="15">
        <f t="shared" ca="1" si="60"/>
        <v>3</v>
      </c>
      <c r="AG46" s="15">
        <f t="shared" ca="1" si="61"/>
        <v>17</v>
      </c>
      <c r="AH46" s="15" t="str">
        <f t="shared" ca="1" si="46"/>
        <v>2Years/3Months/17Days</v>
      </c>
      <c r="AI46" s="15" t="str">
        <f t="shared" si="47"/>
        <v>24years , 10months and 21days</v>
      </c>
      <c r="AJ46" s="5">
        <f t="shared" si="48"/>
        <v>24</v>
      </c>
      <c r="AK46" s="5">
        <f t="shared" si="49"/>
        <v>10</v>
      </c>
      <c r="AL46" s="5">
        <f t="shared" si="50"/>
        <v>21</v>
      </c>
      <c r="AM46" s="336"/>
      <c r="AN46" s="336"/>
    </row>
    <row r="47" spans="1:41" ht="31.5" customHeight="1" x14ac:dyDescent="0.25">
      <c r="A47" s="5">
        <v>1</v>
      </c>
      <c r="B47" s="309" t="s">
        <v>306</v>
      </c>
      <c r="C47" s="489" t="s">
        <v>1377</v>
      </c>
      <c r="D47" s="489" t="s">
        <v>330</v>
      </c>
      <c r="E47" s="490" t="str">
        <f t="shared" si="1"/>
        <v>1/052/013/0041</v>
      </c>
      <c r="F47" s="75"/>
      <c r="G47" s="318" t="s">
        <v>400</v>
      </c>
      <c r="H47" s="76" t="s">
        <v>401</v>
      </c>
      <c r="I47" s="314" t="s">
        <v>402</v>
      </c>
      <c r="J47" s="297" t="s">
        <v>403</v>
      </c>
      <c r="K47" s="76" t="s">
        <v>311</v>
      </c>
      <c r="L47" s="199" t="s">
        <v>404</v>
      </c>
      <c r="M47" s="310" t="s">
        <v>405</v>
      </c>
      <c r="N47" s="75" t="s">
        <v>188</v>
      </c>
      <c r="O47" s="75" t="s">
        <v>315</v>
      </c>
      <c r="P47" s="75" t="s">
        <v>129</v>
      </c>
      <c r="Q47" s="201">
        <f t="shared" si="51"/>
        <v>29423</v>
      </c>
      <c r="R47" s="86">
        <f t="shared" ca="1" si="52"/>
        <v>45.490410958904107</v>
      </c>
      <c r="S47" s="73" t="s">
        <v>50</v>
      </c>
      <c r="T47" s="75" t="s">
        <v>327</v>
      </c>
      <c r="U47" s="75" t="s">
        <v>337</v>
      </c>
      <c r="V47" s="75" t="s">
        <v>72</v>
      </c>
      <c r="W47" s="200">
        <f t="shared" si="53"/>
        <v>37865</v>
      </c>
      <c r="X47" s="5" t="s">
        <v>38</v>
      </c>
      <c r="Y47" s="115"/>
      <c r="Z47" s="73">
        <f t="shared" ca="1" si="54"/>
        <v>22</v>
      </c>
      <c r="AA47" s="40">
        <f t="shared" ca="1" si="55"/>
        <v>4</v>
      </c>
      <c r="AB47" s="40">
        <f t="shared" ca="1" si="56"/>
        <v>4</v>
      </c>
      <c r="AC47" s="15" t="str">
        <f t="shared" ca="1" si="57"/>
        <v>22Years/4Months/4Days</v>
      </c>
      <c r="AD47" s="108">
        <f t="shared" si="58"/>
        <v>51338</v>
      </c>
      <c r="AE47" s="15">
        <f t="shared" ca="1" si="59"/>
        <v>14</v>
      </c>
      <c r="AF47" s="15">
        <f t="shared" ca="1" si="60"/>
        <v>6</v>
      </c>
      <c r="AG47" s="15">
        <f t="shared" ca="1" si="61"/>
        <v>16</v>
      </c>
      <c r="AH47" s="15" t="str">
        <f t="shared" ca="1" si="46"/>
        <v>14Years/6Months/16Days</v>
      </c>
      <c r="AI47" s="15" t="str">
        <f t="shared" si="47"/>
        <v>36years , 10months and 20days</v>
      </c>
      <c r="AJ47" s="5">
        <f t="shared" si="48"/>
        <v>36</v>
      </c>
      <c r="AK47" s="5">
        <f t="shared" si="49"/>
        <v>10</v>
      </c>
      <c r="AL47" s="5">
        <f t="shared" si="50"/>
        <v>20</v>
      </c>
      <c r="AM47" s="336"/>
      <c r="AN47" s="336"/>
    </row>
    <row r="48" spans="1:41" ht="31.5" customHeight="1" x14ac:dyDescent="0.25">
      <c r="A48" s="5">
        <v>1</v>
      </c>
      <c r="B48" s="309" t="s">
        <v>306</v>
      </c>
      <c r="C48" s="489" t="s">
        <v>1378</v>
      </c>
      <c r="D48" s="489" t="s">
        <v>339</v>
      </c>
      <c r="E48" s="490" t="str">
        <f t="shared" si="1"/>
        <v>1/052/014/0042</v>
      </c>
      <c r="F48" s="75"/>
      <c r="G48" s="317" t="s">
        <v>407</v>
      </c>
      <c r="H48" s="76" t="s">
        <v>42</v>
      </c>
      <c r="I48" s="314" t="s">
        <v>408</v>
      </c>
      <c r="J48" s="297" t="s">
        <v>409</v>
      </c>
      <c r="K48" s="76" t="s">
        <v>311</v>
      </c>
      <c r="L48" s="199" t="s">
        <v>410</v>
      </c>
      <c r="M48" s="310" t="s">
        <v>411</v>
      </c>
      <c r="N48" s="75" t="s">
        <v>136</v>
      </c>
      <c r="O48" s="75" t="s">
        <v>70</v>
      </c>
      <c r="P48" s="75" t="s">
        <v>180</v>
      </c>
      <c r="Q48" s="201">
        <f t="shared" si="51"/>
        <v>27387</v>
      </c>
      <c r="R48" s="86">
        <f t="shared" ca="1" si="52"/>
        <v>51.06849315068493</v>
      </c>
      <c r="S48" s="73" t="s">
        <v>50</v>
      </c>
      <c r="T48" s="75" t="s">
        <v>114</v>
      </c>
      <c r="U48" s="75" t="s">
        <v>412</v>
      </c>
      <c r="V48" s="75" t="s">
        <v>413</v>
      </c>
      <c r="W48" s="200">
        <f t="shared" si="53"/>
        <v>38032</v>
      </c>
      <c r="X48" s="5" t="s">
        <v>38</v>
      </c>
      <c r="Y48" s="115"/>
      <c r="Z48" s="73">
        <f t="shared" ca="1" si="54"/>
        <v>21</v>
      </c>
      <c r="AA48" s="40">
        <f t="shared" ca="1" si="55"/>
        <v>10</v>
      </c>
      <c r="AB48" s="40">
        <f t="shared" ca="1" si="56"/>
        <v>21</v>
      </c>
      <c r="AC48" s="15" t="str">
        <f t="shared" ca="1" si="57"/>
        <v>21Years/10Months/21Days</v>
      </c>
      <c r="AD48" s="108">
        <f t="shared" si="58"/>
        <v>49302</v>
      </c>
      <c r="AE48" s="15">
        <f t="shared" ca="1" si="59"/>
        <v>8</v>
      </c>
      <c r="AF48" s="15">
        <f t="shared" ca="1" si="60"/>
        <v>11</v>
      </c>
      <c r="AG48" s="15">
        <f t="shared" ca="1" si="61"/>
        <v>19</v>
      </c>
      <c r="AH48" s="15" t="str">
        <f t="shared" ca="1" si="46"/>
        <v>8Years/11Months/19Days</v>
      </c>
      <c r="AI48" s="15" t="str">
        <f t="shared" si="47"/>
        <v>30years , 10months and 9days</v>
      </c>
      <c r="AJ48" s="5">
        <f t="shared" si="48"/>
        <v>30</v>
      </c>
      <c r="AK48" s="5">
        <f t="shared" si="49"/>
        <v>10</v>
      </c>
      <c r="AL48" s="5">
        <f t="shared" si="50"/>
        <v>9</v>
      </c>
      <c r="AM48" s="336"/>
      <c r="AN48" s="336"/>
    </row>
    <row r="49" spans="1:40" ht="31.5" customHeight="1" x14ac:dyDescent="0.25">
      <c r="A49" s="5">
        <v>1</v>
      </c>
      <c r="B49" s="309" t="s">
        <v>306</v>
      </c>
      <c r="C49" s="489" t="s">
        <v>1380</v>
      </c>
      <c r="D49" s="489" t="s">
        <v>353</v>
      </c>
      <c r="E49" s="490" t="str">
        <f t="shared" si="1"/>
        <v>1/052/016/0044</v>
      </c>
      <c r="F49" s="75"/>
      <c r="G49" s="317" t="s">
        <v>422</v>
      </c>
      <c r="H49" s="76" t="s">
        <v>42</v>
      </c>
      <c r="I49" s="314" t="s">
        <v>423</v>
      </c>
      <c r="J49" s="297" t="s">
        <v>424</v>
      </c>
      <c r="K49" s="76" t="s">
        <v>311</v>
      </c>
      <c r="L49" s="199" t="s">
        <v>425</v>
      </c>
      <c r="M49" s="310" t="s">
        <v>426</v>
      </c>
      <c r="N49" s="75" t="s">
        <v>324</v>
      </c>
      <c r="O49" s="75" t="s">
        <v>36</v>
      </c>
      <c r="P49" s="75" t="s">
        <v>137</v>
      </c>
      <c r="Q49" s="201">
        <f t="shared" si="51"/>
        <v>30593</v>
      </c>
      <c r="R49" s="86">
        <f t="shared" ca="1" si="52"/>
        <v>42.284931506849318</v>
      </c>
      <c r="S49" s="73" t="s">
        <v>50</v>
      </c>
      <c r="T49" s="75" t="s">
        <v>314</v>
      </c>
      <c r="U49" s="75" t="s">
        <v>360</v>
      </c>
      <c r="V49" s="75" t="s">
        <v>420</v>
      </c>
      <c r="W49" s="200">
        <f t="shared" si="53"/>
        <v>38475</v>
      </c>
      <c r="X49" s="5" t="s">
        <v>38</v>
      </c>
      <c r="Y49" s="115"/>
      <c r="Z49" s="73">
        <f t="shared" ca="1" si="54"/>
        <v>20</v>
      </c>
      <c r="AA49" s="40">
        <f t="shared" ca="1" si="55"/>
        <v>8</v>
      </c>
      <c r="AB49" s="40">
        <f t="shared" ca="1" si="56"/>
        <v>2</v>
      </c>
      <c r="AC49" s="15" t="str">
        <f t="shared" ca="1" si="57"/>
        <v>20Years/8Months/2Days</v>
      </c>
      <c r="AD49" s="108">
        <f t="shared" si="58"/>
        <v>52508</v>
      </c>
      <c r="AE49" s="15">
        <f t="shared" ca="1" si="59"/>
        <v>17</v>
      </c>
      <c r="AF49" s="15">
        <f t="shared" ca="1" si="60"/>
        <v>8</v>
      </c>
      <c r="AG49" s="15">
        <f t="shared" ca="1" si="61"/>
        <v>29</v>
      </c>
      <c r="AH49" s="15" t="str">
        <f t="shared" ca="1" si="46"/>
        <v>17Years/8Months/29Days</v>
      </c>
      <c r="AI49" s="15" t="str">
        <f t="shared" si="47"/>
        <v>38years , 5months and 1days</v>
      </c>
      <c r="AJ49" s="5">
        <f t="shared" si="48"/>
        <v>38</v>
      </c>
      <c r="AK49" s="5">
        <f t="shared" si="49"/>
        <v>5</v>
      </c>
      <c r="AL49" s="5">
        <f t="shared" si="50"/>
        <v>1</v>
      </c>
      <c r="AM49" s="336"/>
      <c r="AN49" s="336"/>
    </row>
    <row r="50" spans="1:40" ht="31.5" customHeight="1" x14ac:dyDescent="0.25">
      <c r="A50" s="5">
        <v>1</v>
      </c>
      <c r="B50" s="309" t="s">
        <v>306</v>
      </c>
      <c r="C50" s="489" t="s">
        <v>1021</v>
      </c>
      <c r="D50" s="489" t="s">
        <v>362</v>
      </c>
      <c r="E50" s="490" t="str">
        <f t="shared" si="1"/>
        <v>1/052/017/0045</v>
      </c>
      <c r="F50" s="75"/>
      <c r="G50" s="317" t="s">
        <v>428</v>
      </c>
      <c r="H50" s="76" t="s">
        <v>42</v>
      </c>
      <c r="I50" s="314" t="s">
        <v>429</v>
      </c>
      <c r="J50" s="297" t="s">
        <v>430</v>
      </c>
      <c r="K50" s="76" t="s">
        <v>311</v>
      </c>
      <c r="L50" s="199" t="s">
        <v>431</v>
      </c>
      <c r="M50" s="310" t="s">
        <v>432</v>
      </c>
      <c r="N50" s="75" t="s">
        <v>368</v>
      </c>
      <c r="O50" s="75" t="s">
        <v>314</v>
      </c>
      <c r="P50" s="75" t="s">
        <v>137</v>
      </c>
      <c r="Q50" s="201">
        <f t="shared" si="51"/>
        <v>30383</v>
      </c>
      <c r="R50" s="86">
        <f t="shared" ca="1" si="52"/>
        <v>42.860273972602741</v>
      </c>
      <c r="S50" s="73" t="s">
        <v>50</v>
      </c>
      <c r="T50" s="75" t="s">
        <v>89</v>
      </c>
      <c r="U50" s="75" t="s">
        <v>360</v>
      </c>
      <c r="V50" s="75" t="s">
        <v>420</v>
      </c>
      <c r="W50" s="200">
        <f t="shared" si="53"/>
        <v>38488</v>
      </c>
      <c r="X50" s="5" t="s">
        <v>38</v>
      </c>
      <c r="Y50" s="115"/>
      <c r="Z50" s="73">
        <f t="shared" ca="1" si="54"/>
        <v>20</v>
      </c>
      <c r="AA50" s="40">
        <f t="shared" ca="1" si="55"/>
        <v>7</v>
      </c>
      <c r="AB50" s="40">
        <f t="shared" ca="1" si="56"/>
        <v>20</v>
      </c>
      <c r="AC50" s="15" t="str">
        <f t="shared" ca="1" si="57"/>
        <v>20Years/7Months/20Days</v>
      </c>
      <c r="AD50" s="108">
        <f t="shared" si="58"/>
        <v>52298</v>
      </c>
      <c r="AE50" s="15">
        <f t="shared" ca="1" si="59"/>
        <v>17</v>
      </c>
      <c r="AF50" s="15">
        <f t="shared" ca="1" si="60"/>
        <v>2</v>
      </c>
      <c r="AG50" s="15">
        <f t="shared" ca="1" si="61"/>
        <v>3</v>
      </c>
      <c r="AH50" s="15" t="str">
        <f t="shared" ca="1" si="46"/>
        <v>17Years/2Months/3Days</v>
      </c>
      <c r="AI50" s="15" t="str">
        <f t="shared" si="47"/>
        <v>37years , 9months and 20days</v>
      </c>
      <c r="AJ50" s="5">
        <f t="shared" si="48"/>
        <v>37</v>
      </c>
      <c r="AK50" s="5">
        <f t="shared" si="49"/>
        <v>9</v>
      </c>
      <c r="AL50" s="5">
        <f t="shared" si="50"/>
        <v>20</v>
      </c>
      <c r="AM50" s="336"/>
      <c r="AN50" s="336"/>
    </row>
    <row r="51" spans="1:40" ht="31.5" customHeight="1" x14ac:dyDescent="0.25">
      <c r="A51" s="5">
        <v>1</v>
      </c>
      <c r="B51" s="309" t="s">
        <v>306</v>
      </c>
      <c r="C51" s="489" t="s">
        <v>1041</v>
      </c>
      <c r="D51" s="489" t="s">
        <v>370</v>
      </c>
      <c r="E51" s="490" t="str">
        <f t="shared" si="1"/>
        <v>1/052/018/0046</v>
      </c>
      <c r="F51" s="75"/>
      <c r="G51" s="317" t="s">
        <v>434</v>
      </c>
      <c r="H51" s="76" t="s">
        <v>42</v>
      </c>
      <c r="I51" s="314" t="s">
        <v>435</v>
      </c>
      <c r="J51" s="297" t="s">
        <v>436</v>
      </c>
      <c r="K51" s="76" t="s">
        <v>311</v>
      </c>
      <c r="L51" s="199" t="s">
        <v>437</v>
      </c>
      <c r="M51" s="310" t="s">
        <v>438</v>
      </c>
      <c r="N51" s="75" t="s">
        <v>157</v>
      </c>
      <c r="O51" s="75" t="s">
        <v>368</v>
      </c>
      <c r="P51" s="75" t="s">
        <v>169</v>
      </c>
      <c r="Q51" s="201">
        <f t="shared" si="51"/>
        <v>28719</v>
      </c>
      <c r="R51" s="86">
        <f t="shared" ca="1" si="52"/>
        <v>47.419178082191777</v>
      </c>
      <c r="S51" s="73" t="s">
        <v>34</v>
      </c>
      <c r="T51" s="75" t="s">
        <v>327</v>
      </c>
      <c r="U51" s="75" t="s">
        <v>337</v>
      </c>
      <c r="V51" s="75" t="s">
        <v>439</v>
      </c>
      <c r="W51" s="200">
        <f t="shared" si="53"/>
        <v>38961</v>
      </c>
      <c r="X51" s="5" t="s">
        <v>38</v>
      </c>
      <c r="Y51" s="115"/>
      <c r="Z51" s="73">
        <f t="shared" ca="1" si="54"/>
        <v>19</v>
      </c>
      <c r="AA51" s="40">
        <f t="shared" ca="1" si="55"/>
        <v>4</v>
      </c>
      <c r="AB51" s="40">
        <f t="shared" ca="1" si="56"/>
        <v>4</v>
      </c>
      <c r="AC51" s="15" t="str">
        <f t="shared" ca="1" si="57"/>
        <v>19Years/4Months/4Days</v>
      </c>
      <c r="AD51" s="108">
        <f t="shared" si="58"/>
        <v>50634</v>
      </c>
      <c r="AE51" s="15">
        <f t="shared" ca="1" si="59"/>
        <v>12</v>
      </c>
      <c r="AF51" s="15">
        <f t="shared" ca="1" si="60"/>
        <v>7</v>
      </c>
      <c r="AG51" s="15">
        <f t="shared" ca="1" si="61"/>
        <v>12</v>
      </c>
      <c r="AH51" s="15" t="str">
        <f t="shared" ca="1" si="46"/>
        <v>12Years/7Months/12Days</v>
      </c>
      <c r="AI51" s="15" t="str">
        <f t="shared" si="47"/>
        <v>31years , 11months and 16days</v>
      </c>
      <c r="AJ51" s="5">
        <f t="shared" si="48"/>
        <v>31</v>
      </c>
      <c r="AK51" s="5">
        <f t="shared" si="49"/>
        <v>11</v>
      </c>
      <c r="AL51" s="5">
        <f t="shared" si="50"/>
        <v>16</v>
      </c>
      <c r="AM51" s="336"/>
      <c r="AN51" s="336"/>
    </row>
    <row r="52" spans="1:40" ht="31.5" customHeight="1" x14ac:dyDescent="0.25">
      <c r="A52" s="5">
        <v>1</v>
      </c>
      <c r="B52" s="309" t="s">
        <v>306</v>
      </c>
      <c r="C52" s="489" t="s">
        <v>1381</v>
      </c>
      <c r="D52" s="489" t="s">
        <v>378</v>
      </c>
      <c r="E52" s="490" t="str">
        <f t="shared" si="1"/>
        <v>1/052/019/0047</v>
      </c>
      <c r="F52" s="75"/>
      <c r="G52" s="317" t="s">
        <v>441</v>
      </c>
      <c r="H52" s="76" t="s">
        <v>42</v>
      </c>
      <c r="I52" s="314" t="s">
        <v>442</v>
      </c>
      <c r="J52" s="297" t="s">
        <v>443</v>
      </c>
      <c r="K52" s="76" t="s">
        <v>311</v>
      </c>
      <c r="L52" s="199" t="s">
        <v>444</v>
      </c>
      <c r="M52" s="310" t="s">
        <v>445</v>
      </c>
      <c r="N52" s="75" t="s">
        <v>315</v>
      </c>
      <c r="O52" s="75" t="s">
        <v>328</v>
      </c>
      <c r="P52" s="75" t="s">
        <v>298</v>
      </c>
      <c r="Q52" s="201">
        <f t="shared" si="51"/>
        <v>30840</v>
      </c>
      <c r="R52" s="86">
        <f t="shared" ca="1" si="52"/>
        <v>41.608219178082194</v>
      </c>
      <c r="S52" s="73" t="s">
        <v>50</v>
      </c>
      <c r="T52" s="75" t="s">
        <v>327</v>
      </c>
      <c r="U52" s="75" t="s">
        <v>337</v>
      </c>
      <c r="V52" s="75" t="s">
        <v>439</v>
      </c>
      <c r="W52" s="200">
        <f t="shared" si="53"/>
        <v>38961</v>
      </c>
      <c r="X52" s="5" t="s">
        <v>38</v>
      </c>
      <c r="Y52" s="115"/>
      <c r="Z52" s="73">
        <f t="shared" ca="1" si="54"/>
        <v>19</v>
      </c>
      <c r="AA52" s="40">
        <f t="shared" ca="1" si="55"/>
        <v>4</v>
      </c>
      <c r="AB52" s="40">
        <f t="shared" ca="1" si="56"/>
        <v>4</v>
      </c>
      <c r="AC52" s="15" t="str">
        <f t="shared" ca="1" si="57"/>
        <v>19Years/4Months/4Days</v>
      </c>
      <c r="AD52" s="108">
        <f t="shared" si="58"/>
        <v>52755</v>
      </c>
      <c r="AE52" s="15">
        <f t="shared" ca="1" si="59"/>
        <v>18</v>
      </c>
      <c r="AF52" s="15">
        <f t="shared" ca="1" si="60"/>
        <v>5</v>
      </c>
      <c r="AG52" s="15">
        <f t="shared" ca="1" si="61"/>
        <v>2</v>
      </c>
      <c r="AH52" s="15" t="str">
        <f t="shared" ca="1" si="46"/>
        <v>18Years/5Months/2Days</v>
      </c>
      <c r="AI52" s="15" t="b">
        <f>Sheet2!B6=CONCATENATE(AJ52,"years", " ",",", " ",AK52,"months ","and"," ",AL52,"days")</f>
        <v>0</v>
      </c>
      <c r="AJ52" s="5">
        <f t="shared" si="48"/>
        <v>37</v>
      </c>
      <c r="AK52" s="5">
        <f t="shared" si="49"/>
        <v>9</v>
      </c>
      <c r="AL52" s="5">
        <f t="shared" si="50"/>
        <v>6</v>
      </c>
      <c r="AM52" s="336"/>
      <c r="AN52" s="336"/>
    </row>
    <row r="53" spans="1:40" ht="31.5" customHeight="1" x14ac:dyDescent="0.25">
      <c r="A53" s="5">
        <v>1</v>
      </c>
      <c r="B53" s="309" t="s">
        <v>306</v>
      </c>
      <c r="C53" s="489" t="s">
        <v>1382</v>
      </c>
      <c r="D53" s="489" t="s">
        <v>385</v>
      </c>
      <c r="E53" s="490" t="str">
        <f t="shared" si="1"/>
        <v>1/052/020/0048</v>
      </c>
      <c r="F53" s="75"/>
      <c r="G53" s="317" t="s">
        <v>447</v>
      </c>
      <c r="H53" s="76" t="s">
        <v>42</v>
      </c>
      <c r="I53" s="314" t="s">
        <v>448</v>
      </c>
      <c r="J53" s="297" t="s">
        <v>449</v>
      </c>
      <c r="K53" s="76" t="s">
        <v>311</v>
      </c>
      <c r="L53" s="199" t="s">
        <v>450</v>
      </c>
      <c r="M53" s="310" t="s">
        <v>451</v>
      </c>
      <c r="N53" s="75" t="s">
        <v>70</v>
      </c>
      <c r="O53" s="75" t="s">
        <v>327</v>
      </c>
      <c r="P53" s="75" t="s">
        <v>452</v>
      </c>
      <c r="Q53" s="201">
        <f t="shared" si="51"/>
        <v>29598</v>
      </c>
      <c r="R53" s="86">
        <f t="shared" ca="1" si="52"/>
        <v>45.010958904109586</v>
      </c>
      <c r="S53" s="73" t="s">
        <v>50</v>
      </c>
      <c r="T53" s="75" t="s">
        <v>327</v>
      </c>
      <c r="U53" s="75" t="s">
        <v>36</v>
      </c>
      <c r="V53" s="75" t="s">
        <v>439</v>
      </c>
      <c r="W53" s="200">
        <f t="shared" si="53"/>
        <v>38991</v>
      </c>
      <c r="X53" s="5" t="s">
        <v>38</v>
      </c>
      <c r="Y53" s="115"/>
      <c r="Z53" s="73">
        <f t="shared" ca="1" si="54"/>
        <v>19</v>
      </c>
      <c r="AA53" s="40">
        <f t="shared" ca="1" si="55"/>
        <v>3</v>
      </c>
      <c r="AB53" s="40">
        <f t="shared" ca="1" si="56"/>
        <v>4</v>
      </c>
      <c r="AC53" s="15" t="str">
        <f t="shared" ca="1" si="57"/>
        <v>19Years/3Months/4Days</v>
      </c>
      <c r="AD53" s="108">
        <f t="shared" si="58"/>
        <v>51513</v>
      </c>
      <c r="AE53" s="15">
        <f t="shared" ca="1" si="59"/>
        <v>15</v>
      </c>
      <c r="AF53" s="15">
        <f t="shared" ca="1" si="60"/>
        <v>0</v>
      </c>
      <c r="AG53" s="15">
        <f t="shared" ca="1" si="61"/>
        <v>7</v>
      </c>
      <c r="AH53" s="15" t="str">
        <f t="shared" ca="1" si="46"/>
        <v>15Years/0Months/7Days</v>
      </c>
      <c r="AI53" s="15" t="str">
        <f t="shared" ref="AI53:AI84" si="62">CONCATENATE(AJ53,"years", " ",",", " ",AK53,"months ","and"," ",AL53,"days")</f>
        <v>34years , 3months and 11days</v>
      </c>
      <c r="AJ53" s="5">
        <f t="shared" si="48"/>
        <v>34</v>
      </c>
      <c r="AK53" s="5">
        <f t="shared" si="49"/>
        <v>3</v>
      </c>
      <c r="AL53" s="5">
        <f t="shared" si="50"/>
        <v>11</v>
      </c>
      <c r="AM53" s="336"/>
      <c r="AN53" s="336"/>
    </row>
    <row r="54" spans="1:40" ht="31.5" customHeight="1" x14ac:dyDescent="0.25">
      <c r="A54" s="5">
        <v>1</v>
      </c>
      <c r="B54" s="309" t="s">
        <v>306</v>
      </c>
      <c r="C54" s="489" t="s">
        <v>1383</v>
      </c>
      <c r="D54" s="489" t="s">
        <v>391</v>
      </c>
      <c r="E54" s="490" t="str">
        <f t="shared" si="1"/>
        <v>1/052/021/0049</v>
      </c>
      <c r="F54" s="75"/>
      <c r="G54" s="317" t="s">
        <v>454</v>
      </c>
      <c r="H54" s="76" t="s">
        <v>42</v>
      </c>
      <c r="I54" s="314" t="s">
        <v>455</v>
      </c>
      <c r="J54" s="297" t="s">
        <v>456</v>
      </c>
      <c r="K54" s="76" t="s">
        <v>96</v>
      </c>
      <c r="L54" s="199" t="s">
        <v>457</v>
      </c>
      <c r="M54" s="310" t="s">
        <v>458</v>
      </c>
      <c r="N54" s="75" t="s">
        <v>188</v>
      </c>
      <c r="O54" s="75" t="s">
        <v>412</v>
      </c>
      <c r="P54" s="75" t="s">
        <v>137</v>
      </c>
      <c r="Q54" s="201">
        <f t="shared" si="51"/>
        <v>30368</v>
      </c>
      <c r="R54" s="86">
        <f t="shared" ca="1" si="52"/>
        <v>42.901369863013699</v>
      </c>
      <c r="S54" s="73" t="s">
        <v>50</v>
      </c>
      <c r="T54" s="75" t="s">
        <v>327</v>
      </c>
      <c r="U54" s="75" t="s">
        <v>314</v>
      </c>
      <c r="V54" s="75" t="s">
        <v>459</v>
      </c>
      <c r="W54" s="200">
        <f t="shared" si="53"/>
        <v>39142</v>
      </c>
      <c r="X54" s="5" t="s">
        <v>38</v>
      </c>
      <c r="Y54" s="115"/>
      <c r="Z54" s="73">
        <f t="shared" ca="1" si="54"/>
        <v>18</v>
      </c>
      <c r="AA54" s="40">
        <f t="shared" ca="1" si="55"/>
        <v>10</v>
      </c>
      <c r="AB54" s="40">
        <f t="shared" ca="1" si="56"/>
        <v>4</v>
      </c>
      <c r="AC54" s="15" t="str">
        <f t="shared" ca="1" si="57"/>
        <v>18Years/10Months/4Days</v>
      </c>
      <c r="AD54" s="108">
        <f t="shared" si="58"/>
        <v>52283</v>
      </c>
      <c r="AE54" s="15">
        <f t="shared" ca="1" si="59"/>
        <v>17</v>
      </c>
      <c r="AF54" s="15">
        <f t="shared" ca="1" si="60"/>
        <v>1</v>
      </c>
      <c r="AG54" s="15">
        <f t="shared" ca="1" si="61"/>
        <v>16</v>
      </c>
      <c r="AH54" s="15" t="str">
        <f t="shared" ca="1" si="46"/>
        <v>17Years/1Months/16Days</v>
      </c>
      <c r="AI54" s="15" t="str">
        <f t="shared" si="62"/>
        <v>35years , 11months and 20days</v>
      </c>
      <c r="AJ54" s="5">
        <f t="shared" si="48"/>
        <v>35</v>
      </c>
      <c r="AK54" s="5">
        <f t="shared" si="49"/>
        <v>11</v>
      </c>
      <c r="AL54" s="5">
        <f t="shared" si="50"/>
        <v>20</v>
      </c>
      <c r="AM54" s="336"/>
      <c r="AN54" s="336"/>
    </row>
    <row r="55" spans="1:40" ht="31.5" customHeight="1" x14ac:dyDescent="0.25">
      <c r="A55" s="5">
        <v>1</v>
      </c>
      <c r="B55" s="309" t="s">
        <v>306</v>
      </c>
      <c r="C55" s="489" t="s">
        <v>1045</v>
      </c>
      <c r="D55" s="489" t="s">
        <v>406</v>
      </c>
      <c r="E55" s="490" t="str">
        <f t="shared" si="1"/>
        <v>1/052/023/0051</v>
      </c>
      <c r="F55" s="75"/>
      <c r="G55" s="317" t="s">
        <v>468</v>
      </c>
      <c r="H55" s="76" t="s">
        <v>42</v>
      </c>
      <c r="I55" s="314" t="s">
        <v>469</v>
      </c>
      <c r="J55" s="297" t="s">
        <v>470</v>
      </c>
      <c r="K55" s="76" t="s">
        <v>311</v>
      </c>
      <c r="L55" s="199" t="s">
        <v>471</v>
      </c>
      <c r="M55" s="310" t="s">
        <v>472</v>
      </c>
      <c r="N55" s="75" t="s">
        <v>188</v>
      </c>
      <c r="O55" s="75" t="s">
        <v>70</v>
      </c>
      <c r="P55" s="75" t="s">
        <v>71</v>
      </c>
      <c r="Q55" s="201">
        <f t="shared" si="51"/>
        <v>30306</v>
      </c>
      <c r="R55" s="86">
        <f t="shared" ca="1" si="52"/>
        <v>43.07123287671233</v>
      </c>
      <c r="S55" s="73" t="s">
        <v>50</v>
      </c>
      <c r="T55" s="75" t="s">
        <v>327</v>
      </c>
      <c r="U55" s="75" t="s">
        <v>337</v>
      </c>
      <c r="V55" s="75" t="s">
        <v>466</v>
      </c>
      <c r="W55" s="200">
        <f t="shared" si="53"/>
        <v>39692</v>
      </c>
      <c r="X55" s="5" t="s">
        <v>38</v>
      </c>
      <c r="Y55" s="115"/>
      <c r="Z55" s="73">
        <f t="shared" ca="1" si="54"/>
        <v>17</v>
      </c>
      <c r="AA55" s="40">
        <f t="shared" ca="1" si="55"/>
        <v>4</v>
      </c>
      <c r="AB55" s="40">
        <f t="shared" ca="1" si="56"/>
        <v>4</v>
      </c>
      <c r="AC55" s="15" t="str">
        <f t="shared" ca="1" si="57"/>
        <v>17Years/4Months/4Days</v>
      </c>
      <c r="AD55" s="108">
        <f t="shared" si="58"/>
        <v>52221</v>
      </c>
      <c r="AE55" s="15">
        <f t="shared" ca="1" si="59"/>
        <v>16</v>
      </c>
      <c r="AF55" s="15">
        <f t="shared" ca="1" si="60"/>
        <v>11</v>
      </c>
      <c r="AG55" s="15">
        <f t="shared" ca="1" si="61"/>
        <v>16</v>
      </c>
      <c r="AH55" s="15" t="str">
        <f t="shared" ca="1" si="46"/>
        <v>16Years/11Months/16Days</v>
      </c>
      <c r="AI55" s="15" t="str">
        <f t="shared" si="62"/>
        <v>34years , 3months and 20days</v>
      </c>
      <c r="AJ55" s="5">
        <f t="shared" si="48"/>
        <v>34</v>
      </c>
      <c r="AK55" s="5">
        <f t="shared" si="49"/>
        <v>3</v>
      </c>
      <c r="AL55" s="5">
        <f t="shared" si="50"/>
        <v>20</v>
      </c>
      <c r="AM55" s="336"/>
      <c r="AN55" s="336"/>
    </row>
    <row r="56" spans="1:40" ht="31.5" customHeight="1" x14ac:dyDescent="0.25">
      <c r="A56" s="5">
        <v>1</v>
      </c>
      <c r="B56" s="309" t="s">
        <v>306</v>
      </c>
      <c r="C56" s="489" t="s">
        <v>1385</v>
      </c>
      <c r="D56" s="489" t="s">
        <v>414</v>
      </c>
      <c r="E56" s="490" t="str">
        <f t="shared" si="1"/>
        <v>1/052/024/0052</v>
      </c>
      <c r="F56" s="75"/>
      <c r="G56" s="317" t="s">
        <v>474</v>
      </c>
      <c r="H56" s="76" t="s">
        <v>42</v>
      </c>
      <c r="I56" s="314" t="s">
        <v>475</v>
      </c>
      <c r="J56" s="297" t="s">
        <v>476</v>
      </c>
      <c r="K56" s="76" t="s">
        <v>96</v>
      </c>
      <c r="L56" s="199" t="s">
        <v>477</v>
      </c>
      <c r="M56" s="310" t="s">
        <v>478</v>
      </c>
      <c r="N56" s="75" t="s">
        <v>69</v>
      </c>
      <c r="O56" s="75" t="s">
        <v>368</v>
      </c>
      <c r="P56" s="75" t="s">
        <v>479</v>
      </c>
      <c r="Q56" s="201">
        <f t="shared" si="51"/>
        <v>28002</v>
      </c>
      <c r="R56" s="86">
        <f t="shared" ca="1" si="52"/>
        <v>49.38356164383562</v>
      </c>
      <c r="S56" s="73" t="s">
        <v>50</v>
      </c>
      <c r="T56" s="75" t="s">
        <v>70</v>
      </c>
      <c r="U56" s="75" t="s">
        <v>337</v>
      </c>
      <c r="V56" s="75" t="s">
        <v>466</v>
      </c>
      <c r="W56" s="200">
        <f t="shared" si="53"/>
        <v>39703</v>
      </c>
      <c r="X56" s="5" t="s">
        <v>38</v>
      </c>
      <c r="Y56" s="115"/>
      <c r="Z56" s="73">
        <f t="shared" ca="1" si="54"/>
        <v>17</v>
      </c>
      <c r="AA56" s="40">
        <f t="shared" ca="1" si="55"/>
        <v>3</v>
      </c>
      <c r="AB56" s="40">
        <f t="shared" ca="1" si="56"/>
        <v>24</v>
      </c>
      <c r="AC56" s="15" t="str">
        <f t="shared" ca="1" si="57"/>
        <v>17Years/3Months/24Days</v>
      </c>
      <c r="AD56" s="108">
        <f t="shared" si="58"/>
        <v>49917</v>
      </c>
      <c r="AE56" s="15">
        <f t="shared" ca="1" si="59"/>
        <v>10</v>
      </c>
      <c r="AF56" s="15">
        <f t="shared" ca="1" si="60"/>
        <v>7</v>
      </c>
      <c r="AG56" s="15">
        <f t="shared" ca="1" si="61"/>
        <v>25</v>
      </c>
      <c r="AH56" s="15" t="str">
        <f t="shared" ca="1" si="46"/>
        <v>10Years/7Months/25Days</v>
      </c>
      <c r="AI56" s="15" t="str">
        <f t="shared" si="62"/>
        <v>27years , 11months and 18days</v>
      </c>
      <c r="AJ56" s="5">
        <f t="shared" si="48"/>
        <v>27</v>
      </c>
      <c r="AK56" s="5">
        <f t="shared" si="49"/>
        <v>11</v>
      </c>
      <c r="AL56" s="5">
        <f t="shared" si="50"/>
        <v>18</v>
      </c>
      <c r="AM56" s="336"/>
      <c r="AN56" s="336"/>
    </row>
    <row r="57" spans="1:40" ht="31.5" customHeight="1" x14ac:dyDescent="0.25">
      <c r="A57" s="5">
        <v>1</v>
      </c>
      <c r="B57" s="309" t="s">
        <v>306</v>
      </c>
      <c r="C57" s="489" t="s">
        <v>1386</v>
      </c>
      <c r="D57" s="489" t="s">
        <v>421</v>
      </c>
      <c r="E57" s="490" t="str">
        <f t="shared" si="1"/>
        <v>1/052/025/0053</v>
      </c>
      <c r="F57" s="75"/>
      <c r="G57" s="317" t="s">
        <v>481</v>
      </c>
      <c r="H57" s="76" t="s">
        <v>42</v>
      </c>
      <c r="I57" s="314" t="s">
        <v>482</v>
      </c>
      <c r="J57" s="297" t="s">
        <v>483</v>
      </c>
      <c r="K57" s="76" t="s">
        <v>96</v>
      </c>
      <c r="L57" s="199" t="s">
        <v>484</v>
      </c>
      <c r="M57" s="310" t="s">
        <v>485</v>
      </c>
      <c r="N57" s="75" t="s">
        <v>188</v>
      </c>
      <c r="O57" s="75" t="s">
        <v>315</v>
      </c>
      <c r="P57" s="75" t="s">
        <v>204</v>
      </c>
      <c r="Q57" s="201">
        <f t="shared" si="51"/>
        <v>27596</v>
      </c>
      <c r="R57" s="86">
        <f t="shared" ca="1" si="52"/>
        <v>50.495890410958907</v>
      </c>
      <c r="S57" s="73" t="s">
        <v>50</v>
      </c>
      <c r="T57" s="75" t="s">
        <v>327</v>
      </c>
      <c r="U57" s="75" t="s">
        <v>36</v>
      </c>
      <c r="V57" s="75" t="s">
        <v>466</v>
      </c>
      <c r="W57" s="200">
        <f t="shared" si="53"/>
        <v>39722</v>
      </c>
      <c r="X57" s="5" t="s">
        <v>38</v>
      </c>
      <c r="Y57" s="115"/>
      <c r="Z57" s="73">
        <f t="shared" ca="1" si="54"/>
        <v>17</v>
      </c>
      <c r="AA57" s="40">
        <f t="shared" ca="1" si="55"/>
        <v>3</v>
      </c>
      <c r="AB57" s="40">
        <f t="shared" ca="1" si="56"/>
        <v>4</v>
      </c>
      <c r="AC57" s="15" t="str">
        <f t="shared" ca="1" si="57"/>
        <v>17Years/3Months/4Days</v>
      </c>
      <c r="AD57" s="108">
        <f t="shared" si="58"/>
        <v>49511</v>
      </c>
      <c r="AE57" s="15">
        <f t="shared" ca="1" si="59"/>
        <v>9</v>
      </c>
      <c r="AF57" s="15">
        <f t="shared" ca="1" si="60"/>
        <v>6</v>
      </c>
      <c r="AG57" s="15">
        <f t="shared" ca="1" si="61"/>
        <v>16</v>
      </c>
      <c r="AH57" s="15" t="str">
        <f t="shared" ca="1" si="46"/>
        <v>9Years/6Months/16Days</v>
      </c>
      <c r="AI57" s="15" t="str">
        <f t="shared" si="62"/>
        <v>26years , 9months and 20days</v>
      </c>
      <c r="AJ57" s="5">
        <f t="shared" si="48"/>
        <v>26</v>
      </c>
      <c r="AK57" s="5">
        <f t="shared" si="49"/>
        <v>9</v>
      </c>
      <c r="AL57" s="5">
        <f t="shared" si="50"/>
        <v>20</v>
      </c>
      <c r="AM57" s="336"/>
      <c r="AN57" s="336"/>
    </row>
    <row r="58" spans="1:40" ht="31.5" customHeight="1" x14ac:dyDescent="0.25">
      <c r="A58" s="5">
        <v>1</v>
      </c>
      <c r="B58" s="309" t="s">
        <v>306</v>
      </c>
      <c r="C58" s="489" t="s">
        <v>1387</v>
      </c>
      <c r="D58" s="489" t="s">
        <v>427</v>
      </c>
      <c r="E58" s="490" t="str">
        <f t="shared" si="1"/>
        <v>1/052/026/0054</v>
      </c>
      <c r="F58" s="75"/>
      <c r="G58" s="317" t="s">
        <v>487</v>
      </c>
      <c r="H58" s="76" t="s">
        <v>488</v>
      </c>
      <c r="I58" s="314" t="s">
        <v>489</v>
      </c>
      <c r="J58" s="297" t="s">
        <v>490</v>
      </c>
      <c r="K58" s="76" t="s">
        <v>311</v>
      </c>
      <c r="L58" s="199" t="s">
        <v>491</v>
      </c>
      <c r="M58" s="310" t="s">
        <v>492</v>
      </c>
      <c r="N58" s="75" t="s">
        <v>315</v>
      </c>
      <c r="O58" s="75" t="s">
        <v>315</v>
      </c>
      <c r="P58" s="75" t="s">
        <v>479</v>
      </c>
      <c r="Q58" s="201">
        <f t="shared" si="51"/>
        <v>27948</v>
      </c>
      <c r="R58" s="86">
        <f t="shared" ca="1" si="52"/>
        <v>49.531506849315072</v>
      </c>
      <c r="S58" s="73" t="s">
        <v>50</v>
      </c>
      <c r="T58" s="75" t="s">
        <v>360</v>
      </c>
      <c r="U58" s="75" t="s">
        <v>327</v>
      </c>
      <c r="V58" s="75" t="s">
        <v>196</v>
      </c>
      <c r="W58" s="200">
        <f t="shared" si="53"/>
        <v>39818</v>
      </c>
      <c r="X58" s="5" t="s">
        <v>38</v>
      </c>
      <c r="Y58" s="115"/>
      <c r="Z58" s="73">
        <f t="shared" ca="1" si="54"/>
        <v>17</v>
      </c>
      <c r="AA58" s="40">
        <f t="shared" ca="1" si="55"/>
        <v>0</v>
      </c>
      <c r="AB58" s="40">
        <f t="shared" ca="1" si="56"/>
        <v>0</v>
      </c>
      <c r="AC58" s="15" t="str">
        <f t="shared" ca="1" si="57"/>
        <v>17Years/0Months/0Days</v>
      </c>
      <c r="AD58" s="108">
        <f t="shared" si="58"/>
        <v>49863</v>
      </c>
      <c r="AE58" s="15">
        <f t="shared" ca="1" si="59"/>
        <v>10</v>
      </c>
      <c r="AF58" s="15">
        <f t="shared" ca="1" si="60"/>
        <v>6</v>
      </c>
      <c r="AG58" s="15">
        <f t="shared" ca="1" si="61"/>
        <v>2</v>
      </c>
      <c r="AH58" s="15" t="str">
        <f t="shared" ca="1" si="46"/>
        <v>10Years/6Months/2Days</v>
      </c>
      <c r="AI58" s="15" t="str">
        <f t="shared" si="62"/>
        <v>27years , 6months and 2days</v>
      </c>
      <c r="AJ58" s="5">
        <f t="shared" si="48"/>
        <v>27</v>
      </c>
      <c r="AK58" s="5">
        <f t="shared" si="49"/>
        <v>6</v>
      </c>
      <c r="AL58" s="5">
        <f t="shared" si="50"/>
        <v>2</v>
      </c>
      <c r="AM58" s="336"/>
      <c r="AN58" s="336"/>
    </row>
    <row r="59" spans="1:40" ht="31.5" customHeight="1" x14ac:dyDescent="0.25">
      <c r="A59" s="5">
        <v>1</v>
      </c>
      <c r="B59" s="309" t="s">
        <v>306</v>
      </c>
      <c r="C59" s="489" t="s">
        <v>1388</v>
      </c>
      <c r="D59" s="489" t="s">
        <v>433</v>
      </c>
      <c r="E59" s="490" t="str">
        <f t="shared" si="1"/>
        <v>1/052/027/0055</v>
      </c>
      <c r="F59" s="75"/>
      <c r="G59" s="317" t="s">
        <v>494</v>
      </c>
      <c r="H59" s="76" t="s">
        <v>42</v>
      </c>
      <c r="I59" s="314" t="s">
        <v>495</v>
      </c>
      <c r="J59" s="297" t="s">
        <v>496</v>
      </c>
      <c r="K59" s="76" t="s">
        <v>311</v>
      </c>
      <c r="L59" s="199" t="s">
        <v>497</v>
      </c>
      <c r="M59" s="310" t="s">
        <v>498</v>
      </c>
      <c r="N59" s="75" t="s">
        <v>136</v>
      </c>
      <c r="O59" s="75" t="s">
        <v>60</v>
      </c>
      <c r="P59" s="75" t="s">
        <v>479</v>
      </c>
      <c r="Q59" s="201">
        <f t="shared" si="51"/>
        <v>28088</v>
      </c>
      <c r="R59" s="86">
        <f t="shared" ca="1" si="52"/>
        <v>49.147945205479452</v>
      </c>
      <c r="S59" s="73" t="s">
        <v>50</v>
      </c>
      <c r="T59" s="75" t="s">
        <v>36</v>
      </c>
      <c r="U59" s="75" t="s">
        <v>412</v>
      </c>
      <c r="V59" s="75" t="s">
        <v>196</v>
      </c>
      <c r="W59" s="200">
        <f t="shared" si="53"/>
        <v>39854</v>
      </c>
      <c r="X59" s="5" t="s">
        <v>38</v>
      </c>
      <c r="Y59" s="115"/>
      <c r="Z59" s="73">
        <f t="shared" ca="1" si="54"/>
        <v>16</v>
      </c>
      <c r="AA59" s="40">
        <f t="shared" ca="1" si="55"/>
        <v>10</v>
      </c>
      <c r="AB59" s="40">
        <f t="shared" ca="1" si="56"/>
        <v>26</v>
      </c>
      <c r="AC59" s="15" t="str">
        <f t="shared" ca="1" si="57"/>
        <v>16Years/10Months/26Days</v>
      </c>
      <c r="AD59" s="108">
        <f t="shared" si="58"/>
        <v>50003</v>
      </c>
      <c r="AE59" s="15">
        <f t="shared" ca="1" si="59"/>
        <v>10</v>
      </c>
      <c r="AF59" s="15">
        <f t="shared" ca="1" si="60"/>
        <v>10</v>
      </c>
      <c r="AG59" s="15">
        <f t="shared" ca="1" si="61"/>
        <v>19</v>
      </c>
      <c r="AH59" s="15" t="str">
        <f t="shared" ca="1" si="46"/>
        <v>10Years/10Months/19Days</v>
      </c>
      <c r="AI59" s="15" t="str">
        <f t="shared" si="62"/>
        <v>27years , 9months and 14days</v>
      </c>
      <c r="AJ59" s="5">
        <f t="shared" si="48"/>
        <v>27</v>
      </c>
      <c r="AK59" s="5">
        <f t="shared" si="49"/>
        <v>9</v>
      </c>
      <c r="AL59" s="5">
        <f t="shared" si="50"/>
        <v>14</v>
      </c>
      <c r="AM59" s="336"/>
      <c r="AN59" s="336"/>
    </row>
    <row r="60" spans="1:40" ht="31.5" customHeight="1" x14ac:dyDescent="0.25">
      <c r="A60" s="5">
        <v>1</v>
      </c>
      <c r="B60" s="309" t="s">
        <v>306</v>
      </c>
      <c r="C60" s="489" t="s">
        <v>1389</v>
      </c>
      <c r="D60" s="489" t="s">
        <v>440</v>
      </c>
      <c r="E60" s="490" t="str">
        <f t="shared" si="1"/>
        <v>1/052/028/0056</v>
      </c>
      <c r="F60" s="75"/>
      <c r="G60" s="317" t="s">
        <v>500</v>
      </c>
      <c r="H60" s="76" t="s">
        <v>42</v>
      </c>
      <c r="I60" s="314" t="s">
        <v>501</v>
      </c>
      <c r="J60" s="297" t="s">
        <v>502</v>
      </c>
      <c r="K60" s="76" t="s">
        <v>311</v>
      </c>
      <c r="L60" s="199" t="s">
        <v>503</v>
      </c>
      <c r="M60" s="310" t="s">
        <v>504</v>
      </c>
      <c r="N60" s="75" t="s">
        <v>505</v>
      </c>
      <c r="O60" s="75" t="s">
        <v>70</v>
      </c>
      <c r="P60" s="75" t="s">
        <v>506</v>
      </c>
      <c r="Q60" s="201">
        <f t="shared" si="51"/>
        <v>31399</v>
      </c>
      <c r="R60" s="86">
        <f t="shared" ca="1" si="52"/>
        <v>40.076712328767123</v>
      </c>
      <c r="S60" s="73" t="s">
        <v>50</v>
      </c>
      <c r="T60" s="75" t="s">
        <v>205</v>
      </c>
      <c r="U60" s="75" t="s">
        <v>324</v>
      </c>
      <c r="V60" s="75" t="s">
        <v>196</v>
      </c>
      <c r="W60" s="200">
        <f t="shared" si="53"/>
        <v>39923</v>
      </c>
      <c r="X60" s="5" t="s">
        <v>38</v>
      </c>
      <c r="Y60" s="115"/>
      <c r="Z60" s="73">
        <f t="shared" ca="1" si="54"/>
        <v>16</v>
      </c>
      <c r="AA60" s="40">
        <f t="shared" ca="1" si="55"/>
        <v>8</v>
      </c>
      <c r="AB60" s="40">
        <f t="shared" ca="1" si="56"/>
        <v>16</v>
      </c>
      <c r="AC60" s="15" t="str">
        <f t="shared" ca="1" si="57"/>
        <v>16Years/8Months/16Days</v>
      </c>
      <c r="AD60" s="108">
        <f t="shared" si="58"/>
        <v>53314</v>
      </c>
      <c r="AE60" s="15">
        <f t="shared" ca="1" si="59"/>
        <v>19</v>
      </c>
      <c r="AF60" s="15">
        <f t="shared" ca="1" si="60"/>
        <v>11</v>
      </c>
      <c r="AG60" s="15">
        <f t="shared" ca="1" si="61"/>
        <v>13</v>
      </c>
      <c r="AH60" s="15" t="str">
        <f t="shared" ca="1" si="46"/>
        <v>19Years/11Months/13Days</v>
      </c>
      <c r="AI60" s="15" t="str">
        <f t="shared" si="62"/>
        <v>36years , 7months and 28days</v>
      </c>
      <c r="AJ60" s="5">
        <f t="shared" si="48"/>
        <v>36</v>
      </c>
      <c r="AK60" s="5">
        <f t="shared" si="49"/>
        <v>7</v>
      </c>
      <c r="AL60" s="5">
        <f t="shared" si="50"/>
        <v>28</v>
      </c>
      <c r="AM60" s="336"/>
      <c r="AN60" s="336"/>
    </row>
    <row r="61" spans="1:40" ht="31.5" customHeight="1" x14ac:dyDescent="0.25">
      <c r="A61" s="5">
        <v>1</v>
      </c>
      <c r="B61" s="309" t="s">
        <v>306</v>
      </c>
      <c r="C61" s="489" t="s">
        <v>1390</v>
      </c>
      <c r="D61" s="489" t="s">
        <v>446</v>
      </c>
      <c r="E61" s="490" t="str">
        <f t="shared" si="1"/>
        <v>1/052/029/0057</v>
      </c>
      <c r="F61" s="75"/>
      <c r="G61" s="317" t="s">
        <v>508</v>
      </c>
      <c r="H61" s="76" t="s">
        <v>42</v>
      </c>
      <c r="I61" s="314" t="s">
        <v>509</v>
      </c>
      <c r="J61" s="297" t="s">
        <v>510</v>
      </c>
      <c r="K61" s="76" t="s">
        <v>311</v>
      </c>
      <c r="L61" s="199" t="s">
        <v>511</v>
      </c>
      <c r="M61" s="310" t="s">
        <v>512</v>
      </c>
      <c r="N61" s="75" t="s">
        <v>79</v>
      </c>
      <c r="O61" s="75" t="s">
        <v>60</v>
      </c>
      <c r="P61" s="75" t="s">
        <v>129</v>
      </c>
      <c r="Q61" s="201">
        <f t="shared" si="51"/>
        <v>29553</v>
      </c>
      <c r="R61" s="86">
        <f t="shared" ca="1" si="52"/>
        <v>45.134246575342466</v>
      </c>
      <c r="S61" s="73" t="s">
        <v>50</v>
      </c>
      <c r="T61" s="75" t="s">
        <v>327</v>
      </c>
      <c r="U61" s="75" t="s">
        <v>337</v>
      </c>
      <c r="V61" s="75" t="s">
        <v>196</v>
      </c>
      <c r="W61" s="200">
        <f t="shared" si="53"/>
        <v>40057</v>
      </c>
      <c r="X61" s="5" t="s">
        <v>38</v>
      </c>
      <c r="Y61" s="115"/>
      <c r="Z61" s="73">
        <f t="shared" ca="1" si="54"/>
        <v>16</v>
      </c>
      <c r="AA61" s="40">
        <f t="shared" ca="1" si="55"/>
        <v>4</v>
      </c>
      <c r="AB61" s="40">
        <f t="shared" ca="1" si="56"/>
        <v>4</v>
      </c>
      <c r="AC61" s="15" t="str">
        <f t="shared" ca="1" si="57"/>
        <v>16Years/4Months/4Days</v>
      </c>
      <c r="AD61" s="108">
        <f t="shared" si="58"/>
        <v>51468</v>
      </c>
      <c r="AE61" s="15">
        <f t="shared" ca="1" si="59"/>
        <v>14</v>
      </c>
      <c r="AF61" s="15">
        <f t="shared" ca="1" si="60"/>
        <v>10</v>
      </c>
      <c r="AG61" s="15">
        <f t="shared" ca="1" si="61"/>
        <v>23</v>
      </c>
      <c r="AH61" s="15" t="str">
        <f t="shared" ca="1" si="46"/>
        <v>14Years/10Months/23Days</v>
      </c>
      <c r="AI61" s="15" t="str">
        <f t="shared" si="62"/>
        <v>31years , 2months and 27days</v>
      </c>
      <c r="AJ61" s="5">
        <f t="shared" si="48"/>
        <v>31</v>
      </c>
      <c r="AK61" s="5">
        <f t="shared" si="49"/>
        <v>2</v>
      </c>
      <c r="AL61" s="5">
        <f t="shared" si="50"/>
        <v>27</v>
      </c>
      <c r="AM61" s="336"/>
      <c r="AN61" s="336"/>
    </row>
    <row r="62" spans="1:40" ht="31.5" customHeight="1" x14ac:dyDescent="0.25">
      <c r="A62" s="5">
        <v>1</v>
      </c>
      <c r="B62" s="309" t="s">
        <v>306</v>
      </c>
      <c r="C62" s="489" t="s">
        <v>1392</v>
      </c>
      <c r="D62" s="489" t="s">
        <v>460</v>
      </c>
      <c r="E62" s="490" t="str">
        <f t="shared" si="1"/>
        <v>1/052/031/0059</v>
      </c>
      <c r="F62" s="75"/>
      <c r="G62" s="317" t="s">
        <v>520</v>
      </c>
      <c r="H62" s="76" t="s">
        <v>42</v>
      </c>
      <c r="I62" s="314" t="s">
        <v>521</v>
      </c>
      <c r="J62" s="297" t="s">
        <v>522</v>
      </c>
      <c r="K62" s="76" t="s">
        <v>311</v>
      </c>
      <c r="L62" s="199" t="s">
        <v>523</v>
      </c>
      <c r="M62" s="310" t="s">
        <v>524</v>
      </c>
      <c r="N62" s="75" t="s">
        <v>412</v>
      </c>
      <c r="O62" s="75" t="s">
        <v>314</v>
      </c>
      <c r="P62" s="75" t="s">
        <v>71</v>
      </c>
      <c r="Q62" s="201">
        <f t="shared" si="51"/>
        <v>30012</v>
      </c>
      <c r="R62" s="86">
        <f t="shared" ca="1" si="52"/>
        <v>43.876712328767127</v>
      </c>
      <c r="S62" s="73" t="s">
        <v>50</v>
      </c>
      <c r="T62" s="75" t="s">
        <v>327</v>
      </c>
      <c r="U62" s="75" t="s">
        <v>337</v>
      </c>
      <c r="V62" s="75" t="s">
        <v>206</v>
      </c>
      <c r="W62" s="200">
        <f t="shared" si="53"/>
        <v>40422</v>
      </c>
      <c r="X62" s="5" t="s">
        <v>38</v>
      </c>
      <c r="Y62" s="115"/>
      <c r="Z62" s="73">
        <f t="shared" ca="1" si="54"/>
        <v>15</v>
      </c>
      <c r="AA62" s="40">
        <f t="shared" ca="1" si="55"/>
        <v>4</v>
      </c>
      <c r="AB62" s="40">
        <f t="shared" ca="1" si="56"/>
        <v>4</v>
      </c>
      <c r="AC62" s="15" t="str">
        <f t="shared" ca="1" si="57"/>
        <v>15Years/4Months/4Days</v>
      </c>
      <c r="AD62" s="108">
        <f t="shared" si="58"/>
        <v>51927</v>
      </c>
      <c r="AE62" s="15">
        <f t="shared" ca="1" si="59"/>
        <v>16</v>
      </c>
      <c r="AF62" s="15">
        <f t="shared" ca="1" si="60"/>
        <v>1</v>
      </c>
      <c r="AG62" s="15">
        <f t="shared" ca="1" si="61"/>
        <v>25</v>
      </c>
      <c r="AH62" s="15" t="str">
        <f t="shared" ca="1" si="46"/>
        <v>16Years/1Months/25Days</v>
      </c>
      <c r="AI62" s="15" t="str">
        <f t="shared" si="62"/>
        <v>31years , 6months and 1days</v>
      </c>
      <c r="AJ62" s="5">
        <f t="shared" si="48"/>
        <v>31</v>
      </c>
      <c r="AK62" s="5">
        <f t="shared" si="49"/>
        <v>6</v>
      </c>
      <c r="AL62" s="5">
        <f t="shared" si="50"/>
        <v>1</v>
      </c>
      <c r="AM62" s="336"/>
      <c r="AN62" s="336"/>
    </row>
    <row r="63" spans="1:40" ht="31.5" customHeight="1" x14ac:dyDescent="0.25">
      <c r="A63" s="5">
        <v>1</v>
      </c>
      <c r="B63" s="309" t="s">
        <v>306</v>
      </c>
      <c r="C63" s="489" t="s">
        <v>1393</v>
      </c>
      <c r="D63" s="489" t="s">
        <v>467</v>
      </c>
      <c r="E63" s="490" t="str">
        <f t="shared" si="1"/>
        <v>1/052/032/0060</v>
      </c>
      <c r="F63" s="75"/>
      <c r="G63" s="317" t="s">
        <v>526</v>
      </c>
      <c r="H63" s="76" t="s">
        <v>42</v>
      </c>
      <c r="I63" s="314" t="s">
        <v>527</v>
      </c>
      <c r="J63" s="297" t="s">
        <v>528</v>
      </c>
      <c r="K63" s="76" t="s">
        <v>311</v>
      </c>
      <c r="L63" s="199" t="s">
        <v>529</v>
      </c>
      <c r="M63" s="310" t="s">
        <v>530</v>
      </c>
      <c r="N63" s="75" t="s">
        <v>203</v>
      </c>
      <c r="O63" s="75" t="s">
        <v>412</v>
      </c>
      <c r="P63" s="75" t="s">
        <v>452</v>
      </c>
      <c r="Q63" s="201">
        <f t="shared" si="51"/>
        <v>29639</v>
      </c>
      <c r="R63" s="86">
        <f t="shared" ca="1" si="52"/>
        <v>44.898630136986299</v>
      </c>
      <c r="S63" s="73" t="s">
        <v>50</v>
      </c>
      <c r="T63" s="75" t="s">
        <v>205</v>
      </c>
      <c r="U63" s="75" t="s">
        <v>337</v>
      </c>
      <c r="V63" s="75" t="s">
        <v>206</v>
      </c>
      <c r="W63" s="200">
        <f t="shared" si="53"/>
        <v>40441</v>
      </c>
      <c r="X63" s="5" t="s">
        <v>38</v>
      </c>
      <c r="Y63" s="115"/>
      <c r="Z63" s="73">
        <f t="shared" ca="1" si="54"/>
        <v>15</v>
      </c>
      <c r="AA63" s="40">
        <f t="shared" ca="1" si="55"/>
        <v>3</v>
      </c>
      <c r="AB63" s="40">
        <f t="shared" ca="1" si="56"/>
        <v>16</v>
      </c>
      <c r="AC63" s="15" t="str">
        <f t="shared" ca="1" si="57"/>
        <v>15Years/3Months/16Days</v>
      </c>
      <c r="AD63" s="108">
        <f t="shared" si="58"/>
        <v>51554</v>
      </c>
      <c r="AE63" s="15">
        <f t="shared" ca="1" si="59"/>
        <v>15</v>
      </c>
      <c r="AF63" s="15">
        <f t="shared" ca="1" si="60"/>
        <v>1</v>
      </c>
      <c r="AG63" s="15">
        <f t="shared" ca="1" si="61"/>
        <v>17</v>
      </c>
      <c r="AH63" s="15" t="str">
        <f t="shared" ca="1" si="46"/>
        <v>15Years/1Months/17Days</v>
      </c>
      <c r="AI63" s="15" t="str">
        <f t="shared" si="62"/>
        <v>30years , 5months and 2days</v>
      </c>
      <c r="AJ63" s="5">
        <f t="shared" si="48"/>
        <v>30</v>
      </c>
      <c r="AK63" s="5">
        <f t="shared" si="49"/>
        <v>5</v>
      </c>
      <c r="AL63" s="5">
        <f t="shared" si="50"/>
        <v>2</v>
      </c>
      <c r="AM63" s="336"/>
      <c r="AN63" s="336"/>
    </row>
    <row r="64" spans="1:40" ht="31.5" customHeight="1" x14ac:dyDescent="0.25">
      <c r="A64" s="5">
        <v>1</v>
      </c>
      <c r="B64" s="309" t="s">
        <v>306</v>
      </c>
      <c r="C64" s="489" t="s">
        <v>1394</v>
      </c>
      <c r="D64" s="489" t="s">
        <v>473</v>
      </c>
      <c r="E64" s="490" t="str">
        <f t="shared" si="1"/>
        <v>1/052/033/0061</v>
      </c>
      <c r="F64" s="75"/>
      <c r="G64" s="317" t="s">
        <v>532</v>
      </c>
      <c r="H64" s="76" t="s">
        <v>42</v>
      </c>
      <c r="I64" s="314" t="s">
        <v>533</v>
      </c>
      <c r="J64" s="297" t="s">
        <v>534</v>
      </c>
      <c r="K64" s="76" t="s">
        <v>311</v>
      </c>
      <c r="L64" s="199" t="s">
        <v>535</v>
      </c>
      <c r="M64" s="310" t="s">
        <v>536</v>
      </c>
      <c r="N64" s="75" t="s">
        <v>70</v>
      </c>
      <c r="O64" s="75" t="s">
        <v>368</v>
      </c>
      <c r="P64" s="75" t="s">
        <v>537</v>
      </c>
      <c r="Q64" s="201">
        <f t="shared" si="51"/>
        <v>33462</v>
      </c>
      <c r="R64" s="86">
        <f t="shared" ca="1" si="52"/>
        <v>34.424657534246577</v>
      </c>
      <c r="S64" s="73" t="s">
        <v>50</v>
      </c>
      <c r="T64" s="75" t="s">
        <v>327</v>
      </c>
      <c r="U64" s="75" t="s">
        <v>337</v>
      </c>
      <c r="V64" s="75" t="s">
        <v>213</v>
      </c>
      <c r="W64" s="200">
        <f t="shared" si="53"/>
        <v>40787</v>
      </c>
      <c r="X64" s="5" t="s">
        <v>38</v>
      </c>
      <c r="Y64" s="115"/>
      <c r="Z64" s="73">
        <f t="shared" ca="1" si="54"/>
        <v>14</v>
      </c>
      <c r="AA64" s="40">
        <f t="shared" ca="1" si="55"/>
        <v>4</v>
      </c>
      <c r="AB64" s="40">
        <f t="shared" ca="1" si="56"/>
        <v>4</v>
      </c>
      <c r="AC64" s="15" t="str">
        <f t="shared" ca="1" si="57"/>
        <v>14Years/4Months/4Days</v>
      </c>
      <c r="AD64" s="108">
        <f t="shared" si="58"/>
        <v>55377</v>
      </c>
      <c r="AE64" s="15">
        <f t="shared" ca="1" si="59"/>
        <v>25</v>
      </c>
      <c r="AF64" s="15">
        <f t="shared" ca="1" si="60"/>
        <v>7</v>
      </c>
      <c r="AG64" s="15">
        <f t="shared" ca="1" si="61"/>
        <v>7</v>
      </c>
      <c r="AH64" s="15" t="str">
        <f t="shared" ca="1" si="46"/>
        <v>25Years/7Months/7Days</v>
      </c>
      <c r="AI64" s="15" t="str">
        <f t="shared" si="62"/>
        <v>39years , 11months and 11days</v>
      </c>
      <c r="AJ64" s="5">
        <f t="shared" si="48"/>
        <v>39</v>
      </c>
      <c r="AK64" s="5">
        <f t="shared" si="49"/>
        <v>11</v>
      </c>
      <c r="AL64" s="5">
        <f t="shared" si="50"/>
        <v>11</v>
      </c>
      <c r="AM64" s="336"/>
      <c r="AN64" s="336"/>
    </row>
    <row r="65" spans="1:41" ht="31.5" customHeight="1" x14ac:dyDescent="0.25">
      <c r="A65" s="5">
        <v>1</v>
      </c>
      <c r="B65" s="309" t="s">
        <v>306</v>
      </c>
      <c r="C65" s="489" t="s">
        <v>1049</v>
      </c>
      <c r="D65" s="489" t="s">
        <v>480</v>
      </c>
      <c r="E65" s="490" t="str">
        <f t="shared" si="1"/>
        <v>1/052/034/0062</v>
      </c>
      <c r="F65" s="75"/>
      <c r="G65" s="317" t="s">
        <v>539</v>
      </c>
      <c r="H65" s="76" t="s">
        <v>42</v>
      </c>
      <c r="I65" s="314" t="s">
        <v>540</v>
      </c>
      <c r="J65" s="297" t="s">
        <v>541</v>
      </c>
      <c r="K65" s="76" t="s">
        <v>311</v>
      </c>
      <c r="L65" s="199" t="s">
        <v>542</v>
      </c>
      <c r="M65" s="310" t="s">
        <v>543</v>
      </c>
      <c r="N65" s="75" t="s">
        <v>315</v>
      </c>
      <c r="O65" s="75" t="s">
        <v>360</v>
      </c>
      <c r="P65" s="75" t="s">
        <v>204</v>
      </c>
      <c r="Q65" s="201">
        <f t="shared" si="51"/>
        <v>27521</v>
      </c>
      <c r="R65" s="86">
        <f t="shared" ca="1" si="52"/>
        <v>50.701369863013696</v>
      </c>
      <c r="S65" s="73" t="s">
        <v>50</v>
      </c>
      <c r="T65" s="75" t="s">
        <v>114</v>
      </c>
      <c r="U65" s="75" t="s">
        <v>337</v>
      </c>
      <c r="V65" s="75" t="s">
        <v>213</v>
      </c>
      <c r="W65" s="200">
        <f t="shared" si="53"/>
        <v>40801</v>
      </c>
      <c r="X65" s="5" t="s">
        <v>38</v>
      </c>
      <c r="Y65" s="115"/>
      <c r="Z65" s="73">
        <f t="shared" ca="1" si="54"/>
        <v>14</v>
      </c>
      <c r="AA65" s="40">
        <f t="shared" ca="1" si="55"/>
        <v>3</v>
      </c>
      <c r="AB65" s="40">
        <f t="shared" ca="1" si="56"/>
        <v>21</v>
      </c>
      <c r="AC65" s="15" t="str">
        <f t="shared" ca="1" si="57"/>
        <v>14Years/3Months/21Days</v>
      </c>
      <c r="AD65" s="108">
        <f t="shared" si="58"/>
        <v>49436</v>
      </c>
      <c r="AE65" s="15">
        <f t="shared" ca="1" si="59"/>
        <v>9</v>
      </c>
      <c r="AF65" s="15">
        <f t="shared" ca="1" si="60"/>
        <v>4</v>
      </c>
      <c r="AG65" s="15">
        <f t="shared" ca="1" si="61"/>
        <v>2</v>
      </c>
      <c r="AH65" s="15" t="str">
        <f t="shared" ca="1" si="46"/>
        <v>9Years/4Months/2Days</v>
      </c>
      <c r="AI65" s="15" t="str">
        <f t="shared" si="62"/>
        <v>23years , 7months and 22days</v>
      </c>
      <c r="AJ65" s="5">
        <f t="shared" si="48"/>
        <v>23</v>
      </c>
      <c r="AK65" s="5">
        <f t="shared" si="49"/>
        <v>7</v>
      </c>
      <c r="AL65" s="5">
        <f t="shared" si="50"/>
        <v>22</v>
      </c>
      <c r="AM65" s="336"/>
      <c r="AN65" s="336"/>
    </row>
    <row r="66" spans="1:41" ht="31.5" customHeight="1" x14ac:dyDescent="0.25">
      <c r="A66" s="5">
        <v>1</v>
      </c>
      <c r="B66" s="309" t="s">
        <v>306</v>
      </c>
      <c r="C66" s="489" t="s">
        <v>1395</v>
      </c>
      <c r="D66" s="489" t="s">
        <v>486</v>
      </c>
      <c r="E66" s="490" t="str">
        <f t="shared" si="1"/>
        <v>1/052/035/0063</v>
      </c>
      <c r="F66" s="75"/>
      <c r="G66" s="317" t="s">
        <v>545</v>
      </c>
      <c r="H66" s="76" t="s">
        <v>42</v>
      </c>
      <c r="I66" s="314" t="s">
        <v>546</v>
      </c>
      <c r="J66" s="297" t="s">
        <v>547</v>
      </c>
      <c r="K66" s="76" t="s">
        <v>311</v>
      </c>
      <c r="L66" s="199" t="s">
        <v>548</v>
      </c>
      <c r="M66" s="310" t="s">
        <v>549</v>
      </c>
      <c r="N66" s="75" t="s">
        <v>188</v>
      </c>
      <c r="O66" s="75" t="s">
        <v>62</v>
      </c>
      <c r="P66" s="75" t="s">
        <v>129</v>
      </c>
      <c r="Q66" s="201">
        <f t="shared" si="51"/>
        <v>29301</v>
      </c>
      <c r="R66" s="86">
        <f t="shared" ca="1" si="52"/>
        <v>45.824657534246576</v>
      </c>
      <c r="S66" s="73" t="s">
        <v>50</v>
      </c>
      <c r="T66" s="75" t="s">
        <v>157</v>
      </c>
      <c r="U66" s="75" t="s">
        <v>36</v>
      </c>
      <c r="V66" s="75" t="s">
        <v>213</v>
      </c>
      <c r="W66" s="200">
        <f t="shared" si="53"/>
        <v>40833</v>
      </c>
      <c r="X66" s="5" t="s">
        <v>38</v>
      </c>
      <c r="Y66" s="115"/>
      <c r="Z66" s="73">
        <f t="shared" ca="1" si="54"/>
        <v>14</v>
      </c>
      <c r="AA66" s="40">
        <f t="shared" ca="1" si="55"/>
        <v>2</v>
      </c>
      <c r="AB66" s="40">
        <f t="shared" ca="1" si="56"/>
        <v>19</v>
      </c>
      <c r="AC66" s="15" t="str">
        <f t="shared" ca="1" si="57"/>
        <v>14Years/2Months/19Days</v>
      </c>
      <c r="AD66" s="108">
        <f t="shared" si="58"/>
        <v>51216</v>
      </c>
      <c r="AE66" s="15">
        <f t="shared" ca="1" si="59"/>
        <v>14</v>
      </c>
      <c r="AF66" s="15">
        <f t="shared" ca="1" si="60"/>
        <v>2</v>
      </c>
      <c r="AG66" s="15">
        <f t="shared" ca="1" si="61"/>
        <v>16</v>
      </c>
      <c r="AH66" s="15" t="str">
        <f t="shared" ca="1" si="46"/>
        <v>14Years/2Months/16Days</v>
      </c>
      <c r="AI66" s="15" t="str">
        <f t="shared" si="62"/>
        <v>28years , 5months and 4days</v>
      </c>
      <c r="AJ66" s="5">
        <f t="shared" si="48"/>
        <v>28</v>
      </c>
      <c r="AK66" s="5">
        <f t="shared" si="49"/>
        <v>5</v>
      </c>
      <c r="AL66" s="5">
        <f t="shared" si="50"/>
        <v>4</v>
      </c>
      <c r="AM66" s="336"/>
      <c r="AN66" s="336"/>
    </row>
    <row r="67" spans="1:41" ht="31.5" customHeight="1" x14ac:dyDescent="0.25">
      <c r="A67" s="5">
        <v>1</v>
      </c>
      <c r="B67" s="309" t="s">
        <v>306</v>
      </c>
      <c r="C67" s="489" t="s">
        <v>1396</v>
      </c>
      <c r="D67" s="489" t="s">
        <v>493</v>
      </c>
      <c r="E67" s="490" t="str">
        <f t="shared" si="1"/>
        <v>1/052/036/0064</v>
      </c>
      <c r="F67" s="75"/>
      <c r="G67" s="311" t="s">
        <v>551</v>
      </c>
      <c r="H67" s="76" t="s">
        <v>42</v>
      </c>
      <c r="I67" s="314" t="s">
        <v>552</v>
      </c>
      <c r="J67" s="297" t="s">
        <v>553</v>
      </c>
      <c r="K67" s="76" t="s">
        <v>311</v>
      </c>
      <c r="L67" s="199" t="s">
        <v>554</v>
      </c>
      <c r="M67" s="310" t="s">
        <v>555</v>
      </c>
      <c r="N67" s="75" t="s">
        <v>136</v>
      </c>
      <c r="O67" s="75" t="s">
        <v>314</v>
      </c>
      <c r="P67" s="75" t="s">
        <v>556</v>
      </c>
      <c r="Q67" s="201">
        <f t="shared" si="51"/>
        <v>28938</v>
      </c>
      <c r="R67" s="86">
        <f t="shared" ca="1" si="52"/>
        <v>46.819178082191783</v>
      </c>
      <c r="S67" s="73" t="s">
        <v>34</v>
      </c>
      <c r="T67" s="75" t="s">
        <v>328</v>
      </c>
      <c r="U67" s="75" t="s">
        <v>412</v>
      </c>
      <c r="V67" s="75" t="s">
        <v>557</v>
      </c>
      <c r="W67" s="200">
        <f t="shared" si="53"/>
        <v>40945</v>
      </c>
      <c r="X67" s="5" t="s">
        <v>38</v>
      </c>
      <c r="Y67" s="115"/>
      <c r="Z67" s="73">
        <f t="shared" ca="1" si="54"/>
        <v>13</v>
      </c>
      <c r="AA67" s="40">
        <f t="shared" ca="1" si="55"/>
        <v>10</v>
      </c>
      <c r="AB67" s="40">
        <f t="shared" ca="1" si="56"/>
        <v>30</v>
      </c>
      <c r="AC67" s="15" t="str">
        <f t="shared" ca="1" si="57"/>
        <v>13Years/10Months/30Days</v>
      </c>
      <c r="AD67" s="108">
        <f t="shared" si="58"/>
        <v>50853</v>
      </c>
      <c r="AE67" s="15">
        <f t="shared" ca="1" si="59"/>
        <v>13</v>
      </c>
      <c r="AF67" s="15">
        <f t="shared" ca="1" si="60"/>
        <v>2</v>
      </c>
      <c r="AG67" s="15">
        <f t="shared" ca="1" si="61"/>
        <v>19</v>
      </c>
      <c r="AH67" s="15" t="str">
        <f t="shared" ca="1" si="46"/>
        <v>13Years/2Months/19Days</v>
      </c>
      <c r="AI67" s="15" t="str">
        <f t="shared" si="62"/>
        <v>27years , 1months and 18days</v>
      </c>
      <c r="AJ67" s="5">
        <f t="shared" si="48"/>
        <v>27</v>
      </c>
      <c r="AK67" s="5">
        <f t="shared" si="49"/>
        <v>1</v>
      </c>
      <c r="AL67" s="5">
        <f t="shared" si="50"/>
        <v>18</v>
      </c>
      <c r="AM67" s="336"/>
      <c r="AN67" s="336"/>
    </row>
    <row r="68" spans="1:41" ht="31.5" customHeight="1" x14ac:dyDescent="0.25">
      <c r="A68" s="5">
        <v>1</v>
      </c>
      <c r="B68" s="309" t="s">
        <v>306</v>
      </c>
      <c r="C68" s="489" t="s">
        <v>1062</v>
      </c>
      <c r="D68" s="489" t="s">
        <v>519</v>
      </c>
      <c r="E68" s="490" t="str">
        <f t="shared" si="1"/>
        <v>1/052/040/0068</v>
      </c>
      <c r="F68" s="75"/>
      <c r="G68" s="317" t="s">
        <v>578</v>
      </c>
      <c r="H68" s="76" t="s">
        <v>42</v>
      </c>
      <c r="I68" s="314" t="s">
        <v>579</v>
      </c>
      <c r="J68" s="297" t="s">
        <v>580</v>
      </c>
      <c r="K68" s="76" t="s">
        <v>311</v>
      </c>
      <c r="L68" s="199" t="s">
        <v>581</v>
      </c>
      <c r="M68" s="310" t="s">
        <v>582</v>
      </c>
      <c r="N68" s="75" t="s">
        <v>505</v>
      </c>
      <c r="O68" s="75" t="s">
        <v>328</v>
      </c>
      <c r="P68" s="75" t="s">
        <v>556</v>
      </c>
      <c r="Q68" s="201">
        <f t="shared" si="51"/>
        <v>29024</v>
      </c>
      <c r="R68" s="86">
        <f t="shared" ca="1" si="52"/>
        <v>46.583561643835615</v>
      </c>
      <c r="S68" s="73" t="s">
        <v>50</v>
      </c>
      <c r="T68" s="75" t="s">
        <v>412</v>
      </c>
      <c r="U68" s="75" t="s">
        <v>60</v>
      </c>
      <c r="V68" s="75" t="s">
        <v>557</v>
      </c>
      <c r="W68" s="200">
        <f t="shared" si="53"/>
        <v>41215</v>
      </c>
      <c r="X68" s="5" t="s">
        <v>38</v>
      </c>
      <c r="Y68" s="115"/>
      <c r="Z68" s="73">
        <f t="shared" ca="1" si="54"/>
        <v>13</v>
      </c>
      <c r="AA68" s="40">
        <f t="shared" ca="1" si="55"/>
        <v>2</v>
      </c>
      <c r="AB68" s="40">
        <f t="shared" ca="1" si="56"/>
        <v>3</v>
      </c>
      <c r="AC68" s="15" t="str">
        <f t="shared" ca="1" si="57"/>
        <v>13Years/2Months/3Days</v>
      </c>
      <c r="AD68" s="108">
        <f t="shared" si="58"/>
        <v>50939</v>
      </c>
      <c r="AE68" s="15">
        <f t="shared" ca="1" si="59"/>
        <v>13</v>
      </c>
      <c r="AF68" s="15">
        <f t="shared" ca="1" si="60"/>
        <v>5</v>
      </c>
      <c r="AG68" s="15">
        <f t="shared" ca="1" si="61"/>
        <v>13</v>
      </c>
      <c r="AH68" s="15" t="str">
        <f t="shared" ca="1" si="46"/>
        <v>13Years/5Months/13Days</v>
      </c>
      <c r="AI68" s="15" t="str">
        <f t="shared" si="62"/>
        <v>26years , 7months and 16days</v>
      </c>
      <c r="AJ68" s="5">
        <f t="shared" si="48"/>
        <v>26</v>
      </c>
      <c r="AK68" s="5">
        <f t="shared" si="49"/>
        <v>7</v>
      </c>
      <c r="AL68" s="5">
        <f t="shared" si="50"/>
        <v>16</v>
      </c>
      <c r="AM68" s="336"/>
      <c r="AN68" s="336"/>
    </row>
    <row r="69" spans="1:41" ht="31.5" customHeight="1" x14ac:dyDescent="0.25">
      <c r="A69" s="5">
        <v>1</v>
      </c>
      <c r="B69" s="309" t="s">
        <v>306</v>
      </c>
      <c r="C69" s="489" t="s">
        <v>1398</v>
      </c>
      <c r="D69" s="489" t="s">
        <v>525</v>
      </c>
      <c r="E69" s="490" t="str">
        <f t="shared" si="1"/>
        <v>1/052/041/0069</v>
      </c>
      <c r="F69" s="75"/>
      <c r="G69" s="317" t="s">
        <v>584</v>
      </c>
      <c r="H69" s="76" t="s">
        <v>42</v>
      </c>
      <c r="I69" s="314" t="s">
        <v>585</v>
      </c>
      <c r="J69" s="297" t="s">
        <v>586</v>
      </c>
      <c r="K69" s="76" t="s">
        <v>96</v>
      </c>
      <c r="L69" s="199" t="s">
        <v>587</v>
      </c>
      <c r="M69" s="310" t="s">
        <v>588</v>
      </c>
      <c r="N69" s="75" t="s">
        <v>327</v>
      </c>
      <c r="O69" s="75" t="s">
        <v>412</v>
      </c>
      <c r="P69" s="75" t="s">
        <v>556</v>
      </c>
      <c r="Q69" s="201">
        <f t="shared" si="51"/>
        <v>28887</v>
      </c>
      <c r="R69" s="86">
        <f t="shared" ca="1" si="52"/>
        <v>46.958904109589042</v>
      </c>
      <c r="S69" s="73" t="s">
        <v>50</v>
      </c>
      <c r="T69" s="75" t="s">
        <v>327</v>
      </c>
      <c r="U69" s="75" t="s">
        <v>412</v>
      </c>
      <c r="V69" s="75" t="s">
        <v>91</v>
      </c>
      <c r="W69" s="200">
        <f t="shared" si="53"/>
        <v>41306</v>
      </c>
      <c r="X69" s="5" t="s">
        <v>38</v>
      </c>
      <c r="Y69" s="115"/>
      <c r="Z69" s="73">
        <f t="shared" ca="1" si="54"/>
        <v>12</v>
      </c>
      <c r="AA69" s="40">
        <f t="shared" ca="1" si="55"/>
        <v>11</v>
      </c>
      <c r="AB69" s="40">
        <f t="shared" ca="1" si="56"/>
        <v>4</v>
      </c>
      <c r="AC69" s="15" t="str">
        <f t="shared" ca="1" si="57"/>
        <v>12Years/11Months/4Days</v>
      </c>
      <c r="AD69" s="108">
        <f t="shared" si="58"/>
        <v>50802</v>
      </c>
      <c r="AE69" s="15">
        <f t="shared" ca="1" si="59"/>
        <v>13</v>
      </c>
      <c r="AF69" s="15">
        <f t="shared" ca="1" si="60"/>
        <v>0</v>
      </c>
      <c r="AG69" s="15">
        <f t="shared" ca="1" si="61"/>
        <v>27</v>
      </c>
      <c r="AH69" s="15" t="str">
        <f t="shared" ref="AH69:AH100" ca="1" si="63">CONCATENATE(AE69,"Years","/",AF69,"Months","/",AG69,"Days")</f>
        <v>13Years/0Months/27Days</v>
      </c>
      <c r="AI69" s="15" t="str">
        <f t="shared" si="62"/>
        <v>26years , 0months and 0days</v>
      </c>
      <c r="AJ69" s="5">
        <f t="shared" ref="AJ69:AJ100" si="64">DATEDIF(W69,AD69,"Y")</f>
        <v>26</v>
      </c>
      <c r="AK69" s="5">
        <f t="shared" ref="AK69:AK100" si="65">DATEDIF(W69,AD69,"YM")</f>
        <v>0</v>
      </c>
      <c r="AL69" s="5">
        <f t="shared" ref="AL69:AL100" si="66">DATEDIF(W69,AD69,"MD")</f>
        <v>0</v>
      </c>
      <c r="AM69" s="336"/>
      <c r="AN69" s="336"/>
    </row>
    <row r="70" spans="1:41" ht="31.5" customHeight="1" x14ac:dyDescent="0.25">
      <c r="A70" s="5">
        <v>1</v>
      </c>
      <c r="B70" s="309" t="s">
        <v>306</v>
      </c>
      <c r="C70" s="489" t="s">
        <v>1066</v>
      </c>
      <c r="D70" s="489" t="s">
        <v>531</v>
      </c>
      <c r="E70" s="490" t="str">
        <f t="shared" si="1"/>
        <v>1/052/042/0070</v>
      </c>
      <c r="F70" s="75"/>
      <c r="G70" s="317" t="s">
        <v>590</v>
      </c>
      <c r="H70" s="76" t="s">
        <v>42</v>
      </c>
      <c r="I70" s="314" t="s">
        <v>591</v>
      </c>
      <c r="J70" s="297" t="s">
        <v>592</v>
      </c>
      <c r="K70" s="76" t="s">
        <v>311</v>
      </c>
      <c r="L70" s="199" t="s">
        <v>593</v>
      </c>
      <c r="M70" s="310" t="s">
        <v>594</v>
      </c>
      <c r="N70" s="75" t="s">
        <v>100</v>
      </c>
      <c r="O70" s="75" t="s">
        <v>60</v>
      </c>
      <c r="P70" s="75" t="s">
        <v>137</v>
      </c>
      <c r="Q70" s="201">
        <f t="shared" si="51"/>
        <v>30634</v>
      </c>
      <c r="R70" s="86">
        <f t="shared" ca="1" si="52"/>
        <v>42.172602739726024</v>
      </c>
      <c r="S70" s="73" t="s">
        <v>50</v>
      </c>
      <c r="T70" s="75" t="s">
        <v>114</v>
      </c>
      <c r="U70" s="75" t="s">
        <v>327</v>
      </c>
      <c r="V70" s="75" t="s">
        <v>91</v>
      </c>
      <c r="W70" s="200">
        <f t="shared" si="53"/>
        <v>41289</v>
      </c>
      <c r="X70" s="5" t="s">
        <v>38</v>
      </c>
      <c r="Y70" s="115"/>
      <c r="Z70" s="73">
        <f t="shared" ca="1" si="54"/>
        <v>12</v>
      </c>
      <c r="AA70" s="40">
        <f t="shared" ca="1" si="55"/>
        <v>11</v>
      </c>
      <c r="AB70" s="40">
        <f t="shared" ca="1" si="56"/>
        <v>21</v>
      </c>
      <c r="AC70" s="15" t="str">
        <f t="shared" ca="1" si="57"/>
        <v>12Years/11Months/21Days</v>
      </c>
      <c r="AD70" s="108">
        <f t="shared" si="58"/>
        <v>52549</v>
      </c>
      <c r="AE70" s="15">
        <f t="shared" ca="1" si="59"/>
        <v>17</v>
      </c>
      <c r="AF70" s="15">
        <f t="shared" ca="1" si="60"/>
        <v>10</v>
      </c>
      <c r="AG70" s="15">
        <f t="shared" ca="1" si="61"/>
        <v>9</v>
      </c>
      <c r="AH70" s="15" t="str">
        <f t="shared" ca="1" si="63"/>
        <v>17Years/10Months/9Days</v>
      </c>
      <c r="AI70" s="15" t="str">
        <f t="shared" si="62"/>
        <v>30years , 9months and 30days</v>
      </c>
      <c r="AJ70" s="5">
        <f t="shared" si="64"/>
        <v>30</v>
      </c>
      <c r="AK70" s="5">
        <f t="shared" si="65"/>
        <v>9</v>
      </c>
      <c r="AL70" s="5">
        <f t="shared" si="66"/>
        <v>30</v>
      </c>
      <c r="AM70" s="336"/>
      <c r="AN70" s="336"/>
    </row>
    <row r="71" spans="1:41" ht="31.5" customHeight="1" x14ac:dyDescent="0.25">
      <c r="A71" s="5">
        <v>1</v>
      </c>
      <c r="B71" s="309" t="s">
        <v>306</v>
      </c>
      <c r="C71" s="489" t="s">
        <v>1399</v>
      </c>
      <c r="D71" s="489" t="s">
        <v>538</v>
      </c>
      <c r="E71" s="490" t="str">
        <f t="shared" si="1"/>
        <v>1/052/043/0071</v>
      </c>
      <c r="F71" s="75"/>
      <c r="G71" s="317" t="s">
        <v>596</v>
      </c>
      <c r="H71" s="76" t="s">
        <v>42</v>
      </c>
      <c r="I71" s="314" t="s">
        <v>597</v>
      </c>
      <c r="J71" s="297" t="s">
        <v>598</v>
      </c>
      <c r="K71" s="76" t="s">
        <v>311</v>
      </c>
      <c r="L71" s="199" t="s">
        <v>599</v>
      </c>
      <c r="M71" s="310" t="s">
        <v>600</v>
      </c>
      <c r="N71" s="75" t="s">
        <v>360</v>
      </c>
      <c r="O71" s="75" t="s">
        <v>328</v>
      </c>
      <c r="P71" s="75" t="s">
        <v>537</v>
      </c>
      <c r="Q71" s="201">
        <f t="shared" si="51"/>
        <v>33394</v>
      </c>
      <c r="R71" s="86">
        <f t="shared" ca="1" si="52"/>
        <v>34.610958904109587</v>
      </c>
      <c r="S71" s="73" t="s">
        <v>50</v>
      </c>
      <c r="T71" s="75" t="s">
        <v>327</v>
      </c>
      <c r="U71" s="75" t="s">
        <v>60</v>
      </c>
      <c r="V71" s="75" t="s">
        <v>91</v>
      </c>
      <c r="W71" s="200">
        <f t="shared" si="53"/>
        <v>41579</v>
      </c>
      <c r="X71" s="5" t="s">
        <v>38</v>
      </c>
      <c r="Y71" s="115"/>
      <c r="Z71" s="73">
        <f t="shared" ca="1" si="54"/>
        <v>12</v>
      </c>
      <c r="AA71" s="40">
        <f t="shared" ca="1" si="55"/>
        <v>2</v>
      </c>
      <c r="AB71" s="40">
        <f t="shared" ca="1" si="56"/>
        <v>4</v>
      </c>
      <c r="AC71" s="15" t="str">
        <f t="shared" ca="1" si="57"/>
        <v>12Years/2Months/4Days</v>
      </c>
      <c r="AD71" s="108">
        <f t="shared" si="58"/>
        <v>55309</v>
      </c>
      <c r="AE71" s="15">
        <f t="shared" ca="1" si="59"/>
        <v>25</v>
      </c>
      <c r="AF71" s="15">
        <f t="shared" ca="1" si="60"/>
        <v>5</v>
      </c>
      <c r="AG71" s="15">
        <f t="shared" ca="1" si="61"/>
        <v>0</v>
      </c>
      <c r="AH71" s="15" t="str">
        <f t="shared" ca="1" si="63"/>
        <v>25Years/5Months/0Days</v>
      </c>
      <c r="AI71" s="15" t="str">
        <f t="shared" si="62"/>
        <v>37years , 7months and 4days</v>
      </c>
      <c r="AJ71" s="5">
        <f t="shared" si="64"/>
        <v>37</v>
      </c>
      <c r="AK71" s="5">
        <f t="shared" si="65"/>
        <v>7</v>
      </c>
      <c r="AL71" s="5">
        <f t="shared" si="66"/>
        <v>4</v>
      </c>
      <c r="AM71" s="336"/>
      <c r="AN71" s="336"/>
    </row>
    <row r="72" spans="1:41" ht="31.5" customHeight="1" x14ac:dyDescent="0.25">
      <c r="A72" s="5">
        <v>1</v>
      </c>
      <c r="B72" s="309" t="s">
        <v>306</v>
      </c>
      <c r="C72" s="489" t="s">
        <v>1400</v>
      </c>
      <c r="D72" s="489" t="s">
        <v>544</v>
      </c>
      <c r="E72" s="490" t="str">
        <f t="shared" si="1"/>
        <v>1/052/044/0072</v>
      </c>
      <c r="F72" s="75"/>
      <c r="G72" s="311" t="s">
        <v>602</v>
      </c>
      <c r="H72" s="76" t="s">
        <v>42</v>
      </c>
      <c r="I72" s="314" t="s">
        <v>603</v>
      </c>
      <c r="J72" s="297" t="s">
        <v>604</v>
      </c>
      <c r="K72" s="76" t="s">
        <v>311</v>
      </c>
      <c r="L72" s="199" t="s">
        <v>605</v>
      </c>
      <c r="M72" s="310" t="s">
        <v>606</v>
      </c>
      <c r="N72" s="75" t="s">
        <v>315</v>
      </c>
      <c r="O72" s="75" t="s">
        <v>337</v>
      </c>
      <c r="P72" s="75" t="s">
        <v>115</v>
      </c>
      <c r="Q72" s="201">
        <f t="shared" si="51"/>
        <v>33123</v>
      </c>
      <c r="R72" s="86">
        <f t="shared" ca="1" si="52"/>
        <v>35.353424657534248</v>
      </c>
      <c r="S72" s="73" t="s">
        <v>50</v>
      </c>
      <c r="T72" s="75" t="s">
        <v>47</v>
      </c>
      <c r="U72" s="75" t="s">
        <v>36</v>
      </c>
      <c r="V72" s="75" t="s">
        <v>91</v>
      </c>
      <c r="W72" s="200">
        <f t="shared" si="53"/>
        <v>41576</v>
      </c>
      <c r="X72" s="5" t="s">
        <v>38</v>
      </c>
      <c r="Y72" s="115"/>
      <c r="Z72" s="73">
        <f t="shared" ca="1" si="54"/>
        <v>12</v>
      </c>
      <c r="AA72" s="40">
        <f t="shared" ca="1" si="55"/>
        <v>2</v>
      </c>
      <c r="AB72" s="40">
        <f t="shared" ca="1" si="56"/>
        <v>7</v>
      </c>
      <c r="AC72" s="15" t="str">
        <f t="shared" ca="1" si="57"/>
        <v>12Years/2Months/7Days</v>
      </c>
      <c r="AD72" s="108">
        <f t="shared" si="58"/>
        <v>55038</v>
      </c>
      <c r="AE72" s="15">
        <f t="shared" ca="1" si="59"/>
        <v>24</v>
      </c>
      <c r="AF72" s="15">
        <f t="shared" ca="1" si="60"/>
        <v>8</v>
      </c>
      <c r="AG72" s="15">
        <f t="shared" ca="1" si="61"/>
        <v>2</v>
      </c>
      <c r="AH72" s="15" t="str">
        <f t="shared" ca="1" si="63"/>
        <v>24Years/8Months/2Days</v>
      </c>
      <c r="AI72" s="15" t="str">
        <f t="shared" si="62"/>
        <v>36years , 10months and 9days</v>
      </c>
      <c r="AJ72" s="5">
        <f t="shared" si="64"/>
        <v>36</v>
      </c>
      <c r="AK72" s="5">
        <f t="shared" si="65"/>
        <v>10</v>
      </c>
      <c r="AL72" s="5">
        <f t="shared" si="66"/>
        <v>9</v>
      </c>
      <c r="AM72" s="336"/>
      <c r="AN72" s="336"/>
    </row>
    <row r="73" spans="1:41" ht="31.5" customHeight="1" x14ac:dyDescent="0.25">
      <c r="A73" s="5">
        <v>1</v>
      </c>
      <c r="B73" s="309" t="s">
        <v>306</v>
      </c>
      <c r="C73" s="489" t="s">
        <v>1401</v>
      </c>
      <c r="D73" s="489" t="s">
        <v>550</v>
      </c>
      <c r="E73" s="490" t="str">
        <f t="shared" si="1"/>
        <v>1/052/045/0073</v>
      </c>
      <c r="F73" s="75"/>
      <c r="G73" s="317" t="s">
        <v>608</v>
      </c>
      <c r="H73" s="199" t="s">
        <v>42</v>
      </c>
      <c r="I73" s="314" t="s">
        <v>609</v>
      </c>
      <c r="J73" s="297" t="s">
        <v>610</v>
      </c>
      <c r="K73" s="76" t="s">
        <v>311</v>
      </c>
      <c r="L73" s="75" t="s">
        <v>611</v>
      </c>
      <c r="M73" s="319" t="s">
        <v>612</v>
      </c>
      <c r="N73" s="75" t="s">
        <v>157</v>
      </c>
      <c r="O73" s="75" t="s">
        <v>70</v>
      </c>
      <c r="P73" s="75" t="s">
        <v>129</v>
      </c>
      <c r="Q73" s="201">
        <f t="shared" ref="Q73:Q104" si="67">DATE(P73,O73,N73)</f>
        <v>29572</v>
      </c>
      <c r="R73" s="86">
        <f t="shared" ref="R73:R104" ca="1" si="68">($G$7-Q73)/365</f>
        <v>45.082191780821915</v>
      </c>
      <c r="S73" s="73" t="s">
        <v>50</v>
      </c>
      <c r="T73" s="75" t="s">
        <v>360</v>
      </c>
      <c r="U73" s="75" t="s">
        <v>412</v>
      </c>
      <c r="V73" s="75" t="s">
        <v>82</v>
      </c>
      <c r="W73" s="200">
        <f t="shared" ref="W73:W104" si="69">DATE(V73,U73,T73)</f>
        <v>41675</v>
      </c>
      <c r="X73" s="5" t="s">
        <v>38</v>
      </c>
      <c r="Y73" s="115"/>
      <c r="Z73" s="73">
        <f t="shared" ref="Z73:Z104" ca="1" si="70">DATEDIF(W73,TODAY(),"Y")</f>
        <v>11</v>
      </c>
      <c r="AA73" s="40">
        <f t="shared" ref="AA73:AA104" ca="1" si="71">DATEDIF(W73,TODAY(),"YM")</f>
        <v>11</v>
      </c>
      <c r="AB73" s="40">
        <f t="shared" ref="AB73:AB104" ca="1" si="72">DATEDIF(W73,TODAY(),"MD")</f>
        <v>0</v>
      </c>
      <c r="AC73" s="15" t="str">
        <f t="shared" ref="AC73:AC104" ca="1" si="73">CONCATENATE(Z73,"Years","/",,AA73,"Months","/",AB73,"Days")</f>
        <v>11Years/11Months/0Days</v>
      </c>
      <c r="AD73" s="108">
        <f t="shared" ref="AD73:AD104" si="74">(DATE(P73,O73,N73)+21915)</f>
        <v>51487</v>
      </c>
      <c r="AE73" s="15">
        <f t="shared" ref="AE73:AE104" ca="1" si="75">DATEDIF(TODAY(),AD73,"Y")</f>
        <v>14</v>
      </c>
      <c r="AF73" s="15">
        <f t="shared" ref="AF73:AF104" ca="1" si="76">DATEDIF(TODAY(),AD73,"YM")</f>
        <v>11</v>
      </c>
      <c r="AG73" s="15">
        <f t="shared" ref="AG73:AG104" ca="1" si="77">DATEDIF(TODAY(),AD73,"MD")</f>
        <v>12</v>
      </c>
      <c r="AH73" s="15" t="str">
        <f t="shared" ca="1" si="63"/>
        <v>14Years/11Months/12Days</v>
      </c>
      <c r="AI73" s="15" t="str">
        <f t="shared" si="62"/>
        <v>26years , 10months and 12days</v>
      </c>
      <c r="AJ73" s="5">
        <f t="shared" si="64"/>
        <v>26</v>
      </c>
      <c r="AK73" s="5">
        <f t="shared" si="65"/>
        <v>10</v>
      </c>
      <c r="AL73" s="5">
        <f t="shared" si="66"/>
        <v>12</v>
      </c>
      <c r="AM73" s="336"/>
      <c r="AN73" s="336"/>
    </row>
    <row r="74" spans="1:41" ht="31.5" customHeight="1" x14ac:dyDescent="0.25">
      <c r="A74" s="5">
        <v>1</v>
      </c>
      <c r="B74" s="309" t="s">
        <v>306</v>
      </c>
      <c r="C74" s="489" t="s">
        <v>1071</v>
      </c>
      <c r="D74" s="489" t="s">
        <v>571</v>
      </c>
      <c r="E74" s="490" t="str">
        <f t="shared" ref="E74:E137" si="78">CONCATENATE(A74,"/",B74,"/",C74,"/",D74)</f>
        <v>1/052/048/0076</v>
      </c>
      <c r="F74" s="75"/>
      <c r="G74" s="317" t="s">
        <v>627</v>
      </c>
      <c r="H74" s="76" t="s">
        <v>42</v>
      </c>
      <c r="I74" s="314" t="s">
        <v>628</v>
      </c>
      <c r="J74" s="297" t="s">
        <v>629</v>
      </c>
      <c r="K74" s="76" t="s">
        <v>311</v>
      </c>
      <c r="L74" s="199" t="s">
        <v>630</v>
      </c>
      <c r="M74" s="320" t="s">
        <v>631</v>
      </c>
      <c r="N74" s="75" t="s">
        <v>337</v>
      </c>
      <c r="O74" s="75" t="s">
        <v>315</v>
      </c>
      <c r="P74" s="75" t="s">
        <v>129</v>
      </c>
      <c r="Q74" s="201">
        <f t="shared" si="67"/>
        <v>29411</v>
      </c>
      <c r="R74" s="86">
        <f t="shared" ca="1" si="68"/>
        <v>45.523287671232879</v>
      </c>
      <c r="S74" s="73" t="s">
        <v>50</v>
      </c>
      <c r="T74" s="75" t="s">
        <v>237</v>
      </c>
      <c r="U74" s="75" t="s">
        <v>360</v>
      </c>
      <c r="V74" s="75" t="s">
        <v>632</v>
      </c>
      <c r="W74" s="200">
        <f t="shared" si="69"/>
        <v>42137</v>
      </c>
      <c r="X74" s="5" t="s">
        <v>38</v>
      </c>
      <c r="Y74" s="115"/>
      <c r="Z74" s="73">
        <f t="shared" ca="1" si="70"/>
        <v>10</v>
      </c>
      <c r="AA74" s="40">
        <f t="shared" ca="1" si="71"/>
        <v>7</v>
      </c>
      <c r="AB74" s="40">
        <f t="shared" ca="1" si="72"/>
        <v>23</v>
      </c>
      <c r="AC74" s="15" t="str">
        <f t="shared" ca="1" si="73"/>
        <v>10Years/7Months/23Days</v>
      </c>
      <c r="AD74" s="108">
        <f t="shared" si="74"/>
        <v>51326</v>
      </c>
      <c r="AE74" s="15">
        <f t="shared" ca="1" si="75"/>
        <v>14</v>
      </c>
      <c r="AF74" s="15">
        <f t="shared" ca="1" si="76"/>
        <v>6</v>
      </c>
      <c r="AG74" s="15">
        <f t="shared" ca="1" si="77"/>
        <v>4</v>
      </c>
      <c r="AH74" s="15" t="str">
        <f t="shared" ca="1" si="63"/>
        <v>14Years/6Months/4Days</v>
      </c>
      <c r="AI74" s="15" t="str">
        <f t="shared" si="62"/>
        <v>25years , 1months and 26days</v>
      </c>
      <c r="AJ74" s="5">
        <f t="shared" si="64"/>
        <v>25</v>
      </c>
      <c r="AK74" s="5">
        <f t="shared" si="65"/>
        <v>1</v>
      </c>
      <c r="AL74" s="5">
        <f t="shared" si="66"/>
        <v>26</v>
      </c>
      <c r="AM74" s="336"/>
      <c r="AN74" s="336"/>
    </row>
    <row r="75" spans="1:41" s="389" customFormat="1" ht="31.5" customHeight="1" x14ac:dyDescent="0.25">
      <c r="A75" s="187">
        <v>1</v>
      </c>
      <c r="B75" s="348" t="s">
        <v>306</v>
      </c>
      <c r="C75" s="491" t="s">
        <v>1404</v>
      </c>
      <c r="D75" s="491" t="s">
        <v>577</v>
      </c>
      <c r="E75" s="492" t="str">
        <f t="shared" si="78"/>
        <v>1/052/049/0077</v>
      </c>
      <c r="F75" s="349"/>
      <c r="G75" s="346" t="s">
        <v>634</v>
      </c>
      <c r="H75" s="347" t="s">
        <v>42</v>
      </c>
      <c r="I75" s="350" t="s">
        <v>635</v>
      </c>
      <c r="J75" s="351" t="s">
        <v>636</v>
      </c>
      <c r="K75" s="347" t="s">
        <v>311</v>
      </c>
      <c r="L75" s="352" t="s">
        <v>637</v>
      </c>
      <c r="M75" s="353" t="s">
        <v>638</v>
      </c>
      <c r="N75" s="195" t="s">
        <v>625</v>
      </c>
      <c r="O75" s="195" t="s">
        <v>60</v>
      </c>
      <c r="P75" s="195" t="s">
        <v>276</v>
      </c>
      <c r="Q75" s="354">
        <f t="shared" si="67"/>
        <v>34664</v>
      </c>
      <c r="R75" s="355">
        <f t="shared" ca="1" si="68"/>
        <v>31.13150684931507</v>
      </c>
      <c r="S75" s="194" t="s">
        <v>50</v>
      </c>
      <c r="T75" s="347">
        <v>1</v>
      </c>
      <c r="U75" s="347">
        <v>6</v>
      </c>
      <c r="V75" s="347">
        <v>2015</v>
      </c>
      <c r="W75" s="356">
        <f t="shared" si="69"/>
        <v>42156</v>
      </c>
      <c r="X75" s="5" t="s">
        <v>38</v>
      </c>
      <c r="Y75" s="115"/>
      <c r="Z75" s="194">
        <f t="shared" ca="1" si="70"/>
        <v>10</v>
      </c>
      <c r="AA75" s="271">
        <f t="shared" ca="1" si="71"/>
        <v>7</v>
      </c>
      <c r="AB75" s="271">
        <f t="shared" ca="1" si="72"/>
        <v>4</v>
      </c>
      <c r="AC75" s="286" t="str">
        <f t="shared" ca="1" si="73"/>
        <v>10Years/7Months/4Days</v>
      </c>
      <c r="AD75" s="357">
        <f t="shared" si="74"/>
        <v>56579</v>
      </c>
      <c r="AE75" s="286">
        <f t="shared" ca="1" si="75"/>
        <v>28</v>
      </c>
      <c r="AF75" s="286">
        <f t="shared" ca="1" si="76"/>
        <v>10</v>
      </c>
      <c r="AG75" s="286">
        <f t="shared" ca="1" si="77"/>
        <v>21</v>
      </c>
      <c r="AH75" s="286" t="str">
        <f t="shared" ca="1" si="63"/>
        <v>28Years/10Months/21Days</v>
      </c>
      <c r="AI75" s="286" t="str">
        <f t="shared" si="62"/>
        <v>39years , 5months and 25days</v>
      </c>
      <c r="AJ75" s="187">
        <f t="shared" si="64"/>
        <v>39</v>
      </c>
      <c r="AK75" s="187">
        <f t="shared" si="65"/>
        <v>5</v>
      </c>
      <c r="AL75" s="187">
        <f t="shared" si="66"/>
        <v>25</v>
      </c>
      <c r="AO75" s="432"/>
    </row>
    <row r="76" spans="1:41" ht="31.5" customHeight="1" x14ac:dyDescent="0.25">
      <c r="A76" s="5">
        <v>1</v>
      </c>
      <c r="B76" s="309" t="s">
        <v>306</v>
      </c>
      <c r="C76" s="489" t="s">
        <v>1405</v>
      </c>
      <c r="D76" s="489" t="s">
        <v>583</v>
      </c>
      <c r="E76" s="490" t="str">
        <f t="shared" si="78"/>
        <v>1/052/050/0078</v>
      </c>
      <c r="F76" s="73"/>
      <c r="G76" s="317" t="s">
        <v>640</v>
      </c>
      <c r="H76" s="76" t="s">
        <v>42</v>
      </c>
      <c r="I76" s="314" t="s">
        <v>641</v>
      </c>
      <c r="J76" s="298" t="s">
        <v>642</v>
      </c>
      <c r="K76" s="76" t="s">
        <v>96</v>
      </c>
      <c r="L76" s="73">
        <v>774062905</v>
      </c>
      <c r="M76" s="319" t="s">
        <v>643</v>
      </c>
      <c r="N76" s="73">
        <v>11</v>
      </c>
      <c r="O76" s="75" t="s">
        <v>36</v>
      </c>
      <c r="P76" s="75" t="s">
        <v>323</v>
      </c>
      <c r="Q76" s="201">
        <f t="shared" si="67"/>
        <v>34253</v>
      </c>
      <c r="R76" s="86">
        <f t="shared" ca="1" si="68"/>
        <v>32.257534246575339</v>
      </c>
      <c r="S76" s="73" t="s">
        <v>50</v>
      </c>
      <c r="T76" s="73">
        <v>1</v>
      </c>
      <c r="U76" s="75" t="s">
        <v>337</v>
      </c>
      <c r="V76" s="75" t="s">
        <v>632</v>
      </c>
      <c r="W76" s="200">
        <f t="shared" si="69"/>
        <v>42248</v>
      </c>
      <c r="X76" s="5" t="s">
        <v>38</v>
      </c>
      <c r="Y76" s="115"/>
      <c r="Z76" s="73">
        <f t="shared" ca="1" si="70"/>
        <v>10</v>
      </c>
      <c r="AA76" s="40">
        <f t="shared" ca="1" si="71"/>
        <v>4</v>
      </c>
      <c r="AB76" s="40">
        <f t="shared" ca="1" si="72"/>
        <v>4</v>
      </c>
      <c r="AC76" s="15" t="str">
        <f t="shared" ca="1" si="73"/>
        <v>10Years/4Months/4Days</v>
      </c>
      <c r="AD76" s="108">
        <f t="shared" si="74"/>
        <v>56168</v>
      </c>
      <c r="AE76" s="15">
        <f t="shared" ca="1" si="75"/>
        <v>27</v>
      </c>
      <c r="AF76" s="15">
        <f t="shared" ca="1" si="76"/>
        <v>9</v>
      </c>
      <c r="AG76" s="15">
        <f t="shared" ca="1" si="77"/>
        <v>6</v>
      </c>
      <c r="AH76" s="15" t="str">
        <f t="shared" ca="1" si="63"/>
        <v>27Years/9Months/6Days</v>
      </c>
      <c r="AI76" s="15" t="str">
        <f t="shared" si="62"/>
        <v>38years , 1months and 10days</v>
      </c>
      <c r="AJ76" s="5">
        <f t="shared" si="64"/>
        <v>38</v>
      </c>
      <c r="AK76" s="5">
        <f t="shared" si="65"/>
        <v>1</v>
      </c>
      <c r="AL76" s="5">
        <f t="shared" si="66"/>
        <v>10</v>
      </c>
      <c r="AM76" s="336"/>
      <c r="AN76" s="336"/>
    </row>
    <row r="77" spans="1:41" ht="31.5" customHeight="1" x14ac:dyDescent="0.25">
      <c r="A77" s="5">
        <v>1</v>
      </c>
      <c r="B77" s="309" t="s">
        <v>306</v>
      </c>
      <c r="C77" s="489" t="s">
        <v>306</v>
      </c>
      <c r="D77" s="489" t="s">
        <v>595</v>
      </c>
      <c r="E77" s="490" t="str">
        <f t="shared" si="78"/>
        <v>1/052/052/0080</v>
      </c>
      <c r="F77" s="75"/>
      <c r="G77" s="317" t="s">
        <v>651</v>
      </c>
      <c r="H77" s="76" t="s">
        <v>42</v>
      </c>
      <c r="I77" s="314" t="s">
        <v>652</v>
      </c>
      <c r="J77" s="298" t="s">
        <v>653</v>
      </c>
      <c r="K77" s="76" t="s">
        <v>311</v>
      </c>
      <c r="L77" s="76" t="s">
        <v>654</v>
      </c>
      <c r="M77" s="320" t="s">
        <v>655</v>
      </c>
      <c r="N77" s="75" t="s">
        <v>327</v>
      </c>
      <c r="O77" s="75" t="s">
        <v>36</v>
      </c>
      <c r="P77" s="75" t="s">
        <v>71</v>
      </c>
      <c r="Q77" s="201">
        <f t="shared" si="67"/>
        <v>30225</v>
      </c>
      <c r="R77" s="86">
        <f t="shared" ca="1" si="68"/>
        <v>43.293150684931504</v>
      </c>
      <c r="S77" s="73" t="s">
        <v>50</v>
      </c>
      <c r="T77" s="75" t="s">
        <v>114</v>
      </c>
      <c r="U77" s="75" t="s">
        <v>337</v>
      </c>
      <c r="V77" s="75" t="s">
        <v>632</v>
      </c>
      <c r="W77" s="200">
        <f t="shared" si="69"/>
        <v>42262</v>
      </c>
      <c r="X77" s="5" t="s">
        <v>38</v>
      </c>
      <c r="Y77" s="115"/>
      <c r="Z77" s="73">
        <f t="shared" ca="1" si="70"/>
        <v>10</v>
      </c>
      <c r="AA77" s="40">
        <f t="shared" ca="1" si="71"/>
        <v>3</v>
      </c>
      <c r="AB77" s="40">
        <f t="shared" ca="1" si="72"/>
        <v>21</v>
      </c>
      <c r="AC77" s="15" t="str">
        <f t="shared" ca="1" si="73"/>
        <v>10Years/3Months/21Days</v>
      </c>
      <c r="AD77" s="108">
        <f t="shared" si="74"/>
        <v>52140</v>
      </c>
      <c r="AE77" s="15">
        <f t="shared" ca="1" si="75"/>
        <v>16</v>
      </c>
      <c r="AF77" s="15">
        <f t="shared" ca="1" si="76"/>
        <v>8</v>
      </c>
      <c r="AG77" s="15">
        <f t="shared" ca="1" si="77"/>
        <v>26</v>
      </c>
      <c r="AH77" s="15" t="str">
        <f t="shared" ca="1" si="63"/>
        <v>16Years/8Months/26Days</v>
      </c>
      <c r="AI77" s="15" t="str">
        <f t="shared" si="62"/>
        <v>27years , 0months and 16days</v>
      </c>
      <c r="AJ77" s="5">
        <f t="shared" si="64"/>
        <v>27</v>
      </c>
      <c r="AK77" s="5">
        <f t="shared" si="65"/>
        <v>0</v>
      </c>
      <c r="AL77" s="5">
        <f t="shared" si="66"/>
        <v>16</v>
      </c>
      <c r="AM77" s="336"/>
      <c r="AN77" s="336"/>
    </row>
    <row r="78" spans="1:41" ht="31.5" customHeight="1" x14ac:dyDescent="0.25">
      <c r="A78" s="5">
        <v>1</v>
      </c>
      <c r="B78" s="309" t="s">
        <v>306</v>
      </c>
      <c r="C78" s="489" t="s">
        <v>1406</v>
      </c>
      <c r="D78" s="489" t="s">
        <v>607</v>
      </c>
      <c r="E78" s="490" t="str">
        <f t="shared" si="78"/>
        <v>1/052/054/0082</v>
      </c>
      <c r="F78" s="75"/>
      <c r="G78" s="317" t="s">
        <v>663</v>
      </c>
      <c r="H78" s="76" t="s">
        <v>42</v>
      </c>
      <c r="I78" s="314" t="s">
        <v>664</v>
      </c>
      <c r="J78" s="298" t="s">
        <v>665</v>
      </c>
      <c r="K78" s="76" t="s">
        <v>311</v>
      </c>
      <c r="L78" s="76">
        <v>772264551</v>
      </c>
      <c r="M78" s="320" t="s">
        <v>666</v>
      </c>
      <c r="N78" s="75" t="s">
        <v>47</v>
      </c>
      <c r="O78" s="75" t="s">
        <v>337</v>
      </c>
      <c r="P78" s="75" t="s">
        <v>121</v>
      </c>
      <c r="Q78" s="201">
        <f t="shared" si="67"/>
        <v>31684</v>
      </c>
      <c r="R78" s="86">
        <f t="shared" ca="1" si="68"/>
        <v>39.295890410958904</v>
      </c>
      <c r="S78" s="73" t="s">
        <v>50</v>
      </c>
      <c r="T78" s="75" t="s">
        <v>327</v>
      </c>
      <c r="U78" s="75" t="s">
        <v>36</v>
      </c>
      <c r="V78" s="75" t="s">
        <v>632</v>
      </c>
      <c r="W78" s="200">
        <f t="shared" si="69"/>
        <v>42278</v>
      </c>
      <c r="X78" s="5" t="s">
        <v>38</v>
      </c>
      <c r="Y78" s="115"/>
      <c r="Z78" s="73">
        <f t="shared" ca="1" si="70"/>
        <v>10</v>
      </c>
      <c r="AA78" s="40">
        <f t="shared" ca="1" si="71"/>
        <v>3</v>
      </c>
      <c r="AB78" s="40">
        <f t="shared" ca="1" si="72"/>
        <v>4</v>
      </c>
      <c r="AC78" s="15" t="str">
        <f t="shared" ca="1" si="73"/>
        <v>10Years/3Months/4Days</v>
      </c>
      <c r="AD78" s="108">
        <f t="shared" si="74"/>
        <v>53599</v>
      </c>
      <c r="AE78" s="15">
        <f t="shared" ca="1" si="75"/>
        <v>20</v>
      </c>
      <c r="AF78" s="15">
        <f t="shared" ca="1" si="76"/>
        <v>8</v>
      </c>
      <c r="AG78" s="15">
        <f t="shared" ca="1" si="77"/>
        <v>24</v>
      </c>
      <c r="AH78" s="15" t="str">
        <f t="shared" ca="1" si="63"/>
        <v>20Years/8Months/24Days</v>
      </c>
      <c r="AI78" s="15" t="str">
        <f t="shared" si="62"/>
        <v>30years , 11months and 28days</v>
      </c>
      <c r="AJ78" s="5">
        <f t="shared" si="64"/>
        <v>30</v>
      </c>
      <c r="AK78" s="5">
        <f t="shared" si="65"/>
        <v>11</v>
      </c>
      <c r="AL78" s="5">
        <f t="shared" si="66"/>
        <v>28</v>
      </c>
      <c r="AM78" s="336"/>
      <c r="AN78" s="336"/>
    </row>
    <row r="79" spans="1:41" ht="31.5" customHeight="1" x14ac:dyDescent="0.25">
      <c r="A79" s="5">
        <v>1</v>
      </c>
      <c r="B79" s="309" t="s">
        <v>306</v>
      </c>
      <c r="C79" s="489" t="s">
        <v>1407</v>
      </c>
      <c r="D79" s="489" t="s">
        <v>613</v>
      </c>
      <c r="E79" s="490" t="str">
        <f t="shared" si="78"/>
        <v>1/052/055/0083</v>
      </c>
      <c r="F79" s="75"/>
      <c r="G79" s="317" t="s">
        <v>668</v>
      </c>
      <c r="H79" s="76" t="s">
        <v>669</v>
      </c>
      <c r="I79" s="77" t="s">
        <v>670</v>
      </c>
      <c r="J79" s="298" t="s">
        <v>671</v>
      </c>
      <c r="K79" s="76" t="s">
        <v>311</v>
      </c>
      <c r="L79" s="76">
        <v>776552026</v>
      </c>
      <c r="M79" s="320" t="s">
        <v>672</v>
      </c>
      <c r="N79" s="75" t="s">
        <v>328</v>
      </c>
      <c r="O79" s="75" t="s">
        <v>368</v>
      </c>
      <c r="P79" s="75" t="s">
        <v>71</v>
      </c>
      <c r="Q79" s="201">
        <f t="shared" si="67"/>
        <v>30169</v>
      </c>
      <c r="R79" s="86">
        <f t="shared" ca="1" si="68"/>
        <v>43.446575342465756</v>
      </c>
      <c r="S79" s="73" t="s">
        <v>50</v>
      </c>
      <c r="T79" s="75" t="s">
        <v>412</v>
      </c>
      <c r="U79" s="75" t="s">
        <v>412</v>
      </c>
      <c r="V79" s="75" t="s">
        <v>145</v>
      </c>
      <c r="W79" s="200">
        <f t="shared" si="69"/>
        <v>42768</v>
      </c>
      <c r="X79" s="5" t="s">
        <v>38</v>
      </c>
      <c r="Y79" s="115"/>
      <c r="Z79" s="73">
        <f t="shared" ca="1" si="70"/>
        <v>8</v>
      </c>
      <c r="AA79" s="40">
        <f t="shared" ca="1" si="71"/>
        <v>11</v>
      </c>
      <c r="AB79" s="40">
        <f t="shared" ca="1" si="72"/>
        <v>3</v>
      </c>
      <c r="AC79" s="15" t="str">
        <f t="shared" ca="1" si="73"/>
        <v>8Years/11Months/3Days</v>
      </c>
      <c r="AD79" s="108">
        <f t="shared" si="74"/>
        <v>52084</v>
      </c>
      <c r="AE79" s="15">
        <f t="shared" ca="1" si="75"/>
        <v>16</v>
      </c>
      <c r="AF79" s="15">
        <f t="shared" ca="1" si="76"/>
        <v>7</v>
      </c>
      <c r="AG79" s="15">
        <f t="shared" ca="1" si="77"/>
        <v>1</v>
      </c>
      <c r="AH79" s="15" t="str">
        <f t="shared" ca="1" si="63"/>
        <v>16Years/7Months/1Days</v>
      </c>
      <c r="AI79" s="15" t="str">
        <f t="shared" si="62"/>
        <v>25years , 6months and 4days</v>
      </c>
      <c r="AJ79" s="5">
        <f t="shared" si="64"/>
        <v>25</v>
      </c>
      <c r="AK79" s="5">
        <f t="shared" si="65"/>
        <v>6</v>
      </c>
      <c r="AL79" s="5">
        <f t="shared" si="66"/>
        <v>4</v>
      </c>
      <c r="AM79" s="336"/>
      <c r="AN79" s="336"/>
    </row>
    <row r="80" spans="1:41" ht="31.5" customHeight="1" x14ac:dyDescent="0.25">
      <c r="A80" s="5">
        <v>1</v>
      </c>
      <c r="B80" s="309" t="s">
        <v>306</v>
      </c>
      <c r="C80" s="489" t="s">
        <v>1409</v>
      </c>
      <c r="D80" s="489" t="s">
        <v>626</v>
      </c>
      <c r="E80" s="490" t="str">
        <f t="shared" si="78"/>
        <v>1/052/057/0085</v>
      </c>
      <c r="F80" s="75"/>
      <c r="G80" s="317" t="s">
        <v>681</v>
      </c>
      <c r="H80" s="76" t="s">
        <v>42</v>
      </c>
      <c r="I80" s="314" t="s">
        <v>682</v>
      </c>
      <c r="J80" s="297" t="s">
        <v>683</v>
      </c>
      <c r="K80" s="76" t="s">
        <v>96</v>
      </c>
      <c r="L80" s="199" t="s">
        <v>684</v>
      </c>
      <c r="M80" s="320" t="s">
        <v>685</v>
      </c>
      <c r="N80" s="75" t="s">
        <v>327</v>
      </c>
      <c r="O80" s="75" t="s">
        <v>368</v>
      </c>
      <c r="P80" s="75" t="s">
        <v>129</v>
      </c>
      <c r="Q80" s="201">
        <f t="shared" si="67"/>
        <v>29434</v>
      </c>
      <c r="R80" s="86">
        <f t="shared" ca="1" si="68"/>
        <v>45.460273972602742</v>
      </c>
      <c r="S80" s="73" t="s">
        <v>34</v>
      </c>
      <c r="T80" s="75" t="s">
        <v>328</v>
      </c>
      <c r="U80" s="75" t="s">
        <v>337</v>
      </c>
      <c r="V80" s="75" t="s">
        <v>145</v>
      </c>
      <c r="W80" s="200">
        <f t="shared" si="69"/>
        <v>42984</v>
      </c>
      <c r="X80" s="5" t="s">
        <v>38</v>
      </c>
      <c r="Y80" s="115"/>
      <c r="Z80" s="73">
        <f t="shared" ca="1" si="70"/>
        <v>8</v>
      </c>
      <c r="AA80" s="40">
        <f t="shared" ca="1" si="71"/>
        <v>3</v>
      </c>
      <c r="AB80" s="40">
        <f t="shared" ca="1" si="72"/>
        <v>30</v>
      </c>
      <c r="AC80" s="15" t="str">
        <f t="shared" ca="1" si="73"/>
        <v>8Years/3Months/30Days</v>
      </c>
      <c r="AD80" s="108">
        <f t="shared" si="74"/>
        <v>51349</v>
      </c>
      <c r="AE80" s="15">
        <f t="shared" ca="1" si="75"/>
        <v>14</v>
      </c>
      <c r="AF80" s="15">
        <f t="shared" ca="1" si="76"/>
        <v>6</v>
      </c>
      <c r="AG80" s="15">
        <f t="shared" ca="1" si="77"/>
        <v>27</v>
      </c>
      <c r="AH80" s="15" t="str">
        <f t="shared" ca="1" si="63"/>
        <v>14Years/6Months/27Days</v>
      </c>
      <c r="AI80" s="15" t="str">
        <f t="shared" si="62"/>
        <v>22years , 10months and 26days</v>
      </c>
      <c r="AJ80" s="5">
        <f t="shared" si="64"/>
        <v>22</v>
      </c>
      <c r="AK80" s="5">
        <f t="shared" si="65"/>
        <v>10</v>
      </c>
      <c r="AL80" s="5">
        <f t="shared" si="66"/>
        <v>26</v>
      </c>
      <c r="AM80" s="336"/>
      <c r="AN80" s="336"/>
    </row>
    <row r="81" spans="1:40" ht="31.5" customHeight="1" x14ac:dyDescent="0.25">
      <c r="A81" s="5">
        <v>1</v>
      </c>
      <c r="B81" s="309" t="s">
        <v>306</v>
      </c>
      <c r="C81" s="489" t="s">
        <v>1412</v>
      </c>
      <c r="D81" s="489" t="s">
        <v>644</v>
      </c>
      <c r="E81" s="490" t="str">
        <f t="shared" si="78"/>
        <v>1/052/060/0088</v>
      </c>
      <c r="F81" s="75"/>
      <c r="G81" s="317" t="s">
        <v>698</v>
      </c>
      <c r="H81" s="76" t="s">
        <v>42</v>
      </c>
      <c r="I81" s="314" t="s">
        <v>699</v>
      </c>
      <c r="J81" s="298" t="s">
        <v>700</v>
      </c>
      <c r="K81" s="76" t="s">
        <v>96</v>
      </c>
      <c r="L81" s="199" t="s">
        <v>701</v>
      </c>
      <c r="M81" s="320" t="s">
        <v>702</v>
      </c>
      <c r="N81" s="75" t="s">
        <v>79</v>
      </c>
      <c r="O81" s="75" t="s">
        <v>360</v>
      </c>
      <c r="P81" s="75" t="s">
        <v>121</v>
      </c>
      <c r="Q81" s="201">
        <f t="shared" si="67"/>
        <v>31560</v>
      </c>
      <c r="R81" s="86">
        <f t="shared" ca="1" si="68"/>
        <v>39.635616438356166</v>
      </c>
      <c r="S81" s="73" t="s">
        <v>50</v>
      </c>
      <c r="T81" s="75" t="s">
        <v>107</v>
      </c>
      <c r="U81" s="75" t="s">
        <v>324</v>
      </c>
      <c r="V81" s="75" t="s">
        <v>148</v>
      </c>
      <c r="W81" s="200">
        <f t="shared" si="69"/>
        <v>43213</v>
      </c>
      <c r="X81" s="5" t="s">
        <v>38</v>
      </c>
      <c r="Y81" s="115"/>
      <c r="Z81" s="73">
        <f t="shared" ca="1" si="70"/>
        <v>7</v>
      </c>
      <c r="AA81" s="40">
        <f t="shared" ca="1" si="71"/>
        <v>8</v>
      </c>
      <c r="AB81" s="40">
        <f t="shared" ca="1" si="72"/>
        <v>13</v>
      </c>
      <c r="AC81" s="15" t="str">
        <f t="shared" ca="1" si="73"/>
        <v>7Years/8Months/13Days</v>
      </c>
      <c r="AD81" s="108">
        <f t="shared" si="74"/>
        <v>53475</v>
      </c>
      <c r="AE81" s="15">
        <f t="shared" ca="1" si="75"/>
        <v>20</v>
      </c>
      <c r="AF81" s="15">
        <f t="shared" ca="1" si="76"/>
        <v>4</v>
      </c>
      <c r="AG81" s="15">
        <f t="shared" ca="1" si="77"/>
        <v>23</v>
      </c>
      <c r="AH81" s="15" t="str">
        <f t="shared" ca="1" si="63"/>
        <v>20Years/4Months/23Days</v>
      </c>
      <c r="AI81" s="15" t="str">
        <f t="shared" si="62"/>
        <v>28years , 1months and 5days</v>
      </c>
      <c r="AJ81" s="5">
        <f t="shared" si="64"/>
        <v>28</v>
      </c>
      <c r="AK81" s="5">
        <f t="shared" si="65"/>
        <v>1</v>
      </c>
      <c r="AL81" s="5">
        <f t="shared" si="66"/>
        <v>5</v>
      </c>
      <c r="AM81" s="336"/>
      <c r="AN81" s="336"/>
    </row>
    <row r="82" spans="1:40" ht="31.5" customHeight="1" x14ac:dyDescent="0.25">
      <c r="A82" s="5">
        <v>1</v>
      </c>
      <c r="B82" s="309" t="s">
        <v>306</v>
      </c>
      <c r="C82" s="489" t="s">
        <v>1413</v>
      </c>
      <c r="D82" s="489" t="s">
        <v>650</v>
      </c>
      <c r="E82" s="490" t="str">
        <f t="shared" si="78"/>
        <v>1/052/061/0089</v>
      </c>
      <c r="F82" s="75"/>
      <c r="G82" s="317" t="s">
        <v>704</v>
      </c>
      <c r="H82" s="76" t="s">
        <v>42</v>
      </c>
      <c r="I82" s="314" t="s">
        <v>705</v>
      </c>
      <c r="J82" s="298" t="s">
        <v>706</v>
      </c>
      <c r="K82" s="76" t="s">
        <v>96</v>
      </c>
      <c r="L82" s="76">
        <v>710789363</v>
      </c>
      <c r="M82" s="320" t="s">
        <v>707</v>
      </c>
      <c r="N82" s="75" t="s">
        <v>136</v>
      </c>
      <c r="O82" s="75" t="s">
        <v>360</v>
      </c>
      <c r="P82" s="75" t="s">
        <v>506</v>
      </c>
      <c r="Q82" s="201">
        <f t="shared" si="67"/>
        <v>31191</v>
      </c>
      <c r="R82" s="86">
        <f t="shared" ca="1" si="68"/>
        <v>40.646575342465752</v>
      </c>
      <c r="S82" s="73" t="s">
        <v>50</v>
      </c>
      <c r="T82" s="75" t="s">
        <v>324</v>
      </c>
      <c r="U82" s="75" t="s">
        <v>337</v>
      </c>
      <c r="V82" s="75" t="s">
        <v>148</v>
      </c>
      <c r="W82" s="200">
        <f t="shared" si="69"/>
        <v>43347</v>
      </c>
      <c r="X82" s="5" t="s">
        <v>38</v>
      </c>
      <c r="Y82" s="115"/>
      <c r="Z82" s="73">
        <f t="shared" ca="1" si="70"/>
        <v>7</v>
      </c>
      <c r="AA82" s="40">
        <f t="shared" ca="1" si="71"/>
        <v>4</v>
      </c>
      <c r="AB82" s="40">
        <f t="shared" ca="1" si="72"/>
        <v>1</v>
      </c>
      <c r="AC82" s="15" t="str">
        <f t="shared" ca="1" si="73"/>
        <v>7Years/4Months/1Days</v>
      </c>
      <c r="AD82" s="108">
        <f t="shared" si="74"/>
        <v>53106</v>
      </c>
      <c r="AE82" s="15">
        <f t="shared" ca="1" si="75"/>
        <v>19</v>
      </c>
      <c r="AF82" s="15">
        <f t="shared" ca="1" si="76"/>
        <v>4</v>
      </c>
      <c r="AG82" s="15">
        <f t="shared" ca="1" si="77"/>
        <v>19</v>
      </c>
      <c r="AH82" s="15" t="str">
        <f t="shared" ca="1" si="63"/>
        <v>19Years/4Months/19Days</v>
      </c>
      <c r="AI82" s="15" t="str">
        <f t="shared" si="62"/>
        <v>26years , 8months and 20days</v>
      </c>
      <c r="AJ82" s="5">
        <f t="shared" si="64"/>
        <v>26</v>
      </c>
      <c r="AK82" s="5">
        <f t="shared" si="65"/>
        <v>8</v>
      </c>
      <c r="AL82" s="5">
        <f t="shared" si="66"/>
        <v>20</v>
      </c>
      <c r="AM82" s="336"/>
      <c r="AN82" s="336"/>
    </row>
    <row r="83" spans="1:40" ht="31.5" customHeight="1" x14ac:dyDescent="0.25">
      <c r="A83" s="5">
        <v>1</v>
      </c>
      <c r="B83" s="309" t="s">
        <v>306</v>
      </c>
      <c r="C83" s="489" t="s">
        <v>1076</v>
      </c>
      <c r="D83" s="489" t="s">
        <v>662</v>
      </c>
      <c r="E83" s="490" t="str">
        <f t="shared" si="78"/>
        <v>1/052/063/0091</v>
      </c>
      <c r="F83" s="75"/>
      <c r="G83" s="321" t="s">
        <v>715</v>
      </c>
      <c r="H83" s="76" t="s">
        <v>42</v>
      </c>
      <c r="I83" s="314" t="s">
        <v>716</v>
      </c>
      <c r="J83" s="297" t="s">
        <v>717</v>
      </c>
      <c r="K83" s="73" t="s">
        <v>311</v>
      </c>
      <c r="L83" s="199" t="s">
        <v>718</v>
      </c>
      <c r="M83" s="320" t="s">
        <v>719</v>
      </c>
      <c r="N83" s="75" t="s">
        <v>297</v>
      </c>
      <c r="O83" s="75" t="s">
        <v>70</v>
      </c>
      <c r="P83" s="75" t="s">
        <v>129</v>
      </c>
      <c r="Q83" s="201">
        <f t="shared" si="67"/>
        <v>29574</v>
      </c>
      <c r="R83" s="86">
        <f t="shared" ca="1" si="68"/>
        <v>45.076712328767123</v>
      </c>
      <c r="S83" s="73" t="s">
        <v>50</v>
      </c>
      <c r="T83" s="75" t="s">
        <v>412</v>
      </c>
      <c r="U83" s="75" t="s">
        <v>328</v>
      </c>
      <c r="V83" s="75" t="s">
        <v>52</v>
      </c>
      <c r="W83" s="200">
        <f t="shared" si="69"/>
        <v>43618</v>
      </c>
      <c r="X83" s="5" t="s">
        <v>38</v>
      </c>
      <c r="Y83" s="115"/>
      <c r="Z83" s="73">
        <f t="shared" ca="1" si="70"/>
        <v>6</v>
      </c>
      <c r="AA83" s="40">
        <f t="shared" ca="1" si="71"/>
        <v>7</v>
      </c>
      <c r="AB83" s="40">
        <f t="shared" ca="1" si="72"/>
        <v>3</v>
      </c>
      <c r="AC83" s="15" t="str">
        <f t="shared" ca="1" si="73"/>
        <v>6Years/7Months/3Days</v>
      </c>
      <c r="AD83" s="108">
        <f t="shared" si="74"/>
        <v>51489</v>
      </c>
      <c r="AE83" s="15">
        <f t="shared" ca="1" si="75"/>
        <v>14</v>
      </c>
      <c r="AF83" s="15">
        <f t="shared" ca="1" si="76"/>
        <v>11</v>
      </c>
      <c r="AG83" s="15">
        <f t="shared" ca="1" si="77"/>
        <v>14</v>
      </c>
      <c r="AH83" s="15" t="str">
        <f t="shared" ca="1" si="63"/>
        <v>14Years/11Months/14Days</v>
      </c>
      <c r="AI83" s="15" t="str">
        <f t="shared" si="62"/>
        <v>21years , 6months and 17days</v>
      </c>
      <c r="AJ83" s="5">
        <f t="shared" si="64"/>
        <v>21</v>
      </c>
      <c r="AK83" s="5">
        <f t="shared" si="65"/>
        <v>6</v>
      </c>
      <c r="AL83" s="5">
        <f t="shared" si="66"/>
        <v>17</v>
      </c>
      <c r="AM83" s="336"/>
      <c r="AN83" s="336"/>
    </row>
    <row r="84" spans="1:40" ht="31.5" customHeight="1" x14ac:dyDescent="0.25">
      <c r="A84" s="5">
        <v>1</v>
      </c>
      <c r="B84" s="309" t="s">
        <v>306</v>
      </c>
      <c r="C84" s="489" t="s">
        <v>1416</v>
      </c>
      <c r="D84" s="489" t="s">
        <v>673</v>
      </c>
      <c r="E84" s="490" t="str">
        <f t="shared" si="78"/>
        <v>1/052/065/0093</v>
      </c>
      <c r="F84" s="75"/>
      <c r="G84" s="317" t="s">
        <v>727</v>
      </c>
      <c r="H84" s="76" t="s">
        <v>42</v>
      </c>
      <c r="I84" s="314" t="s">
        <v>728</v>
      </c>
      <c r="J84" s="297" t="s">
        <v>729</v>
      </c>
      <c r="K84" s="73" t="s">
        <v>311</v>
      </c>
      <c r="L84" s="199" t="s">
        <v>730</v>
      </c>
      <c r="M84" s="320" t="s">
        <v>731</v>
      </c>
      <c r="N84" s="75" t="s">
        <v>188</v>
      </c>
      <c r="O84" s="75" t="s">
        <v>360</v>
      </c>
      <c r="P84" s="75" t="s">
        <v>732</v>
      </c>
      <c r="Q84" s="201">
        <f t="shared" si="67"/>
        <v>36301</v>
      </c>
      <c r="R84" s="86">
        <f t="shared" ca="1" si="68"/>
        <v>26.646575342465752</v>
      </c>
      <c r="S84" s="73" t="s">
        <v>50</v>
      </c>
      <c r="T84" s="75" t="s">
        <v>188</v>
      </c>
      <c r="U84" s="75" t="s">
        <v>360</v>
      </c>
      <c r="V84" s="75" t="s">
        <v>52</v>
      </c>
      <c r="W84" s="200">
        <f t="shared" si="69"/>
        <v>43606</v>
      </c>
      <c r="X84" s="5" t="s">
        <v>38</v>
      </c>
      <c r="Y84" s="115"/>
      <c r="Z84" s="73">
        <f t="shared" ca="1" si="70"/>
        <v>6</v>
      </c>
      <c r="AA84" s="40">
        <f t="shared" ca="1" si="71"/>
        <v>7</v>
      </c>
      <c r="AB84" s="40">
        <f t="shared" ca="1" si="72"/>
        <v>15</v>
      </c>
      <c r="AC84" s="15" t="str">
        <f t="shared" ca="1" si="73"/>
        <v>6Years/7Months/15Days</v>
      </c>
      <c r="AD84" s="108">
        <f t="shared" si="74"/>
        <v>58216</v>
      </c>
      <c r="AE84" s="15">
        <f t="shared" ca="1" si="75"/>
        <v>33</v>
      </c>
      <c r="AF84" s="15">
        <f t="shared" ca="1" si="76"/>
        <v>4</v>
      </c>
      <c r="AG84" s="15">
        <f t="shared" ca="1" si="77"/>
        <v>16</v>
      </c>
      <c r="AH84" s="15" t="str">
        <f t="shared" ca="1" si="63"/>
        <v>33Years/4Months/16Days</v>
      </c>
      <c r="AI84" s="15" t="str">
        <f t="shared" si="62"/>
        <v>40years , 0months and 0days</v>
      </c>
      <c r="AJ84" s="5">
        <f t="shared" si="64"/>
        <v>40</v>
      </c>
      <c r="AK84" s="5">
        <f t="shared" si="65"/>
        <v>0</v>
      </c>
      <c r="AL84" s="5">
        <f t="shared" si="66"/>
        <v>0</v>
      </c>
      <c r="AM84" s="336"/>
      <c r="AN84" s="336"/>
    </row>
    <row r="85" spans="1:40" ht="31.5" customHeight="1" x14ac:dyDescent="0.25">
      <c r="A85" s="5">
        <v>1</v>
      </c>
      <c r="B85" s="309" t="s">
        <v>306</v>
      </c>
      <c r="C85" s="489" t="s">
        <v>1027</v>
      </c>
      <c r="D85" s="489" t="s">
        <v>680</v>
      </c>
      <c r="E85" s="490" t="str">
        <f t="shared" si="78"/>
        <v>1/052/066/0094</v>
      </c>
      <c r="F85" s="75"/>
      <c r="G85" s="317" t="s">
        <v>734</v>
      </c>
      <c r="H85" s="76" t="s">
        <v>42</v>
      </c>
      <c r="I85" s="314" t="s">
        <v>735</v>
      </c>
      <c r="J85" s="297" t="s">
        <v>736</v>
      </c>
      <c r="K85" s="76" t="s">
        <v>311</v>
      </c>
      <c r="L85" s="199" t="s">
        <v>737</v>
      </c>
      <c r="M85" s="320" t="s">
        <v>738</v>
      </c>
      <c r="N85" s="75" t="s">
        <v>89</v>
      </c>
      <c r="O85" s="75" t="s">
        <v>36</v>
      </c>
      <c r="P85" s="75" t="s">
        <v>376</v>
      </c>
      <c r="Q85" s="201">
        <f t="shared" si="67"/>
        <v>32066</v>
      </c>
      <c r="R85" s="86">
        <f t="shared" ca="1" si="68"/>
        <v>38.249315068493154</v>
      </c>
      <c r="S85" s="73" t="s">
        <v>50</v>
      </c>
      <c r="T85" s="75" t="s">
        <v>314</v>
      </c>
      <c r="U85" s="75" t="s">
        <v>337</v>
      </c>
      <c r="V85" s="75" t="s">
        <v>52</v>
      </c>
      <c r="W85" s="200">
        <f t="shared" si="69"/>
        <v>43711</v>
      </c>
      <c r="X85" s="5" t="s">
        <v>38</v>
      </c>
      <c r="Y85" s="115"/>
      <c r="Z85" s="73">
        <f t="shared" ca="1" si="70"/>
        <v>6</v>
      </c>
      <c r="AA85" s="40">
        <f t="shared" ca="1" si="71"/>
        <v>4</v>
      </c>
      <c r="AB85" s="40">
        <f t="shared" ca="1" si="72"/>
        <v>2</v>
      </c>
      <c r="AC85" s="15" t="str">
        <f t="shared" ca="1" si="73"/>
        <v>6Years/4Months/2Days</v>
      </c>
      <c r="AD85" s="108">
        <f t="shared" si="74"/>
        <v>53981</v>
      </c>
      <c r="AE85" s="15">
        <f t="shared" ca="1" si="75"/>
        <v>21</v>
      </c>
      <c r="AF85" s="15">
        <f t="shared" ca="1" si="76"/>
        <v>9</v>
      </c>
      <c r="AG85" s="15">
        <f t="shared" ca="1" si="77"/>
        <v>11</v>
      </c>
      <c r="AH85" s="15" t="str">
        <f t="shared" ca="1" si="63"/>
        <v>21Years/9Months/11Days</v>
      </c>
      <c r="AI85" s="15" t="str">
        <f t="shared" ref="AI85:AI112" si="79">CONCATENATE(AJ85,"years", " ",",", " ",AK85,"months ","and"," ",AL85,"days")</f>
        <v>28years , 1months and 13days</v>
      </c>
      <c r="AJ85" s="5">
        <f t="shared" si="64"/>
        <v>28</v>
      </c>
      <c r="AK85" s="5">
        <f t="shared" si="65"/>
        <v>1</v>
      </c>
      <c r="AL85" s="5">
        <f t="shared" si="66"/>
        <v>13</v>
      </c>
      <c r="AM85" s="336"/>
      <c r="AN85" s="336"/>
    </row>
    <row r="86" spans="1:40" ht="31.5" customHeight="1" x14ac:dyDescent="0.25">
      <c r="A86" s="5">
        <v>1</v>
      </c>
      <c r="B86" s="309" t="s">
        <v>306</v>
      </c>
      <c r="C86" s="489" t="s">
        <v>1085</v>
      </c>
      <c r="D86" s="489" t="s">
        <v>708</v>
      </c>
      <c r="E86" s="490" t="str">
        <f t="shared" si="78"/>
        <v>1/052/071/0099</v>
      </c>
      <c r="F86" s="75"/>
      <c r="G86" s="317" t="s">
        <v>767</v>
      </c>
      <c r="H86" s="76" t="s">
        <v>42</v>
      </c>
      <c r="I86" s="314" t="s">
        <v>768</v>
      </c>
      <c r="J86" s="297" t="s">
        <v>769</v>
      </c>
      <c r="K86" s="76" t="s">
        <v>311</v>
      </c>
      <c r="L86" s="199" t="s">
        <v>770</v>
      </c>
      <c r="M86" s="320" t="s">
        <v>771</v>
      </c>
      <c r="N86" s="75" t="s">
        <v>360</v>
      </c>
      <c r="O86" s="75" t="s">
        <v>328</v>
      </c>
      <c r="P86" s="75" t="s">
        <v>570</v>
      </c>
      <c r="Q86" s="201">
        <f t="shared" si="67"/>
        <v>32664</v>
      </c>
      <c r="R86" s="86">
        <f t="shared" ca="1" si="68"/>
        <v>36.610958904109587</v>
      </c>
      <c r="S86" s="73" t="s">
        <v>50</v>
      </c>
      <c r="T86" s="75" t="s">
        <v>89</v>
      </c>
      <c r="U86" s="75" t="s">
        <v>337</v>
      </c>
      <c r="V86" s="75" t="s">
        <v>159</v>
      </c>
      <c r="W86" s="200">
        <f t="shared" si="69"/>
        <v>44090</v>
      </c>
      <c r="X86" s="5" t="s">
        <v>38</v>
      </c>
      <c r="Y86" s="115"/>
      <c r="Z86" s="73">
        <f t="shared" ca="1" si="70"/>
        <v>5</v>
      </c>
      <c r="AA86" s="40">
        <f t="shared" ca="1" si="71"/>
        <v>3</v>
      </c>
      <c r="AB86" s="40">
        <f t="shared" ca="1" si="72"/>
        <v>20</v>
      </c>
      <c r="AC86" s="15" t="str">
        <f t="shared" ca="1" si="73"/>
        <v>5Years/3Months/20Days</v>
      </c>
      <c r="AD86" s="108">
        <f t="shared" si="74"/>
        <v>54579</v>
      </c>
      <c r="AE86" s="15">
        <f t="shared" ca="1" si="75"/>
        <v>23</v>
      </c>
      <c r="AF86" s="15">
        <f t="shared" ca="1" si="76"/>
        <v>5</v>
      </c>
      <c r="AG86" s="15">
        <f t="shared" ca="1" si="77"/>
        <v>0</v>
      </c>
      <c r="AH86" s="15" t="str">
        <f t="shared" ca="1" si="63"/>
        <v>23Years/5Months/0Days</v>
      </c>
      <c r="AI86" s="15" t="str">
        <f t="shared" si="79"/>
        <v>28years , 8months and 20days</v>
      </c>
      <c r="AJ86" s="5">
        <f t="shared" si="64"/>
        <v>28</v>
      </c>
      <c r="AK86" s="5">
        <f t="shared" si="65"/>
        <v>8</v>
      </c>
      <c r="AL86" s="5">
        <f t="shared" si="66"/>
        <v>20</v>
      </c>
      <c r="AM86" s="336"/>
      <c r="AN86" s="336"/>
    </row>
    <row r="87" spans="1:40" ht="31.5" customHeight="1" x14ac:dyDescent="0.25">
      <c r="A87" s="5">
        <v>1</v>
      </c>
      <c r="B87" s="309" t="s">
        <v>306</v>
      </c>
      <c r="C87" s="489" t="s">
        <v>1421</v>
      </c>
      <c r="D87" s="489" t="s">
        <v>720</v>
      </c>
      <c r="E87" s="490" t="str">
        <f t="shared" si="78"/>
        <v>1/052/073/0101</v>
      </c>
      <c r="F87" s="75"/>
      <c r="G87" s="317" t="s">
        <v>779</v>
      </c>
      <c r="H87" s="76" t="s">
        <v>42</v>
      </c>
      <c r="I87" s="314" t="s">
        <v>780</v>
      </c>
      <c r="J87" s="298" t="s">
        <v>781</v>
      </c>
      <c r="K87" s="76" t="s">
        <v>311</v>
      </c>
      <c r="L87" s="76">
        <v>775903067</v>
      </c>
      <c r="M87" s="320" t="s">
        <v>782</v>
      </c>
      <c r="N87" s="76">
        <v>1</v>
      </c>
      <c r="O87" s="76">
        <v>10</v>
      </c>
      <c r="P87" s="76">
        <v>1989</v>
      </c>
      <c r="Q87" s="201">
        <f t="shared" si="67"/>
        <v>32782</v>
      </c>
      <c r="R87" s="86">
        <f t="shared" ca="1" si="68"/>
        <v>36.287671232876711</v>
      </c>
      <c r="S87" s="73" t="s">
        <v>50</v>
      </c>
      <c r="T87" s="76">
        <v>2</v>
      </c>
      <c r="U87" s="76">
        <v>10</v>
      </c>
      <c r="V87" s="76">
        <v>2020</v>
      </c>
      <c r="W87" s="200">
        <f t="shared" si="69"/>
        <v>44106</v>
      </c>
      <c r="X87" s="5" t="s">
        <v>38</v>
      </c>
      <c r="Y87" s="115"/>
      <c r="Z87" s="73">
        <f t="shared" ca="1" si="70"/>
        <v>5</v>
      </c>
      <c r="AA87" s="40">
        <f t="shared" ca="1" si="71"/>
        <v>3</v>
      </c>
      <c r="AB87" s="40">
        <f t="shared" ca="1" si="72"/>
        <v>3</v>
      </c>
      <c r="AC87" s="15" t="str">
        <f t="shared" ca="1" si="73"/>
        <v>5Years/3Months/3Days</v>
      </c>
      <c r="AD87" s="108">
        <f t="shared" si="74"/>
        <v>54697</v>
      </c>
      <c r="AE87" s="15">
        <f t="shared" ca="1" si="75"/>
        <v>23</v>
      </c>
      <c r="AF87" s="15">
        <f t="shared" ca="1" si="76"/>
        <v>8</v>
      </c>
      <c r="AG87" s="15">
        <f t="shared" ca="1" si="77"/>
        <v>26</v>
      </c>
      <c r="AH87" s="15" t="str">
        <f t="shared" ca="1" si="63"/>
        <v>23Years/8Months/26Days</v>
      </c>
      <c r="AI87" s="15" t="str">
        <f t="shared" si="79"/>
        <v>28years , 11months and 29days</v>
      </c>
      <c r="AJ87" s="5">
        <f t="shared" si="64"/>
        <v>28</v>
      </c>
      <c r="AK87" s="5">
        <f t="shared" si="65"/>
        <v>11</v>
      </c>
      <c r="AL87" s="5">
        <f t="shared" si="66"/>
        <v>29</v>
      </c>
      <c r="AM87" s="336"/>
      <c r="AN87" s="336"/>
    </row>
    <row r="88" spans="1:40" ht="31.5" customHeight="1" x14ac:dyDescent="0.25">
      <c r="A88" s="5">
        <v>1</v>
      </c>
      <c r="B88" s="309" t="s">
        <v>306</v>
      </c>
      <c r="C88" s="489" t="s">
        <v>1093</v>
      </c>
      <c r="D88" s="489" t="s">
        <v>733</v>
      </c>
      <c r="E88" s="490" t="str">
        <f t="shared" si="78"/>
        <v>1/052/075/0103</v>
      </c>
      <c r="F88" s="75"/>
      <c r="G88" s="317" t="s">
        <v>789</v>
      </c>
      <c r="H88" s="76" t="s">
        <v>42</v>
      </c>
      <c r="I88" s="314" t="s">
        <v>790</v>
      </c>
      <c r="J88" s="298" t="s">
        <v>791</v>
      </c>
      <c r="K88" s="76" t="s">
        <v>311</v>
      </c>
      <c r="L88" s="76">
        <v>711720098</v>
      </c>
      <c r="M88" s="320" t="s">
        <v>792</v>
      </c>
      <c r="N88" s="76">
        <v>27</v>
      </c>
      <c r="O88" s="76">
        <v>8</v>
      </c>
      <c r="P88" s="76">
        <v>1990</v>
      </c>
      <c r="Q88" s="201">
        <f t="shared" si="67"/>
        <v>33112</v>
      </c>
      <c r="R88" s="86">
        <f t="shared" ca="1" si="68"/>
        <v>35.38356164383562</v>
      </c>
      <c r="S88" s="73" t="s">
        <v>50</v>
      </c>
      <c r="T88" s="76">
        <v>16</v>
      </c>
      <c r="U88" s="76">
        <v>9</v>
      </c>
      <c r="V88" s="76">
        <v>2021</v>
      </c>
      <c r="W88" s="200">
        <f t="shared" si="69"/>
        <v>44455</v>
      </c>
      <c r="X88" s="5" t="s">
        <v>38</v>
      </c>
      <c r="Y88" s="115"/>
      <c r="Z88" s="73">
        <f t="shared" ca="1" si="70"/>
        <v>4</v>
      </c>
      <c r="AA88" s="40">
        <f t="shared" ca="1" si="71"/>
        <v>3</v>
      </c>
      <c r="AB88" s="40">
        <f t="shared" ca="1" si="72"/>
        <v>20</v>
      </c>
      <c r="AC88" s="15" t="str">
        <f t="shared" ca="1" si="73"/>
        <v>4Years/3Months/20Days</v>
      </c>
      <c r="AD88" s="108">
        <f t="shared" si="74"/>
        <v>55027</v>
      </c>
      <c r="AE88" s="15">
        <f t="shared" ca="1" si="75"/>
        <v>24</v>
      </c>
      <c r="AF88" s="15">
        <f t="shared" ca="1" si="76"/>
        <v>7</v>
      </c>
      <c r="AG88" s="15">
        <f t="shared" ca="1" si="77"/>
        <v>22</v>
      </c>
      <c r="AH88" s="15" t="str">
        <f t="shared" ca="1" si="63"/>
        <v>24Years/7Months/22Days</v>
      </c>
      <c r="AI88" s="15" t="str">
        <f t="shared" si="79"/>
        <v>28years , 11months and 11days</v>
      </c>
      <c r="AJ88" s="5">
        <f t="shared" si="64"/>
        <v>28</v>
      </c>
      <c r="AK88" s="5">
        <f t="shared" si="65"/>
        <v>11</v>
      </c>
      <c r="AL88" s="5">
        <f t="shared" si="66"/>
        <v>11</v>
      </c>
      <c r="AM88" s="336"/>
      <c r="AN88" s="336"/>
    </row>
    <row r="89" spans="1:40" ht="31.5" customHeight="1" x14ac:dyDescent="0.25">
      <c r="A89" s="5">
        <v>1</v>
      </c>
      <c r="B89" s="309" t="s">
        <v>306</v>
      </c>
      <c r="C89" s="489" t="s">
        <v>1422</v>
      </c>
      <c r="D89" s="489" t="s">
        <v>739</v>
      </c>
      <c r="E89" s="490" t="str">
        <f t="shared" si="78"/>
        <v>1/052/076/0104</v>
      </c>
      <c r="F89" s="75"/>
      <c r="G89" s="317" t="s">
        <v>794</v>
      </c>
      <c r="H89" s="76" t="s">
        <v>42</v>
      </c>
      <c r="I89" s="314" t="s">
        <v>795</v>
      </c>
      <c r="J89" s="298" t="s">
        <v>796</v>
      </c>
      <c r="K89" s="76" t="s">
        <v>311</v>
      </c>
      <c r="L89" s="76">
        <v>768696702</v>
      </c>
      <c r="M89" s="320" t="s">
        <v>797</v>
      </c>
      <c r="N89" s="76">
        <v>16</v>
      </c>
      <c r="O89" s="76">
        <v>9</v>
      </c>
      <c r="P89" s="76">
        <v>1993</v>
      </c>
      <c r="Q89" s="201">
        <f t="shared" si="67"/>
        <v>34228</v>
      </c>
      <c r="R89" s="86">
        <f t="shared" ca="1" si="68"/>
        <v>32.326027397260276</v>
      </c>
      <c r="S89" s="73" t="s">
        <v>50</v>
      </c>
      <c r="T89" s="76">
        <v>16</v>
      </c>
      <c r="U89" s="76">
        <v>9</v>
      </c>
      <c r="V89" s="76">
        <v>2021</v>
      </c>
      <c r="W89" s="200">
        <f t="shared" si="69"/>
        <v>44455</v>
      </c>
      <c r="X89" s="5" t="s">
        <v>38</v>
      </c>
      <c r="Y89" s="115"/>
      <c r="Z89" s="73">
        <f t="shared" ca="1" si="70"/>
        <v>4</v>
      </c>
      <c r="AA89" s="40">
        <f t="shared" ca="1" si="71"/>
        <v>3</v>
      </c>
      <c r="AB89" s="40">
        <f t="shared" ca="1" si="72"/>
        <v>20</v>
      </c>
      <c r="AC89" s="15" t="str">
        <f t="shared" ca="1" si="73"/>
        <v>4Years/3Months/20Days</v>
      </c>
      <c r="AD89" s="108">
        <f t="shared" si="74"/>
        <v>56143</v>
      </c>
      <c r="AE89" s="15">
        <f t="shared" ca="1" si="75"/>
        <v>27</v>
      </c>
      <c r="AF89" s="15">
        <f t="shared" ca="1" si="76"/>
        <v>8</v>
      </c>
      <c r="AG89" s="15">
        <f t="shared" ca="1" si="77"/>
        <v>11</v>
      </c>
      <c r="AH89" s="15" t="str">
        <f t="shared" ca="1" si="63"/>
        <v>27Years/8Months/11Days</v>
      </c>
      <c r="AI89" s="15" t="str">
        <f t="shared" si="79"/>
        <v>32years , 0months and 0days</v>
      </c>
      <c r="AJ89" s="5">
        <f t="shared" si="64"/>
        <v>32</v>
      </c>
      <c r="AK89" s="5">
        <f t="shared" si="65"/>
        <v>0</v>
      </c>
      <c r="AL89" s="5">
        <f t="shared" si="66"/>
        <v>0</v>
      </c>
      <c r="AM89" s="336"/>
      <c r="AN89" s="336"/>
    </row>
    <row r="90" spans="1:40" ht="31.5" customHeight="1" x14ac:dyDescent="0.25">
      <c r="A90" s="5">
        <v>1</v>
      </c>
      <c r="B90" s="309" t="s">
        <v>306</v>
      </c>
      <c r="C90" s="489" t="s">
        <v>1423</v>
      </c>
      <c r="D90" s="489" t="s">
        <v>746</v>
      </c>
      <c r="E90" s="490" t="str">
        <f t="shared" si="78"/>
        <v>1/052/077/0105</v>
      </c>
      <c r="F90" s="75"/>
      <c r="G90" s="318" t="s">
        <v>799</v>
      </c>
      <c r="H90" s="76" t="s">
        <v>42</v>
      </c>
      <c r="I90" s="312" t="s">
        <v>800</v>
      </c>
      <c r="J90" s="298" t="s">
        <v>801</v>
      </c>
      <c r="K90" s="76" t="s">
        <v>311</v>
      </c>
      <c r="L90" s="76">
        <v>770545408</v>
      </c>
      <c r="M90" s="320" t="s">
        <v>802</v>
      </c>
      <c r="N90" s="76">
        <v>16</v>
      </c>
      <c r="O90" s="76">
        <v>2</v>
      </c>
      <c r="P90" s="76">
        <v>1996</v>
      </c>
      <c r="Q90" s="201">
        <f t="shared" si="67"/>
        <v>35111</v>
      </c>
      <c r="R90" s="86">
        <f t="shared" ca="1" si="68"/>
        <v>29.906849315068492</v>
      </c>
      <c r="S90" s="73" t="s">
        <v>50</v>
      </c>
      <c r="T90" s="76">
        <v>16</v>
      </c>
      <c r="U90" s="76">
        <v>9</v>
      </c>
      <c r="V90" s="76">
        <v>2021</v>
      </c>
      <c r="W90" s="200">
        <f t="shared" si="69"/>
        <v>44455</v>
      </c>
      <c r="X90" s="5" t="s">
        <v>38</v>
      </c>
      <c r="Y90" s="115"/>
      <c r="Z90" s="73">
        <f t="shared" ca="1" si="70"/>
        <v>4</v>
      </c>
      <c r="AA90" s="40">
        <f t="shared" ca="1" si="71"/>
        <v>3</v>
      </c>
      <c r="AB90" s="40">
        <f t="shared" ca="1" si="72"/>
        <v>20</v>
      </c>
      <c r="AC90" s="15" t="str">
        <f t="shared" ca="1" si="73"/>
        <v>4Years/3Months/20Days</v>
      </c>
      <c r="AD90" s="108">
        <f t="shared" si="74"/>
        <v>57026</v>
      </c>
      <c r="AE90" s="15">
        <f t="shared" ca="1" si="75"/>
        <v>30</v>
      </c>
      <c r="AF90" s="15">
        <f t="shared" ca="1" si="76"/>
        <v>1</v>
      </c>
      <c r="AG90" s="15">
        <f t="shared" ca="1" si="77"/>
        <v>11</v>
      </c>
      <c r="AH90" s="15" t="str">
        <f t="shared" ca="1" si="63"/>
        <v>30Years/1Months/11Days</v>
      </c>
      <c r="AI90" s="15" t="str">
        <f t="shared" si="79"/>
        <v>34years , 5months and 0days</v>
      </c>
      <c r="AJ90" s="5">
        <f t="shared" si="64"/>
        <v>34</v>
      </c>
      <c r="AK90" s="5">
        <f t="shared" si="65"/>
        <v>5</v>
      </c>
      <c r="AL90" s="5">
        <f t="shared" si="66"/>
        <v>0</v>
      </c>
      <c r="AM90" s="336"/>
      <c r="AN90" s="336"/>
    </row>
    <row r="91" spans="1:40" ht="31.5" customHeight="1" x14ac:dyDescent="0.25">
      <c r="A91" s="5">
        <v>1</v>
      </c>
      <c r="B91" s="309" t="s">
        <v>306</v>
      </c>
      <c r="C91" s="489" t="s">
        <v>1424</v>
      </c>
      <c r="D91" s="489" t="s">
        <v>752</v>
      </c>
      <c r="E91" s="490" t="str">
        <f t="shared" si="78"/>
        <v>1/052/078/0106</v>
      </c>
      <c r="F91" s="75"/>
      <c r="G91" s="318" t="s">
        <v>804</v>
      </c>
      <c r="H91" s="76" t="s">
        <v>805</v>
      </c>
      <c r="I91" s="312" t="s">
        <v>806</v>
      </c>
      <c r="J91" s="298" t="s">
        <v>807</v>
      </c>
      <c r="K91" s="76" t="s">
        <v>311</v>
      </c>
      <c r="L91" s="76">
        <v>756143628</v>
      </c>
      <c r="M91" s="320" t="s">
        <v>808</v>
      </c>
      <c r="N91" s="76">
        <v>31</v>
      </c>
      <c r="O91" s="76">
        <v>7</v>
      </c>
      <c r="P91" s="76">
        <v>1990</v>
      </c>
      <c r="Q91" s="201">
        <f t="shared" si="67"/>
        <v>33085</v>
      </c>
      <c r="R91" s="86">
        <f t="shared" ca="1" si="68"/>
        <v>35.457534246575342</v>
      </c>
      <c r="S91" s="73" t="s">
        <v>34</v>
      </c>
      <c r="T91" s="76">
        <v>3</v>
      </c>
      <c r="U91" s="76">
        <v>1</v>
      </c>
      <c r="V91" s="76">
        <v>2022</v>
      </c>
      <c r="W91" s="200">
        <f t="shared" si="69"/>
        <v>44564</v>
      </c>
      <c r="X91" s="5" t="s">
        <v>38</v>
      </c>
      <c r="Y91" s="115"/>
      <c r="Z91" s="73">
        <f t="shared" ca="1" si="70"/>
        <v>4</v>
      </c>
      <c r="AA91" s="40">
        <f t="shared" ca="1" si="71"/>
        <v>0</v>
      </c>
      <c r="AB91" s="40">
        <f t="shared" ca="1" si="72"/>
        <v>2</v>
      </c>
      <c r="AC91" s="15" t="str">
        <f t="shared" ca="1" si="73"/>
        <v>4Years/0Months/2Days</v>
      </c>
      <c r="AD91" s="108">
        <f t="shared" si="74"/>
        <v>55000</v>
      </c>
      <c r="AE91" s="15">
        <f t="shared" ca="1" si="75"/>
        <v>24</v>
      </c>
      <c r="AF91" s="15">
        <f t="shared" ca="1" si="76"/>
        <v>6</v>
      </c>
      <c r="AG91" s="15">
        <f t="shared" ca="1" si="77"/>
        <v>26</v>
      </c>
      <c r="AH91" s="15" t="str">
        <f t="shared" ca="1" si="63"/>
        <v>24Years/6Months/26Days</v>
      </c>
      <c r="AI91" s="15" t="str">
        <f t="shared" si="79"/>
        <v>28years , 6months and 28days</v>
      </c>
      <c r="AJ91" s="5">
        <f t="shared" si="64"/>
        <v>28</v>
      </c>
      <c r="AK91" s="5">
        <f t="shared" si="65"/>
        <v>6</v>
      </c>
      <c r="AL91" s="5">
        <f t="shared" si="66"/>
        <v>28</v>
      </c>
      <c r="AM91" s="336"/>
      <c r="AN91" s="336"/>
    </row>
    <row r="92" spans="1:40" ht="31.5" customHeight="1" x14ac:dyDescent="0.25">
      <c r="A92" s="5">
        <v>1</v>
      </c>
      <c r="B92" s="309" t="s">
        <v>306</v>
      </c>
      <c r="C92" s="489" t="s">
        <v>1425</v>
      </c>
      <c r="D92" s="489" t="s">
        <v>759</v>
      </c>
      <c r="E92" s="490" t="str">
        <f t="shared" si="78"/>
        <v>1/052/079/0107</v>
      </c>
      <c r="F92" s="75"/>
      <c r="G92" s="318" t="s">
        <v>810</v>
      </c>
      <c r="H92" s="76" t="s">
        <v>42</v>
      </c>
      <c r="I92" s="312" t="s">
        <v>811</v>
      </c>
      <c r="J92" s="298" t="s">
        <v>812</v>
      </c>
      <c r="K92" s="76" t="s">
        <v>311</v>
      </c>
      <c r="L92" s="76">
        <v>711735612</v>
      </c>
      <c r="M92" s="322" t="s">
        <v>813</v>
      </c>
      <c r="N92" s="76">
        <v>17</v>
      </c>
      <c r="O92" s="76">
        <v>12</v>
      </c>
      <c r="P92" s="76">
        <v>1992</v>
      </c>
      <c r="Q92" s="201">
        <f t="shared" si="67"/>
        <v>33955</v>
      </c>
      <c r="R92" s="86">
        <f t="shared" ca="1" si="68"/>
        <v>33.073972602739723</v>
      </c>
      <c r="S92" s="73" t="s">
        <v>50</v>
      </c>
      <c r="T92" s="76">
        <v>4</v>
      </c>
      <c r="U92" s="76">
        <v>1</v>
      </c>
      <c r="V92" s="76">
        <v>2022</v>
      </c>
      <c r="W92" s="200">
        <f t="shared" si="69"/>
        <v>44565</v>
      </c>
      <c r="X92" s="5" t="s">
        <v>38</v>
      </c>
      <c r="Y92" s="115"/>
      <c r="Z92" s="73">
        <f t="shared" ca="1" si="70"/>
        <v>4</v>
      </c>
      <c r="AA92" s="40">
        <f t="shared" ca="1" si="71"/>
        <v>0</v>
      </c>
      <c r="AB92" s="40">
        <f t="shared" ca="1" si="72"/>
        <v>1</v>
      </c>
      <c r="AC92" s="15" t="str">
        <f t="shared" ca="1" si="73"/>
        <v>4Years/0Months/1Days</v>
      </c>
      <c r="AD92" s="108">
        <f t="shared" si="74"/>
        <v>55870</v>
      </c>
      <c r="AE92" s="15">
        <f t="shared" ca="1" si="75"/>
        <v>26</v>
      </c>
      <c r="AF92" s="15">
        <f t="shared" ca="1" si="76"/>
        <v>11</v>
      </c>
      <c r="AG92" s="15">
        <f t="shared" ca="1" si="77"/>
        <v>12</v>
      </c>
      <c r="AH92" s="15" t="str">
        <f t="shared" ca="1" si="63"/>
        <v>26Years/11Months/12Days</v>
      </c>
      <c r="AI92" s="15" t="str">
        <f t="shared" si="79"/>
        <v>30years , 11months and 13days</v>
      </c>
      <c r="AJ92" s="5">
        <f t="shared" si="64"/>
        <v>30</v>
      </c>
      <c r="AK92" s="5">
        <f t="shared" si="65"/>
        <v>11</v>
      </c>
      <c r="AL92" s="5">
        <f t="shared" si="66"/>
        <v>13</v>
      </c>
      <c r="AM92" s="336"/>
      <c r="AN92" s="336"/>
    </row>
    <row r="93" spans="1:40" ht="31.5" customHeight="1" x14ac:dyDescent="0.25">
      <c r="A93" s="5">
        <v>1</v>
      </c>
      <c r="B93" s="309" t="s">
        <v>306</v>
      </c>
      <c r="C93" s="489" t="s">
        <v>1097</v>
      </c>
      <c r="D93" s="489" t="s">
        <v>761</v>
      </c>
      <c r="E93" s="490" t="str">
        <f t="shared" si="78"/>
        <v>1/052/080/0108</v>
      </c>
      <c r="F93" s="75"/>
      <c r="G93" s="318" t="s">
        <v>815</v>
      </c>
      <c r="H93" s="76" t="s">
        <v>816</v>
      </c>
      <c r="I93" s="312" t="s">
        <v>817</v>
      </c>
      <c r="J93" s="298" t="s">
        <v>818</v>
      </c>
      <c r="K93" s="76" t="s">
        <v>311</v>
      </c>
      <c r="L93" s="76">
        <v>767826941</v>
      </c>
      <c r="M93" s="322" t="s">
        <v>819</v>
      </c>
      <c r="N93" s="76">
        <v>20</v>
      </c>
      <c r="O93" s="76">
        <v>2</v>
      </c>
      <c r="P93" s="76">
        <v>1998</v>
      </c>
      <c r="Q93" s="201">
        <f t="shared" si="67"/>
        <v>35846</v>
      </c>
      <c r="R93" s="86">
        <f t="shared" ca="1" si="68"/>
        <v>27.893150684931506</v>
      </c>
      <c r="S93" s="73" t="s">
        <v>50</v>
      </c>
      <c r="T93" s="76">
        <v>4</v>
      </c>
      <c r="U93" s="76">
        <v>1</v>
      </c>
      <c r="V93" s="76">
        <v>2022</v>
      </c>
      <c r="W93" s="200">
        <f t="shared" si="69"/>
        <v>44565</v>
      </c>
      <c r="X93" s="5" t="s">
        <v>38</v>
      </c>
      <c r="Y93" s="115"/>
      <c r="Z93" s="73">
        <f t="shared" ca="1" si="70"/>
        <v>4</v>
      </c>
      <c r="AA93" s="40">
        <f t="shared" ca="1" si="71"/>
        <v>0</v>
      </c>
      <c r="AB93" s="40">
        <f t="shared" ca="1" si="72"/>
        <v>1</v>
      </c>
      <c r="AC93" s="15" t="str">
        <f t="shared" ca="1" si="73"/>
        <v>4Years/0Months/1Days</v>
      </c>
      <c r="AD93" s="108">
        <f t="shared" si="74"/>
        <v>57761</v>
      </c>
      <c r="AE93" s="15">
        <f t="shared" ca="1" si="75"/>
        <v>32</v>
      </c>
      <c r="AF93" s="15">
        <f t="shared" ca="1" si="76"/>
        <v>1</v>
      </c>
      <c r="AG93" s="15">
        <f t="shared" ca="1" si="77"/>
        <v>15</v>
      </c>
      <c r="AH93" s="15" t="str">
        <f t="shared" ca="1" si="63"/>
        <v>32Years/1Months/15Days</v>
      </c>
      <c r="AI93" s="15" t="str">
        <f t="shared" si="79"/>
        <v>36years , 1months and 16days</v>
      </c>
      <c r="AJ93" s="5">
        <f t="shared" si="64"/>
        <v>36</v>
      </c>
      <c r="AK93" s="5">
        <f t="shared" si="65"/>
        <v>1</v>
      </c>
      <c r="AL93" s="5">
        <f t="shared" si="66"/>
        <v>16</v>
      </c>
      <c r="AM93" s="336"/>
      <c r="AN93" s="336"/>
    </row>
    <row r="94" spans="1:40" ht="31.5" customHeight="1" x14ac:dyDescent="0.25">
      <c r="A94" s="5">
        <v>1</v>
      </c>
      <c r="B94" s="309" t="s">
        <v>306</v>
      </c>
      <c r="C94" s="489" t="s">
        <v>1101</v>
      </c>
      <c r="D94" s="489" t="s">
        <v>772</v>
      </c>
      <c r="E94" s="490" t="str">
        <f t="shared" si="78"/>
        <v>1/052/082/0110</v>
      </c>
      <c r="F94" s="75"/>
      <c r="G94" s="317" t="s">
        <v>823</v>
      </c>
      <c r="H94" s="76" t="s">
        <v>816</v>
      </c>
      <c r="I94" s="314" t="s">
        <v>824</v>
      </c>
      <c r="J94" s="298" t="s">
        <v>825</v>
      </c>
      <c r="K94" s="76" t="s">
        <v>311</v>
      </c>
      <c r="L94" s="76">
        <v>768729999</v>
      </c>
      <c r="M94" s="320" t="s">
        <v>826</v>
      </c>
      <c r="N94" s="76">
        <v>29</v>
      </c>
      <c r="O94" s="76">
        <v>9</v>
      </c>
      <c r="P94" s="76">
        <v>1991</v>
      </c>
      <c r="Q94" s="201">
        <f t="shared" si="67"/>
        <v>33510</v>
      </c>
      <c r="R94" s="86">
        <f t="shared" ca="1" si="68"/>
        <v>34.293150684931504</v>
      </c>
      <c r="S94" s="73" t="s">
        <v>50</v>
      </c>
      <c r="T94" s="76">
        <v>1</v>
      </c>
      <c r="U94" s="76">
        <v>2</v>
      </c>
      <c r="V94" s="76">
        <v>2022</v>
      </c>
      <c r="W94" s="200">
        <f t="shared" si="69"/>
        <v>44593</v>
      </c>
      <c r="X94" s="39"/>
      <c r="Y94" s="116"/>
      <c r="Z94" s="73">
        <f t="shared" ca="1" si="70"/>
        <v>3</v>
      </c>
      <c r="AA94" s="40">
        <f t="shared" ca="1" si="71"/>
        <v>11</v>
      </c>
      <c r="AB94" s="40">
        <f t="shared" ca="1" si="72"/>
        <v>4</v>
      </c>
      <c r="AC94" s="15" t="str">
        <f t="shared" ca="1" si="73"/>
        <v>3Years/11Months/4Days</v>
      </c>
      <c r="AD94" s="108">
        <f t="shared" si="74"/>
        <v>55425</v>
      </c>
      <c r="AE94" s="15">
        <f t="shared" ca="1" si="75"/>
        <v>25</v>
      </c>
      <c r="AF94" s="15">
        <f t="shared" ca="1" si="76"/>
        <v>8</v>
      </c>
      <c r="AG94" s="15">
        <f t="shared" ca="1" si="77"/>
        <v>24</v>
      </c>
      <c r="AH94" s="15" t="str">
        <f t="shared" ca="1" si="63"/>
        <v>25Years/8Months/24Days</v>
      </c>
      <c r="AI94" s="15" t="str">
        <f t="shared" si="79"/>
        <v>29years , 7months and 28days</v>
      </c>
      <c r="AJ94" s="5">
        <f t="shared" si="64"/>
        <v>29</v>
      </c>
      <c r="AK94" s="5">
        <f t="shared" si="65"/>
        <v>7</v>
      </c>
      <c r="AL94" s="5">
        <f t="shared" si="66"/>
        <v>28</v>
      </c>
      <c r="AM94" s="336"/>
      <c r="AN94" s="336"/>
    </row>
    <row r="95" spans="1:40" ht="31.5" customHeight="1" x14ac:dyDescent="0.25">
      <c r="A95" s="5">
        <v>1</v>
      </c>
      <c r="B95" s="309" t="s">
        <v>306</v>
      </c>
      <c r="C95" s="489" t="s">
        <v>1427</v>
      </c>
      <c r="D95" s="489" t="s">
        <v>778</v>
      </c>
      <c r="E95" s="490" t="str">
        <f t="shared" si="78"/>
        <v>1/052/083/0111</v>
      </c>
      <c r="F95" s="75"/>
      <c r="G95" s="317" t="s">
        <v>827</v>
      </c>
      <c r="H95" s="76" t="s">
        <v>393</v>
      </c>
      <c r="I95" s="314" t="s">
        <v>828</v>
      </c>
      <c r="J95" s="297" t="s">
        <v>829</v>
      </c>
      <c r="K95" s="76" t="s">
        <v>311</v>
      </c>
      <c r="L95" s="76">
        <v>773757548</v>
      </c>
      <c r="M95" s="322" t="s">
        <v>830</v>
      </c>
      <c r="N95" s="73">
        <v>9</v>
      </c>
      <c r="O95" s="73">
        <v>1</v>
      </c>
      <c r="P95" s="73">
        <v>1970</v>
      </c>
      <c r="Q95" s="201">
        <f t="shared" si="67"/>
        <v>25577</v>
      </c>
      <c r="R95" s="86">
        <f t="shared" ca="1" si="68"/>
        <v>56.027397260273972</v>
      </c>
      <c r="S95" s="73" t="s">
        <v>34</v>
      </c>
      <c r="T95" s="73">
        <v>1</v>
      </c>
      <c r="U95" s="73">
        <v>4</v>
      </c>
      <c r="V95" s="73">
        <v>2022</v>
      </c>
      <c r="W95" s="200">
        <f t="shared" si="69"/>
        <v>44652</v>
      </c>
      <c r="X95" s="323"/>
      <c r="Y95" s="115" t="s">
        <v>38</v>
      </c>
      <c r="Z95" s="73">
        <f t="shared" ca="1" si="70"/>
        <v>3</v>
      </c>
      <c r="AA95" s="40">
        <f t="shared" ca="1" si="71"/>
        <v>9</v>
      </c>
      <c r="AB95" s="40">
        <f t="shared" ca="1" si="72"/>
        <v>4</v>
      </c>
      <c r="AC95" s="15" t="str">
        <f t="shared" ca="1" si="73"/>
        <v>3Years/9Months/4Days</v>
      </c>
      <c r="AD95" s="108">
        <f t="shared" si="74"/>
        <v>47492</v>
      </c>
      <c r="AE95" s="15">
        <f t="shared" ca="1" si="75"/>
        <v>4</v>
      </c>
      <c r="AF95" s="15">
        <f t="shared" ca="1" si="76"/>
        <v>0</v>
      </c>
      <c r="AG95" s="15">
        <f t="shared" ca="1" si="77"/>
        <v>4</v>
      </c>
      <c r="AH95" s="15" t="str">
        <f t="shared" ca="1" si="63"/>
        <v>4Years/0Months/4Days</v>
      </c>
      <c r="AI95" s="15" t="str">
        <f t="shared" si="79"/>
        <v>7years , 9months and 8days</v>
      </c>
      <c r="AJ95" s="5">
        <f t="shared" si="64"/>
        <v>7</v>
      </c>
      <c r="AK95" s="5">
        <f t="shared" si="65"/>
        <v>9</v>
      </c>
      <c r="AL95" s="5">
        <f t="shared" si="66"/>
        <v>8</v>
      </c>
      <c r="AM95" s="336"/>
      <c r="AN95" s="336"/>
    </row>
    <row r="96" spans="1:40" ht="31.5" customHeight="1" x14ac:dyDescent="0.25">
      <c r="A96" s="5">
        <v>1</v>
      </c>
      <c r="B96" s="309" t="s">
        <v>306</v>
      </c>
      <c r="C96" s="489" t="s">
        <v>1428</v>
      </c>
      <c r="D96" s="489" t="s">
        <v>783</v>
      </c>
      <c r="E96" s="490" t="str">
        <f t="shared" si="78"/>
        <v>1/052/084/0112</v>
      </c>
      <c r="F96" s="75"/>
      <c r="G96" s="317" t="s">
        <v>832</v>
      </c>
      <c r="H96" s="76" t="s">
        <v>816</v>
      </c>
      <c r="I96" s="314" t="s">
        <v>833</v>
      </c>
      <c r="J96" s="298" t="s">
        <v>834</v>
      </c>
      <c r="K96" s="76" t="s">
        <v>311</v>
      </c>
      <c r="L96" s="76">
        <v>762288757</v>
      </c>
      <c r="M96" s="322" t="s">
        <v>835</v>
      </c>
      <c r="N96" s="76">
        <v>17</v>
      </c>
      <c r="O96" s="76">
        <v>7</v>
      </c>
      <c r="P96" s="76">
        <v>2000</v>
      </c>
      <c r="Q96" s="201">
        <f t="shared" si="67"/>
        <v>36724</v>
      </c>
      <c r="R96" s="86">
        <f t="shared" ca="1" si="68"/>
        <v>25.487671232876714</v>
      </c>
      <c r="S96" s="73" t="s">
        <v>50</v>
      </c>
      <c r="T96" s="76">
        <v>1</v>
      </c>
      <c r="U96" s="76">
        <v>5</v>
      </c>
      <c r="V96" s="76">
        <v>2022</v>
      </c>
      <c r="W96" s="200">
        <f t="shared" si="69"/>
        <v>44682</v>
      </c>
      <c r="X96" s="5"/>
      <c r="Y96" s="115"/>
      <c r="Z96" s="73">
        <f t="shared" ca="1" si="70"/>
        <v>3</v>
      </c>
      <c r="AA96" s="40">
        <f t="shared" ca="1" si="71"/>
        <v>8</v>
      </c>
      <c r="AB96" s="40">
        <f t="shared" ca="1" si="72"/>
        <v>4</v>
      </c>
      <c r="AC96" s="15" t="str">
        <f t="shared" ca="1" si="73"/>
        <v>3Years/8Months/4Days</v>
      </c>
      <c r="AD96" s="108">
        <f t="shared" si="74"/>
        <v>58639</v>
      </c>
      <c r="AE96" s="15">
        <f t="shared" ca="1" si="75"/>
        <v>34</v>
      </c>
      <c r="AF96" s="15">
        <f t="shared" ca="1" si="76"/>
        <v>6</v>
      </c>
      <c r="AG96" s="15">
        <f t="shared" ca="1" si="77"/>
        <v>12</v>
      </c>
      <c r="AH96" s="15" t="str">
        <f t="shared" ca="1" si="63"/>
        <v>34Years/6Months/12Days</v>
      </c>
      <c r="AI96" s="15" t="str">
        <f t="shared" si="79"/>
        <v>38years , 2months and 16days</v>
      </c>
      <c r="AJ96" s="5">
        <f t="shared" si="64"/>
        <v>38</v>
      </c>
      <c r="AK96" s="5">
        <f t="shared" si="65"/>
        <v>2</v>
      </c>
      <c r="AL96" s="5">
        <f t="shared" si="66"/>
        <v>16</v>
      </c>
      <c r="AM96" s="336"/>
      <c r="AN96" s="336"/>
    </row>
    <row r="97" spans="1:41" ht="31.5" customHeight="1" x14ac:dyDescent="0.25">
      <c r="A97" s="5">
        <v>1</v>
      </c>
      <c r="B97" s="309" t="s">
        <v>306</v>
      </c>
      <c r="C97" s="489" t="s">
        <v>1104</v>
      </c>
      <c r="D97" s="489" t="s">
        <v>793</v>
      </c>
      <c r="E97" s="490" t="str">
        <f t="shared" si="78"/>
        <v>1/052/086/0114</v>
      </c>
      <c r="F97" s="75"/>
      <c r="G97" s="318" t="s">
        <v>848</v>
      </c>
      <c r="H97" s="76" t="s">
        <v>42</v>
      </c>
      <c r="I97" s="312" t="s">
        <v>849</v>
      </c>
      <c r="J97" s="298" t="s">
        <v>850</v>
      </c>
      <c r="K97" s="76" t="s">
        <v>311</v>
      </c>
      <c r="L97" s="76">
        <v>776099740</v>
      </c>
      <c r="M97" s="322" t="s">
        <v>851</v>
      </c>
      <c r="N97" s="76">
        <v>15</v>
      </c>
      <c r="O97" s="76">
        <v>10</v>
      </c>
      <c r="P97" s="76">
        <v>1995</v>
      </c>
      <c r="Q97" s="201">
        <f t="shared" si="67"/>
        <v>34987</v>
      </c>
      <c r="R97" s="86">
        <f t="shared" ca="1" si="68"/>
        <v>30.246575342465754</v>
      </c>
      <c r="S97" s="73" t="s">
        <v>50</v>
      </c>
      <c r="T97" s="76">
        <v>1</v>
      </c>
      <c r="U97" s="76">
        <v>7</v>
      </c>
      <c r="V97" s="76">
        <v>2022</v>
      </c>
      <c r="W97" s="200">
        <f t="shared" si="69"/>
        <v>44743</v>
      </c>
      <c r="X97" s="323"/>
      <c r="Y97" s="115"/>
      <c r="Z97" s="73">
        <f t="shared" ca="1" si="70"/>
        <v>3</v>
      </c>
      <c r="AA97" s="40">
        <f t="shared" ca="1" si="71"/>
        <v>6</v>
      </c>
      <c r="AB97" s="40">
        <f t="shared" ca="1" si="72"/>
        <v>4</v>
      </c>
      <c r="AC97" s="15" t="str">
        <f t="shared" ca="1" si="73"/>
        <v>3Years/6Months/4Days</v>
      </c>
      <c r="AD97" s="108">
        <f t="shared" si="74"/>
        <v>56902</v>
      </c>
      <c r="AE97" s="15">
        <f t="shared" ca="1" si="75"/>
        <v>29</v>
      </c>
      <c r="AF97" s="15">
        <f t="shared" ca="1" si="76"/>
        <v>9</v>
      </c>
      <c r="AG97" s="15">
        <f t="shared" ca="1" si="77"/>
        <v>10</v>
      </c>
      <c r="AH97" s="15" t="str">
        <f t="shared" ca="1" si="63"/>
        <v>29Years/9Months/10Days</v>
      </c>
      <c r="AI97" s="15" t="str">
        <f t="shared" si="79"/>
        <v>33years , 3months and 14days</v>
      </c>
      <c r="AJ97" s="5">
        <f t="shared" si="64"/>
        <v>33</v>
      </c>
      <c r="AK97" s="5">
        <f t="shared" si="65"/>
        <v>3</v>
      </c>
      <c r="AL97" s="5">
        <f t="shared" si="66"/>
        <v>14</v>
      </c>
      <c r="AM97" s="336"/>
      <c r="AN97" s="336"/>
    </row>
    <row r="98" spans="1:41" ht="31.5" customHeight="1" x14ac:dyDescent="0.25">
      <c r="A98" s="5">
        <v>1</v>
      </c>
      <c r="B98" s="309" t="s">
        <v>306</v>
      </c>
      <c r="C98" s="489" t="s">
        <v>1430</v>
      </c>
      <c r="D98" s="489" t="s">
        <v>798</v>
      </c>
      <c r="E98" s="490" t="str">
        <f t="shared" si="78"/>
        <v>1/052/087/0115</v>
      </c>
      <c r="F98" s="75"/>
      <c r="G98" s="317" t="s">
        <v>853</v>
      </c>
      <c r="H98" s="76" t="s">
        <v>854</v>
      </c>
      <c r="I98" s="314" t="s">
        <v>855</v>
      </c>
      <c r="J98" s="298" t="s">
        <v>856</v>
      </c>
      <c r="K98" s="76" t="s">
        <v>311</v>
      </c>
      <c r="L98" s="76">
        <v>718375894</v>
      </c>
      <c r="M98" s="322" t="s">
        <v>857</v>
      </c>
      <c r="N98" s="76">
        <v>8</v>
      </c>
      <c r="O98" s="76">
        <v>9</v>
      </c>
      <c r="P98" s="76">
        <v>1969</v>
      </c>
      <c r="Q98" s="201">
        <f t="shared" si="67"/>
        <v>25454</v>
      </c>
      <c r="R98" s="86">
        <f t="shared" ca="1" si="68"/>
        <v>56.364383561643834</v>
      </c>
      <c r="S98" s="73" t="s">
        <v>50</v>
      </c>
      <c r="T98" s="76">
        <v>1</v>
      </c>
      <c r="U98" s="76">
        <v>9</v>
      </c>
      <c r="V98" s="76">
        <v>2022</v>
      </c>
      <c r="W98" s="200">
        <f t="shared" si="69"/>
        <v>44805</v>
      </c>
      <c r="X98" s="5"/>
      <c r="Y98" s="115" t="s">
        <v>38</v>
      </c>
      <c r="Z98" s="73">
        <f t="shared" ca="1" si="70"/>
        <v>3</v>
      </c>
      <c r="AA98" s="40">
        <f t="shared" ca="1" si="71"/>
        <v>4</v>
      </c>
      <c r="AB98" s="40">
        <f t="shared" ca="1" si="72"/>
        <v>4</v>
      </c>
      <c r="AC98" s="15" t="str">
        <f t="shared" ca="1" si="73"/>
        <v>3Years/4Months/4Days</v>
      </c>
      <c r="AD98" s="108">
        <f t="shared" si="74"/>
        <v>47369</v>
      </c>
      <c r="AE98" s="15">
        <f t="shared" ca="1" si="75"/>
        <v>3</v>
      </c>
      <c r="AF98" s="15">
        <f t="shared" ca="1" si="76"/>
        <v>8</v>
      </c>
      <c r="AG98" s="15">
        <f t="shared" ca="1" si="77"/>
        <v>3</v>
      </c>
      <c r="AH98" s="15" t="str">
        <f t="shared" ca="1" si="63"/>
        <v>3Years/8Months/3Days</v>
      </c>
      <c r="AI98" s="15" t="str">
        <f t="shared" si="79"/>
        <v>7years , 0months and 7days</v>
      </c>
      <c r="AJ98" s="5">
        <f t="shared" si="64"/>
        <v>7</v>
      </c>
      <c r="AK98" s="5">
        <f t="shared" si="65"/>
        <v>0</v>
      </c>
      <c r="AL98" s="5">
        <f t="shared" si="66"/>
        <v>7</v>
      </c>
      <c r="AM98" s="336"/>
      <c r="AN98" s="336"/>
    </row>
    <row r="99" spans="1:41" ht="31.5" customHeight="1" x14ac:dyDescent="0.25">
      <c r="A99" s="5">
        <v>1</v>
      </c>
      <c r="B99" s="309" t="s">
        <v>306</v>
      </c>
      <c r="C99" s="489" t="s">
        <v>1431</v>
      </c>
      <c r="D99" s="489" t="s">
        <v>803</v>
      </c>
      <c r="E99" s="490" t="str">
        <f t="shared" si="78"/>
        <v>1/052/088/0116</v>
      </c>
      <c r="F99" s="75"/>
      <c r="G99" s="318" t="s">
        <v>859</v>
      </c>
      <c r="H99" s="76" t="s">
        <v>42</v>
      </c>
      <c r="I99" s="314" t="s">
        <v>860</v>
      </c>
      <c r="J99" s="297" t="s">
        <v>861</v>
      </c>
      <c r="K99" s="76" t="s">
        <v>311</v>
      </c>
      <c r="L99" s="199" t="s">
        <v>862</v>
      </c>
      <c r="M99" s="320" t="s">
        <v>863</v>
      </c>
      <c r="N99" s="73">
        <v>12</v>
      </c>
      <c r="O99" s="73">
        <v>1</v>
      </c>
      <c r="P99" s="73">
        <v>1983</v>
      </c>
      <c r="Q99" s="201">
        <f t="shared" si="67"/>
        <v>30328</v>
      </c>
      <c r="R99" s="86">
        <f t="shared" ca="1" si="68"/>
        <v>43.010958904109586</v>
      </c>
      <c r="S99" s="73" t="s">
        <v>34</v>
      </c>
      <c r="T99" s="73">
        <v>1</v>
      </c>
      <c r="U99" s="73">
        <v>9</v>
      </c>
      <c r="V99" s="73">
        <v>2022</v>
      </c>
      <c r="W99" s="200">
        <f t="shared" si="69"/>
        <v>44805</v>
      </c>
      <c r="X99" s="5"/>
      <c r="Y99" s="115"/>
      <c r="Z99" s="73">
        <f t="shared" ca="1" si="70"/>
        <v>3</v>
      </c>
      <c r="AA99" s="40">
        <f t="shared" ca="1" si="71"/>
        <v>4</v>
      </c>
      <c r="AB99" s="40">
        <f t="shared" ca="1" si="72"/>
        <v>4</v>
      </c>
      <c r="AC99" s="15" t="str">
        <f t="shared" ca="1" si="73"/>
        <v>3Years/4Months/4Days</v>
      </c>
      <c r="AD99" s="108">
        <f t="shared" si="74"/>
        <v>52243</v>
      </c>
      <c r="AE99" s="15">
        <f t="shared" ca="1" si="75"/>
        <v>17</v>
      </c>
      <c r="AF99" s="15">
        <f t="shared" ca="1" si="76"/>
        <v>0</v>
      </c>
      <c r="AG99" s="15">
        <f t="shared" ca="1" si="77"/>
        <v>7</v>
      </c>
      <c r="AH99" s="15" t="str">
        <f t="shared" ca="1" si="63"/>
        <v>17Years/0Months/7Days</v>
      </c>
      <c r="AI99" s="15" t="str">
        <f t="shared" si="79"/>
        <v>20years , 4months and 11days</v>
      </c>
      <c r="AJ99" s="5">
        <f t="shared" si="64"/>
        <v>20</v>
      </c>
      <c r="AK99" s="5">
        <f t="shared" si="65"/>
        <v>4</v>
      </c>
      <c r="AL99" s="5">
        <f t="shared" si="66"/>
        <v>11</v>
      </c>
      <c r="AM99" s="336"/>
      <c r="AN99" s="336"/>
    </row>
    <row r="100" spans="1:41" ht="31.5" customHeight="1" x14ac:dyDescent="0.25">
      <c r="A100" s="5">
        <v>1</v>
      </c>
      <c r="B100" s="309" t="s">
        <v>306</v>
      </c>
      <c r="C100" s="489" t="s">
        <v>1432</v>
      </c>
      <c r="D100" s="489" t="s">
        <v>809</v>
      </c>
      <c r="E100" s="490" t="str">
        <f t="shared" si="78"/>
        <v>1/052/089/0117</v>
      </c>
      <c r="F100" s="75"/>
      <c r="G100" s="318" t="s">
        <v>865</v>
      </c>
      <c r="H100" s="76" t="s">
        <v>42</v>
      </c>
      <c r="I100" s="314" t="s">
        <v>866</v>
      </c>
      <c r="J100" s="298" t="s">
        <v>867</v>
      </c>
      <c r="K100" s="76" t="s">
        <v>96</v>
      </c>
      <c r="L100" s="199" t="s">
        <v>868</v>
      </c>
      <c r="M100" s="320" t="s">
        <v>869</v>
      </c>
      <c r="N100" s="73">
        <v>31</v>
      </c>
      <c r="O100" s="73">
        <v>12</v>
      </c>
      <c r="P100" s="73">
        <v>1996</v>
      </c>
      <c r="Q100" s="201">
        <f t="shared" si="67"/>
        <v>35430</v>
      </c>
      <c r="R100" s="86">
        <f t="shared" ca="1" si="68"/>
        <v>29.032876712328768</v>
      </c>
      <c r="S100" s="73" t="s">
        <v>50</v>
      </c>
      <c r="T100" s="73">
        <v>1</v>
      </c>
      <c r="U100" s="73">
        <v>9</v>
      </c>
      <c r="V100" s="73">
        <v>2022</v>
      </c>
      <c r="W100" s="200">
        <f t="shared" si="69"/>
        <v>44805</v>
      </c>
      <c r="X100" s="5"/>
      <c r="Y100" s="115"/>
      <c r="Z100" s="73">
        <f t="shared" ca="1" si="70"/>
        <v>3</v>
      </c>
      <c r="AA100" s="40">
        <f t="shared" ca="1" si="71"/>
        <v>4</v>
      </c>
      <c r="AB100" s="40">
        <f t="shared" ca="1" si="72"/>
        <v>4</v>
      </c>
      <c r="AC100" s="15" t="str">
        <f t="shared" ca="1" si="73"/>
        <v>3Years/4Months/4Days</v>
      </c>
      <c r="AD100" s="108">
        <f t="shared" si="74"/>
        <v>57345</v>
      </c>
      <c r="AE100" s="15">
        <f t="shared" ca="1" si="75"/>
        <v>30</v>
      </c>
      <c r="AF100" s="15">
        <f t="shared" ca="1" si="76"/>
        <v>11</v>
      </c>
      <c r="AG100" s="15">
        <f t="shared" ca="1" si="77"/>
        <v>26</v>
      </c>
      <c r="AH100" s="15" t="str">
        <f t="shared" ca="1" si="63"/>
        <v>30Years/11Months/26Days</v>
      </c>
      <c r="AI100" s="15" t="str">
        <f t="shared" si="79"/>
        <v>34years , 3months and 30days</v>
      </c>
      <c r="AJ100" s="5">
        <f t="shared" si="64"/>
        <v>34</v>
      </c>
      <c r="AK100" s="5">
        <f t="shared" si="65"/>
        <v>3</v>
      </c>
      <c r="AL100" s="5">
        <f t="shared" si="66"/>
        <v>30</v>
      </c>
      <c r="AM100" s="336"/>
      <c r="AN100" s="336"/>
    </row>
    <row r="101" spans="1:41" ht="31.5" customHeight="1" x14ac:dyDescent="0.25">
      <c r="A101" s="5">
        <v>1</v>
      </c>
      <c r="B101" s="309" t="s">
        <v>306</v>
      </c>
      <c r="C101" s="489" t="s">
        <v>1434</v>
      </c>
      <c r="D101" s="489" t="s">
        <v>820</v>
      </c>
      <c r="E101" s="490" t="str">
        <f t="shared" si="78"/>
        <v>1/052/091/0119</v>
      </c>
      <c r="F101" s="75"/>
      <c r="G101" s="318" t="s">
        <v>877</v>
      </c>
      <c r="H101" s="76" t="s">
        <v>878</v>
      </c>
      <c r="I101" s="314" t="s">
        <v>879</v>
      </c>
      <c r="J101" s="297" t="s">
        <v>880</v>
      </c>
      <c r="K101" s="76" t="s">
        <v>96</v>
      </c>
      <c r="L101" s="199" t="s">
        <v>881</v>
      </c>
      <c r="M101" s="320" t="s">
        <v>882</v>
      </c>
      <c r="N101" s="73">
        <v>25</v>
      </c>
      <c r="O101" s="73">
        <v>5</v>
      </c>
      <c r="P101" s="73">
        <v>1996</v>
      </c>
      <c r="Q101" s="201">
        <f t="shared" si="67"/>
        <v>35210</v>
      </c>
      <c r="R101" s="86">
        <f t="shared" ca="1" si="68"/>
        <v>29.635616438356163</v>
      </c>
      <c r="S101" s="73" t="s">
        <v>34</v>
      </c>
      <c r="T101" s="73">
        <v>1</v>
      </c>
      <c r="U101" s="73">
        <v>10</v>
      </c>
      <c r="V101" s="73">
        <v>2022</v>
      </c>
      <c r="W101" s="200">
        <f t="shared" si="69"/>
        <v>44835</v>
      </c>
      <c r="X101" s="5"/>
      <c r="Y101" s="115"/>
      <c r="Z101" s="73">
        <f t="shared" ca="1" si="70"/>
        <v>3</v>
      </c>
      <c r="AA101" s="40">
        <f t="shared" ca="1" si="71"/>
        <v>3</v>
      </c>
      <c r="AB101" s="40">
        <f t="shared" ca="1" si="72"/>
        <v>4</v>
      </c>
      <c r="AC101" s="15" t="str">
        <f t="shared" ca="1" si="73"/>
        <v>3Years/3Months/4Days</v>
      </c>
      <c r="AD101" s="108">
        <f t="shared" si="74"/>
        <v>57125</v>
      </c>
      <c r="AE101" s="15">
        <f t="shared" ca="1" si="75"/>
        <v>30</v>
      </c>
      <c r="AF101" s="15">
        <f t="shared" ca="1" si="76"/>
        <v>4</v>
      </c>
      <c r="AG101" s="15">
        <f t="shared" ca="1" si="77"/>
        <v>20</v>
      </c>
      <c r="AH101" s="15" t="str">
        <f t="shared" ref="AH101:AH112" ca="1" si="80">CONCATENATE(AE101,"Years","/",AF101,"Months","/",AG101,"Days")</f>
        <v>30Years/4Months/20Days</v>
      </c>
      <c r="AI101" s="15" t="str">
        <f t="shared" si="79"/>
        <v>33years , 7months and 24days</v>
      </c>
      <c r="AJ101" s="5">
        <f t="shared" ref="AJ101:AJ112" si="81">DATEDIF(W101,AD101,"Y")</f>
        <v>33</v>
      </c>
      <c r="AK101" s="5">
        <f t="shared" ref="AK101:AK112" si="82">DATEDIF(W101,AD101,"YM")</f>
        <v>7</v>
      </c>
      <c r="AL101" s="5">
        <f t="shared" ref="AL101:AL112" si="83">DATEDIF(W101,AD101,"MD")</f>
        <v>24</v>
      </c>
      <c r="AM101" s="336"/>
      <c r="AN101" s="336"/>
    </row>
    <row r="102" spans="1:41" ht="31.5" customHeight="1" x14ac:dyDescent="0.25">
      <c r="A102" s="5">
        <v>1</v>
      </c>
      <c r="B102" s="309" t="s">
        <v>306</v>
      </c>
      <c r="C102" s="489" t="s">
        <v>1437</v>
      </c>
      <c r="D102" s="489" t="s">
        <v>831</v>
      </c>
      <c r="E102" s="490" t="str">
        <f t="shared" si="78"/>
        <v>1/052/094/0122</v>
      </c>
      <c r="F102" s="75"/>
      <c r="G102" s="525" t="s">
        <v>890</v>
      </c>
      <c r="H102" s="76" t="s">
        <v>42</v>
      </c>
      <c r="I102" s="314" t="s">
        <v>891</v>
      </c>
      <c r="J102" s="297" t="s">
        <v>892</v>
      </c>
      <c r="K102" s="76" t="s">
        <v>311</v>
      </c>
      <c r="L102" s="76">
        <v>775131291</v>
      </c>
      <c r="M102" s="320" t="s">
        <v>893</v>
      </c>
      <c r="N102" s="73">
        <v>16</v>
      </c>
      <c r="O102" s="73">
        <v>7</v>
      </c>
      <c r="P102" s="73">
        <v>1965</v>
      </c>
      <c r="Q102" s="201">
        <f t="shared" si="67"/>
        <v>23939</v>
      </c>
      <c r="R102" s="534">
        <f t="shared" ca="1" si="68"/>
        <v>60.515068493150686</v>
      </c>
      <c r="S102" s="73" t="s">
        <v>50</v>
      </c>
      <c r="T102" s="73">
        <v>1</v>
      </c>
      <c r="U102" s="73">
        <v>10</v>
      </c>
      <c r="V102" s="73">
        <v>2022</v>
      </c>
      <c r="W102" s="200">
        <f t="shared" si="69"/>
        <v>44835</v>
      </c>
      <c r="X102" s="39"/>
      <c r="Y102" s="116" t="s">
        <v>38</v>
      </c>
      <c r="Z102" s="73">
        <f t="shared" ca="1" si="70"/>
        <v>3</v>
      </c>
      <c r="AA102" s="40">
        <f t="shared" ca="1" si="71"/>
        <v>3</v>
      </c>
      <c r="AB102" s="40">
        <f t="shared" ca="1" si="72"/>
        <v>4</v>
      </c>
      <c r="AC102" s="15" t="str">
        <f t="shared" ca="1" si="73"/>
        <v>3Years/3Months/4Days</v>
      </c>
      <c r="AD102" s="108">
        <f t="shared" si="74"/>
        <v>45854</v>
      </c>
      <c r="AE102" s="15" t="e">
        <f t="shared" ca="1" si="75"/>
        <v>#NUM!</v>
      </c>
      <c r="AF102" s="15" t="e">
        <f t="shared" ca="1" si="76"/>
        <v>#NUM!</v>
      </c>
      <c r="AG102" s="15" t="e">
        <f t="shared" ca="1" si="77"/>
        <v>#NUM!</v>
      </c>
      <c r="AH102" s="15" t="e">
        <f t="shared" ca="1" si="80"/>
        <v>#NUM!</v>
      </c>
      <c r="AI102" s="15" t="str">
        <f t="shared" si="79"/>
        <v>2years , 9months and 15days</v>
      </c>
      <c r="AJ102" s="5">
        <f t="shared" si="81"/>
        <v>2</v>
      </c>
      <c r="AK102" s="5">
        <f t="shared" si="82"/>
        <v>9</v>
      </c>
      <c r="AL102" s="5">
        <f t="shared" si="83"/>
        <v>15</v>
      </c>
      <c r="AM102" s="336"/>
      <c r="AN102" s="336"/>
    </row>
    <row r="103" spans="1:41" ht="31.5" customHeight="1" x14ac:dyDescent="0.25">
      <c r="A103" s="5">
        <v>1</v>
      </c>
      <c r="B103" s="309" t="s">
        <v>306</v>
      </c>
      <c r="C103" s="489" t="s">
        <v>1439</v>
      </c>
      <c r="D103" s="489" t="s">
        <v>842</v>
      </c>
      <c r="E103" s="490" t="str">
        <f t="shared" si="78"/>
        <v>1/052/096/0124</v>
      </c>
      <c r="F103" s="75"/>
      <c r="G103" s="318" t="s">
        <v>897</v>
      </c>
      <c r="H103" s="76" t="s">
        <v>42</v>
      </c>
      <c r="I103" s="77" t="s">
        <v>898</v>
      </c>
      <c r="J103" s="294" t="s">
        <v>899</v>
      </c>
      <c r="K103" s="73" t="s">
        <v>311</v>
      </c>
      <c r="L103" s="199" t="s">
        <v>900</v>
      </c>
      <c r="M103" s="320" t="s">
        <v>901</v>
      </c>
      <c r="N103" s="73">
        <v>29</v>
      </c>
      <c r="O103" s="73">
        <v>9</v>
      </c>
      <c r="P103" s="73">
        <v>2000</v>
      </c>
      <c r="Q103" s="201">
        <f t="shared" si="67"/>
        <v>36798</v>
      </c>
      <c r="R103" s="86">
        <f t="shared" ca="1" si="68"/>
        <v>25.284931506849315</v>
      </c>
      <c r="S103" s="73" t="s">
        <v>50</v>
      </c>
      <c r="T103" s="73">
        <v>3</v>
      </c>
      <c r="U103" s="73">
        <v>1</v>
      </c>
      <c r="V103" s="73">
        <v>2023</v>
      </c>
      <c r="W103" s="200">
        <f t="shared" si="69"/>
        <v>44929</v>
      </c>
      <c r="X103" s="323"/>
      <c r="Y103" s="115"/>
      <c r="Z103" s="73">
        <f t="shared" ca="1" si="70"/>
        <v>3</v>
      </c>
      <c r="AA103" s="40">
        <f t="shared" ca="1" si="71"/>
        <v>0</v>
      </c>
      <c r="AB103" s="40">
        <f t="shared" ca="1" si="72"/>
        <v>2</v>
      </c>
      <c r="AC103" s="15" t="str">
        <f t="shared" ca="1" si="73"/>
        <v>3Years/0Months/2Days</v>
      </c>
      <c r="AD103" s="108">
        <f t="shared" si="74"/>
        <v>58713</v>
      </c>
      <c r="AE103" s="15">
        <f t="shared" ca="1" si="75"/>
        <v>34</v>
      </c>
      <c r="AF103" s="15">
        <f t="shared" ca="1" si="76"/>
        <v>8</v>
      </c>
      <c r="AG103" s="15">
        <f t="shared" ca="1" si="77"/>
        <v>24</v>
      </c>
      <c r="AH103" s="15" t="str">
        <f t="shared" ca="1" si="80"/>
        <v>34Years/8Months/24Days</v>
      </c>
      <c r="AI103" s="15" t="str">
        <f t="shared" si="79"/>
        <v>37years , 8months and 26days</v>
      </c>
      <c r="AJ103" s="5">
        <f t="shared" si="81"/>
        <v>37</v>
      </c>
      <c r="AK103" s="5">
        <f t="shared" si="82"/>
        <v>8</v>
      </c>
      <c r="AL103" s="5">
        <f t="shared" si="83"/>
        <v>26</v>
      </c>
      <c r="AM103" s="336"/>
      <c r="AN103" s="336"/>
    </row>
    <row r="104" spans="1:41" ht="31.5" customHeight="1" x14ac:dyDescent="0.25">
      <c r="A104" s="5">
        <v>1</v>
      </c>
      <c r="B104" s="309" t="s">
        <v>306</v>
      </c>
      <c r="C104" s="489" t="s">
        <v>1440</v>
      </c>
      <c r="D104" s="489" t="s">
        <v>847</v>
      </c>
      <c r="E104" s="490" t="str">
        <f t="shared" si="78"/>
        <v>1/052/097/0125</v>
      </c>
      <c r="F104" s="75"/>
      <c r="G104" s="318" t="s">
        <v>902</v>
      </c>
      <c r="H104" s="76" t="s">
        <v>903</v>
      </c>
      <c r="I104" s="77" t="s">
        <v>904</v>
      </c>
      <c r="J104" s="297" t="s">
        <v>905</v>
      </c>
      <c r="K104" s="76" t="s">
        <v>311</v>
      </c>
      <c r="L104" s="199" t="s">
        <v>906</v>
      </c>
      <c r="M104" s="322" t="s">
        <v>907</v>
      </c>
      <c r="N104" s="73">
        <v>21</v>
      </c>
      <c r="O104" s="73">
        <v>9</v>
      </c>
      <c r="P104" s="73">
        <v>1987</v>
      </c>
      <c r="Q104" s="201">
        <f t="shared" si="67"/>
        <v>32041</v>
      </c>
      <c r="R104" s="86">
        <f t="shared" ca="1" si="68"/>
        <v>38.317808219178083</v>
      </c>
      <c r="S104" s="73" t="s">
        <v>34</v>
      </c>
      <c r="T104" s="73">
        <v>3</v>
      </c>
      <c r="U104" s="73">
        <v>1</v>
      </c>
      <c r="V104" s="73">
        <v>2023</v>
      </c>
      <c r="W104" s="200">
        <f t="shared" si="69"/>
        <v>44929</v>
      </c>
      <c r="X104" s="5"/>
      <c r="Y104" s="115"/>
      <c r="Z104" s="73">
        <f t="shared" ca="1" si="70"/>
        <v>3</v>
      </c>
      <c r="AA104" s="40">
        <f t="shared" ca="1" si="71"/>
        <v>0</v>
      </c>
      <c r="AB104" s="40">
        <f t="shared" ca="1" si="72"/>
        <v>2</v>
      </c>
      <c r="AC104" s="15" t="str">
        <f t="shared" ca="1" si="73"/>
        <v>3Years/0Months/2Days</v>
      </c>
      <c r="AD104" s="108">
        <f t="shared" si="74"/>
        <v>53956</v>
      </c>
      <c r="AE104" s="15">
        <f t="shared" ca="1" si="75"/>
        <v>21</v>
      </c>
      <c r="AF104" s="15">
        <f t="shared" ca="1" si="76"/>
        <v>8</v>
      </c>
      <c r="AG104" s="15">
        <f t="shared" ca="1" si="77"/>
        <v>16</v>
      </c>
      <c r="AH104" s="15" t="str">
        <f t="shared" ca="1" si="80"/>
        <v>21Years/8Months/16Days</v>
      </c>
      <c r="AI104" s="15" t="str">
        <f t="shared" si="79"/>
        <v>24years , 8months and 18days</v>
      </c>
      <c r="AJ104" s="5">
        <f t="shared" si="81"/>
        <v>24</v>
      </c>
      <c r="AK104" s="5">
        <f t="shared" si="82"/>
        <v>8</v>
      </c>
      <c r="AL104" s="5">
        <f t="shared" si="83"/>
        <v>18</v>
      </c>
      <c r="AM104" s="336"/>
      <c r="AN104" s="336"/>
    </row>
    <row r="105" spans="1:41" ht="31.5" customHeight="1" x14ac:dyDescent="0.25">
      <c r="A105" s="5">
        <v>1</v>
      </c>
      <c r="B105" s="309" t="s">
        <v>306</v>
      </c>
      <c r="C105" s="489" t="s">
        <v>1443</v>
      </c>
      <c r="D105" s="489" t="s">
        <v>864</v>
      </c>
      <c r="E105" s="490" t="str">
        <f t="shared" si="78"/>
        <v>1/052/100/0128</v>
      </c>
      <c r="F105" s="75"/>
      <c r="G105" s="318" t="s">
        <v>921</v>
      </c>
      <c r="H105" s="76" t="s">
        <v>922</v>
      </c>
      <c r="I105" s="77" t="s">
        <v>923</v>
      </c>
      <c r="J105" s="297" t="s">
        <v>924</v>
      </c>
      <c r="K105" s="76" t="s">
        <v>311</v>
      </c>
      <c r="L105" s="199" t="s">
        <v>925</v>
      </c>
      <c r="M105" s="322" t="s">
        <v>926</v>
      </c>
      <c r="N105" s="73">
        <v>5</v>
      </c>
      <c r="O105" s="73">
        <v>12</v>
      </c>
      <c r="P105" s="73">
        <v>1985</v>
      </c>
      <c r="Q105" s="201">
        <f t="shared" ref="Q105:Q112" si="84">DATE(P105,O105,N105)</f>
        <v>31386</v>
      </c>
      <c r="R105" s="86">
        <f t="shared" ref="R105:R112" ca="1" si="85">($G$7-Q105)/365</f>
        <v>40.112328767123287</v>
      </c>
      <c r="S105" s="73" t="s">
        <v>50</v>
      </c>
      <c r="T105" s="73">
        <v>25</v>
      </c>
      <c r="U105" s="73">
        <v>7</v>
      </c>
      <c r="V105" s="73">
        <v>2022</v>
      </c>
      <c r="W105" s="200">
        <f t="shared" ref="W105:W106" si="86">DATE(V105,U105,T105)</f>
        <v>44767</v>
      </c>
      <c r="X105" s="5"/>
      <c r="Y105" s="115" t="s">
        <v>38</v>
      </c>
      <c r="Z105" s="73">
        <f t="shared" ref="Z105:Z112" ca="1" si="87">DATEDIF(W105,TODAY(),"Y")</f>
        <v>3</v>
      </c>
      <c r="AA105" s="40">
        <f t="shared" ref="AA105:AA112" ca="1" si="88">DATEDIF(W105,TODAY(),"YM")</f>
        <v>5</v>
      </c>
      <c r="AB105" s="40">
        <f t="shared" ref="AB105:AB112" ca="1" si="89">DATEDIF(W105,TODAY(),"MD")</f>
        <v>11</v>
      </c>
      <c r="AC105" s="15" t="str">
        <f t="shared" ref="AC105:AC112" ca="1" si="90">CONCATENATE(Z105,"Years","/",,AA105,"Months","/",AB105,"Days")</f>
        <v>3Years/5Months/11Days</v>
      </c>
      <c r="AD105" s="108">
        <f t="shared" ref="AD105:AD112" si="91">(DATE(P105,O105,N105)+21915)</f>
        <v>53301</v>
      </c>
      <c r="AE105" s="15">
        <f t="shared" ref="AE105:AE112" ca="1" si="92">DATEDIF(TODAY(),AD105,"Y")</f>
        <v>19</v>
      </c>
      <c r="AF105" s="15">
        <f t="shared" ref="AF105:AF112" ca="1" si="93">DATEDIF(TODAY(),AD105,"YM")</f>
        <v>11</v>
      </c>
      <c r="AG105" s="15">
        <f t="shared" ref="AG105:AG112" ca="1" si="94">DATEDIF(TODAY(),AD105,"MD")</f>
        <v>0</v>
      </c>
      <c r="AH105" s="15" t="str">
        <f t="shared" ca="1" si="80"/>
        <v>19Years/11Months/0Days</v>
      </c>
      <c r="AI105" s="15" t="str">
        <f t="shared" si="79"/>
        <v>23years , 4months and 10days</v>
      </c>
      <c r="AJ105" s="5">
        <f t="shared" si="81"/>
        <v>23</v>
      </c>
      <c r="AK105" s="5">
        <f t="shared" si="82"/>
        <v>4</v>
      </c>
      <c r="AL105" s="5">
        <f t="shared" si="83"/>
        <v>10</v>
      </c>
      <c r="AM105" s="336"/>
      <c r="AN105" s="336"/>
    </row>
    <row r="106" spans="1:41" s="328" customFormat="1" ht="31.5" customHeight="1" x14ac:dyDescent="0.25">
      <c r="A106" s="48">
        <v>1</v>
      </c>
      <c r="B106" s="324" t="s">
        <v>306</v>
      </c>
      <c r="C106" s="489" t="s">
        <v>1445</v>
      </c>
      <c r="D106" s="489" t="s">
        <v>876</v>
      </c>
      <c r="E106" s="490" t="str">
        <f t="shared" si="78"/>
        <v>1/052/102/0130</v>
      </c>
      <c r="F106" s="75"/>
      <c r="G106" s="318" t="s">
        <v>934</v>
      </c>
      <c r="H106" s="73" t="s">
        <v>1712</v>
      </c>
      <c r="I106" s="77" t="s">
        <v>935</v>
      </c>
      <c r="J106" s="297" t="s">
        <v>936</v>
      </c>
      <c r="K106" s="76" t="s">
        <v>311</v>
      </c>
      <c r="L106" s="199" t="s">
        <v>937</v>
      </c>
      <c r="M106" s="322" t="s">
        <v>938</v>
      </c>
      <c r="N106" s="73">
        <v>11</v>
      </c>
      <c r="O106" s="73">
        <v>3</v>
      </c>
      <c r="P106" s="73">
        <v>2001</v>
      </c>
      <c r="Q106" s="201">
        <f t="shared" si="84"/>
        <v>36961</v>
      </c>
      <c r="R106" s="86">
        <f t="shared" ca="1" si="85"/>
        <v>24.838356164383562</v>
      </c>
      <c r="S106" s="73" t="s">
        <v>50</v>
      </c>
      <c r="T106" s="73">
        <v>25</v>
      </c>
      <c r="U106" s="73">
        <v>10</v>
      </c>
      <c r="V106" s="73">
        <v>2022</v>
      </c>
      <c r="W106" s="200">
        <f t="shared" si="86"/>
        <v>44859</v>
      </c>
      <c r="X106" s="48"/>
      <c r="Y106" s="115" t="s">
        <v>38</v>
      </c>
      <c r="Z106" s="73">
        <f t="shared" ca="1" si="87"/>
        <v>3</v>
      </c>
      <c r="AA106" s="40">
        <f t="shared" ca="1" si="88"/>
        <v>2</v>
      </c>
      <c r="AB106" s="40">
        <f t="shared" ca="1" si="89"/>
        <v>11</v>
      </c>
      <c r="AC106" s="47" t="str">
        <f t="shared" ca="1" si="90"/>
        <v>3Years/2Months/11Days</v>
      </c>
      <c r="AD106" s="120">
        <f t="shared" si="91"/>
        <v>58876</v>
      </c>
      <c r="AE106" s="47">
        <f t="shared" ca="1" si="92"/>
        <v>35</v>
      </c>
      <c r="AF106" s="47">
        <f t="shared" ca="1" si="93"/>
        <v>2</v>
      </c>
      <c r="AG106" s="47">
        <f t="shared" ca="1" si="94"/>
        <v>6</v>
      </c>
      <c r="AH106" s="47" t="str">
        <f t="shared" ca="1" si="80"/>
        <v>35Years/2Months/6Days</v>
      </c>
      <c r="AI106" s="47" t="str">
        <f t="shared" si="79"/>
        <v>38years , 4months and 14days</v>
      </c>
      <c r="AJ106" s="48">
        <f t="shared" si="81"/>
        <v>38</v>
      </c>
      <c r="AK106" s="48">
        <f t="shared" si="82"/>
        <v>4</v>
      </c>
      <c r="AL106" s="48">
        <f t="shared" si="83"/>
        <v>14</v>
      </c>
      <c r="AO106" s="433"/>
    </row>
    <row r="107" spans="1:41" ht="31.5" customHeight="1" x14ac:dyDescent="0.25">
      <c r="A107" s="5">
        <v>1</v>
      </c>
      <c r="B107" s="309" t="s">
        <v>306</v>
      </c>
      <c r="C107" s="489" t="s">
        <v>1450</v>
      </c>
      <c r="D107" s="489" t="s">
        <v>896</v>
      </c>
      <c r="E107" s="490" t="str">
        <f t="shared" si="78"/>
        <v>1/052/107/0135</v>
      </c>
      <c r="F107" s="75"/>
      <c r="G107" s="325" t="s">
        <v>965</v>
      </c>
      <c r="H107" s="76" t="s">
        <v>947</v>
      </c>
      <c r="I107" s="77" t="s">
        <v>966</v>
      </c>
      <c r="J107" s="297" t="s">
        <v>967</v>
      </c>
      <c r="K107" s="76" t="s">
        <v>311</v>
      </c>
      <c r="L107" s="199" t="s">
        <v>968</v>
      </c>
      <c r="M107" s="322" t="s">
        <v>969</v>
      </c>
      <c r="N107" s="73">
        <v>2</v>
      </c>
      <c r="O107" s="73">
        <v>9</v>
      </c>
      <c r="P107" s="73">
        <v>1998</v>
      </c>
      <c r="Q107" s="201">
        <f t="shared" si="84"/>
        <v>36040</v>
      </c>
      <c r="R107" s="86">
        <f t="shared" ca="1" si="85"/>
        <v>27.361643835616437</v>
      </c>
      <c r="S107" s="73" t="s">
        <v>50</v>
      </c>
      <c r="T107" s="73"/>
      <c r="U107" s="73"/>
      <c r="V107" s="73"/>
      <c r="W107" s="200"/>
      <c r="X107" s="5"/>
      <c r="Y107" s="115"/>
      <c r="Z107" s="73">
        <f t="shared" ca="1" si="87"/>
        <v>126</v>
      </c>
      <c r="AA107" s="40">
        <f t="shared" ca="1" si="88"/>
        <v>0</v>
      </c>
      <c r="AB107" s="40">
        <f t="shared" ca="1" si="89"/>
        <v>5</v>
      </c>
      <c r="AC107" s="15" t="str">
        <f t="shared" ca="1" si="90"/>
        <v>126Years/0Months/5Days</v>
      </c>
      <c r="AD107" s="108">
        <f t="shared" si="91"/>
        <v>57955</v>
      </c>
      <c r="AE107" s="15">
        <f t="shared" ca="1" si="92"/>
        <v>32</v>
      </c>
      <c r="AF107" s="15">
        <f t="shared" ca="1" si="93"/>
        <v>7</v>
      </c>
      <c r="AG107" s="15">
        <f t="shared" ca="1" si="94"/>
        <v>28</v>
      </c>
      <c r="AH107" s="15" t="str">
        <f t="shared" ca="1" si="80"/>
        <v>32Years/7Months/28Days</v>
      </c>
      <c r="AI107" s="15" t="str">
        <f t="shared" si="79"/>
        <v>158years , 8months and 2days</v>
      </c>
      <c r="AJ107" s="5">
        <f t="shared" si="81"/>
        <v>158</v>
      </c>
      <c r="AK107" s="5">
        <f t="shared" si="82"/>
        <v>8</v>
      </c>
      <c r="AL107" s="5">
        <f t="shared" si="83"/>
        <v>2</v>
      </c>
      <c r="AM107" s="336"/>
      <c r="AN107" s="336"/>
    </row>
    <row r="108" spans="1:41" ht="31.5" customHeight="1" x14ac:dyDescent="0.25">
      <c r="A108" s="5">
        <v>1</v>
      </c>
      <c r="B108" s="309" t="s">
        <v>306</v>
      </c>
      <c r="C108" s="489" t="s">
        <v>1453</v>
      </c>
      <c r="D108" s="489" t="s">
        <v>920</v>
      </c>
      <c r="E108" s="490" t="str">
        <f t="shared" si="78"/>
        <v>1/052/111/0139</v>
      </c>
      <c r="F108" s="75"/>
      <c r="G108" s="325" t="s">
        <v>985</v>
      </c>
      <c r="H108" s="76" t="s">
        <v>947</v>
      </c>
      <c r="I108" s="77" t="s">
        <v>966</v>
      </c>
      <c r="J108" s="297" t="s">
        <v>986</v>
      </c>
      <c r="K108" s="76" t="s">
        <v>311</v>
      </c>
      <c r="L108" s="199" t="s">
        <v>987</v>
      </c>
      <c r="M108" s="322" t="s">
        <v>988</v>
      </c>
      <c r="N108" s="73">
        <v>20</v>
      </c>
      <c r="O108" s="73">
        <v>9</v>
      </c>
      <c r="P108" s="73">
        <v>2001</v>
      </c>
      <c r="Q108" s="201">
        <f t="shared" si="84"/>
        <v>37154</v>
      </c>
      <c r="R108" s="86">
        <f t="shared" ca="1" si="85"/>
        <v>24.30958904109589</v>
      </c>
      <c r="S108" s="73" t="s">
        <v>50</v>
      </c>
      <c r="T108" s="73"/>
      <c r="U108" s="73"/>
      <c r="V108" s="73"/>
      <c r="W108" s="200"/>
      <c r="X108" s="5"/>
      <c r="Y108" s="115"/>
      <c r="Z108" s="73">
        <f t="shared" ca="1" si="87"/>
        <v>126</v>
      </c>
      <c r="AA108" s="40">
        <f t="shared" ca="1" si="88"/>
        <v>0</v>
      </c>
      <c r="AB108" s="40">
        <f t="shared" ca="1" si="89"/>
        <v>5</v>
      </c>
      <c r="AC108" s="15" t="str">
        <f t="shared" ca="1" si="90"/>
        <v>126Years/0Months/5Days</v>
      </c>
      <c r="AD108" s="108">
        <f t="shared" si="91"/>
        <v>59069</v>
      </c>
      <c r="AE108" s="15">
        <f t="shared" ca="1" si="92"/>
        <v>35</v>
      </c>
      <c r="AF108" s="15">
        <f t="shared" ca="1" si="93"/>
        <v>8</v>
      </c>
      <c r="AG108" s="15">
        <f t="shared" ca="1" si="94"/>
        <v>15</v>
      </c>
      <c r="AH108" s="15" t="str">
        <f t="shared" ca="1" si="80"/>
        <v>35Years/8Months/15Days</v>
      </c>
      <c r="AI108" s="15" t="str">
        <f t="shared" si="79"/>
        <v>161years , 8months and 20days</v>
      </c>
      <c r="AJ108" s="5">
        <f t="shared" si="81"/>
        <v>161</v>
      </c>
      <c r="AK108" s="5">
        <f t="shared" si="82"/>
        <v>8</v>
      </c>
      <c r="AL108" s="5">
        <f t="shared" si="83"/>
        <v>20</v>
      </c>
      <c r="AM108" s="336"/>
      <c r="AN108" s="336"/>
    </row>
    <row r="109" spans="1:41" ht="31.5" customHeight="1" x14ac:dyDescent="0.25">
      <c r="A109" s="5">
        <v>1</v>
      </c>
      <c r="B109" s="309" t="s">
        <v>306</v>
      </c>
      <c r="C109" s="489" t="s">
        <v>1454</v>
      </c>
      <c r="D109" s="489" t="s">
        <v>927</v>
      </c>
      <c r="E109" s="490" t="str">
        <f t="shared" si="78"/>
        <v>1/052/112/0140</v>
      </c>
      <c r="F109" s="75"/>
      <c r="G109" s="325" t="s">
        <v>990</v>
      </c>
      <c r="H109" s="76" t="s">
        <v>947</v>
      </c>
      <c r="I109" s="77" t="s">
        <v>991</v>
      </c>
      <c r="J109" s="297" t="s">
        <v>992</v>
      </c>
      <c r="K109" s="76" t="s">
        <v>311</v>
      </c>
      <c r="L109" s="199" t="s">
        <v>993</v>
      </c>
      <c r="M109" s="320" t="s">
        <v>994</v>
      </c>
      <c r="N109" s="73">
        <v>19</v>
      </c>
      <c r="O109" s="73">
        <v>3</v>
      </c>
      <c r="P109" s="73">
        <v>2001</v>
      </c>
      <c r="Q109" s="201">
        <f t="shared" si="84"/>
        <v>36969</v>
      </c>
      <c r="R109" s="86">
        <f t="shared" ca="1" si="85"/>
        <v>24.816438356164383</v>
      </c>
      <c r="S109" s="73" t="s">
        <v>50</v>
      </c>
      <c r="T109" s="73"/>
      <c r="U109" s="73"/>
      <c r="V109" s="73"/>
      <c r="W109" s="200"/>
      <c r="X109" s="5"/>
      <c r="Y109" s="115"/>
      <c r="Z109" s="73">
        <f t="shared" ca="1" si="87"/>
        <v>126</v>
      </c>
      <c r="AA109" s="40">
        <f t="shared" ca="1" si="88"/>
        <v>0</v>
      </c>
      <c r="AB109" s="40">
        <f t="shared" ca="1" si="89"/>
        <v>5</v>
      </c>
      <c r="AC109" s="15" t="str">
        <f t="shared" ca="1" si="90"/>
        <v>126Years/0Months/5Days</v>
      </c>
      <c r="AD109" s="108">
        <f t="shared" si="91"/>
        <v>58884</v>
      </c>
      <c r="AE109" s="15">
        <f t="shared" ca="1" si="92"/>
        <v>35</v>
      </c>
      <c r="AF109" s="15">
        <f t="shared" ca="1" si="93"/>
        <v>2</v>
      </c>
      <c r="AG109" s="15">
        <f t="shared" ca="1" si="94"/>
        <v>14</v>
      </c>
      <c r="AH109" s="15" t="str">
        <f t="shared" ca="1" si="80"/>
        <v>35Years/2Months/14Days</v>
      </c>
      <c r="AI109" s="15" t="str">
        <f t="shared" si="79"/>
        <v>161years , 2months and 19days</v>
      </c>
      <c r="AJ109" s="5">
        <f t="shared" si="81"/>
        <v>161</v>
      </c>
      <c r="AK109" s="5">
        <f t="shared" si="82"/>
        <v>2</v>
      </c>
      <c r="AL109" s="5">
        <f t="shared" si="83"/>
        <v>19</v>
      </c>
      <c r="AM109" s="336"/>
      <c r="AN109" s="336"/>
    </row>
    <row r="110" spans="1:41" ht="31.5" customHeight="1" x14ac:dyDescent="0.25">
      <c r="A110" s="5">
        <v>1</v>
      </c>
      <c r="B110" s="309" t="s">
        <v>306</v>
      </c>
      <c r="C110" s="489" t="s">
        <v>1455</v>
      </c>
      <c r="D110" s="489" t="s">
        <v>933</v>
      </c>
      <c r="E110" s="490" t="str">
        <f t="shared" si="78"/>
        <v>1/052/113/0141</v>
      </c>
      <c r="F110" s="75"/>
      <c r="G110" s="325" t="s">
        <v>996</v>
      </c>
      <c r="H110" s="76" t="s">
        <v>947</v>
      </c>
      <c r="I110" s="77" t="s">
        <v>997</v>
      </c>
      <c r="J110" s="297" t="s">
        <v>998</v>
      </c>
      <c r="K110" s="76" t="s">
        <v>311</v>
      </c>
      <c r="L110" s="199" t="s">
        <v>999</v>
      </c>
      <c r="M110" s="320" t="s">
        <v>1000</v>
      </c>
      <c r="N110" s="73">
        <v>6</v>
      </c>
      <c r="O110" s="73">
        <v>8</v>
      </c>
      <c r="P110" s="73">
        <v>1999</v>
      </c>
      <c r="Q110" s="201">
        <f t="shared" si="84"/>
        <v>36378</v>
      </c>
      <c r="R110" s="86">
        <f t="shared" ca="1" si="85"/>
        <v>26.435616438356163</v>
      </c>
      <c r="S110" s="73" t="s">
        <v>50</v>
      </c>
      <c r="T110" s="73"/>
      <c r="U110" s="73"/>
      <c r="V110" s="73"/>
      <c r="W110" s="200"/>
      <c r="X110" s="39"/>
      <c r="Y110" s="116"/>
      <c r="Z110" s="73">
        <f t="shared" ca="1" si="87"/>
        <v>126</v>
      </c>
      <c r="AA110" s="40">
        <f t="shared" ca="1" si="88"/>
        <v>0</v>
      </c>
      <c r="AB110" s="40">
        <f t="shared" ca="1" si="89"/>
        <v>5</v>
      </c>
      <c r="AC110" s="15" t="str">
        <f t="shared" ca="1" si="90"/>
        <v>126Years/0Months/5Days</v>
      </c>
      <c r="AD110" s="108">
        <f t="shared" si="91"/>
        <v>58293</v>
      </c>
      <c r="AE110" s="15">
        <f t="shared" ca="1" si="92"/>
        <v>33</v>
      </c>
      <c r="AF110" s="15">
        <f t="shared" ca="1" si="93"/>
        <v>7</v>
      </c>
      <c r="AG110" s="15">
        <f t="shared" ca="1" si="94"/>
        <v>1</v>
      </c>
      <c r="AH110" s="15" t="str">
        <f t="shared" ca="1" si="80"/>
        <v>33Years/7Months/1Days</v>
      </c>
      <c r="AI110" s="15" t="str">
        <f t="shared" si="79"/>
        <v>159years , 7months and 6days</v>
      </c>
      <c r="AJ110" s="5">
        <f t="shared" si="81"/>
        <v>159</v>
      </c>
      <c r="AK110" s="5">
        <f t="shared" si="82"/>
        <v>7</v>
      </c>
      <c r="AL110" s="5">
        <f t="shared" si="83"/>
        <v>6</v>
      </c>
      <c r="AM110" s="336"/>
      <c r="AN110" s="336"/>
    </row>
    <row r="111" spans="1:41" ht="31.5" customHeight="1" x14ac:dyDescent="0.25">
      <c r="A111" s="73">
        <v>1</v>
      </c>
      <c r="B111" s="74" t="s">
        <v>1014</v>
      </c>
      <c r="C111" s="74" t="s">
        <v>329</v>
      </c>
      <c r="D111" s="74" t="s">
        <v>952</v>
      </c>
      <c r="E111" s="484" t="str">
        <f t="shared" si="78"/>
        <v>1/053/001/0144</v>
      </c>
      <c r="F111" s="75" t="s">
        <v>1016</v>
      </c>
      <c r="G111" s="390" t="s">
        <v>1740</v>
      </c>
      <c r="H111" s="391" t="s">
        <v>1459</v>
      </c>
      <c r="I111" s="390" t="s">
        <v>1466</v>
      </c>
      <c r="J111" s="299">
        <v>197718000149</v>
      </c>
      <c r="K111" s="178" t="s">
        <v>31</v>
      </c>
      <c r="L111" s="77">
        <v>778069096</v>
      </c>
      <c r="M111" s="326" t="s">
        <v>1741</v>
      </c>
      <c r="N111" s="392">
        <v>28</v>
      </c>
      <c r="O111" s="392">
        <v>6</v>
      </c>
      <c r="P111" s="392">
        <v>1977</v>
      </c>
      <c r="Q111" s="147">
        <f t="shared" si="84"/>
        <v>28304</v>
      </c>
      <c r="R111" s="92">
        <f t="shared" ca="1" si="85"/>
        <v>48.556164383561644</v>
      </c>
      <c r="S111" s="67" t="s">
        <v>34</v>
      </c>
      <c r="T111" s="73">
        <v>27</v>
      </c>
      <c r="U111" s="73">
        <v>3</v>
      </c>
      <c r="V111" s="73">
        <v>2023</v>
      </c>
      <c r="W111" s="148">
        <f>DATE(V111,U111,T111)</f>
        <v>45012</v>
      </c>
      <c r="X111" s="48"/>
      <c r="Y111" s="115"/>
      <c r="Z111" s="124">
        <f t="shared" ca="1" si="87"/>
        <v>2</v>
      </c>
      <c r="AA111" s="109">
        <f t="shared" ca="1" si="88"/>
        <v>9</v>
      </c>
      <c r="AB111" s="150">
        <f t="shared" ca="1" si="89"/>
        <v>9</v>
      </c>
      <c r="AC111" s="15" t="str">
        <f t="shared" ca="1" si="90"/>
        <v>2Years/9Months/9Days</v>
      </c>
      <c r="AD111" s="108">
        <f t="shared" si="91"/>
        <v>50219</v>
      </c>
      <c r="AE111" s="15">
        <f t="shared" ca="1" si="92"/>
        <v>11</v>
      </c>
      <c r="AF111" s="15">
        <f t="shared" ca="1" si="93"/>
        <v>5</v>
      </c>
      <c r="AG111" s="15">
        <f t="shared" ca="1" si="94"/>
        <v>23</v>
      </c>
      <c r="AH111" s="15" t="str">
        <f t="shared" ca="1" si="80"/>
        <v>11Years/5Months/23Days</v>
      </c>
      <c r="AI111" s="109" t="str">
        <f t="shared" si="79"/>
        <v>14years , 3months and 1days</v>
      </c>
      <c r="AJ111" s="109">
        <f t="shared" si="81"/>
        <v>14</v>
      </c>
      <c r="AK111" s="109">
        <f t="shared" si="82"/>
        <v>3</v>
      </c>
      <c r="AL111" s="109">
        <f t="shared" si="83"/>
        <v>1</v>
      </c>
      <c r="AO111" s="336"/>
    </row>
    <row r="112" spans="1:41" s="395" customFormat="1" ht="31.5" customHeight="1" x14ac:dyDescent="0.25">
      <c r="A112" s="168">
        <v>1</v>
      </c>
      <c r="B112" s="74" t="s">
        <v>1014</v>
      </c>
      <c r="C112" s="74" t="s">
        <v>338</v>
      </c>
      <c r="D112" s="74" t="s">
        <v>958</v>
      </c>
      <c r="E112" s="493" t="str">
        <f t="shared" si="78"/>
        <v>1/053/002/0145</v>
      </c>
      <c r="F112" s="169" t="s">
        <v>1016</v>
      </c>
      <c r="G112" s="325" t="s">
        <v>1885</v>
      </c>
      <c r="H112" s="393" t="s">
        <v>1460</v>
      </c>
      <c r="I112" s="325" t="s">
        <v>1466</v>
      </c>
      <c r="J112" s="300" t="s">
        <v>1018</v>
      </c>
      <c r="K112" s="393" t="s">
        <v>31</v>
      </c>
      <c r="L112" s="171">
        <v>717520553</v>
      </c>
      <c r="M112" s="172" t="s">
        <v>1019</v>
      </c>
      <c r="N112" s="394">
        <v>11</v>
      </c>
      <c r="O112" s="394">
        <v>7</v>
      </c>
      <c r="P112" s="394">
        <v>1992</v>
      </c>
      <c r="Q112" s="173">
        <f t="shared" si="84"/>
        <v>33796</v>
      </c>
      <c r="R112" s="170">
        <f t="shared" ca="1" si="85"/>
        <v>33.509589041095893</v>
      </c>
      <c r="S112" s="168" t="s">
        <v>34</v>
      </c>
      <c r="T112" s="168">
        <v>30</v>
      </c>
      <c r="U112" s="168">
        <v>9</v>
      </c>
      <c r="V112" s="168">
        <v>2022</v>
      </c>
      <c r="W112" s="174">
        <f>DATE(V112,U112,T112)</f>
        <v>44834</v>
      </c>
      <c r="X112" s="48"/>
      <c r="Y112" s="48"/>
      <c r="Z112" s="168">
        <f t="shared" ca="1" si="87"/>
        <v>3</v>
      </c>
      <c r="AA112" s="119">
        <f t="shared" ca="1" si="88"/>
        <v>3</v>
      </c>
      <c r="AB112" s="119">
        <f t="shared" ca="1" si="89"/>
        <v>6</v>
      </c>
      <c r="AC112" s="119" t="str">
        <f t="shared" ca="1" si="90"/>
        <v>3Years/3Months/6Days</v>
      </c>
      <c r="AD112" s="175">
        <f t="shared" si="91"/>
        <v>55711</v>
      </c>
      <c r="AE112" s="119">
        <f t="shared" ca="1" si="92"/>
        <v>26</v>
      </c>
      <c r="AF112" s="119">
        <f t="shared" ca="1" si="93"/>
        <v>6</v>
      </c>
      <c r="AG112" s="119">
        <f t="shared" ca="1" si="94"/>
        <v>6</v>
      </c>
      <c r="AH112" s="119" t="str">
        <f t="shared" ca="1" si="80"/>
        <v>26Years/6Months/6Days</v>
      </c>
      <c r="AI112" s="119" t="str">
        <f t="shared" si="79"/>
        <v>29years , 9months and 11days</v>
      </c>
      <c r="AJ112" s="119">
        <f t="shared" si="81"/>
        <v>29</v>
      </c>
      <c r="AK112" s="119">
        <f t="shared" si="82"/>
        <v>9</v>
      </c>
      <c r="AL112" s="119">
        <f t="shared" si="83"/>
        <v>11</v>
      </c>
      <c r="AM112" s="168"/>
      <c r="AN112" s="168"/>
    </row>
    <row r="113" spans="1:41" s="395" customFormat="1" ht="31.5" customHeight="1" x14ac:dyDescent="0.25">
      <c r="A113" s="168">
        <v>1</v>
      </c>
      <c r="B113" s="74" t="s">
        <v>1014</v>
      </c>
      <c r="C113" s="74" t="s">
        <v>345</v>
      </c>
      <c r="D113" s="74" t="s">
        <v>964</v>
      </c>
      <c r="E113" s="493" t="str">
        <f t="shared" si="78"/>
        <v>1/053/003/0146</v>
      </c>
      <c r="F113" s="169" t="s">
        <v>1016</v>
      </c>
      <c r="G113" s="325" t="s">
        <v>326</v>
      </c>
      <c r="H113" s="393" t="s">
        <v>1461</v>
      </c>
      <c r="I113" s="325" t="s">
        <v>1466</v>
      </c>
      <c r="J113" s="300"/>
      <c r="K113" s="393" t="s">
        <v>31</v>
      </c>
      <c r="L113" s="176"/>
      <c r="M113" s="172"/>
      <c r="N113" s="394"/>
      <c r="O113" s="394"/>
      <c r="P113" s="394"/>
      <c r="Q113" s="173"/>
      <c r="R113" s="170"/>
      <c r="S113" s="168" t="s">
        <v>34</v>
      </c>
      <c r="T113" s="168"/>
      <c r="U113" s="168"/>
      <c r="V113" s="168"/>
      <c r="W113" s="174"/>
      <c r="X113" s="48"/>
      <c r="Y113" s="48"/>
      <c r="Z113" s="168"/>
      <c r="AA113" s="119"/>
      <c r="AB113" s="119"/>
      <c r="AC113" s="119"/>
      <c r="AD113" s="175"/>
      <c r="AE113" s="119"/>
      <c r="AF113" s="119"/>
      <c r="AG113" s="119"/>
      <c r="AH113" s="119"/>
      <c r="AI113" s="119"/>
      <c r="AJ113" s="119"/>
      <c r="AK113" s="119"/>
      <c r="AL113" s="119"/>
      <c r="AM113" s="168"/>
      <c r="AN113" s="168"/>
    </row>
    <row r="114" spans="1:41" ht="31.5" customHeight="1" x14ac:dyDescent="0.25">
      <c r="A114" s="73">
        <v>1</v>
      </c>
      <c r="B114" s="74" t="s">
        <v>1014</v>
      </c>
      <c r="C114" s="74" t="s">
        <v>352</v>
      </c>
      <c r="D114" s="74" t="s">
        <v>970</v>
      </c>
      <c r="E114" s="484" t="str">
        <f t="shared" si="78"/>
        <v>1/053/004/0147</v>
      </c>
      <c r="F114" s="68" t="s">
        <v>28</v>
      </c>
      <c r="G114" s="390" t="s">
        <v>1462</v>
      </c>
      <c r="H114" s="391" t="s">
        <v>42</v>
      </c>
      <c r="I114" s="390" t="s">
        <v>1467</v>
      </c>
      <c r="J114" s="294" t="s">
        <v>1023</v>
      </c>
      <c r="K114" s="178" t="s">
        <v>31</v>
      </c>
      <c r="L114" s="81" t="s">
        <v>1024</v>
      </c>
      <c r="M114" s="82" t="s">
        <v>1025</v>
      </c>
      <c r="N114" s="392">
        <v>14</v>
      </c>
      <c r="O114" s="392">
        <v>8</v>
      </c>
      <c r="P114" s="392">
        <v>1973</v>
      </c>
      <c r="Q114" s="147">
        <f t="shared" ref="Q114:Q145" si="95">DATE(P114,O114,N114)</f>
        <v>26890</v>
      </c>
      <c r="R114" s="92">
        <f t="shared" ref="R114:R145" ca="1" si="96">($G$7-Q114)/365</f>
        <v>52.43013698630137</v>
      </c>
      <c r="S114" s="73" t="s">
        <v>50</v>
      </c>
      <c r="T114" s="73">
        <v>1</v>
      </c>
      <c r="U114" s="73">
        <v>3</v>
      </c>
      <c r="V114" s="73">
        <v>2011</v>
      </c>
      <c r="W114" s="148">
        <f t="shared" ref="W114:W145" si="97">DATE(V114,U114,T114)</f>
        <v>40603</v>
      </c>
      <c r="X114" s="5" t="s">
        <v>38</v>
      </c>
      <c r="Y114" s="115"/>
      <c r="Z114" s="124">
        <f t="shared" ref="Z114:Z145" ca="1" si="98">DATEDIF(W114,TODAY(),"Y")</f>
        <v>14</v>
      </c>
      <c r="AA114" s="109">
        <f t="shared" ref="AA114:AA145" ca="1" si="99">DATEDIF(W114,TODAY(),"YM")</f>
        <v>10</v>
      </c>
      <c r="AB114" s="150">
        <f t="shared" ref="AB114:AB145" ca="1" si="100">DATEDIF(W114,TODAY(),"MD")</f>
        <v>4</v>
      </c>
      <c r="AC114" s="15" t="str">
        <f t="shared" ref="AC114:AC145" ca="1" si="101">CONCATENATE(Z114,"Years","/",,AA114,"Months","/",AB114,"Days")</f>
        <v>14Years/10Months/4Days</v>
      </c>
      <c r="AD114" s="108">
        <f t="shared" ref="AD114:AD145" si="102">(DATE(P114,O114,N114)+21915)</f>
        <v>48805</v>
      </c>
      <c r="AE114" s="15">
        <f t="shared" ref="AE114:AE145" ca="1" si="103">DATEDIF(TODAY(),AD114,"Y")</f>
        <v>7</v>
      </c>
      <c r="AF114" s="15">
        <f t="shared" ref="AF114:AF145" ca="1" si="104">DATEDIF(TODAY(),AD114,"YM")</f>
        <v>7</v>
      </c>
      <c r="AG114" s="15">
        <f t="shared" ref="AG114:AG145" ca="1" si="105">DATEDIF(TODAY(),AD114,"MD")</f>
        <v>9</v>
      </c>
      <c r="AH114" s="15" t="str">
        <f t="shared" ref="AH114:AH145" ca="1" si="106">CONCATENATE(AE114,"Years","/",AF114,"Months","/",AG114,"Days")</f>
        <v>7Years/7Months/9Days</v>
      </c>
      <c r="AI114" s="15" t="str">
        <f t="shared" ref="AI114:AI145" si="107">CONCATENATE(AJ114,"years", " ",",", " ",AK114,"months ","and"," ",AL114,"days")</f>
        <v>22years , 5months and 13days</v>
      </c>
      <c r="AJ114" s="15">
        <f t="shared" ref="AJ114:AJ145" si="108">DATEDIF(W114,AD114,"Y")</f>
        <v>22</v>
      </c>
      <c r="AK114" s="15">
        <f t="shared" ref="AK114:AK145" si="109">DATEDIF(W114,AD114,"YM")</f>
        <v>5</v>
      </c>
      <c r="AL114" s="15">
        <f t="shared" ref="AL114:AL145" si="110">DATEDIF(W114,AD114,"MD")</f>
        <v>13</v>
      </c>
      <c r="AO114" s="336"/>
    </row>
    <row r="115" spans="1:41" ht="31.5" customHeight="1" x14ac:dyDescent="0.25">
      <c r="A115" s="73">
        <v>1</v>
      </c>
      <c r="B115" s="74" t="s">
        <v>1014</v>
      </c>
      <c r="C115" s="74" t="s">
        <v>361</v>
      </c>
      <c r="D115" s="74" t="s">
        <v>972</v>
      </c>
      <c r="E115" s="484" t="str">
        <f t="shared" si="78"/>
        <v>1/053/005/0148</v>
      </c>
      <c r="F115" s="68" t="s">
        <v>28</v>
      </c>
      <c r="G115" s="390" t="s">
        <v>1463</v>
      </c>
      <c r="H115" s="391" t="s">
        <v>42</v>
      </c>
      <c r="I115" s="390" t="s">
        <v>1468</v>
      </c>
      <c r="J115" s="294" t="s">
        <v>1029</v>
      </c>
      <c r="K115" s="178" t="s">
        <v>31</v>
      </c>
      <c r="L115" s="81">
        <v>766674842</v>
      </c>
      <c r="M115" s="82" t="s">
        <v>1030</v>
      </c>
      <c r="N115" s="392">
        <v>1</v>
      </c>
      <c r="O115" s="392">
        <v>11</v>
      </c>
      <c r="P115" s="392">
        <v>1969</v>
      </c>
      <c r="Q115" s="147">
        <f t="shared" si="95"/>
        <v>25508</v>
      </c>
      <c r="R115" s="92">
        <f t="shared" ca="1" si="96"/>
        <v>56.216438356164382</v>
      </c>
      <c r="S115" s="73" t="s">
        <v>50</v>
      </c>
      <c r="T115" s="73">
        <v>5</v>
      </c>
      <c r="U115" s="73">
        <v>1</v>
      </c>
      <c r="V115" s="73">
        <v>2015</v>
      </c>
      <c r="W115" s="148">
        <f t="shared" si="97"/>
        <v>42009</v>
      </c>
      <c r="X115" s="5" t="s">
        <v>38</v>
      </c>
      <c r="Y115" s="115"/>
      <c r="Z115" s="124">
        <f t="shared" ca="1" si="98"/>
        <v>11</v>
      </c>
      <c r="AA115" s="109">
        <f t="shared" ca="1" si="99"/>
        <v>0</v>
      </c>
      <c r="AB115" s="150">
        <f t="shared" ca="1" si="100"/>
        <v>0</v>
      </c>
      <c r="AC115" s="15" t="str">
        <f t="shared" ca="1" si="101"/>
        <v>11Years/0Months/0Days</v>
      </c>
      <c r="AD115" s="108">
        <f t="shared" si="102"/>
        <v>47423</v>
      </c>
      <c r="AE115" s="15">
        <f t="shared" ca="1" si="103"/>
        <v>3</v>
      </c>
      <c r="AF115" s="15">
        <f t="shared" ca="1" si="104"/>
        <v>9</v>
      </c>
      <c r="AG115" s="15">
        <f t="shared" ca="1" si="105"/>
        <v>27</v>
      </c>
      <c r="AH115" s="15" t="str">
        <f t="shared" ca="1" si="106"/>
        <v>3Years/9Months/27Days</v>
      </c>
      <c r="AI115" s="15" t="str">
        <f t="shared" si="107"/>
        <v>14years , 9months and 27days</v>
      </c>
      <c r="AJ115" s="15">
        <f t="shared" si="108"/>
        <v>14</v>
      </c>
      <c r="AK115" s="15">
        <f t="shared" si="109"/>
        <v>9</v>
      </c>
      <c r="AL115" s="15">
        <f t="shared" si="110"/>
        <v>27</v>
      </c>
      <c r="AO115" s="336"/>
    </row>
    <row r="116" spans="1:41" ht="31.5" customHeight="1" x14ac:dyDescent="0.25">
      <c r="A116" s="73">
        <v>1</v>
      </c>
      <c r="B116" s="74" t="s">
        <v>1014</v>
      </c>
      <c r="C116" s="74" t="s">
        <v>369</v>
      </c>
      <c r="D116" s="74" t="s">
        <v>978</v>
      </c>
      <c r="E116" s="484" t="str">
        <f t="shared" si="78"/>
        <v>1/053/006/0149</v>
      </c>
      <c r="F116" s="68" t="s">
        <v>28</v>
      </c>
      <c r="G116" s="390" t="s">
        <v>1464</v>
      </c>
      <c r="H116" s="391" t="s">
        <v>42</v>
      </c>
      <c r="I116" s="390" t="s">
        <v>1469</v>
      </c>
      <c r="J116" s="301" t="s">
        <v>1032</v>
      </c>
      <c r="K116" s="178" t="s">
        <v>31</v>
      </c>
      <c r="L116" s="77">
        <v>772774749</v>
      </c>
      <c r="M116" s="76" t="s">
        <v>1033</v>
      </c>
      <c r="N116" s="392">
        <v>29</v>
      </c>
      <c r="O116" s="392">
        <v>1</v>
      </c>
      <c r="P116" s="392">
        <v>1993</v>
      </c>
      <c r="Q116" s="147">
        <f t="shared" si="95"/>
        <v>33998</v>
      </c>
      <c r="R116" s="92">
        <f t="shared" ca="1" si="96"/>
        <v>32.956164383561642</v>
      </c>
      <c r="S116" s="73" t="s">
        <v>50</v>
      </c>
      <c r="T116" s="73">
        <v>3</v>
      </c>
      <c r="U116" s="73">
        <v>1</v>
      </c>
      <c r="V116" s="73">
        <v>2020</v>
      </c>
      <c r="W116" s="148">
        <f t="shared" si="97"/>
        <v>43833</v>
      </c>
      <c r="X116" s="5" t="s">
        <v>38</v>
      </c>
      <c r="Y116" s="115"/>
      <c r="Z116" s="124">
        <f t="shared" ca="1" si="98"/>
        <v>6</v>
      </c>
      <c r="AA116" s="109">
        <f t="shared" ca="1" si="99"/>
        <v>0</v>
      </c>
      <c r="AB116" s="150">
        <f t="shared" ca="1" si="100"/>
        <v>2</v>
      </c>
      <c r="AC116" s="15" t="str">
        <f t="shared" ca="1" si="101"/>
        <v>6Years/0Months/2Days</v>
      </c>
      <c r="AD116" s="108">
        <f t="shared" si="102"/>
        <v>55913</v>
      </c>
      <c r="AE116" s="15">
        <f t="shared" ca="1" si="103"/>
        <v>27</v>
      </c>
      <c r="AF116" s="15">
        <f t="shared" ca="1" si="104"/>
        <v>0</v>
      </c>
      <c r="AG116" s="15">
        <f t="shared" ca="1" si="105"/>
        <v>24</v>
      </c>
      <c r="AH116" s="15" t="str">
        <f t="shared" ca="1" si="106"/>
        <v>27Years/0Months/24Days</v>
      </c>
      <c r="AI116" s="15" t="str">
        <f t="shared" si="107"/>
        <v>33years , 0months and 26days</v>
      </c>
      <c r="AJ116" s="15">
        <f t="shared" si="108"/>
        <v>33</v>
      </c>
      <c r="AK116" s="15">
        <f t="shared" si="109"/>
        <v>0</v>
      </c>
      <c r="AL116" s="15">
        <f t="shared" si="110"/>
        <v>26</v>
      </c>
      <c r="AO116" s="336"/>
    </row>
    <row r="117" spans="1:41" ht="31.5" customHeight="1" x14ac:dyDescent="0.25">
      <c r="A117" s="73">
        <v>1</v>
      </c>
      <c r="B117" s="74" t="s">
        <v>1014</v>
      </c>
      <c r="C117" s="74" t="s">
        <v>377</v>
      </c>
      <c r="D117" s="74" t="s">
        <v>984</v>
      </c>
      <c r="E117" s="484" t="str">
        <f t="shared" si="78"/>
        <v>1/053/007/0150</v>
      </c>
      <c r="F117" s="68" t="s">
        <v>28</v>
      </c>
      <c r="G117" s="390" t="s">
        <v>1465</v>
      </c>
      <c r="H117" s="391" t="s">
        <v>42</v>
      </c>
      <c r="I117" s="390" t="s">
        <v>1470</v>
      </c>
      <c r="J117" s="294" t="s">
        <v>1035</v>
      </c>
      <c r="K117" s="178" t="s">
        <v>31</v>
      </c>
      <c r="L117" s="81">
        <v>773795919</v>
      </c>
      <c r="M117" s="82" t="s">
        <v>1036</v>
      </c>
      <c r="N117" s="392">
        <v>23</v>
      </c>
      <c r="O117" s="392">
        <v>9</v>
      </c>
      <c r="P117" s="392">
        <v>1988</v>
      </c>
      <c r="Q117" s="147">
        <f t="shared" si="95"/>
        <v>32409</v>
      </c>
      <c r="R117" s="92">
        <f t="shared" ca="1" si="96"/>
        <v>37.30958904109589</v>
      </c>
      <c r="S117" s="73" t="s">
        <v>50</v>
      </c>
      <c r="T117" s="73">
        <v>15</v>
      </c>
      <c r="U117" s="73">
        <v>10</v>
      </c>
      <c r="V117" s="73">
        <v>2010</v>
      </c>
      <c r="W117" s="148">
        <f t="shared" si="97"/>
        <v>40466</v>
      </c>
      <c r="X117" s="5" t="s">
        <v>38</v>
      </c>
      <c r="Y117" s="115"/>
      <c r="Z117" s="124">
        <f t="shared" ca="1" si="98"/>
        <v>15</v>
      </c>
      <c r="AA117" s="109">
        <f t="shared" ca="1" si="99"/>
        <v>2</v>
      </c>
      <c r="AB117" s="150">
        <f t="shared" ca="1" si="100"/>
        <v>21</v>
      </c>
      <c r="AC117" s="15" t="str">
        <f t="shared" ca="1" si="101"/>
        <v>15Years/2Months/21Days</v>
      </c>
      <c r="AD117" s="108">
        <f t="shared" si="102"/>
        <v>54324</v>
      </c>
      <c r="AE117" s="15">
        <f t="shared" ca="1" si="103"/>
        <v>22</v>
      </c>
      <c r="AF117" s="15">
        <f t="shared" ca="1" si="104"/>
        <v>8</v>
      </c>
      <c r="AG117" s="15">
        <f t="shared" ca="1" si="105"/>
        <v>18</v>
      </c>
      <c r="AH117" s="15" t="str">
        <f t="shared" ca="1" si="106"/>
        <v>22Years/8Months/18Days</v>
      </c>
      <c r="AI117" s="15" t="str">
        <f t="shared" si="107"/>
        <v>37years , 11months and 8days</v>
      </c>
      <c r="AJ117" s="15">
        <f t="shared" si="108"/>
        <v>37</v>
      </c>
      <c r="AK117" s="15">
        <f t="shared" si="109"/>
        <v>11</v>
      </c>
      <c r="AL117" s="15">
        <f t="shared" si="110"/>
        <v>8</v>
      </c>
      <c r="AO117" s="336"/>
    </row>
    <row r="118" spans="1:41" ht="31.5" customHeight="1" x14ac:dyDescent="0.25">
      <c r="A118" s="73">
        <v>1</v>
      </c>
      <c r="B118" s="74" t="s">
        <v>1014</v>
      </c>
      <c r="C118" s="74" t="s">
        <v>384</v>
      </c>
      <c r="D118" s="74" t="s">
        <v>989</v>
      </c>
      <c r="E118" s="484" t="str">
        <f t="shared" si="78"/>
        <v>1/053/008/0151</v>
      </c>
      <c r="F118" s="68" t="s">
        <v>28</v>
      </c>
      <c r="G118" s="390" t="s">
        <v>1471</v>
      </c>
      <c r="H118" s="391" t="s">
        <v>42</v>
      </c>
      <c r="I118" s="390" t="s">
        <v>1484</v>
      </c>
      <c r="J118" s="294" t="s">
        <v>1039</v>
      </c>
      <c r="K118" s="178" t="s">
        <v>31</v>
      </c>
      <c r="L118" s="81">
        <v>774438785</v>
      </c>
      <c r="M118" s="82" t="s">
        <v>1040</v>
      </c>
      <c r="N118" s="392">
        <v>14</v>
      </c>
      <c r="O118" s="392">
        <v>2</v>
      </c>
      <c r="P118" s="392">
        <v>1987</v>
      </c>
      <c r="Q118" s="147">
        <f t="shared" si="95"/>
        <v>31822</v>
      </c>
      <c r="R118" s="92">
        <f t="shared" ca="1" si="96"/>
        <v>38.917808219178085</v>
      </c>
      <c r="S118" s="73" t="s">
        <v>50</v>
      </c>
      <c r="T118" s="73">
        <v>1</v>
      </c>
      <c r="U118" s="73">
        <v>10</v>
      </c>
      <c r="V118" s="73">
        <v>2010</v>
      </c>
      <c r="W118" s="148">
        <f t="shared" si="97"/>
        <v>40452</v>
      </c>
      <c r="X118" s="5" t="s">
        <v>38</v>
      </c>
      <c r="Y118" s="115"/>
      <c r="Z118" s="124">
        <f t="shared" ca="1" si="98"/>
        <v>15</v>
      </c>
      <c r="AA118" s="109">
        <f t="shared" ca="1" si="99"/>
        <v>3</v>
      </c>
      <c r="AB118" s="150">
        <f t="shared" ca="1" si="100"/>
        <v>4</v>
      </c>
      <c r="AC118" s="15" t="str">
        <f t="shared" ca="1" si="101"/>
        <v>15Years/3Months/4Days</v>
      </c>
      <c r="AD118" s="108">
        <f t="shared" si="102"/>
        <v>53737</v>
      </c>
      <c r="AE118" s="15">
        <f t="shared" ca="1" si="103"/>
        <v>21</v>
      </c>
      <c r="AF118" s="15">
        <f t="shared" ca="1" si="104"/>
        <v>1</v>
      </c>
      <c r="AG118" s="15">
        <f t="shared" ca="1" si="105"/>
        <v>9</v>
      </c>
      <c r="AH118" s="15" t="str">
        <f t="shared" ca="1" si="106"/>
        <v>21Years/1Months/9Days</v>
      </c>
      <c r="AI118" s="15" t="str">
        <f t="shared" si="107"/>
        <v>36years , 4months and 13days</v>
      </c>
      <c r="AJ118" s="15">
        <f t="shared" si="108"/>
        <v>36</v>
      </c>
      <c r="AK118" s="15">
        <f t="shared" si="109"/>
        <v>4</v>
      </c>
      <c r="AL118" s="15">
        <f t="shared" si="110"/>
        <v>13</v>
      </c>
      <c r="AO118" s="336"/>
    </row>
    <row r="119" spans="1:41" ht="31.5" customHeight="1" x14ac:dyDescent="0.25">
      <c r="A119" s="73">
        <v>1</v>
      </c>
      <c r="B119" s="74" t="s">
        <v>1014</v>
      </c>
      <c r="C119" s="74" t="s">
        <v>1374</v>
      </c>
      <c r="D119" s="74" t="s">
        <v>995</v>
      </c>
      <c r="E119" s="484" t="str">
        <f t="shared" si="78"/>
        <v>1/053/009/0152</v>
      </c>
      <c r="F119" s="68" t="s">
        <v>28</v>
      </c>
      <c r="G119" s="390" t="s">
        <v>1472</v>
      </c>
      <c r="H119" s="391" t="s">
        <v>42</v>
      </c>
      <c r="I119" s="390" t="s">
        <v>1485</v>
      </c>
      <c r="J119" s="294" t="s">
        <v>1047</v>
      </c>
      <c r="K119" s="178" t="s">
        <v>31</v>
      </c>
      <c r="L119" s="81">
        <v>716784987</v>
      </c>
      <c r="M119" s="82" t="s">
        <v>1048</v>
      </c>
      <c r="N119" s="392">
        <v>21</v>
      </c>
      <c r="O119" s="392">
        <v>2</v>
      </c>
      <c r="P119" s="392">
        <v>1989</v>
      </c>
      <c r="Q119" s="147">
        <f t="shared" si="95"/>
        <v>32560</v>
      </c>
      <c r="R119" s="92">
        <f t="shared" ca="1" si="96"/>
        <v>36.895890410958906</v>
      </c>
      <c r="S119" s="73" t="s">
        <v>50</v>
      </c>
      <c r="T119" s="73">
        <v>23</v>
      </c>
      <c r="U119" s="73">
        <v>8</v>
      </c>
      <c r="V119" s="73">
        <v>2011</v>
      </c>
      <c r="W119" s="148">
        <f t="shared" si="97"/>
        <v>40778</v>
      </c>
      <c r="X119" s="5" t="s">
        <v>38</v>
      </c>
      <c r="Y119" s="115"/>
      <c r="Z119" s="124">
        <f t="shared" ca="1" si="98"/>
        <v>14</v>
      </c>
      <c r="AA119" s="109">
        <f t="shared" ca="1" si="99"/>
        <v>4</v>
      </c>
      <c r="AB119" s="150">
        <f t="shared" ca="1" si="100"/>
        <v>13</v>
      </c>
      <c r="AC119" s="15" t="str">
        <f t="shared" ca="1" si="101"/>
        <v>14Years/4Months/13Days</v>
      </c>
      <c r="AD119" s="108">
        <f t="shared" si="102"/>
        <v>54475</v>
      </c>
      <c r="AE119" s="15">
        <f t="shared" ca="1" si="103"/>
        <v>23</v>
      </c>
      <c r="AF119" s="15">
        <f t="shared" ca="1" si="104"/>
        <v>1</v>
      </c>
      <c r="AG119" s="15">
        <f t="shared" ca="1" si="105"/>
        <v>16</v>
      </c>
      <c r="AH119" s="15" t="str">
        <f t="shared" ca="1" si="106"/>
        <v>23Years/1Months/16Days</v>
      </c>
      <c r="AI119" s="15" t="str">
        <f t="shared" si="107"/>
        <v>37years , 5months and 29days</v>
      </c>
      <c r="AJ119" s="15">
        <f t="shared" si="108"/>
        <v>37</v>
      </c>
      <c r="AK119" s="15">
        <f t="shared" si="109"/>
        <v>5</v>
      </c>
      <c r="AL119" s="15">
        <f t="shared" si="110"/>
        <v>29</v>
      </c>
      <c r="AO119" s="336"/>
    </row>
    <row r="120" spans="1:41" ht="31.5" customHeight="1" x14ac:dyDescent="0.25">
      <c r="A120" s="73">
        <v>1</v>
      </c>
      <c r="B120" s="74" t="s">
        <v>1014</v>
      </c>
      <c r="C120" s="74" t="s">
        <v>1375</v>
      </c>
      <c r="D120" s="74" t="s">
        <v>1001</v>
      </c>
      <c r="E120" s="484" t="str">
        <f t="shared" si="78"/>
        <v>1/053/010/0153</v>
      </c>
      <c r="F120" s="68" t="s">
        <v>28</v>
      </c>
      <c r="G120" s="390" t="s">
        <v>1473</v>
      </c>
      <c r="H120" s="391" t="s">
        <v>42</v>
      </c>
      <c r="I120" s="390" t="s">
        <v>1486</v>
      </c>
      <c r="J120" s="294" t="s">
        <v>1060</v>
      </c>
      <c r="K120" s="178" t="s">
        <v>31</v>
      </c>
      <c r="L120" s="81">
        <v>771327646</v>
      </c>
      <c r="M120" s="82" t="s">
        <v>1061</v>
      </c>
      <c r="N120" s="392">
        <v>3</v>
      </c>
      <c r="O120" s="392">
        <v>1</v>
      </c>
      <c r="P120" s="392">
        <v>1991</v>
      </c>
      <c r="Q120" s="147">
        <f t="shared" si="95"/>
        <v>33241</v>
      </c>
      <c r="R120" s="92">
        <f t="shared" ca="1" si="96"/>
        <v>35.030136986301372</v>
      </c>
      <c r="S120" s="73" t="s">
        <v>50</v>
      </c>
      <c r="T120" s="73">
        <v>3</v>
      </c>
      <c r="U120" s="73">
        <v>9</v>
      </c>
      <c r="V120" s="73">
        <v>2012</v>
      </c>
      <c r="W120" s="148">
        <f t="shared" si="97"/>
        <v>41155</v>
      </c>
      <c r="X120" s="5" t="s">
        <v>38</v>
      </c>
      <c r="Y120" s="115"/>
      <c r="Z120" s="124">
        <f t="shared" ca="1" si="98"/>
        <v>13</v>
      </c>
      <c r="AA120" s="109">
        <f t="shared" ca="1" si="99"/>
        <v>4</v>
      </c>
      <c r="AB120" s="150">
        <f t="shared" ca="1" si="100"/>
        <v>2</v>
      </c>
      <c r="AC120" s="15" t="str">
        <f t="shared" ca="1" si="101"/>
        <v>13Years/4Months/2Days</v>
      </c>
      <c r="AD120" s="108">
        <f t="shared" si="102"/>
        <v>55156</v>
      </c>
      <c r="AE120" s="15">
        <f t="shared" ca="1" si="103"/>
        <v>24</v>
      </c>
      <c r="AF120" s="15">
        <f t="shared" ca="1" si="104"/>
        <v>11</v>
      </c>
      <c r="AG120" s="15">
        <f t="shared" ca="1" si="105"/>
        <v>29</v>
      </c>
      <c r="AH120" s="15" t="str">
        <f t="shared" ca="1" si="106"/>
        <v>24Years/11Months/29Days</v>
      </c>
      <c r="AI120" s="15" t="str">
        <f t="shared" si="107"/>
        <v>38years , 4months and 0days</v>
      </c>
      <c r="AJ120" s="15">
        <f t="shared" si="108"/>
        <v>38</v>
      </c>
      <c r="AK120" s="15">
        <f t="shared" si="109"/>
        <v>4</v>
      </c>
      <c r="AL120" s="15">
        <f t="shared" si="110"/>
        <v>0</v>
      </c>
      <c r="AO120" s="336"/>
    </row>
    <row r="121" spans="1:41" ht="31.5" customHeight="1" x14ac:dyDescent="0.25">
      <c r="A121" s="73">
        <v>1</v>
      </c>
      <c r="B121" s="74" t="s">
        <v>1014</v>
      </c>
      <c r="C121" s="74" t="s">
        <v>1037</v>
      </c>
      <c r="D121" s="74" t="s">
        <v>1008</v>
      </c>
      <c r="E121" s="484" t="str">
        <f t="shared" si="78"/>
        <v>1/053/011/0154</v>
      </c>
      <c r="F121" s="68" t="s">
        <v>28</v>
      </c>
      <c r="G121" s="390" t="s">
        <v>1474</v>
      </c>
      <c r="H121" s="391" t="s">
        <v>1482</v>
      </c>
      <c r="I121" s="390" t="s">
        <v>1487</v>
      </c>
      <c r="J121" s="294" t="s">
        <v>1064</v>
      </c>
      <c r="K121" s="178" t="s">
        <v>31</v>
      </c>
      <c r="L121" s="77">
        <v>740165958</v>
      </c>
      <c r="M121" s="78" t="s">
        <v>1065</v>
      </c>
      <c r="N121" s="392">
        <v>10</v>
      </c>
      <c r="O121" s="392">
        <v>5</v>
      </c>
      <c r="P121" s="392">
        <v>1974</v>
      </c>
      <c r="Q121" s="147">
        <f t="shared" si="95"/>
        <v>27159</v>
      </c>
      <c r="R121" s="92">
        <f t="shared" ca="1" si="96"/>
        <v>51.69315068493151</v>
      </c>
      <c r="S121" s="67" t="s">
        <v>34</v>
      </c>
      <c r="T121" s="73">
        <v>5</v>
      </c>
      <c r="U121" s="73">
        <v>10</v>
      </c>
      <c r="V121" s="73">
        <v>2012</v>
      </c>
      <c r="W121" s="148">
        <f t="shared" si="97"/>
        <v>41187</v>
      </c>
      <c r="X121" s="5" t="s">
        <v>38</v>
      </c>
      <c r="Y121" s="115"/>
      <c r="Z121" s="124">
        <f t="shared" ca="1" si="98"/>
        <v>13</v>
      </c>
      <c r="AA121" s="109">
        <f t="shared" ca="1" si="99"/>
        <v>3</v>
      </c>
      <c r="AB121" s="150">
        <f t="shared" ca="1" si="100"/>
        <v>0</v>
      </c>
      <c r="AC121" s="15" t="str">
        <f t="shared" ca="1" si="101"/>
        <v>13Years/3Months/0Days</v>
      </c>
      <c r="AD121" s="108">
        <f t="shared" si="102"/>
        <v>49074</v>
      </c>
      <c r="AE121" s="15">
        <f t="shared" ca="1" si="103"/>
        <v>8</v>
      </c>
      <c r="AF121" s="15">
        <f t="shared" ca="1" si="104"/>
        <v>4</v>
      </c>
      <c r="AG121" s="15">
        <f t="shared" ca="1" si="105"/>
        <v>5</v>
      </c>
      <c r="AH121" s="15" t="str">
        <f t="shared" ca="1" si="106"/>
        <v>8Years/4Months/5Days</v>
      </c>
      <c r="AI121" s="15" t="str">
        <f t="shared" si="107"/>
        <v>21years , 7months and 5days</v>
      </c>
      <c r="AJ121" s="15">
        <f t="shared" si="108"/>
        <v>21</v>
      </c>
      <c r="AK121" s="15">
        <f t="shared" si="109"/>
        <v>7</v>
      </c>
      <c r="AL121" s="15">
        <f t="shared" si="110"/>
        <v>5</v>
      </c>
      <c r="AO121" s="336"/>
    </row>
    <row r="122" spans="1:41" ht="31.5" customHeight="1" x14ac:dyDescent="0.25">
      <c r="A122" s="73">
        <v>1</v>
      </c>
      <c r="B122" s="74" t="s">
        <v>1014</v>
      </c>
      <c r="C122" s="74" t="s">
        <v>1376</v>
      </c>
      <c r="D122" s="74" t="s">
        <v>1015</v>
      </c>
      <c r="E122" s="484" t="str">
        <f t="shared" si="78"/>
        <v>1/053/012/0155</v>
      </c>
      <c r="F122" s="68" t="s">
        <v>28</v>
      </c>
      <c r="G122" s="390" t="s">
        <v>1475</v>
      </c>
      <c r="H122" s="391" t="s">
        <v>42</v>
      </c>
      <c r="I122" s="390" t="s">
        <v>1488</v>
      </c>
      <c r="J122" s="294" t="s">
        <v>1074</v>
      </c>
      <c r="K122" s="178" t="s">
        <v>31</v>
      </c>
      <c r="L122" s="81">
        <v>771404698</v>
      </c>
      <c r="M122" s="82" t="s">
        <v>1075</v>
      </c>
      <c r="N122" s="392">
        <v>1</v>
      </c>
      <c r="O122" s="392">
        <v>1</v>
      </c>
      <c r="P122" s="392">
        <v>1990</v>
      </c>
      <c r="Q122" s="147">
        <f t="shared" si="95"/>
        <v>32874</v>
      </c>
      <c r="R122" s="92">
        <f t="shared" ca="1" si="96"/>
        <v>36.035616438356165</v>
      </c>
      <c r="S122" s="73" t="s">
        <v>50</v>
      </c>
      <c r="T122" s="73">
        <v>1</v>
      </c>
      <c r="U122" s="73">
        <v>9</v>
      </c>
      <c r="V122" s="73">
        <v>2014</v>
      </c>
      <c r="W122" s="148">
        <f t="shared" si="97"/>
        <v>41883</v>
      </c>
      <c r="X122" s="5" t="s">
        <v>38</v>
      </c>
      <c r="Y122" s="115"/>
      <c r="Z122" s="124">
        <f t="shared" ca="1" si="98"/>
        <v>11</v>
      </c>
      <c r="AA122" s="109">
        <f t="shared" ca="1" si="99"/>
        <v>4</v>
      </c>
      <c r="AB122" s="150">
        <f t="shared" ca="1" si="100"/>
        <v>4</v>
      </c>
      <c r="AC122" s="15" t="str">
        <f t="shared" ca="1" si="101"/>
        <v>11Years/4Months/4Days</v>
      </c>
      <c r="AD122" s="108">
        <f t="shared" si="102"/>
        <v>54789</v>
      </c>
      <c r="AE122" s="15">
        <f t="shared" ca="1" si="103"/>
        <v>23</v>
      </c>
      <c r="AF122" s="15">
        <f t="shared" ca="1" si="104"/>
        <v>11</v>
      </c>
      <c r="AG122" s="15">
        <f t="shared" ca="1" si="105"/>
        <v>27</v>
      </c>
      <c r="AH122" s="15" t="str">
        <f t="shared" ca="1" si="106"/>
        <v>23Years/11Months/27Days</v>
      </c>
      <c r="AI122" s="15" t="str">
        <f t="shared" si="107"/>
        <v>35years , 4months and 0days</v>
      </c>
      <c r="AJ122" s="15">
        <f t="shared" si="108"/>
        <v>35</v>
      </c>
      <c r="AK122" s="15">
        <f t="shared" si="109"/>
        <v>4</v>
      </c>
      <c r="AL122" s="15">
        <f t="shared" si="110"/>
        <v>0</v>
      </c>
      <c r="AO122" s="336"/>
    </row>
    <row r="123" spans="1:41" ht="31.5" customHeight="1" x14ac:dyDescent="0.25">
      <c r="A123" s="73">
        <v>1</v>
      </c>
      <c r="B123" s="74" t="s">
        <v>1014</v>
      </c>
      <c r="C123" s="74" t="s">
        <v>1377</v>
      </c>
      <c r="D123" s="74" t="s">
        <v>1017</v>
      </c>
      <c r="E123" s="484" t="str">
        <f t="shared" si="78"/>
        <v>1/053/013/0156</v>
      </c>
      <c r="F123" s="68" t="s">
        <v>28</v>
      </c>
      <c r="G123" s="390" t="s">
        <v>1476</v>
      </c>
      <c r="H123" s="391" t="s">
        <v>42</v>
      </c>
      <c r="I123" s="390" t="s">
        <v>1489</v>
      </c>
      <c r="J123" s="294" t="s">
        <v>1078</v>
      </c>
      <c r="K123" s="178" t="s">
        <v>96</v>
      </c>
      <c r="L123" s="81">
        <v>777633982</v>
      </c>
      <c r="M123" s="82" t="s">
        <v>1079</v>
      </c>
      <c r="N123" s="392">
        <v>6</v>
      </c>
      <c r="O123" s="392">
        <v>10</v>
      </c>
      <c r="P123" s="392">
        <v>1977</v>
      </c>
      <c r="Q123" s="147">
        <f t="shared" si="95"/>
        <v>28404</v>
      </c>
      <c r="R123" s="92">
        <f t="shared" ca="1" si="96"/>
        <v>48.282191780821918</v>
      </c>
      <c r="S123" s="73" t="s">
        <v>50</v>
      </c>
      <c r="T123" s="73">
        <v>2</v>
      </c>
      <c r="U123" s="73">
        <v>12</v>
      </c>
      <c r="V123" s="73">
        <v>2014</v>
      </c>
      <c r="W123" s="148">
        <f t="shared" si="97"/>
        <v>41975</v>
      </c>
      <c r="X123" s="5" t="s">
        <v>38</v>
      </c>
      <c r="Y123" s="115"/>
      <c r="Z123" s="124">
        <f t="shared" ca="1" si="98"/>
        <v>11</v>
      </c>
      <c r="AA123" s="109">
        <f t="shared" ca="1" si="99"/>
        <v>1</v>
      </c>
      <c r="AB123" s="150">
        <f t="shared" ca="1" si="100"/>
        <v>3</v>
      </c>
      <c r="AC123" s="15" t="str">
        <f t="shared" ca="1" si="101"/>
        <v>11Years/1Months/3Days</v>
      </c>
      <c r="AD123" s="108">
        <f t="shared" si="102"/>
        <v>50319</v>
      </c>
      <c r="AE123" s="15">
        <f t="shared" ca="1" si="103"/>
        <v>11</v>
      </c>
      <c r="AF123" s="15">
        <f t="shared" ca="1" si="104"/>
        <v>9</v>
      </c>
      <c r="AG123" s="15">
        <f t="shared" ca="1" si="105"/>
        <v>1</v>
      </c>
      <c r="AH123" s="15" t="str">
        <f t="shared" ca="1" si="106"/>
        <v>11Years/9Months/1Days</v>
      </c>
      <c r="AI123" s="15" t="str">
        <f t="shared" si="107"/>
        <v>22years , 10months and 4days</v>
      </c>
      <c r="AJ123" s="15">
        <f t="shared" si="108"/>
        <v>22</v>
      </c>
      <c r="AK123" s="15">
        <f t="shared" si="109"/>
        <v>10</v>
      </c>
      <c r="AL123" s="15">
        <f t="shared" si="110"/>
        <v>4</v>
      </c>
      <c r="AO123" s="336"/>
    </row>
    <row r="124" spans="1:41" ht="31.5" customHeight="1" x14ac:dyDescent="0.25">
      <c r="A124" s="73">
        <v>1</v>
      </c>
      <c r="B124" s="74" t="s">
        <v>1014</v>
      </c>
      <c r="C124" s="74" t="s">
        <v>1378</v>
      </c>
      <c r="D124" s="74" t="s">
        <v>1020</v>
      </c>
      <c r="E124" s="484" t="str">
        <f t="shared" si="78"/>
        <v>1/053/014/0157</v>
      </c>
      <c r="F124" s="68" t="s">
        <v>28</v>
      </c>
      <c r="G124" s="390" t="s">
        <v>1477</v>
      </c>
      <c r="H124" s="391" t="s">
        <v>42</v>
      </c>
      <c r="I124" s="390" t="s">
        <v>1490</v>
      </c>
      <c r="J124" s="294" t="s">
        <v>1082</v>
      </c>
      <c r="K124" s="178" t="s">
        <v>31</v>
      </c>
      <c r="L124" s="81" t="s">
        <v>1083</v>
      </c>
      <c r="M124" s="82" t="s">
        <v>1084</v>
      </c>
      <c r="N124" s="392" t="s">
        <v>625</v>
      </c>
      <c r="O124" s="392">
        <v>2</v>
      </c>
      <c r="P124" s="392">
        <v>1995</v>
      </c>
      <c r="Q124" s="147">
        <f t="shared" si="95"/>
        <v>34756</v>
      </c>
      <c r="R124" s="92">
        <f t="shared" ca="1" si="96"/>
        <v>30.87945205479452</v>
      </c>
      <c r="S124" s="73" t="s">
        <v>50</v>
      </c>
      <c r="T124" s="73">
        <v>26</v>
      </c>
      <c r="U124" s="73">
        <v>3</v>
      </c>
      <c r="V124" s="73">
        <v>2015</v>
      </c>
      <c r="W124" s="148">
        <f t="shared" si="97"/>
        <v>42089</v>
      </c>
      <c r="X124" s="5" t="s">
        <v>38</v>
      </c>
      <c r="Y124" s="115"/>
      <c r="Z124" s="124">
        <f t="shared" ca="1" si="98"/>
        <v>10</v>
      </c>
      <c r="AA124" s="109">
        <f t="shared" ca="1" si="99"/>
        <v>9</v>
      </c>
      <c r="AB124" s="150">
        <f t="shared" ca="1" si="100"/>
        <v>10</v>
      </c>
      <c r="AC124" s="15" t="str">
        <f t="shared" ca="1" si="101"/>
        <v>10Years/9Months/10Days</v>
      </c>
      <c r="AD124" s="108">
        <f t="shared" si="102"/>
        <v>56671</v>
      </c>
      <c r="AE124" s="15">
        <f t="shared" ca="1" si="103"/>
        <v>29</v>
      </c>
      <c r="AF124" s="15">
        <f t="shared" ca="1" si="104"/>
        <v>1</v>
      </c>
      <c r="AG124" s="15">
        <f t="shared" ca="1" si="105"/>
        <v>21</v>
      </c>
      <c r="AH124" s="15" t="str">
        <f t="shared" ca="1" si="106"/>
        <v>29Years/1Months/21Days</v>
      </c>
      <c r="AI124" s="15" t="str">
        <f t="shared" si="107"/>
        <v>39years , 11months and 0days</v>
      </c>
      <c r="AJ124" s="15">
        <f t="shared" si="108"/>
        <v>39</v>
      </c>
      <c r="AK124" s="15">
        <f t="shared" si="109"/>
        <v>11</v>
      </c>
      <c r="AL124" s="15">
        <f t="shared" si="110"/>
        <v>0</v>
      </c>
      <c r="AO124" s="336"/>
    </row>
    <row r="125" spans="1:41" ht="31.5" customHeight="1" x14ac:dyDescent="0.25">
      <c r="A125" s="73">
        <v>1</v>
      </c>
      <c r="B125" s="74" t="s">
        <v>1014</v>
      </c>
      <c r="C125" s="74" t="s">
        <v>1379</v>
      </c>
      <c r="D125" s="74" t="s">
        <v>1022</v>
      </c>
      <c r="E125" s="484" t="str">
        <f t="shared" si="78"/>
        <v>1/053/015/0158</v>
      </c>
      <c r="F125" s="68" t="s">
        <v>28</v>
      </c>
      <c r="G125" s="390" t="s">
        <v>1478</v>
      </c>
      <c r="H125" s="391" t="s">
        <v>42</v>
      </c>
      <c r="I125" s="390" t="s">
        <v>1491</v>
      </c>
      <c r="J125" s="294" t="s">
        <v>1086</v>
      </c>
      <c r="K125" s="178" t="s">
        <v>31</v>
      </c>
      <c r="L125" s="81">
        <v>716784975</v>
      </c>
      <c r="M125" s="82" t="s">
        <v>1087</v>
      </c>
      <c r="N125" s="392">
        <v>6</v>
      </c>
      <c r="O125" s="392">
        <v>12</v>
      </c>
      <c r="P125" s="392">
        <v>1985</v>
      </c>
      <c r="Q125" s="147">
        <f t="shared" si="95"/>
        <v>31387</v>
      </c>
      <c r="R125" s="92">
        <f t="shared" ca="1" si="96"/>
        <v>40.109589041095887</v>
      </c>
      <c r="S125" s="73" t="s">
        <v>50</v>
      </c>
      <c r="T125" s="73">
        <v>31</v>
      </c>
      <c r="U125" s="73">
        <v>8</v>
      </c>
      <c r="V125" s="73">
        <v>2015</v>
      </c>
      <c r="W125" s="148">
        <f t="shared" si="97"/>
        <v>42247</v>
      </c>
      <c r="X125" s="5" t="s">
        <v>38</v>
      </c>
      <c r="Y125" s="115"/>
      <c r="Z125" s="124">
        <f t="shared" ca="1" si="98"/>
        <v>10</v>
      </c>
      <c r="AA125" s="109">
        <f t="shared" ca="1" si="99"/>
        <v>4</v>
      </c>
      <c r="AB125" s="150">
        <f t="shared" ca="1" si="100"/>
        <v>5</v>
      </c>
      <c r="AC125" s="15" t="str">
        <f t="shared" ca="1" si="101"/>
        <v>10Years/4Months/5Days</v>
      </c>
      <c r="AD125" s="108">
        <f t="shared" si="102"/>
        <v>53302</v>
      </c>
      <c r="AE125" s="15">
        <f t="shared" ca="1" si="103"/>
        <v>19</v>
      </c>
      <c r="AF125" s="15">
        <f t="shared" ca="1" si="104"/>
        <v>11</v>
      </c>
      <c r="AG125" s="15">
        <f t="shared" ca="1" si="105"/>
        <v>1</v>
      </c>
      <c r="AH125" s="15" t="str">
        <f t="shared" ca="1" si="106"/>
        <v>19Years/11Months/1Days</v>
      </c>
      <c r="AI125" s="15" t="str">
        <f t="shared" si="107"/>
        <v>30years , 3months and 5days</v>
      </c>
      <c r="AJ125" s="15">
        <f t="shared" si="108"/>
        <v>30</v>
      </c>
      <c r="AK125" s="15">
        <f t="shared" si="109"/>
        <v>3</v>
      </c>
      <c r="AL125" s="15">
        <f t="shared" si="110"/>
        <v>5</v>
      </c>
      <c r="AO125" s="336"/>
    </row>
    <row r="126" spans="1:41" ht="31.5" customHeight="1" x14ac:dyDescent="0.25">
      <c r="A126" s="73">
        <v>1</v>
      </c>
      <c r="B126" s="74" t="s">
        <v>1014</v>
      </c>
      <c r="C126" s="74" t="s">
        <v>1380</v>
      </c>
      <c r="D126" s="74" t="s">
        <v>1028</v>
      </c>
      <c r="E126" s="484" t="str">
        <f t="shared" si="78"/>
        <v>1/053/016/0159</v>
      </c>
      <c r="F126" s="68" t="s">
        <v>28</v>
      </c>
      <c r="G126" s="390" t="s">
        <v>1479</v>
      </c>
      <c r="H126" s="391" t="s">
        <v>42</v>
      </c>
      <c r="I126" s="390" t="s">
        <v>1492</v>
      </c>
      <c r="J126" s="294" t="s">
        <v>1090</v>
      </c>
      <c r="K126" s="178" t="s">
        <v>31</v>
      </c>
      <c r="L126" s="81" t="s">
        <v>1091</v>
      </c>
      <c r="M126" s="82" t="s">
        <v>1092</v>
      </c>
      <c r="N126" s="392">
        <v>13</v>
      </c>
      <c r="O126" s="392">
        <v>10</v>
      </c>
      <c r="P126" s="392">
        <v>1970</v>
      </c>
      <c r="Q126" s="147">
        <f t="shared" si="95"/>
        <v>25854</v>
      </c>
      <c r="R126" s="92">
        <f t="shared" ca="1" si="96"/>
        <v>55.268493150684932</v>
      </c>
      <c r="S126" s="73" t="s">
        <v>50</v>
      </c>
      <c r="T126" s="73">
        <v>31</v>
      </c>
      <c r="U126" s="73">
        <v>8</v>
      </c>
      <c r="V126" s="73">
        <v>2015</v>
      </c>
      <c r="W126" s="148">
        <f t="shared" si="97"/>
        <v>42247</v>
      </c>
      <c r="X126" s="5" t="s">
        <v>38</v>
      </c>
      <c r="Y126" s="115"/>
      <c r="Z126" s="124">
        <f t="shared" ca="1" si="98"/>
        <v>10</v>
      </c>
      <c r="AA126" s="109">
        <f t="shared" ca="1" si="99"/>
        <v>4</v>
      </c>
      <c r="AB126" s="150">
        <f t="shared" ca="1" si="100"/>
        <v>5</v>
      </c>
      <c r="AC126" s="15" t="str">
        <f t="shared" ca="1" si="101"/>
        <v>10Years/4Months/5Days</v>
      </c>
      <c r="AD126" s="108">
        <f t="shared" si="102"/>
        <v>47769</v>
      </c>
      <c r="AE126" s="15">
        <f t="shared" ca="1" si="103"/>
        <v>4</v>
      </c>
      <c r="AF126" s="15">
        <f t="shared" ca="1" si="104"/>
        <v>9</v>
      </c>
      <c r="AG126" s="15">
        <f t="shared" ca="1" si="105"/>
        <v>8</v>
      </c>
      <c r="AH126" s="15" t="str">
        <f t="shared" ca="1" si="106"/>
        <v>4Years/9Months/8Days</v>
      </c>
      <c r="AI126" s="15" t="str">
        <f t="shared" si="107"/>
        <v>15years , 1months and 12days</v>
      </c>
      <c r="AJ126" s="15">
        <f t="shared" si="108"/>
        <v>15</v>
      </c>
      <c r="AK126" s="15">
        <f t="shared" si="109"/>
        <v>1</v>
      </c>
      <c r="AL126" s="15">
        <f t="shared" si="110"/>
        <v>12</v>
      </c>
      <c r="AO126" s="336"/>
    </row>
    <row r="127" spans="1:41" ht="31.5" customHeight="1" x14ac:dyDescent="0.25">
      <c r="A127" s="73">
        <v>1</v>
      </c>
      <c r="B127" s="74" t="s">
        <v>1014</v>
      </c>
      <c r="C127" s="74" t="s">
        <v>1021</v>
      </c>
      <c r="D127" s="74" t="s">
        <v>1031</v>
      </c>
      <c r="E127" s="484" t="str">
        <f t="shared" si="78"/>
        <v>1/053/017/0160</v>
      </c>
      <c r="F127" s="68" t="s">
        <v>28</v>
      </c>
      <c r="G127" s="390" t="s">
        <v>1480</v>
      </c>
      <c r="H127" s="391" t="s">
        <v>42</v>
      </c>
      <c r="I127" s="390" t="s">
        <v>1493</v>
      </c>
      <c r="J127" s="294" t="s">
        <v>1095</v>
      </c>
      <c r="K127" s="178" t="s">
        <v>31</v>
      </c>
      <c r="L127" s="81">
        <v>716314049</v>
      </c>
      <c r="M127" s="82" t="s">
        <v>1096</v>
      </c>
      <c r="N127" s="392">
        <v>2</v>
      </c>
      <c r="O127" s="392">
        <v>8</v>
      </c>
      <c r="P127" s="392">
        <v>1986</v>
      </c>
      <c r="Q127" s="147">
        <f t="shared" si="95"/>
        <v>31626</v>
      </c>
      <c r="R127" s="92">
        <f t="shared" ca="1" si="96"/>
        <v>39.454794520547942</v>
      </c>
      <c r="S127" s="73" t="s">
        <v>50</v>
      </c>
      <c r="T127" s="73">
        <v>31</v>
      </c>
      <c r="U127" s="73">
        <v>8</v>
      </c>
      <c r="V127" s="73">
        <v>2015</v>
      </c>
      <c r="W127" s="148">
        <f t="shared" si="97"/>
        <v>42247</v>
      </c>
      <c r="X127" s="5" t="s">
        <v>38</v>
      </c>
      <c r="Y127" s="115"/>
      <c r="Z127" s="124">
        <f t="shared" ca="1" si="98"/>
        <v>10</v>
      </c>
      <c r="AA127" s="109">
        <f t="shared" ca="1" si="99"/>
        <v>4</v>
      </c>
      <c r="AB127" s="150">
        <f t="shared" ca="1" si="100"/>
        <v>5</v>
      </c>
      <c r="AC127" s="15" t="str">
        <f t="shared" ca="1" si="101"/>
        <v>10Years/4Months/5Days</v>
      </c>
      <c r="AD127" s="108">
        <f t="shared" si="102"/>
        <v>53541</v>
      </c>
      <c r="AE127" s="15">
        <f t="shared" ca="1" si="103"/>
        <v>20</v>
      </c>
      <c r="AF127" s="15">
        <f t="shared" ca="1" si="104"/>
        <v>6</v>
      </c>
      <c r="AG127" s="15">
        <f t="shared" ca="1" si="105"/>
        <v>28</v>
      </c>
      <c r="AH127" s="15" t="str">
        <f t="shared" ca="1" si="106"/>
        <v>20Years/6Months/28Days</v>
      </c>
      <c r="AI127" s="15" t="str">
        <f t="shared" si="107"/>
        <v>30years , 11months and 2days</v>
      </c>
      <c r="AJ127" s="15">
        <f t="shared" si="108"/>
        <v>30</v>
      </c>
      <c r="AK127" s="15">
        <f t="shared" si="109"/>
        <v>11</v>
      </c>
      <c r="AL127" s="15">
        <f t="shared" si="110"/>
        <v>2</v>
      </c>
      <c r="AO127" s="336"/>
    </row>
    <row r="128" spans="1:41" ht="31.5" customHeight="1" x14ac:dyDescent="0.25">
      <c r="A128" s="73">
        <v>1</v>
      </c>
      <c r="B128" s="74" t="s">
        <v>1014</v>
      </c>
      <c r="C128" s="74" t="s">
        <v>1041</v>
      </c>
      <c r="D128" s="74" t="s">
        <v>1034</v>
      </c>
      <c r="E128" s="484" t="str">
        <f t="shared" si="78"/>
        <v>1/053/018/0161</v>
      </c>
      <c r="F128" s="68" t="s">
        <v>28</v>
      </c>
      <c r="G128" s="390" t="s">
        <v>1481</v>
      </c>
      <c r="H128" s="391" t="s">
        <v>1483</v>
      </c>
      <c r="I128" s="390" t="s">
        <v>1494</v>
      </c>
      <c r="J128" s="294" t="s">
        <v>1099</v>
      </c>
      <c r="K128" s="178" t="s">
        <v>31</v>
      </c>
      <c r="L128" s="77">
        <v>703989337</v>
      </c>
      <c r="M128" s="76" t="s">
        <v>1100</v>
      </c>
      <c r="N128" s="392">
        <v>15</v>
      </c>
      <c r="O128" s="392">
        <v>2</v>
      </c>
      <c r="P128" s="392">
        <v>1975</v>
      </c>
      <c r="Q128" s="147">
        <f t="shared" si="95"/>
        <v>27440</v>
      </c>
      <c r="R128" s="92">
        <f t="shared" ca="1" si="96"/>
        <v>50.923287671232877</v>
      </c>
      <c r="S128" s="67" t="s">
        <v>34</v>
      </c>
      <c r="T128" s="73">
        <v>1</v>
      </c>
      <c r="U128" s="73">
        <v>9</v>
      </c>
      <c r="V128" s="73">
        <v>2015</v>
      </c>
      <c r="W128" s="148">
        <f t="shared" si="97"/>
        <v>42248</v>
      </c>
      <c r="X128" s="5" t="s">
        <v>38</v>
      </c>
      <c r="Y128" s="116"/>
      <c r="Z128" s="124">
        <f t="shared" ca="1" si="98"/>
        <v>10</v>
      </c>
      <c r="AA128" s="109">
        <f t="shared" ca="1" si="99"/>
        <v>4</v>
      </c>
      <c r="AB128" s="150">
        <f t="shared" ca="1" si="100"/>
        <v>4</v>
      </c>
      <c r="AC128" s="15" t="str">
        <f t="shared" ca="1" si="101"/>
        <v>10Years/4Months/4Days</v>
      </c>
      <c r="AD128" s="108">
        <f t="shared" si="102"/>
        <v>49355</v>
      </c>
      <c r="AE128" s="15">
        <f t="shared" ca="1" si="103"/>
        <v>9</v>
      </c>
      <c r="AF128" s="15">
        <f t="shared" ca="1" si="104"/>
        <v>1</v>
      </c>
      <c r="AG128" s="15">
        <f t="shared" ca="1" si="105"/>
        <v>10</v>
      </c>
      <c r="AH128" s="15" t="str">
        <f t="shared" ca="1" si="106"/>
        <v>9Years/1Months/10Days</v>
      </c>
      <c r="AI128" s="15" t="str">
        <f t="shared" si="107"/>
        <v>19years , 5months and 14days</v>
      </c>
      <c r="AJ128" s="15">
        <f t="shared" si="108"/>
        <v>19</v>
      </c>
      <c r="AK128" s="15">
        <f t="shared" si="109"/>
        <v>5</v>
      </c>
      <c r="AL128" s="15">
        <f t="shared" si="110"/>
        <v>14</v>
      </c>
      <c r="AO128" s="336"/>
    </row>
    <row r="129" spans="1:41" ht="31.5" customHeight="1" x14ac:dyDescent="0.25">
      <c r="A129" s="73">
        <v>1</v>
      </c>
      <c r="B129" s="74" t="s">
        <v>1014</v>
      </c>
      <c r="C129" s="74" t="s">
        <v>1381</v>
      </c>
      <c r="D129" s="74" t="s">
        <v>1038</v>
      </c>
      <c r="E129" s="484" t="str">
        <f t="shared" si="78"/>
        <v>1/053/019/0162</v>
      </c>
      <c r="F129" s="68" t="s">
        <v>28</v>
      </c>
      <c r="G129" s="390" t="s">
        <v>1495</v>
      </c>
      <c r="H129" s="391" t="s">
        <v>42</v>
      </c>
      <c r="I129" s="390" t="s">
        <v>1508</v>
      </c>
      <c r="J129" s="294" t="s">
        <v>1110</v>
      </c>
      <c r="K129" s="178" t="s">
        <v>31</v>
      </c>
      <c r="L129" s="81">
        <v>778811366</v>
      </c>
      <c r="M129" s="82" t="s">
        <v>1111</v>
      </c>
      <c r="N129" s="392">
        <v>10</v>
      </c>
      <c r="O129" s="392">
        <v>4</v>
      </c>
      <c r="P129" s="392">
        <v>1975</v>
      </c>
      <c r="Q129" s="147">
        <f t="shared" si="95"/>
        <v>27494</v>
      </c>
      <c r="R129" s="92">
        <f t="shared" ca="1" si="96"/>
        <v>50.775342465753425</v>
      </c>
      <c r="S129" s="73" t="s">
        <v>50</v>
      </c>
      <c r="T129" s="73">
        <v>6</v>
      </c>
      <c r="U129" s="73">
        <v>6</v>
      </c>
      <c r="V129" s="73">
        <v>2016</v>
      </c>
      <c r="W129" s="148">
        <f t="shared" si="97"/>
        <v>42527</v>
      </c>
      <c r="X129" s="5" t="s">
        <v>38</v>
      </c>
      <c r="Y129" s="115"/>
      <c r="Z129" s="124">
        <f t="shared" ca="1" si="98"/>
        <v>9</v>
      </c>
      <c r="AA129" s="109">
        <f t="shared" ca="1" si="99"/>
        <v>6</v>
      </c>
      <c r="AB129" s="150">
        <f t="shared" ca="1" si="100"/>
        <v>30</v>
      </c>
      <c r="AC129" s="15" t="str">
        <f t="shared" ca="1" si="101"/>
        <v>9Years/6Months/30Days</v>
      </c>
      <c r="AD129" s="108">
        <f t="shared" si="102"/>
        <v>49409</v>
      </c>
      <c r="AE129" s="15">
        <f t="shared" ca="1" si="103"/>
        <v>9</v>
      </c>
      <c r="AF129" s="15">
        <f t="shared" ca="1" si="104"/>
        <v>3</v>
      </c>
      <c r="AG129" s="15">
        <f t="shared" ca="1" si="105"/>
        <v>5</v>
      </c>
      <c r="AH129" s="15" t="str">
        <f t="shared" ca="1" si="106"/>
        <v>9Years/3Months/5Days</v>
      </c>
      <c r="AI129" s="15" t="str">
        <f t="shared" si="107"/>
        <v>18years , 10months and 4days</v>
      </c>
      <c r="AJ129" s="15">
        <f t="shared" si="108"/>
        <v>18</v>
      </c>
      <c r="AK129" s="15">
        <f t="shared" si="109"/>
        <v>10</v>
      </c>
      <c r="AL129" s="15">
        <f t="shared" si="110"/>
        <v>4</v>
      </c>
      <c r="AO129" s="336"/>
    </row>
    <row r="130" spans="1:41" ht="31.5" customHeight="1" x14ac:dyDescent="0.25">
      <c r="A130" s="73">
        <v>1</v>
      </c>
      <c r="B130" s="74" t="s">
        <v>1014</v>
      </c>
      <c r="C130" s="74" t="s">
        <v>1382</v>
      </c>
      <c r="D130" s="74" t="s">
        <v>1042</v>
      </c>
      <c r="E130" s="484" t="str">
        <f t="shared" si="78"/>
        <v>1/053/020/0163</v>
      </c>
      <c r="F130" s="68" t="s">
        <v>28</v>
      </c>
      <c r="G130" s="390" t="s">
        <v>1496</v>
      </c>
      <c r="H130" s="391" t="s">
        <v>42</v>
      </c>
      <c r="I130" s="390" t="s">
        <v>1509</v>
      </c>
      <c r="J130" s="294" t="s">
        <v>1113</v>
      </c>
      <c r="K130" s="178" t="s">
        <v>31</v>
      </c>
      <c r="L130" s="81">
        <v>755741601</v>
      </c>
      <c r="M130" s="82" t="s">
        <v>1114</v>
      </c>
      <c r="N130" s="392">
        <v>5</v>
      </c>
      <c r="O130" s="392">
        <v>4</v>
      </c>
      <c r="P130" s="392">
        <v>1996</v>
      </c>
      <c r="Q130" s="147">
        <f t="shared" si="95"/>
        <v>35160</v>
      </c>
      <c r="R130" s="92">
        <f t="shared" ca="1" si="96"/>
        <v>29.772602739726029</v>
      </c>
      <c r="S130" s="73" t="s">
        <v>50</v>
      </c>
      <c r="T130" s="73">
        <v>6</v>
      </c>
      <c r="U130" s="73">
        <v>6</v>
      </c>
      <c r="V130" s="73">
        <v>2016</v>
      </c>
      <c r="W130" s="148">
        <f t="shared" si="97"/>
        <v>42527</v>
      </c>
      <c r="X130" s="5" t="s">
        <v>38</v>
      </c>
      <c r="Y130" s="115"/>
      <c r="Z130" s="124">
        <f t="shared" ca="1" si="98"/>
        <v>9</v>
      </c>
      <c r="AA130" s="109">
        <f t="shared" ca="1" si="99"/>
        <v>6</v>
      </c>
      <c r="AB130" s="150">
        <f t="shared" ca="1" si="100"/>
        <v>30</v>
      </c>
      <c r="AC130" s="15" t="str">
        <f t="shared" ca="1" si="101"/>
        <v>9Years/6Months/30Days</v>
      </c>
      <c r="AD130" s="108">
        <f t="shared" si="102"/>
        <v>57075</v>
      </c>
      <c r="AE130" s="15">
        <f t="shared" ca="1" si="103"/>
        <v>30</v>
      </c>
      <c r="AF130" s="15">
        <f t="shared" ca="1" si="104"/>
        <v>3</v>
      </c>
      <c r="AG130" s="15">
        <f t="shared" ca="1" si="105"/>
        <v>0</v>
      </c>
      <c r="AH130" s="15" t="str">
        <f t="shared" ca="1" si="106"/>
        <v>30Years/3Months/0Days</v>
      </c>
      <c r="AI130" s="15" t="str">
        <f t="shared" si="107"/>
        <v>39years , 9months and 30days</v>
      </c>
      <c r="AJ130" s="15">
        <f t="shared" si="108"/>
        <v>39</v>
      </c>
      <c r="AK130" s="15">
        <f t="shared" si="109"/>
        <v>9</v>
      </c>
      <c r="AL130" s="15">
        <f t="shared" si="110"/>
        <v>30</v>
      </c>
      <c r="AO130" s="336"/>
    </row>
    <row r="131" spans="1:41" ht="31.5" customHeight="1" x14ac:dyDescent="0.25">
      <c r="A131" s="73">
        <v>1</v>
      </c>
      <c r="B131" s="74" t="s">
        <v>1014</v>
      </c>
      <c r="C131" s="74" t="s">
        <v>1383</v>
      </c>
      <c r="D131" s="74" t="s">
        <v>1046</v>
      </c>
      <c r="E131" s="484" t="str">
        <f t="shared" si="78"/>
        <v>1/053/021/0164</v>
      </c>
      <c r="F131" s="68" t="s">
        <v>28</v>
      </c>
      <c r="G131" s="390" t="s">
        <v>1497</v>
      </c>
      <c r="H131" s="391" t="s">
        <v>42</v>
      </c>
      <c r="I131" s="390" t="s">
        <v>1510</v>
      </c>
      <c r="J131" s="294" t="s">
        <v>1119</v>
      </c>
      <c r="K131" s="178" t="s">
        <v>31</v>
      </c>
      <c r="L131" s="81">
        <v>776325899</v>
      </c>
      <c r="M131" s="82" t="s">
        <v>1120</v>
      </c>
      <c r="N131" s="392">
        <v>10</v>
      </c>
      <c r="O131" s="392">
        <v>12</v>
      </c>
      <c r="P131" s="392">
        <v>1983</v>
      </c>
      <c r="Q131" s="147">
        <f t="shared" si="95"/>
        <v>30660</v>
      </c>
      <c r="R131" s="92">
        <f t="shared" ca="1" si="96"/>
        <v>42.101369863013701</v>
      </c>
      <c r="S131" s="73" t="s">
        <v>50</v>
      </c>
      <c r="T131" s="73">
        <v>4</v>
      </c>
      <c r="U131" s="73">
        <v>1</v>
      </c>
      <c r="V131" s="73">
        <v>2017</v>
      </c>
      <c r="W131" s="148">
        <f t="shared" si="97"/>
        <v>42739</v>
      </c>
      <c r="X131" s="5" t="s">
        <v>38</v>
      </c>
      <c r="Y131" s="115"/>
      <c r="Z131" s="124">
        <f t="shared" ca="1" si="98"/>
        <v>9</v>
      </c>
      <c r="AA131" s="109">
        <f t="shared" ca="1" si="99"/>
        <v>0</v>
      </c>
      <c r="AB131" s="150">
        <f t="shared" ca="1" si="100"/>
        <v>1</v>
      </c>
      <c r="AC131" s="15" t="str">
        <f t="shared" ca="1" si="101"/>
        <v>9Years/0Months/1Days</v>
      </c>
      <c r="AD131" s="108">
        <f t="shared" si="102"/>
        <v>52575</v>
      </c>
      <c r="AE131" s="15">
        <f t="shared" ca="1" si="103"/>
        <v>17</v>
      </c>
      <c r="AF131" s="15">
        <f t="shared" ca="1" si="104"/>
        <v>11</v>
      </c>
      <c r="AG131" s="15">
        <f t="shared" ca="1" si="105"/>
        <v>5</v>
      </c>
      <c r="AH131" s="15" t="str">
        <f t="shared" ca="1" si="106"/>
        <v>17Years/11Months/5Days</v>
      </c>
      <c r="AI131" s="15" t="str">
        <f t="shared" si="107"/>
        <v>26years , 11months and 6days</v>
      </c>
      <c r="AJ131" s="15">
        <f t="shared" si="108"/>
        <v>26</v>
      </c>
      <c r="AK131" s="15">
        <f t="shared" si="109"/>
        <v>11</v>
      </c>
      <c r="AL131" s="15">
        <f t="shared" si="110"/>
        <v>6</v>
      </c>
      <c r="AO131" s="336"/>
    </row>
    <row r="132" spans="1:41" ht="31.5" customHeight="1" x14ac:dyDescent="0.25">
      <c r="A132" s="73">
        <v>1</v>
      </c>
      <c r="B132" s="74" t="s">
        <v>1014</v>
      </c>
      <c r="C132" s="74" t="s">
        <v>1384</v>
      </c>
      <c r="D132" s="74" t="s">
        <v>1050</v>
      </c>
      <c r="E132" s="484" t="str">
        <f t="shared" si="78"/>
        <v>1/053/022/0165</v>
      </c>
      <c r="F132" s="68" t="s">
        <v>28</v>
      </c>
      <c r="G132" s="531" t="s">
        <v>1498</v>
      </c>
      <c r="H132" s="391" t="s">
        <v>42</v>
      </c>
      <c r="I132" s="390" t="s">
        <v>1511</v>
      </c>
      <c r="J132" s="294" t="s">
        <v>1122</v>
      </c>
      <c r="K132" s="178" t="s">
        <v>31</v>
      </c>
      <c r="L132" s="81" t="s">
        <v>1123</v>
      </c>
      <c r="M132" s="82" t="s">
        <v>1124</v>
      </c>
      <c r="N132" s="392">
        <v>30</v>
      </c>
      <c r="O132" s="392">
        <v>11</v>
      </c>
      <c r="P132" s="392">
        <v>1966</v>
      </c>
      <c r="Q132" s="147">
        <f t="shared" si="95"/>
        <v>24441</v>
      </c>
      <c r="R132" s="537">
        <f t="shared" ca="1" si="96"/>
        <v>59.139726027397259</v>
      </c>
      <c r="S132" s="67" t="s">
        <v>34</v>
      </c>
      <c r="T132" s="73">
        <v>4</v>
      </c>
      <c r="U132" s="73">
        <v>1</v>
      </c>
      <c r="V132" s="73">
        <v>2017</v>
      </c>
      <c r="W132" s="148">
        <f t="shared" si="97"/>
        <v>42739</v>
      </c>
      <c r="X132" s="5" t="s">
        <v>38</v>
      </c>
      <c r="Y132" s="115"/>
      <c r="Z132" s="124">
        <f t="shared" ca="1" si="98"/>
        <v>9</v>
      </c>
      <c r="AA132" s="109">
        <f t="shared" ca="1" si="99"/>
        <v>0</v>
      </c>
      <c r="AB132" s="150">
        <f t="shared" ca="1" si="100"/>
        <v>1</v>
      </c>
      <c r="AC132" s="15" t="str">
        <f t="shared" ca="1" si="101"/>
        <v>9Years/0Months/1Days</v>
      </c>
      <c r="AD132" s="108">
        <f t="shared" si="102"/>
        <v>46356</v>
      </c>
      <c r="AE132" s="15">
        <f t="shared" ca="1" si="103"/>
        <v>0</v>
      </c>
      <c r="AF132" s="15">
        <f t="shared" ca="1" si="104"/>
        <v>10</v>
      </c>
      <c r="AG132" s="15">
        <f t="shared" ca="1" si="105"/>
        <v>25</v>
      </c>
      <c r="AH132" s="15" t="str">
        <f t="shared" ca="1" si="106"/>
        <v>0Years/10Months/25Days</v>
      </c>
      <c r="AI132" s="15" t="str">
        <f t="shared" si="107"/>
        <v>9years , 10months and 26days</v>
      </c>
      <c r="AJ132" s="15">
        <f t="shared" si="108"/>
        <v>9</v>
      </c>
      <c r="AK132" s="15">
        <f t="shared" si="109"/>
        <v>10</v>
      </c>
      <c r="AL132" s="15">
        <f t="shared" si="110"/>
        <v>26</v>
      </c>
      <c r="AO132" s="336"/>
    </row>
    <row r="133" spans="1:41" ht="31.5" customHeight="1" x14ac:dyDescent="0.25">
      <c r="A133" s="73">
        <v>1</v>
      </c>
      <c r="B133" s="74" t="s">
        <v>1014</v>
      </c>
      <c r="C133" s="74" t="s">
        <v>1045</v>
      </c>
      <c r="D133" s="74" t="s">
        <v>1054</v>
      </c>
      <c r="E133" s="484" t="str">
        <f t="shared" si="78"/>
        <v>1/053/023/0166</v>
      </c>
      <c r="F133" s="68"/>
      <c r="G133" s="390"/>
      <c r="H133" s="391"/>
      <c r="I133" s="390"/>
      <c r="J133" s="294"/>
      <c r="K133" s="178"/>
      <c r="L133" s="81"/>
      <c r="M133" s="82"/>
      <c r="N133" s="392"/>
      <c r="O133" s="392"/>
      <c r="P133" s="392"/>
      <c r="Q133" s="147"/>
      <c r="R133" s="92"/>
      <c r="S133" s="73"/>
      <c r="T133" s="73"/>
      <c r="U133" s="73"/>
      <c r="V133" s="73"/>
      <c r="W133" s="148"/>
      <c r="X133" s="5"/>
      <c r="Y133" s="115"/>
      <c r="Z133" s="124"/>
      <c r="AA133" s="109"/>
      <c r="AB133" s="150"/>
      <c r="AC133" s="15"/>
      <c r="AD133" s="108"/>
      <c r="AE133" s="15"/>
      <c r="AF133" s="15"/>
      <c r="AG133" s="15"/>
      <c r="AH133" s="15"/>
      <c r="AI133" s="15"/>
      <c r="AJ133" s="15"/>
      <c r="AK133" s="15"/>
      <c r="AL133" s="15"/>
      <c r="AO133" s="336"/>
    </row>
    <row r="134" spans="1:41" ht="31.5" customHeight="1" x14ac:dyDescent="0.25">
      <c r="A134" s="73">
        <v>1</v>
      </c>
      <c r="B134" s="74" t="s">
        <v>1014</v>
      </c>
      <c r="C134" s="74" t="s">
        <v>1385</v>
      </c>
      <c r="D134" s="74" t="s">
        <v>1059</v>
      </c>
      <c r="E134" s="484" t="str">
        <f t="shared" si="78"/>
        <v>1/053/024/0167</v>
      </c>
      <c r="F134" s="68" t="s">
        <v>28</v>
      </c>
      <c r="G134" s="390" t="s">
        <v>1500</v>
      </c>
      <c r="H134" s="391" t="s">
        <v>42</v>
      </c>
      <c r="I134" s="390" t="s">
        <v>1484</v>
      </c>
      <c r="J134" s="294" t="s">
        <v>1039</v>
      </c>
      <c r="K134" s="178" t="s">
        <v>31</v>
      </c>
      <c r="L134" s="81">
        <v>774438785</v>
      </c>
      <c r="M134" s="82" t="s">
        <v>1040</v>
      </c>
      <c r="N134" s="392">
        <v>3</v>
      </c>
      <c r="O134" s="392">
        <v>8</v>
      </c>
      <c r="P134" s="392">
        <v>1989</v>
      </c>
      <c r="Q134" s="147">
        <f t="shared" si="95"/>
        <v>32723</v>
      </c>
      <c r="R134" s="92">
        <f t="shared" ca="1" si="96"/>
        <v>36.449315068493149</v>
      </c>
      <c r="S134" s="73" t="s">
        <v>50</v>
      </c>
      <c r="T134" s="73">
        <v>3</v>
      </c>
      <c r="U134" s="73">
        <v>1</v>
      </c>
      <c r="V134" s="73">
        <v>2017</v>
      </c>
      <c r="W134" s="148">
        <f t="shared" si="97"/>
        <v>42738</v>
      </c>
      <c r="X134" s="5" t="s">
        <v>38</v>
      </c>
      <c r="Y134" s="115"/>
      <c r="Z134" s="124">
        <f t="shared" ca="1" si="98"/>
        <v>9</v>
      </c>
      <c r="AA134" s="109">
        <f t="shared" ca="1" si="99"/>
        <v>0</v>
      </c>
      <c r="AB134" s="150">
        <f t="shared" ca="1" si="100"/>
        <v>2</v>
      </c>
      <c r="AC134" s="15" t="str">
        <f t="shared" ca="1" si="101"/>
        <v>9Years/0Months/2Days</v>
      </c>
      <c r="AD134" s="108">
        <f t="shared" si="102"/>
        <v>54638</v>
      </c>
      <c r="AE134" s="15">
        <f t="shared" ca="1" si="103"/>
        <v>23</v>
      </c>
      <c r="AF134" s="15">
        <f t="shared" ca="1" si="104"/>
        <v>6</v>
      </c>
      <c r="AG134" s="15">
        <f t="shared" ca="1" si="105"/>
        <v>29</v>
      </c>
      <c r="AH134" s="15" t="str">
        <f t="shared" ca="1" si="106"/>
        <v>23Years/6Months/29Days</v>
      </c>
      <c r="AI134" s="15" t="str">
        <f t="shared" si="107"/>
        <v>32years , 7months and 0days</v>
      </c>
      <c r="AJ134" s="15">
        <f t="shared" si="108"/>
        <v>32</v>
      </c>
      <c r="AK134" s="15">
        <f t="shared" si="109"/>
        <v>7</v>
      </c>
      <c r="AL134" s="15">
        <f t="shared" si="110"/>
        <v>0</v>
      </c>
      <c r="AO134" s="336"/>
    </row>
    <row r="135" spans="1:41" ht="31.5" customHeight="1" x14ac:dyDescent="0.25">
      <c r="A135" s="73">
        <v>1</v>
      </c>
      <c r="B135" s="74" t="s">
        <v>1014</v>
      </c>
      <c r="C135" s="74" t="s">
        <v>1386</v>
      </c>
      <c r="D135" s="74" t="s">
        <v>1063</v>
      </c>
      <c r="E135" s="484" t="str">
        <f t="shared" si="78"/>
        <v>1/053/025/0168</v>
      </c>
      <c r="F135" s="68"/>
      <c r="G135" s="390"/>
      <c r="H135" s="391"/>
      <c r="I135" s="390"/>
      <c r="J135" s="294"/>
      <c r="K135" s="178"/>
      <c r="L135" s="81"/>
      <c r="M135" s="82"/>
      <c r="N135" s="392"/>
      <c r="O135" s="392"/>
      <c r="P135" s="392"/>
      <c r="Q135" s="147"/>
      <c r="R135" s="92"/>
      <c r="S135" s="73"/>
      <c r="T135" s="73"/>
      <c r="U135" s="73"/>
      <c r="V135" s="73"/>
      <c r="W135" s="148"/>
      <c r="X135" s="5"/>
      <c r="Y135" s="115"/>
      <c r="Z135" s="124"/>
      <c r="AA135" s="109"/>
      <c r="AB135" s="150"/>
      <c r="AC135" s="15"/>
      <c r="AD135" s="108"/>
      <c r="AE135" s="15"/>
      <c r="AF135" s="15"/>
      <c r="AG135" s="15"/>
      <c r="AH135" s="15"/>
      <c r="AI135" s="15"/>
      <c r="AJ135" s="15"/>
      <c r="AK135" s="15"/>
      <c r="AL135" s="15"/>
      <c r="AO135" s="336"/>
    </row>
    <row r="136" spans="1:41" ht="31.5" customHeight="1" x14ac:dyDescent="0.25">
      <c r="A136" s="73">
        <v>1</v>
      </c>
      <c r="B136" s="74" t="s">
        <v>1014</v>
      </c>
      <c r="C136" s="74" t="s">
        <v>1387</v>
      </c>
      <c r="D136" s="74" t="s">
        <v>1067</v>
      </c>
      <c r="E136" s="484" t="str">
        <f t="shared" si="78"/>
        <v>1/053/026/0169</v>
      </c>
      <c r="F136" s="68" t="s">
        <v>28</v>
      </c>
      <c r="G136" s="390" t="s">
        <v>1502</v>
      </c>
      <c r="H136" s="391" t="s">
        <v>42</v>
      </c>
      <c r="I136" s="390" t="s">
        <v>1514</v>
      </c>
      <c r="J136" s="294" t="s">
        <v>1138</v>
      </c>
      <c r="K136" s="178" t="s">
        <v>31</v>
      </c>
      <c r="L136" s="81">
        <v>779963002</v>
      </c>
      <c r="M136" s="82" t="s">
        <v>1139</v>
      </c>
      <c r="N136" s="392" t="s">
        <v>100</v>
      </c>
      <c r="O136" s="392">
        <v>8</v>
      </c>
      <c r="P136" s="392">
        <v>1978</v>
      </c>
      <c r="Q136" s="147">
        <f t="shared" si="95"/>
        <v>28716</v>
      </c>
      <c r="R136" s="92">
        <f t="shared" ca="1" si="96"/>
        <v>47.42739726027397</v>
      </c>
      <c r="S136" s="67" t="s">
        <v>34</v>
      </c>
      <c r="T136" s="73">
        <v>29</v>
      </c>
      <c r="U136" s="73">
        <v>8</v>
      </c>
      <c r="V136" s="73">
        <v>2017</v>
      </c>
      <c r="W136" s="148">
        <f t="shared" si="97"/>
        <v>42976</v>
      </c>
      <c r="X136" s="5" t="s">
        <v>38</v>
      </c>
      <c r="Y136" s="115"/>
      <c r="Z136" s="124">
        <f t="shared" ca="1" si="98"/>
        <v>8</v>
      </c>
      <c r="AA136" s="109">
        <f t="shared" ca="1" si="99"/>
        <v>4</v>
      </c>
      <c r="AB136" s="150">
        <f t="shared" ca="1" si="100"/>
        <v>7</v>
      </c>
      <c r="AC136" s="15" t="str">
        <f t="shared" ca="1" si="101"/>
        <v>8Years/4Months/7Days</v>
      </c>
      <c r="AD136" s="108">
        <f t="shared" si="102"/>
        <v>50631</v>
      </c>
      <c r="AE136" s="15">
        <f t="shared" ca="1" si="103"/>
        <v>12</v>
      </c>
      <c r="AF136" s="15">
        <f t="shared" ca="1" si="104"/>
        <v>7</v>
      </c>
      <c r="AG136" s="15">
        <f t="shared" ca="1" si="105"/>
        <v>9</v>
      </c>
      <c r="AH136" s="15" t="str">
        <f t="shared" ca="1" si="106"/>
        <v>12Years/7Months/9Days</v>
      </c>
      <c r="AI136" s="15" t="str">
        <f t="shared" si="107"/>
        <v>20years , 11months and 16days</v>
      </c>
      <c r="AJ136" s="15">
        <f t="shared" si="108"/>
        <v>20</v>
      </c>
      <c r="AK136" s="15">
        <f t="shared" si="109"/>
        <v>11</v>
      </c>
      <c r="AL136" s="15">
        <f t="shared" si="110"/>
        <v>16</v>
      </c>
      <c r="AO136" s="336"/>
    </row>
    <row r="137" spans="1:41" ht="31.5" customHeight="1" x14ac:dyDescent="0.25">
      <c r="A137" s="73">
        <v>1</v>
      </c>
      <c r="B137" s="74" t="s">
        <v>1014</v>
      </c>
      <c r="C137" s="74" t="s">
        <v>1388</v>
      </c>
      <c r="D137" s="74" t="s">
        <v>1072</v>
      </c>
      <c r="E137" s="484" t="str">
        <f t="shared" si="78"/>
        <v>1/053/027/0170</v>
      </c>
      <c r="F137" s="68" t="s">
        <v>28</v>
      </c>
      <c r="G137" s="390" t="s">
        <v>1503</v>
      </c>
      <c r="H137" s="391" t="s">
        <v>42</v>
      </c>
      <c r="I137" s="390" t="s">
        <v>1515</v>
      </c>
      <c r="J137" s="294" t="s">
        <v>1141</v>
      </c>
      <c r="K137" s="178" t="s">
        <v>31</v>
      </c>
      <c r="L137" s="81">
        <v>715193236</v>
      </c>
      <c r="M137" s="82" t="s">
        <v>1142</v>
      </c>
      <c r="N137" s="392">
        <v>9</v>
      </c>
      <c r="O137" s="392">
        <v>9</v>
      </c>
      <c r="P137" s="392">
        <v>1988</v>
      </c>
      <c r="Q137" s="147">
        <f t="shared" si="95"/>
        <v>32395</v>
      </c>
      <c r="R137" s="92">
        <f t="shared" ca="1" si="96"/>
        <v>37.347945205479455</v>
      </c>
      <c r="S137" s="73" t="s">
        <v>50</v>
      </c>
      <c r="T137" s="73">
        <v>29</v>
      </c>
      <c r="U137" s="73">
        <v>8</v>
      </c>
      <c r="V137" s="73">
        <v>2017</v>
      </c>
      <c r="W137" s="148">
        <f t="shared" si="97"/>
        <v>42976</v>
      </c>
      <c r="X137" s="5" t="s">
        <v>38</v>
      </c>
      <c r="Y137" s="115"/>
      <c r="Z137" s="124">
        <f t="shared" ca="1" si="98"/>
        <v>8</v>
      </c>
      <c r="AA137" s="109">
        <f t="shared" ca="1" si="99"/>
        <v>4</v>
      </c>
      <c r="AB137" s="150">
        <f t="shared" ca="1" si="100"/>
        <v>7</v>
      </c>
      <c r="AC137" s="15" t="str">
        <f t="shared" ca="1" si="101"/>
        <v>8Years/4Months/7Days</v>
      </c>
      <c r="AD137" s="108">
        <f t="shared" si="102"/>
        <v>54310</v>
      </c>
      <c r="AE137" s="15">
        <f t="shared" ca="1" si="103"/>
        <v>22</v>
      </c>
      <c r="AF137" s="15">
        <f t="shared" ca="1" si="104"/>
        <v>8</v>
      </c>
      <c r="AG137" s="15">
        <f t="shared" ca="1" si="105"/>
        <v>4</v>
      </c>
      <c r="AH137" s="15" t="str">
        <f t="shared" ca="1" si="106"/>
        <v>22Years/8Months/4Days</v>
      </c>
      <c r="AI137" s="15" t="str">
        <f t="shared" si="107"/>
        <v>31years , 0months and 11days</v>
      </c>
      <c r="AJ137" s="15">
        <f t="shared" si="108"/>
        <v>31</v>
      </c>
      <c r="AK137" s="15">
        <f t="shared" si="109"/>
        <v>0</v>
      </c>
      <c r="AL137" s="15">
        <f t="shared" si="110"/>
        <v>11</v>
      </c>
      <c r="AO137" s="336"/>
    </row>
    <row r="138" spans="1:41" ht="31.5" customHeight="1" x14ac:dyDescent="0.25">
      <c r="A138" s="73">
        <v>1</v>
      </c>
      <c r="B138" s="74" t="s">
        <v>1014</v>
      </c>
      <c r="C138" s="74" t="s">
        <v>1389</v>
      </c>
      <c r="D138" s="74" t="s">
        <v>1073</v>
      </c>
      <c r="E138" s="484" t="str">
        <f t="shared" ref="E138:E201" si="111">CONCATENATE(A138,"/",B138,"/",C138,"/",D138)</f>
        <v>1/053/028/0171</v>
      </c>
      <c r="F138" s="68" t="s">
        <v>28</v>
      </c>
      <c r="G138" s="390" t="s">
        <v>1504</v>
      </c>
      <c r="H138" s="391" t="s">
        <v>42</v>
      </c>
      <c r="I138" s="390" t="s">
        <v>1516</v>
      </c>
      <c r="J138" s="294" t="s">
        <v>1144</v>
      </c>
      <c r="K138" s="178" t="s">
        <v>31</v>
      </c>
      <c r="L138" s="81">
        <v>767670472</v>
      </c>
      <c r="M138" s="82" t="s">
        <v>1145</v>
      </c>
      <c r="N138" s="392">
        <v>2</v>
      </c>
      <c r="O138" s="392">
        <v>12</v>
      </c>
      <c r="P138" s="392">
        <v>1995</v>
      </c>
      <c r="Q138" s="147">
        <f t="shared" si="95"/>
        <v>35035</v>
      </c>
      <c r="R138" s="92">
        <f t="shared" ca="1" si="96"/>
        <v>30.115068493150684</v>
      </c>
      <c r="S138" s="73" t="s">
        <v>50</v>
      </c>
      <c r="T138" s="73">
        <v>29</v>
      </c>
      <c r="U138" s="73">
        <v>8</v>
      </c>
      <c r="V138" s="73">
        <v>2017</v>
      </c>
      <c r="W138" s="148">
        <f t="shared" si="97"/>
        <v>42976</v>
      </c>
      <c r="X138" s="5" t="s">
        <v>38</v>
      </c>
      <c r="Y138" s="115"/>
      <c r="Z138" s="124">
        <f t="shared" ca="1" si="98"/>
        <v>8</v>
      </c>
      <c r="AA138" s="109">
        <f t="shared" ca="1" si="99"/>
        <v>4</v>
      </c>
      <c r="AB138" s="150">
        <f t="shared" ca="1" si="100"/>
        <v>7</v>
      </c>
      <c r="AC138" s="15" t="str">
        <f t="shared" ca="1" si="101"/>
        <v>8Years/4Months/7Days</v>
      </c>
      <c r="AD138" s="108">
        <f t="shared" si="102"/>
        <v>56950</v>
      </c>
      <c r="AE138" s="15">
        <f t="shared" ca="1" si="103"/>
        <v>29</v>
      </c>
      <c r="AF138" s="15">
        <f t="shared" ca="1" si="104"/>
        <v>10</v>
      </c>
      <c r="AG138" s="15">
        <f t="shared" ca="1" si="105"/>
        <v>27</v>
      </c>
      <c r="AH138" s="15" t="str">
        <f t="shared" ca="1" si="106"/>
        <v>29Years/10Months/27Days</v>
      </c>
      <c r="AI138" s="15" t="str">
        <f t="shared" si="107"/>
        <v>38years , 3months and 3days</v>
      </c>
      <c r="AJ138" s="15">
        <f t="shared" si="108"/>
        <v>38</v>
      </c>
      <c r="AK138" s="15">
        <f t="shared" si="109"/>
        <v>3</v>
      </c>
      <c r="AL138" s="15">
        <f t="shared" si="110"/>
        <v>3</v>
      </c>
      <c r="AO138" s="336"/>
    </row>
    <row r="139" spans="1:41" ht="31.5" customHeight="1" x14ac:dyDescent="0.25">
      <c r="A139" s="73">
        <v>1</v>
      </c>
      <c r="B139" s="74" t="s">
        <v>1014</v>
      </c>
      <c r="C139" s="74" t="s">
        <v>1390</v>
      </c>
      <c r="D139" s="74" t="s">
        <v>1077</v>
      </c>
      <c r="E139" s="484" t="str">
        <f t="shared" si="111"/>
        <v>1/053/029/0172</v>
      </c>
      <c r="F139" s="68" t="s">
        <v>28</v>
      </c>
      <c r="G139" s="390" t="s">
        <v>1505</v>
      </c>
      <c r="H139" s="391" t="s">
        <v>42</v>
      </c>
      <c r="I139" s="390" t="s">
        <v>1517</v>
      </c>
      <c r="J139" s="294" t="s">
        <v>1147</v>
      </c>
      <c r="K139" s="178" t="s">
        <v>31</v>
      </c>
      <c r="L139" s="81">
        <v>772643863</v>
      </c>
      <c r="M139" s="82" t="s">
        <v>1148</v>
      </c>
      <c r="N139" s="392">
        <v>14</v>
      </c>
      <c r="O139" s="392">
        <v>3</v>
      </c>
      <c r="P139" s="392">
        <v>1992</v>
      </c>
      <c r="Q139" s="147">
        <f t="shared" si="95"/>
        <v>33677</v>
      </c>
      <c r="R139" s="92">
        <f t="shared" ca="1" si="96"/>
        <v>33.835616438356162</v>
      </c>
      <c r="S139" s="73" t="s">
        <v>50</v>
      </c>
      <c r="T139" s="73">
        <v>18</v>
      </c>
      <c r="U139" s="73">
        <v>9</v>
      </c>
      <c r="V139" s="73">
        <v>2017</v>
      </c>
      <c r="W139" s="148">
        <f t="shared" si="97"/>
        <v>42996</v>
      </c>
      <c r="X139" s="5" t="s">
        <v>38</v>
      </c>
      <c r="Y139" s="115"/>
      <c r="Z139" s="124">
        <f t="shared" ca="1" si="98"/>
        <v>8</v>
      </c>
      <c r="AA139" s="109">
        <f t="shared" ca="1" si="99"/>
        <v>3</v>
      </c>
      <c r="AB139" s="150">
        <f t="shared" ca="1" si="100"/>
        <v>18</v>
      </c>
      <c r="AC139" s="15" t="str">
        <f t="shared" ca="1" si="101"/>
        <v>8Years/3Months/18Days</v>
      </c>
      <c r="AD139" s="108">
        <f t="shared" si="102"/>
        <v>55592</v>
      </c>
      <c r="AE139" s="15">
        <f t="shared" ca="1" si="103"/>
        <v>26</v>
      </c>
      <c r="AF139" s="15">
        <f t="shared" ca="1" si="104"/>
        <v>2</v>
      </c>
      <c r="AG139" s="15">
        <f t="shared" ca="1" si="105"/>
        <v>9</v>
      </c>
      <c r="AH139" s="15" t="str">
        <f t="shared" ca="1" si="106"/>
        <v>26Years/2Months/9Days</v>
      </c>
      <c r="AI139" s="15" t="str">
        <f t="shared" si="107"/>
        <v>34years , 5months and 25days</v>
      </c>
      <c r="AJ139" s="15">
        <f t="shared" si="108"/>
        <v>34</v>
      </c>
      <c r="AK139" s="15">
        <f t="shared" si="109"/>
        <v>5</v>
      </c>
      <c r="AL139" s="15">
        <f t="shared" si="110"/>
        <v>25</v>
      </c>
      <c r="AO139" s="336"/>
    </row>
    <row r="140" spans="1:41" ht="31.5" customHeight="1" x14ac:dyDescent="0.25">
      <c r="A140" s="73">
        <v>1</v>
      </c>
      <c r="B140" s="74" t="s">
        <v>1014</v>
      </c>
      <c r="C140" s="74" t="s">
        <v>1391</v>
      </c>
      <c r="D140" s="74" t="s">
        <v>1081</v>
      </c>
      <c r="E140" s="484" t="str">
        <f t="shared" si="111"/>
        <v>1/053/030/0173</v>
      </c>
      <c r="F140" s="68" t="s">
        <v>28</v>
      </c>
      <c r="G140" s="390" t="s">
        <v>1506</v>
      </c>
      <c r="H140" s="391" t="s">
        <v>42</v>
      </c>
      <c r="I140" s="390" t="s">
        <v>1518</v>
      </c>
      <c r="J140" s="294" t="s">
        <v>1152</v>
      </c>
      <c r="K140" s="178" t="s">
        <v>31</v>
      </c>
      <c r="L140" s="81">
        <v>772648325</v>
      </c>
      <c r="M140" s="82" t="s">
        <v>1153</v>
      </c>
      <c r="N140" s="392">
        <v>9</v>
      </c>
      <c r="O140" s="392">
        <v>10</v>
      </c>
      <c r="P140" s="392">
        <v>1976</v>
      </c>
      <c r="Q140" s="147">
        <f t="shared" si="95"/>
        <v>28042</v>
      </c>
      <c r="R140" s="92">
        <f t="shared" ca="1" si="96"/>
        <v>49.273972602739725</v>
      </c>
      <c r="S140" s="73" t="s">
        <v>50</v>
      </c>
      <c r="T140" s="73">
        <v>9</v>
      </c>
      <c r="U140" s="73">
        <v>10</v>
      </c>
      <c r="V140" s="73">
        <v>2017</v>
      </c>
      <c r="W140" s="148">
        <f t="shared" si="97"/>
        <v>43017</v>
      </c>
      <c r="X140" s="5" t="s">
        <v>38</v>
      </c>
      <c r="Y140" s="115"/>
      <c r="Z140" s="124">
        <f t="shared" ca="1" si="98"/>
        <v>8</v>
      </c>
      <c r="AA140" s="109">
        <f t="shared" ca="1" si="99"/>
        <v>2</v>
      </c>
      <c r="AB140" s="150">
        <f t="shared" ca="1" si="100"/>
        <v>27</v>
      </c>
      <c r="AC140" s="15" t="str">
        <f t="shared" ca="1" si="101"/>
        <v>8Years/2Months/27Days</v>
      </c>
      <c r="AD140" s="108">
        <f t="shared" si="102"/>
        <v>49957</v>
      </c>
      <c r="AE140" s="15">
        <f t="shared" ca="1" si="103"/>
        <v>10</v>
      </c>
      <c r="AF140" s="15">
        <f t="shared" ca="1" si="104"/>
        <v>9</v>
      </c>
      <c r="AG140" s="15">
        <f t="shared" ca="1" si="105"/>
        <v>4</v>
      </c>
      <c r="AH140" s="15" t="str">
        <f t="shared" ca="1" si="106"/>
        <v>10Years/9Months/4Days</v>
      </c>
      <c r="AI140" s="15" t="str">
        <f t="shared" si="107"/>
        <v>19years , 0months and 0days</v>
      </c>
      <c r="AJ140" s="15">
        <f t="shared" si="108"/>
        <v>19</v>
      </c>
      <c r="AK140" s="15">
        <f t="shared" si="109"/>
        <v>0</v>
      </c>
      <c r="AL140" s="15">
        <f t="shared" si="110"/>
        <v>0</v>
      </c>
      <c r="AO140" s="336"/>
    </row>
    <row r="141" spans="1:41" ht="31.5" customHeight="1" x14ac:dyDescent="0.25">
      <c r="A141" s="73">
        <v>1</v>
      </c>
      <c r="B141" s="74" t="s">
        <v>1014</v>
      </c>
      <c r="C141" s="74" t="s">
        <v>1393</v>
      </c>
      <c r="D141" s="74" t="s">
        <v>1089</v>
      </c>
      <c r="E141" s="484" t="str">
        <f t="shared" si="111"/>
        <v>1/053/032/0175</v>
      </c>
      <c r="F141" s="68" t="s">
        <v>28</v>
      </c>
      <c r="G141" s="390" t="s">
        <v>1519</v>
      </c>
      <c r="H141" s="391" t="s">
        <v>42</v>
      </c>
      <c r="I141" s="390" t="s">
        <v>1538</v>
      </c>
      <c r="J141" s="294" t="s">
        <v>1155</v>
      </c>
      <c r="K141" s="178" t="s">
        <v>31</v>
      </c>
      <c r="L141" s="81">
        <v>752678689</v>
      </c>
      <c r="M141" s="82" t="s">
        <v>1156</v>
      </c>
      <c r="N141" s="392">
        <v>2</v>
      </c>
      <c r="O141" s="392">
        <v>7</v>
      </c>
      <c r="P141" s="392">
        <v>1989</v>
      </c>
      <c r="Q141" s="147">
        <f t="shared" si="95"/>
        <v>32691</v>
      </c>
      <c r="R141" s="92">
        <f t="shared" ca="1" si="96"/>
        <v>36.536986301369865</v>
      </c>
      <c r="S141" s="73" t="s">
        <v>50</v>
      </c>
      <c r="T141" s="73">
        <v>3</v>
      </c>
      <c r="U141" s="73">
        <v>1</v>
      </c>
      <c r="V141" s="73">
        <v>2018</v>
      </c>
      <c r="W141" s="148">
        <f t="shared" si="97"/>
        <v>43103</v>
      </c>
      <c r="X141" s="5" t="s">
        <v>38</v>
      </c>
      <c r="Y141" s="115"/>
      <c r="Z141" s="124">
        <f t="shared" ca="1" si="98"/>
        <v>8</v>
      </c>
      <c r="AA141" s="109">
        <f t="shared" ca="1" si="99"/>
        <v>0</v>
      </c>
      <c r="AB141" s="150">
        <f t="shared" ca="1" si="100"/>
        <v>2</v>
      </c>
      <c r="AC141" s="15" t="str">
        <f t="shared" ca="1" si="101"/>
        <v>8Years/0Months/2Days</v>
      </c>
      <c r="AD141" s="108">
        <f t="shared" si="102"/>
        <v>54606</v>
      </c>
      <c r="AE141" s="15">
        <f t="shared" ca="1" si="103"/>
        <v>23</v>
      </c>
      <c r="AF141" s="15">
        <f t="shared" ca="1" si="104"/>
        <v>5</v>
      </c>
      <c r="AG141" s="15">
        <f t="shared" ca="1" si="105"/>
        <v>27</v>
      </c>
      <c r="AH141" s="15" t="str">
        <f t="shared" ca="1" si="106"/>
        <v>23Years/5Months/27Days</v>
      </c>
      <c r="AI141" s="15" t="str">
        <f t="shared" si="107"/>
        <v>31years , 5months and 29days</v>
      </c>
      <c r="AJ141" s="15">
        <f t="shared" si="108"/>
        <v>31</v>
      </c>
      <c r="AK141" s="15">
        <f t="shared" si="109"/>
        <v>5</v>
      </c>
      <c r="AL141" s="15">
        <f t="shared" si="110"/>
        <v>29</v>
      </c>
      <c r="AO141" s="336"/>
    </row>
    <row r="142" spans="1:41" ht="31.5" customHeight="1" x14ac:dyDescent="0.25">
      <c r="A142" s="73">
        <v>1</v>
      </c>
      <c r="B142" s="74" t="s">
        <v>1014</v>
      </c>
      <c r="C142" s="74" t="s">
        <v>1394</v>
      </c>
      <c r="D142" s="74" t="s">
        <v>1094</v>
      </c>
      <c r="E142" s="484" t="str">
        <f t="shared" si="111"/>
        <v>1/053/033/0176</v>
      </c>
      <c r="F142" s="68" t="s">
        <v>28</v>
      </c>
      <c r="G142" s="390" t="s">
        <v>1520</v>
      </c>
      <c r="H142" s="391" t="s">
        <v>42</v>
      </c>
      <c r="I142" s="390" t="s">
        <v>1539</v>
      </c>
      <c r="J142" s="294" t="s">
        <v>1158</v>
      </c>
      <c r="K142" s="178" t="s">
        <v>31</v>
      </c>
      <c r="L142" s="81">
        <v>713024012</v>
      </c>
      <c r="M142" s="82" t="s">
        <v>1159</v>
      </c>
      <c r="N142" s="392">
        <v>24</v>
      </c>
      <c r="O142" s="392">
        <v>12</v>
      </c>
      <c r="P142" s="392">
        <v>1996</v>
      </c>
      <c r="Q142" s="147">
        <f t="shared" si="95"/>
        <v>35423</v>
      </c>
      <c r="R142" s="92">
        <f t="shared" ca="1" si="96"/>
        <v>29.052054794520547</v>
      </c>
      <c r="S142" s="73" t="s">
        <v>50</v>
      </c>
      <c r="T142" s="73">
        <v>15</v>
      </c>
      <c r="U142" s="73">
        <v>1</v>
      </c>
      <c r="V142" s="73">
        <v>2018</v>
      </c>
      <c r="W142" s="148">
        <f t="shared" si="97"/>
        <v>43115</v>
      </c>
      <c r="X142" s="5" t="s">
        <v>38</v>
      </c>
      <c r="Y142" s="115"/>
      <c r="Z142" s="124">
        <f t="shared" ca="1" si="98"/>
        <v>7</v>
      </c>
      <c r="AA142" s="109">
        <f t="shared" ca="1" si="99"/>
        <v>11</v>
      </c>
      <c r="AB142" s="150">
        <f t="shared" ca="1" si="100"/>
        <v>21</v>
      </c>
      <c r="AC142" s="15" t="str">
        <f t="shared" ca="1" si="101"/>
        <v>7Years/11Months/21Days</v>
      </c>
      <c r="AD142" s="108">
        <f t="shared" si="102"/>
        <v>57338</v>
      </c>
      <c r="AE142" s="15">
        <f t="shared" ca="1" si="103"/>
        <v>30</v>
      </c>
      <c r="AF142" s="15">
        <f t="shared" ca="1" si="104"/>
        <v>11</v>
      </c>
      <c r="AG142" s="15">
        <f t="shared" ca="1" si="105"/>
        <v>19</v>
      </c>
      <c r="AH142" s="15" t="str">
        <f t="shared" ca="1" si="106"/>
        <v>30Years/11Months/19Days</v>
      </c>
      <c r="AI142" s="15" t="str">
        <f t="shared" si="107"/>
        <v>38years , 11months and 9days</v>
      </c>
      <c r="AJ142" s="15">
        <f t="shared" si="108"/>
        <v>38</v>
      </c>
      <c r="AK142" s="15">
        <f t="shared" si="109"/>
        <v>11</v>
      </c>
      <c r="AL142" s="15">
        <f t="shared" si="110"/>
        <v>9</v>
      </c>
      <c r="AO142" s="336"/>
    </row>
    <row r="143" spans="1:41" ht="31.5" customHeight="1" x14ac:dyDescent="0.25">
      <c r="A143" s="73">
        <v>1</v>
      </c>
      <c r="B143" s="74" t="s">
        <v>1014</v>
      </c>
      <c r="C143" s="74" t="s">
        <v>1049</v>
      </c>
      <c r="D143" s="74" t="s">
        <v>1098</v>
      </c>
      <c r="E143" s="484" t="str">
        <f t="shared" si="111"/>
        <v>1/053/034/0177</v>
      </c>
      <c r="F143" s="68" t="s">
        <v>28</v>
      </c>
      <c r="G143" s="390" t="s">
        <v>1521</v>
      </c>
      <c r="H143" s="391" t="s">
        <v>42</v>
      </c>
      <c r="I143" s="390" t="s">
        <v>1540</v>
      </c>
      <c r="J143" s="294" t="s">
        <v>1160</v>
      </c>
      <c r="K143" s="178" t="s">
        <v>31</v>
      </c>
      <c r="L143" s="81">
        <v>716019411</v>
      </c>
      <c r="M143" s="82" t="s">
        <v>1161</v>
      </c>
      <c r="N143" s="392">
        <v>22</v>
      </c>
      <c r="O143" s="392">
        <v>2</v>
      </c>
      <c r="P143" s="392">
        <v>1993</v>
      </c>
      <c r="Q143" s="147">
        <f t="shared" si="95"/>
        <v>34022</v>
      </c>
      <c r="R143" s="92">
        <f t="shared" ca="1" si="96"/>
        <v>32.890410958904113</v>
      </c>
      <c r="S143" s="73" t="s">
        <v>50</v>
      </c>
      <c r="T143" s="73">
        <v>7</v>
      </c>
      <c r="U143" s="73">
        <v>2</v>
      </c>
      <c r="V143" s="73">
        <v>2018</v>
      </c>
      <c r="W143" s="148">
        <f t="shared" si="97"/>
        <v>43138</v>
      </c>
      <c r="X143" s="5" t="s">
        <v>38</v>
      </c>
      <c r="Y143" s="115"/>
      <c r="Z143" s="124">
        <f t="shared" ca="1" si="98"/>
        <v>7</v>
      </c>
      <c r="AA143" s="109">
        <f t="shared" ca="1" si="99"/>
        <v>10</v>
      </c>
      <c r="AB143" s="150">
        <f t="shared" ca="1" si="100"/>
        <v>29</v>
      </c>
      <c r="AC143" s="15" t="str">
        <f t="shared" ca="1" si="101"/>
        <v>7Years/10Months/29Days</v>
      </c>
      <c r="AD143" s="108">
        <f t="shared" si="102"/>
        <v>55937</v>
      </c>
      <c r="AE143" s="15">
        <f t="shared" ca="1" si="103"/>
        <v>27</v>
      </c>
      <c r="AF143" s="15">
        <f t="shared" ca="1" si="104"/>
        <v>1</v>
      </c>
      <c r="AG143" s="15">
        <f t="shared" ca="1" si="105"/>
        <v>17</v>
      </c>
      <c r="AH143" s="15" t="str">
        <f t="shared" ca="1" si="106"/>
        <v>27Years/1Months/17Days</v>
      </c>
      <c r="AI143" s="15" t="str">
        <f t="shared" si="107"/>
        <v>35years , 0months and 15days</v>
      </c>
      <c r="AJ143" s="15">
        <f t="shared" si="108"/>
        <v>35</v>
      </c>
      <c r="AK143" s="15">
        <f t="shared" si="109"/>
        <v>0</v>
      </c>
      <c r="AL143" s="15">
        <f t="shared" si="110"/>
        <v>15</v>
      </c>
      <c r="AO143" s="336"/>
    </row>
    <row r="144" spans="1:41" ht="31.5" customHeight="1" x14ac:dyDescent="0.25">
      <c r="A144" s="73">
        <v>1</v>
      </c>
      <c r="B144" s="74" t="s">
        <v>1014</v>
      </c>
      <c r="C144" s="74" t="s">
        <v>1396</v>
      </c>
      <c r="D144" s="74" t="s">
        <v>1105</v>
      </c>
      <c r="E144" s="484" t="str">
        <f t="shared" si="111"/>
        <v>1/053/036/0179</v>
      </c>
      <c r="F144" s="68" t="s">
        <v>28</v>
      </c>
      <c r="G144" s="390" t="s">
        <v>1523</v>
      </c>
      <c r="H144" s="391" t="s">
        <v>1537</v>
      </c>
      <c r="I144" s="390" t="s">
        <v>1541</v>
      </c>
      <c r="J144" s="302" t="s">
        <v>1164</v>
      </c>
      <c r="K144" s="178" t="s">
        <v>96</v>
      </c>
      <c r="L144" s="79">
        <v>779458702</v>
      </c>
      <c r="M144" s="78" t="s">
        <v>1165</v>
      </c>
      <c r="N144" s="392">
        <v>17</v>
      </c>
      <c r="O144" s="392">
        <v>7</v>
      </c>
      <c r="P144" s="392">
        <v>1992</v>
      </c>
      <c r="Q144" s="147">
        <f t="shared" si="95"/>
        <v>33802</v>
      </c>
      <c r="R144" s="92">
        <f t="shared" ca="1" si="96"/>
        <v>33.493150684931507</v>
      </c>
      <c r="S144" s="67" t="s">
        <v>34</v>
      </c>
      <c r="T144" s="73">
        <v>23</v>
      </c>
      <c r="U144" s="73">
        <v>4</v>
      </c>
      <c r="V144" s="73">
        <v>2018</v>
      </c>
      <c r="W144" s="148">
        <f t="shared" si="97"/>
        <v>43213</v>
      </c>
      <c r="X144" s="5" t="s">
        <v>38</v>
      </c>
      <c r="Y144" s="115"/>
      <c r="Z144" s="124">
        <f t="shared" ca="1" si="98"/>
        <v>7</v>
      </c>
      <c r="AA144" s="109">
        <f t="shared" ca="1" si="99"/>
        <v>8</v>
      </c>
      <c r="AB144" s="150">
        <f t="shared" ca="1" si="100"/>
        <v>13</v>
      </c>
      <c r="AC144" s="15" t="str">
        <f t="shared" ca="1" si="101"/>
        <v>7Years/8Months/13Days</v>
      </c>
      <c r="AD144" s="108">
        <f t="shared" si="102"/>
        <v>55717</v>
      </c>
      <c r="AE144" s="15">
        <f t="shared" ca="1" si="103"/>
        <v>26</v>
      </c>
      <c r="AF144" s="15">
        <f t="shared" ca="1" si="104"/>
        <v>6</v>
      </c>
      <c r="AG144" s="15">
        <f t="shared" ca="1" si="105"/>
        <v>12</v>
      </c>
      <c r="AH144" s="15" t="str">
        <f t="shared" ca="1" si="106"/>
        <v>26Years/6Months/12Days</v>
      </c>
      <c r="AI144" s="15" t="str">
        <f t="shared" si="107"/>
        <v>34years , 2months and 24days</v>
      </c>
      <c r="AJ144" s="15">
        <f t="shared" si="108"/>
        <v>34</v>
      </c>
      <c r="AK144" s="15">
        <f t="shared" si="109"/>
        <v>2</v>
      </c>
      <c r="AL144" s="15">
        <f t="shared" si="110"/>
        <v>24</v>
      </c>
      <c r="AO144" s="336"/>
    </row>
    <row r="145" spans="1:41" ht="31.5" customHeight="1" x14ac:dyDescent="0.25">
      <c r="A145" s="73">
        <v>1</v>
      </c>
      <c r="B145" s="74" t="s">
        <v>1014</v>
      </c>
      <c r="C145" s="74" t="s">
        <v>1053</v>
      </c>
      <c r="D145" s="74" t="s">
        <v>1106</v>
      </c>
      <c r="E145" s="484" t="str">
        <f t="shared" si="111"/>
        <v>1/053/037/0180</v>
      </c>
      <c r="F145" s="68" t="s">
        <v>28</v>
      </c>
      <c r="G145" s="390" t="s">
        <v>1524</v>
      </c>
      <c r="H145" s="391" t="s">
        <v>42</v>
      </c>
      <c r="I145" s="390" t="s">
        <v>1542</v>
      </c>
      <c r="J145" s="294" t="s">
        <v>1167</v>
      </c>
      <c r="K145" s="178" t="s">
        <v>31</v>
      </c>
      <c r="L145" s="81" t="s">
        <v>1168</v>
      </c>
      <c r="M145" s="82" t="s">
        <v>1169</v>
      </c>
      <c r="N145" s="392">
        <v>21</v>
      </c>
      <c r="O145" s="392">
        <v>5</v>
      </c>
      <c r="P145" s="392">
        <v>1974</v>
      </c>
      <c r="Q145" s="147">
        <f t="shared" si="95"/>
        <v>27170</v>
      </c>
      <c r="R145" s="92">
        <f t="shared" ca="1" si="96"/>
        <v>51.663013698630138</v>
      </c>
      <c r="S145" s="67" t="s">
        <v>34</v>
      </c>
      <c r="T145" s="73">
        <v>29</v>
      </c>
      <c r="U145" s="73">
        <v>8</v>
      </c>
      <c r="V145" s="73">
        <v>2018</v>
      </c>
      <c r="W145" s="148">
        <f t="shared" si="97"/>
        <v>43341</v>
      </c>
      <c r="X145" s="5" t="s">
        <v>38</v>
      </c>
      <c r="Y145" s="115"/>
      <c r="Z145" s="124">
        <f t="shared" ca="1" si="98"/>
        <v>7</v>
      </c>
      <c r="AA145" s="109">
        <f t="shared" ca="1" si="99"/>
        <v>4</v>
      </c>
      <c r="AB145" s="150">
        <f t="shared" ca="1" si="100"/>
        <v>7</v>
      </c>
      <c r="AC145" s="15" t="str">
        <f t="shared" ca="1" si="101"/>
        <v>7Years/4Months/7Days</v>
      </c>
      <c r="AD145" s="108">
        <f t="shared" si="102"/>
        <v>49085</v>
      </c>
      <c r="AE145" s="15">
        <f t="shared" ca="1" si="103"/>
        <v>8</v>
      </c>
      <c r="AF145" s="15">
        <f t="shared" ca="1" si="104"/>
        <v>4</v>
      </c>
      <c r="AG145" s="15">
        <f t="shared" ca="1" si="105"/>
        <v>16</v>
      </c>
      <c r="AH145" s="15" t="str">
        <f t="shared" ca="1" si="106"/>
        <v>8Years/4Months/16Days</v>
      </c>
      <c r="AI145" s="15" t="str">
        <f t="shared" si="107"/>
        <v>15years , 8months and 22days</v>
      </c>
      <c r="AJ145" s="15">
        <f t="shared" si="108"/>
        <v>15</v>
      </c>
      <c r="AK145" s="15">
        <f t="shared" si="109"/>
        <v>8</v>
      </c>
      <c r="AL145" s="15">
        <f t="shared" si="110"/>
        <v>22</v>
      </c>
      <c r="AO145" s="336"/>
    </row>
    <row r="146" spans="1:41" ht="31.5" customHeight="1" x14ac:dyDescent="0.25">
      <c r="A146" s="73">
        <v>1</v>
      </c>
      <c r="B146" s="74" t="s">
        <v>1014</v>
      </c>
      <c r="C146" s="74" t="s">
        <v>1397</v>
      </c>
      <c r="D146" s="74" t="s">
        <v>1109</v>
      </c>
      <c r="E146" s="484" t="str">
        <f t="shared" si="111"/>
        <v>1/053/038/0181</v>
      </c>
      <c r="F146" s="68" t="s">
        <v>28</v>
      </c>
      <c r="G146" s="390" t="s">
        <v>1525</v>
      </c>
      <c r="H146" s="391" t="s">
        <v>42</v>
      </c>
      <c r="I146" s="390" t="s">
        <v>1543</v>
      </c>
      <c r="J146" s="294" t="s">
        <v>1174</v>
      </c>
      <c r="K146" s="178" t="s">
        <v>31</v>
      </c>
      <c r="L146" s="81">
        <v>772837046</v>
      </c>
      <c r="M146" s="82" t="s">
        <v>1175</v>
      </c>
      <c r="N146" s="392">
        <v>6</v>
      </c>
      <c r="O146" s="392">
        <v>3</v>
      </c>
      <c r="P146" s="392">
        <v>1990</v>
      </c>
      <c r="Q146" s="147">
        <f t="shared" ref="Q146:Q177" si="112">DATE(P146,O146,N146)</f>
        <v>32938</v>
      </c>
      <c r="R146" s="92">
        <f t="shared" ref="R146:R177" ca="1" si="113">($G$7-Q146)/365</f>
        <v>35.860273972602741</v>
      </c>
      <c r="S146" s="67" t="s">
        <v>34</v>
      </c>
      <c r="T146" s="73">
        <v>29</v>
      </c>
      <c r="U146" s="73">
        <v>8</v>
      </c>
      <c r="V146" s="73">
        <v>2018</v>
      </c>
      <c r="W146" s="148">
        <f t="shared" ref="W146:W177" si="114">DATE(V146,U146,T146)</f>
        <v>43341</v>
      </c>
      <c r="X146" s="5" t="s">
        <v>38</v>
      </c>
      <c r="Y146" s="115"/>
      <c r="Z146" s="124">
        <f t="shared" ref="Z146:Z177" ca="1" si="115">DATEDIF(W146,TODAY(),"Y")</f>
        <v>7</v>
      </c>
      <c r="AA146" s="109">
        <f t="shared" ref="AA146:AA177" ca="1" si="116">DATEDIF(W146,TODAY(),"YM")</f>
        <v>4</v>
      </c>
      <c r="AB146" s="150">
        <f t="shared" ref="AB146:AB177" ca="1" si="117">DATEDIF(W146,TODAY(),"MD")</f>
        <v>7</v>
      </c>
      <c r="AC146" s="15" t="str">
        <f t="shared" ref="AC146:AC177" ca="1" si="118">CONCATENATE(Z146,"Years","/",,AA146,"Months","/",AB146,"Days")</f>
        <v>7Years/4Months/7Days</v>
      </c>
      <c r="AD146" s="108">
        <f t="shared" ref="AD146:AD177" si="119">(DATE(P146,O146,N146)+21915)</f>
        <v>54853</v>
      </c>
      <c r="AE146" s="15">
        <f t="shared" ref="AE146:AE177" ca="1" si="120">DATEDIF(TODAY(),AD146,"Y")</f>
        <v>24</v>
      </c>
      <c r="AF146" s="15">
        <f t="shared" ref="AF146:AF177" ca="1" si="121">DATEDIF(TODAY(),AD146,"YM")</f>
        <v>2</v>
      </c>
      <c r="AG146" s="15">
        <f t="shared" ref="AG146:AG177" ca="1" si="122">DATEDIF(TODAY(),AD146,"MD")</f>
        <v>1</v>
      </c>
      <c r="AH146" s="15" t="str">
        <f t="shared" ref="AH146:AH177" ca="1" si="123">CONCATENATE(AE146,"Years","/",AF146,"Months","/",AG146,"Days")</f>
        <v>24Years/2Months/1Days</v>
      </c>
      <c r="AI146" s="15" t="str">
        <f t="shared" ref="AI146:AI177" si="124">CONCATENATE(AJ146,"years", " ",",", " ",AK146,"months ","and"," ",AL146,"days")</f>
        <v>31years , 6months and 5days</v>
      </c>
      <c r="AJ146" s="15">
        <f t="shared" ref="AJ146:AJ177" si="125">DATEDIF(W146,AD146,"Y")</f>
        <v>31</v>
      </c>
      <c r="AK146" s="15">
        <f t="shared" ref="AK146:AK177" si="126">DATEDIF(W146,AD146,"YM")</f>
        <v>6</v>
      </c>
      <c r="AL146" s="15">
        <f t="shared" ref="AL146:AL177" si="127">DATEDIF(W146,AD146,"MD")</f>
        <v>5</v>
      </c>
      <c r="AO146" s="336"/>
    </row>
    <row r="147" spans="1:41" ht="31.5" customHeight="1" x14ac:dyDescent="0.25">
      <c r="A147" s="73">
        <v>1</v>
      </c>
      <c r="B147" s="74" t="s">
        <v>1014</v>
      </c>
      <c r="C147" s="74" t="s">
        <v>1058</v>
      </c>
      <c r="D147" s="74" t="s">
        <v>1112</v>
      </c>
      <c r="E147" s="484" t="str">
        <f t="shared" si="111"/>
        <v>1/053/039/0182</v>
      </c>
      <c r="F147" s="68" t="s">
        <v>28</v>
      </c>
      <c r="G147" s="390" t="s">
        <v>1526</v>
      </c>
      <c r="H147" s="391" t="s">
        <v>42</v>
      </c>
      <c r="I147" s="390" t="s">
        <v>1544</v>
      </c>
      <c r="J147" s="294" t="s">
        <v>1184</v>
      </c>
      <c r="K147" s="178" t="s">
        <v>31</v>
      </c>
      <c r="L147" s="81" t="s">
        <v>1185</v>
      </c>
      <c r="M147" s="82" t="s">
        <v>1186</v>
      </c>
      <c r="N147" s="392">
        <v>20</v>
      </c>
      <c r="O147" s="392">
        <v>4</v>
      </c>
      <c r="P147" s="392">
        <v>1998</v>
      </c>
      <c r="Q147" s="147">
        <f t="shared" si="112"/>
        <v>35905</v>
      </c>
      <c r="R147" s="92">
        <f t="shared" ca="1" si="113"/>
        <v>27.731506849315068</v>
      </c>
      <c r="S147" s="73" t="s">
        <v>50</v>
      </c>
      <c r="T147" s="73">
        <v>5</v>
      </c>
      <c r="U147" s="73">
        <v>11</v>
      </c>
      <c r="V147" s="73">
        <v>2018</v>
      </c>
      <c r="W147" s="148">
        <f t="shared" si="114"/>
        <v>43409</v>
      </c>
      <c r="X147" s="5" t="s">
        <v>38</v>
      </c>
      <c r="Y147" s="115"/>
      <c r="Z147" s="124">
        <f t="shared" ca="1" si="115"/>
        <v>7</v>
      </c>
      <c r="AA147" s="109">
        <f t="shared" ca="1" si="116"/>
        <v>2</v>
      </c>
      <c r="AB147" s="150">
        <f t="shared" ca="1" si="117"/>
        <v>0</v>
      </c>
      <c r="AC147" s="15" t="str">
        <f t="shared" ca="1" si="118"/>
        <v>7Years/2Months/0Days</v>
      </c>
      <c r="AD147" s="108">
        <f t="shared" si="119"/>
        <v>57820</v>
      </c>
      <c r="AE147" s="15">
        <f t="shared" ca="1" si="120"/>
        <v>32</v>
      </c>
      <c r="AF147" s="15">
        <f t="shared" ca="1" si="121"/>
        <v>3</v>
      </c>
      <c r="AG147" s="15">
        <f t="shared" ca="1" si="122"/>
        <v>15</v>
      </c>
      <c r="AH147" s="15" t="str">
        <f t="shared" ca="1" si="123"/>
        <v>32Years/3Months/15Days</v>
      </c>
      <c r="AI147" s="15" t="str">
        <f t="shared" si="124"/>
        <v>39years , 5months and 15days</v>
      </c>
      <c r="AJ147" s="15">
        <f t="shared" si="125"/>
        <v>39</v>
      </c>
      <c r="AK147" s="15">
        <f t="shared" si="126"/>
        <v>5</v>
      </c>
      <c r="AL147" s="15">
        <f t="shared" si="127"/>
        <v>15</v>
      </c>
      <c r="AO147" s="336"/>
    </row>
    <row r="148" spans="1:41" ht="31.5" customHeight="1" x14ac:dyDescent="0.25">
      <c r="A148" s="73">
        <v>1</v>
      </c>
      <c r="B148" s="74" t="s">
        <v>1014</v>
      </c>
      <c r="C148" s="74" t="s">
        <v>1062</v>
      </c>
      <c r="D148" s="74" t="s">
        <v>1115</v>
      </c>
      <c r="E148" s="484" t="str">
        <f t="shared" si="111"/>
        <v>1/053/040/0183</v>
      </c>
      <c r="F148" s="68" t="s">
        <v>28</v>
      </c>
      <c r="G148" s="390" t="s">
        <v>1527</v>
      </c>
      <c r="H148" s="391" t="s">
        <v>42</v>
      </c>
      <c r="I148" s="390" t="s">
        <v>1545</v>
      </c>
      <c r="J148" s="294" t="s">
        <v>1188</v>
      </c>
      <c r="K148" s="178" t="s">
        <v>31</v>
      </c>
      <c r="L148" s="81" t="s">
        <v>1189</v>
      </c>
      <c r="M148" s="82" t="s">
        <v>1190</v>
      </c>
      <c r="N148" s="392">
        <v>2</v>
      </c>
      <c r="O148" s="392">
        <v>11</v>
      </c>
      <c r="P148" s="392">
        <v>1992</v>
      </c>
      <c r="Q148" s="147">
        <f t="shared" si="112"/>
        <v>33910</v>
      </c>
      <c r="R148" s="92">
        <f t="shared" ca="1" si="113"/>
        <v>33.197260273972603</v>
      </c>
      <c r="S148" s="73" t="s">
        <v>50</v>
      </c>
      <c r="T148" s="73">
        <v>10</v>
      </c>
      <c r="U148" s="73">
        <v>12</v>
      </c>
      <c r="V148" s="73">
        <v>2018</v>
      </c>
      <c r="W148" s="148">
        <f t="shared" si="114"/>
        <v>43444</v>
      </c>
      <c r="X148" s="5" t="s">
        <v>38</v>
      </c>
      <c r="Y148" s="115"/>
      <c r="Z148" s="124">
        <f t="shared" ca="1" si="115"/>
        <v>7</v>
      </c>
      <c r="AA148" s="109">
        <f t="shared" ca="1" si="116"/>
        <v>0</v>
      </c>
      <c r="AB148" s="150">
        <f t="shared" ca="1" si="117"/>
        <v>26</v>
      </c>
      <c r="AC148" s="15" t="str">
        <f t="shared" ca="1" si="118"/>
        <v>7Years/0Months/26Days</v>
      </c>
      <c r="AD148" s="108">
        <f t="shared" si="119"/>
        <v>55825</v>
      </c>
      <c r="AE148" s="15">
        <f t="shared" ca="1" si="120"/>
        <v>26</v>
      </c>
      <c r="AF148" s="15">
        <f t="shared" ca="1" si="121"/>
        <v>9</v>
      </c>
      <c r="AG148" s="15">
        <f t="shared" ca="1" si="122"/>
        <v>28</v>
      </c>
      <c r="AH148" s="15" t="str">
        <f t="shared" ca="1" si="123"/>
        <v>26Years/9Months/28Days</v>
      </c>
      <c r="AI148" s="15" t="str">
        <f t="shared" si="124"/>
        <v>33years , 10months and 23days</v>
      </c>
      <c r="AJ148" s="15">
        <f t="shared" si="125"/>
        <v>33</v>
      </c>
      <c r="AK148" s="15">
        <f t="shared" si="126"/>
        <v>10</v>
      </c>
      <c r="AL148" s="15">
        <f t="shared" si="127"/>
        <v>23</v>
      </c>
      <c r="AO148" s="336"/>
    </row>
    <row r="149" spans="1:41" ht="31.5" customHeight="1" x14ac:dyDescent="0.25">
      <c r="A149" s="73">
        <v>1</v>
      </c>
      <c r="B149" s="74" t="s">
        <v>1014</v>
      </c>
      <c r="C149" s="74" t="s">
        <v>1398</v>
      </c>
      <c r="D149" s="74" t="s">
        <v>1118</v>
      </c>
      <c r="E149" s="493" t="str">
        <f t="shared" si="111"/>
        <v>1/053/041/0184</v>
      </c>
      <c r="F149" s="75" t="s">
        <v>28</v>
      </c>
      <c r="G149" s="312" t="s">
        <v>1528</v>
      </c>
      <c r="H149" s="391" t="s">
        <v>42</v>
      </c>
      <c r="I149" s="390" t="s">
        <v>1546</v>
      </c>
      <c r="J149" s="294" t="s">
        <v>1192</v>
      </c>
      <c r="K149" s="178" t="s">
        <v>31</v>
      </c>
      <c r="L149" s="84">
        <v>776582965</v>
      </c>
      <c r="M149" s="82" t="s">
        <v>1193</v>
      </c>
      <c r="N149" s="392">
        <v>10</v>
      </c>
      <c r="O149" s="392">
        <v>3</v>
      </c>
      <c r="P149" s="392">
        <v>1973</v>
      </c>
      <c r="Q149" s="147">
        <f t="shared" si="112"/>
        <v>26733</v>
      </c>
      <c r="R149" s="92">
        <f t="shared" ca="1" si="113"/>
        <v>52.860273972602741</v>
      </c>
      <c r="S149" s="67" t="s">
        <v>34</v>
      </c>
      <c r="T149" s="73">
        <v>3</v>
      </c>
      <c r="U149" s="73">
        <v>1</v>
      </c>
      <c r="V149" s="73">
        <v>2019</v>
      </c>
      <c r="W149" s="148">
        <f t="shared" si="114"/>
        <v>43468</v>
      </c>
      <c r="X149" s="5" t="s">
        <v>38</v>
      </c>
      <c r="Y149" s="115"/>
      <c r="Z149" s="124">
        <f t="shared" ca="1" si="115"/>
        <v>7</v>
      </c>
      <c r="AA149" s="109">
        <f t="shared" ca="1" si="116"/>
        <v>0</v>
      </c>
      <c r="AB149" s="150">
        <f t="shared" ca="1" si="117"/>
        <v>2</v>
      </c>
      <c r="AC149" s="15" t="str">
        <f t="shared" ca="1" si="118"/>
        <v>7Years/0Months/2Days</v>
      </c>
      <c r="AD149" s="108">
        <f t="shared" si="119"/>
        <v>48648</v>
      </c>
      <c r="AE149" s="15">
        <f t="shared" ca="1" si="120"/>
        <v>7</v>
      </c>
      <c r="AF149" s="15">
        <f t="shared" ca="1" si="121"/>
        <v>2</v>
      </c>
      <c r="AG149" s="15">
        <f t="shared" ca="1" si="122"/>
        <v>5</v>
      </c>
      <c r="AH149" s="15" t="str">
        <f t="shared" ca="1" si="123"/>
        <v>7Years/2Months/5Days</v>
      </c>
      <c r="AI149" s="15" t="str">
        <f t="shared" si="124"/>
        <v>14years , 2months and 7days</v>
      </c>
      <c r="AJ149" s="15">
        <f t="shared" si="125"/>
        <v>14</v>
      </c>
      <c r="AK149" s="15">
        <f t="shared" si="126"/>
        <v>2</v>
      </c>
      <c r="AL149" s="15">
        <f t="shared" si="127"/>
        <v>7</v>
      </c>
      <c r="AO149" s="336"/>
    </row>
    <row r="150" spans="1:41" ht="31.5" customHeight="1" x14ac:dyDescent="0.25">
      <c r="A150" s="73">
        <v>1</v>
      </c>
      <c r="B150" s="74" t="s">
        <v>1014</v>
      </c>
      <c r="C150" s="74" t="s">
        <v>1066</v>
      </c>
      <c r="D150" s="74" t="s">
        <v>1121</v>
      </c>
      <c r="E150" s="493" t="str">
        <f t="shared" si="111"/>
        <v>1/053/042/0185</v>
      </c>
      <c r="F150" s="75" t="s">
        <v>28</v>
      </c>
      <c r="G150" s="312" t="s">
        <v>1529</v>
      </c>
      <c r="H150" s="391" t="s">
        <v>42</v>
      </c>
      <c r="I150" s="390" t="s">
        <v>1547</v>
      </c>
      <c r="J150" s="294" t="s">
        <v>1195</v>
      </c>
      <c r="K150" s="178" t="s">
        <v>31</v>
      </c>
      <c r="L150" s="81">
        <v>775776470</v>
      </c>
      <c r="M150" s="82" t="s">
        <v>1196</v>
      </c>
      <c r="N150" s="392">
        <v>1</v>
      </c>
      <c r="O150" s="392">
        <v>2</v>
      </c>
      <c r="P150" s="392">
        <v>1991</v>
      </c>
      <c r="Q150" s="147">
        <f t="shared" si="112"/>
        <v>33270</v>
      </c>
      <c r="R150" s="92">
        <f t="shared" ca="1" si="113"/>
        <v>34.950684931506849</v>
      </c>
      <c r="S150" s="73" t="s">
        <v>50</v>
      </c>
      <c r="T150" s="73">
        <v>3</v>
      </c>
      <c r="U150" s="73">
        <v>1</v>
      </c>
      <c r="V150" s="73">
        <v>2019</v>
      </c>
      <c r="W150" s="148">
        <f t="shared" si="114"/>
        <v>43468</v>
      </c>
      <c r="X150" s="5" t="s">
        <v>38</v>
      </c>
      <c r="Y150" s="115"/>
      <c r="Z150" s="124">
        <f t="shared" ca="1" si="115"/>
        <v>7</v>
      </c>
      <c r="AA150" s="109">
        <f t="shared" ca="1" si="116"/>
        <v>0</v>
      </c>
      <c r="AB150" s="150">
        <f t="shared" ca="1" si="117"/>
        <v>2</v>
      </c>
      <c r="AC150" s="15" t="str">
        <f t="shared" ca="1" si="118"/>
        <v>7Years/0Months/2Days</v>
      </c>
      <c r="AD150" s="108">
        <f t="shared" si="119"/>
        <v>55185</v>
      </c>
      <c r="AE150" s="15">
        <f t="shared" ca="1" si="120"/>
        <v>25</v>
      </c>
      <c r="AF150" s="15">
        <f t="shared" ca="1" si="121"/>
        <v>0</v>
      </c>
      <c r="AG150" s="15">
        <f t="shared" ca="1" si="122"/>
        <v>27</v>
      </c>
      <c r="AH150" s="15" t="str">
        <f t="shared" ca="1" si="123"/>
        <v>25Years/0Months/27Days</v>
      </c>
      <c r="AI150" s="15" t="str">
        <f t="shared" si="124"/>
        <v>32years , 0months and 29days</v>
      </c>
      <c r="AJ150" s="15">
        <f t="shared" si="125"/>
        <v>32</v>
      </c>
      <c r="AK150" s="15">
        <f t="shared" si="126"/>
        <v>0</v>
      </c>
      <c r="AL150" s="15">
        <f t="shared" si="127"/>
        <v>29</v>
      </c>
      <c r="AO150" s="336"/>
    </row>
    <row r="151" spans="1:41" ht="31.5" customHeight="1" x14ac:dyDescent="0.25">
      <c r="A151" s="73">
        <v>1</v>
      </c>
      <c r="B151" s="74" t="s">
        <v>1014</v>
      </c>
      <c r="C151" s="74" t="s">
        <v>1399</v>
      </c>
      <c r="D151" s="74" t="s">
        <v>1125</v>
      </c>
      <c r="E151" s="493" t="str">
        <f t="shared" si="111"/>
        <v>1/053/043/0186</v>
      </c>
      <c r="F151" s="75" t="s">
        <v>28</v>
      </c>
      <c r="G151" s="312" t="s">
        <v>1530</v>
      </c>
      <c r="H151" s="391" t="s">
        <v>42</v>
      </c>
      <c r="I151" s="390" t="s">
        <v>1548</v>
      </c>
      <c r="J151" s="294" t="s">
        <v>1197</v>
      </c>
      <c r="K151" s="178" t="s">
        <v>31</v>
      </c>
      <c r="L151" s="81">
        <v>773469917</v>
      </c>
      <c r="M151" s="82" t="s">
        <v>1198</v>
      </c>
      <c r="N151" s="392">
        <v>10</v>
      </c>
      <c r="O151" s="392">
        <v>2</v>
      </c>
      <c r="P151" s="392">
        <v>1993</v>
      </c>
      <c r="Q151" s="147">
        <f t="shared" si="112"/>
        <v>34010</v>
      </c>
      <c r="R151" s="92">
        <f t="shared" ca="1" si="113"/>
        <v>32.923287671232877</v>
      </c>
      <c r="S151" s="67" t="s">
        <v>34</v>
      </c>
      <c r="T151" s="73">
        <v>30</v>
      </c>
      <c r="U151" s="73">
        <v>1</v>
      </c>
      <c r="V151" s="73">
        <v>2019</v>
      </c>
      <c r="W151" s="148">
        <f t="shared" si="114"/>
        <v>43495</v>
      </c>
      <c r="X151" s="5" t="s">
        <v>38</v>
      </c>
      <c r="Y151" s="115"/>
      <c r="Z151" s="124">
        <f t="shared" ca="1" si="115"/>
        <v>6</v>
      </c>
      <c r="AA151" s="109">
        <f t="shared" ca="1" si="116"/>
        <v>11</v>
      </c>
      <c r="AB151" s="150">
        <f t="shared" ca="1" si="117"/>
        <v>6</v>
      </c>
      <c r="AC151" s="15" t="str">
        <f t="shared" ca="1" si="118"/>
        <v>6Years/11Months/6Days</v>
      </c>
      <c r="AD151" s="108">
        <f t="shared" si="119"/>
        <v>55925</v>
      </c>
      <c r="AE151" s="15">
        <f t="shared" ca="1" si="120"/>
        <v>27</v>
      </c>
      <c r="AF151" s="15">
        <f t="shared" ca="1" si="121"/>
        <v>1</v>
      </c>
      <c r="AG151" s="15">
        <f t="shared" ca="1" si="122"/>
        <v>5</v>
      </c>
      <c r="AH151" s="15" t="str">
        <f t="shared" ca="1" si="123"/>
        <v>27Years/1Months/5Days</v>
      </c>
      <c r="AI151" s="15" t="str">
        <f t="shared" si="124"/>
        <v>34years , 0months and 11days</v>
      </c>
      <c r="AJ151" s="15">
        <f t="shared" si="125"/>
        <v>34</v>
      </c>
      <c r="AK151" s="15">
        <f t="shared" si="126"/>
        <v>0</v>
      </c>
      <c r="AL151" s="15">
        <f t="shared" si="127"/>
        <v>11</v>
      </c>
      <c r="AO151" s="336"/>
    </row>
    <row r="152" spans="1:41" ht="42" customHeight="1" x14ac:dyDescent="0.25">
      <c r="A152" s="73">
        <v>1</v>
      </c>
      <c r="B152" s="74" t="s">
        <v>1014</v>
      </c>
      <c r="C152" s="74" t="s">
        <v>1400</v>
      </c>
      <c r="D152" s="74" t="s">
        <v>1129</v>
      </c>
      <c r="E152" s="493" t="str">
        <f t="shared" si="111"/>
        <v>1/053/044/0187</v>
      </c>
      <c r="F152" s="75" t="s">
        <v>28</v>
      </c>
      <c r="G152" s="312" t="s">
        <v>1531</v>
      </c>
      <c r="H152" s="391" t="s">
        <v>42</v>
      </c>
      <c r="I152" s="390" t="s">
        <v>1549</v>
      </c>
      <c r="J152" s="302" t="s">
        <v>1200</v>
      </c>
      <c r="K152" s="178" t="s">
        <v>31</v>
      </c>
      <c r="L152" s="79">
        <v>766740299</v>
      </c>
      <c r="M152" s="78" t="s">
        <v>1201</v>
      </c>
      <c r="N152" s="392">
        <v>25</v>
      </c>
      <c r="O152" s="392">
        <v>1</v>
      </c>
      <c r="P152" s="392">
        <v>1997</v>
      </c>
      <c r="Q152" s="147">
        <f t="shared" si="112"/>
        <v>35455</v>
      </c>
      <c r="R152" s="92">
        <f t="shared" ca="1" si="113"/>
        <v>28.964383561643835</v>
      </c>
      <c r="S152" s="73" t="s">
        <v>50</v>
      </c>
      <c r="T152" s="73">
        <v>5</v>
      </c>
      <c r="U152" s="73">
        <v>3</v>
      </c>
      <c r="V152" s="73">
        <v>2019</v>
      </c>
      <c r="W152" s="148">
        <f t="shared" si="114"/>
        <v>43529</v>
      </c>
      <c r="X152" s="5" t="s">
        <v>38</v>
      </c>
      <c r="Y152" s="115"/>
      <c r="Z152" s="124">
        <f t="shared" ca="1" si="115"/>
        <v>6</v>
      </c>
      <c r="AA152" s="109">
        <f t="shared" ca="1" si="116"/>
        <v>10</v>
      </c>
      <c r="AB152" s="150">
        <f t="shared" ca="1" si="117"/>
        <v>0</v>
      </c>
      <c r="AC152" s="15" t="str">
        <f t="shared" ca="1" si="118"/>
        <v>6Years/10Months/0Days</v>
      </c>
      <c r="AD152" s="108">
        <f t="shared" si="119"/>
        <v>57370</v>
      </c>
      <c r="AE152" s="15">
        <f t="shared" ca="1" si="120"/>
        <v>31</v>
      </c>
      <c r="AF152" s="15">
        <f t="shared" ca="1" si="121"/>
        <v>0</v>
      </c>
      <c r="AG152" s="15">
        <f t="shared" ca="1" si="122"/>
        <v>20</v>
      </c>
      <c r="AH152" s="15" t="str">
        <f t="shared" ca="1" si="123"/>
        <v>31Years/0Months/20Days</v>
      </c>
      <c r="AI152" s="15" t="str">
        <f t="shared" si="124"/>
        <v>37years , 10months and 20days</v>
      </c>
      <c r="AJ152" s="15">
        <f t="shared" si="125"/>
        <v>37</v>
      </c>
      <c r="AK152" s="15">
        <f t="shared" si="126"/>
        <v>10</v>
      </c>
      <c r="AL152" s="15">
        <f t="shared" si="127"/>
        <v>20</v>
      </c>
      <c r="AO152" s="365" t="s">
        <v>2389</v>
      </c>
    </row>
    <row r="153" spans="1:41" ht="42" customHeight="1" x14ac:dyDescent="0.25">
      <c r="A153" s="73">
        <v>1</v>
      </c>
      <c r="B153" s="74" t="s">
        <v>1014</v>
      </c>
      <c r="C153" s="74" t="s">
        <v>1401</v>
      </c>
      <c r="D153" s="74" t="s">
        <v>1133</v>
      </c>
      <c r="E153" s="493" t="str">
        <f t="shared" si="111"/>
        <v>1/053/045/0188</v>
      </c>
      <c r="F153" s="75" t="s">
        <v>28</v>
      </c>
      <c r="G153" s="312" t="s">
        <v>1532</v>
      </c>
      <c r="H153" s="391" t="s">
        <v>42</v>
      </c>
      <c r="I153" s="390" t="s">
        <v>1550</v>
      </c>
      <c r="J153" s="294" t="s">
        <v>1203</v>
      </c>
      <c r="K153" s="178" t="s">
        <v>31</v>
      </c>
      <c r="L153" s="81">
        <v>763336306</v>
      </c>
      <c r="M153" s="82" t="s">
        <v>1204</v>
      </c>
      <c r="N153" s="392">
        <v>8</v>
      </c>
      <c r="O153" s="392">
        <v>12</v>
      </c>
      <c r="P153" s="392">
        <v>1997</v>
      </c>
      <c r="Q153" s="147">
        <f t="shared" si="112"/>
        <v>35772</v>
      </c>
      <c r="R153" s="92">
        <f t="shared" ca="1" si="113"/>
        <v>28.095890410958905</v>
      </c>
      <c r="S153" s="73" t="s">
        <v>50</v>
      </c>
      <c r="T153" s="73">
        <v>21</v>
      </c>
      <c r="U153" s="73">
        <v>3</v>
      </c>
      <c r="V153" s="73">
        <v>2019</v>
      </c>
      <c r="W153" s="148">
        <f t="shared" si="114"/>
        <v>43545</v>
      </c>
      <c r="X153" s="5" t="s">
        <v>38</v>
      </c>
      <c r="Y153" s="115"/>
      <c r="Z153" s="124">
        <f t="shared" ca="1" si="115"/>
        <v>6</v>
      </c>
      <c r="AA153" s="109">
        <f t="shared" ca="1" si="116"/>
        <v>9</v>
      </c>
      <c r="AB153" s="150">
        <f t="shared" ca="1" si="117"/>
        <v>15</v>
      </c>
      <c r="AC153" s="15" t="str">
        <f t="shared" ca="1" si="118"/>
        <v>6Years/9Months/15Days</v>
      </c>
      <c r="AD153" s="108">
        <f t="shared" si="119"/>
        <v>57687</v>
      </c>
      <c r="AE153" s="15">
        <f t="shared" ca="1" si="120"/>
        <v>31</v>
      </c>
      <c r="AF153" s="15">
        <f t="shared" ca="1" si="121"/>
        <v>11</v>
      </c>
      <c r="AG153" s="15">
        <f t="shared" ca="1" si="122"/>
        <v>3</v>
      </c>
      <c r="AH153" s="15" t="str">
        <f t="shared" ca="1" si="123"/>
        <v>31Years/11Months/3Days</v>
      </c>
      <c r="AI153" s="15" t="str">
        <f t="shared" si="124"/>
        <v>38years , 8months and 17days</v>
      </c>
      <c r="AJ153" s="15">
        <f t="shared" si="125"/>
        <v>38</v>
      </c>
      <c r="AK153" s="15">
        <f t="shared" si="126"/>
        <v>8</v>
      </c>
      <c r="AL153" s="15">
        <f t="shared" si="127"/>
        <v>17</v>
      </c>
      <c r="AO153" s="365" t="s">
        <v>2389</v>
      </c>
    </row>
    <row r="154" spans="1:41" ht="31.5" customHeight="1" x14ac:dyDescent="0.25">
      <c r="A154" s="73">
        <v>1</v>
      </c>
      <c r="B154" s="74" t="s">
        <v>1014</v>
      </c>
      <c r="C154" s="74" t="s">
        <v>1402</v>
      </c>
      <c r="D154" s="74" t="s">
        <v>1134</v>
      </c>
      <c r="E154" s="493" t="str">
        <f t="shared" si="111"/>
        <v>1/053/046/0189</v>
      </c>
      <c r="F154" s="75" t="s">
        <v>28</v>
      </c>
      <c r="G154" s="312" t="s">
        <v>1533</v>
      </c>
      <c r="H154" s="391" t="s">
        <v>42</v>
      </c>
      <c r="I154" s="390" t="s">
        <v>1551</v>
      </c>
      <c r="J154" s="294" t="s">
        <v>1209</v>
      </c>
      <c r="K154" s="178" t="s">
        <v>31</v>
      </c>
      <c r="L154" s="81">
        <v>717941427</v>
      </c>
      <c r="M154" s="82" t="s">
        <v>1210</v>
      </c>
      <c r="N154" s="392">
        <v>29</v>
      </c>
      <c r="O154" s="392">
        <v>4</v>
      </c>
      <c r="P154" s="392">
        <v>1993</v>
      </c>
      <c r="Q154" s="147">
        <f t="shared" si="112"/>
        <v>34088</v>
      </c>
      <c r="R154" s="92">
        <f t="shared" ca="1" si="113"/>
        <v>32.709589041095889</v>
      </c>
      <c r="S154" s="73" t="s">
        <v>50</v>
      </c>
      <c r="T154" s="73">
        <v>7</v>
      </c>
      <c r="U154" s="73">
        <v>5</v>
      </c>
      <c r="V154" s="73">
        <v>2019</v>
      </c>
      <c r="W154" s="148">
        <f t="shared" si="114"/>
        <v>43592</v>
      </c>
      <c r="X154" s="5" t="s">
        <v>38</v>
      </c>
      <c r="Y154" s="115"/>
      <c r="Z154" s="124">
        <f t="shared" ca="1" si="115"/>
        <v>6</v>
      </c>
      <c r="AA154" s="109">
        <f t="shared" ca="1" si="116"/>
        <v>7</v>
      </c>
      <c r="AB154" s="150">
        <f t="shared" ca="1" si="117"/>
        <v>29</v>
      </c>
      <c r="AC154" s="15" t="str">
        <f t="shared" ca="1" si="118"/>
        <v>6Years/7Months/29Days</v>
      </c>
      <c r="AD154" s="108">
        <f t="shared" si="119"/>
        <v>56003</v>
      </c>
      <c r="AE154" s="15">
        <f t="shared" ca="1" si="120"/>
        <v>27</v>
      </c>
      <c r="AF154" s="15">
        <f t="shared" ca="1" si="121"/>
        <v>3</v>
      </c>
      <c r="AG154" s="15">
        <f t="shared" ca="1" si="122"/>
        <v>24</v>
      </c>
      <c r="AH154" s="15" t="str">
        <f t="shared" ca="1" si="123"/>
        <v>27Years/3Months/24Days</v>
      </c>
      <c r="AI154" s="15" t="str">
        <f t="shared" si="124"/>
        <v>33years , 11months and 22days</v>
      </c>
      <c r="AJ154" s="15">
        <f t="shared" si="125"/>
        <v>33</v>
      </c>
      <c r="AK154" s="15">
        <f t="shared" si="126"/>
        <v>11</v>
      </c>
      <c r="AL154" s="15">
        <f t="shared" si="127"/>
        <v>22</v>
      </c>
      <c r="AO154" s="336"/>
    </row>
    <row r="155" spans="1:41" ht="42.75" customHeight="1" x14ac:dyDescent="0.25">
      <c r="A155" s="73">
        <v>1</v>
      </c>
      <c r="B155" s="74" t="s">
        <v>1014</v>
      </c>
      <c r="C155" s="74" t="s">
        <v>1403</v>
      </c>
      <c r="D155" s="74" t="s">
        <v>1137</v>
      </c>
      <c r="E155" s="493" t="str">
        <f t="shared" si="111"/>
        <v>1/053/047/0190</v>
      </c>
      <c r="F155" s="75" t="s">
        <v>28</v>
      </c>
      <c r="G155" s="312" t="s">
        <v>1534</v>
      </c>
      <c r="H155" s="391" t="s">
        <v>42</v>
      </c>
      <c r="I155" s="390" t="s">
        <v>1552</v>
      </c>
      <c r="J155" s="294" t="s">
        <v>1220</v>
      </c>
      <c r="K155" s="178" t="s">
        <v>31</v>
      </c>
      <c r="L155" s="81" t="s">
        <v>1221</v>
      </c>
      <c r="M155" s="82" t="s">
        <v>1222</v>
      </c>
      <c r="N155" s="392">
        <v>1</v>
      </c>
      <c r="O155" s="392">
        <v>3</v>
      </c>
      <c r="P155" s="392">
        <v>1973</v>
      </c>
      <c r="Q155" s="147">
        <f t="shared" si="112"/>
        <v>26724</v>
      </c>
      <c r="R155" s="92">
        <f t="shared" ca="1" si="113"/>
        <v>52.884931506849313</v>
      </c>
      <c r="S155" s="73" t="s">
        <v>50</v>
      </c>
      <c r="T155" s="73">
        <v>28</v>
      </c>
      <c r="U155" s="73">
        <v>8</v>
      </c>
      <c r="V155" s="73">
        <v>2019</v>
      </c>
      <c r="W155" s="148">
        <f t="shared" si="114"/>
        <v>43705</v>
      </c>
      <c r="X155" s="5" t="s">
        <v>38</v>
      </c>
      <c r="Y155" s="115"/>
      <c r="Z155" s="124">
        <f t="shared" ca="1" si="115"/>
        <v>6</v>
      </c>
      <c r="AA155" s="109">
        <f t="shared" ca="1" si="116"/>
        <v>4</v>
      </c>
      <c r="AB155" s="150">
        <f t="shared" ca="1" si="117"/>
        <v>8</v>
      </c>
      <c r="AC155" s="15" t="str">
        <f t="shared" ca="1" si="118"/>
        <v>6Years/4Months/8Days</v>
      </c>
      <c r="AD155" s="108">
        <f t="shared" si="119"/>
        <v>48639</v>
      </c>
      <c r="AE155" s="15">
        <f t="shared" ca="1" si="120"/>
        <v>7</v>
      </c>
      <c r="AF155" s="15">
        <f t="shared" ca="1" si="121"/>
        <v>1</v>
      </c>
      <c r="AG155" s="15">
        <f t="shared" ca="1" si="122"/>
        <v>24</v>
      </c>
      <c r="AH155" s="15" t="str">
        <f t="shared" ca="1" si="123"/>
        <v>7Years/1Months/24Days</v>
      </c>
      <c r="AI155" s="15" t="str">
        <f t="shared" si="124"/>
        <v>13years , 6months and 1days</v>
      </c>
      <c r="AJ155" s="15">
        <f t="shared" si="125"/>
        <v>13</v>
      </c>
      <c r="AK155" s="15">
        <f t="shared" si="126"/>
        <v>6</v>
      </c>
      <c r="AL155" s="15">
        <f t="shared" si="127"/>
        <v>1</v>
      </c>
      <c r="AO155" s="365" t="s">
        <v>2389</v>
      </c>
    </row>
    <row r="156" spans="1:41" ht="42.75" customHeight="1" x14ac:dyDescent="0.25">
      <c r="A156" s="73">
        <v>1</v>
      </c>
      <c r="B156" s="74" t="s">
        <v>1014</v>
      </c>
      <c r="C156" s="74" t="s">
        <v>1071</v>
      </c>
      <c r="D156" s="74" t="s">
        <v>1140</v>
      </c>
      <c r="E156" s="493" t="str">
        <f t="shared" si="111"/>
        <v>1/053/048/0191</v>
      </c>
      <c r="F156" s="75" t="s">
        <v>28</v>
      </c>
      <c r="G156" s="312" t="s">
        <v>1535</v>
      </c>
      <c r="H156" s="391" t="s">
        <v>42</v>
      </c>
      <c r="I156" s="390" t="s">
        <v>1553</v>
      </c>
      <c r="J156" s="294" t="s">
        <v>1223</v>
      </c>
      <c r="K156" s="178" t="s">
        <v>31</v>
      </c>
      <c r="L156" s="81">
        <v>765379279</v>
      </c>
      <c r="M156" s="82" t="s">
        <v>1224</v>
      </c>
      <c r="N156" s="392">
        <v>5</v>
      </c>
      <c r="O156" s="392">
        <v>9</v>
      </c>
      <c r="P156" s="392">
        <v>1995</v>
      </c>
      <c r="Q156" s="147">
        <f t="shared" si="112"/>
        <v>34947</v>
      </c>
      <c r="R156" s="92">
        <f t="shared" ca="1" si="113"/>
        <v>30.356164383561644</v>
      </c>
      <c r="S156" s="73" t="s">
        <v>50</v>
      </c>
      <c r="T156" s="73">
        <v>28</v>
      </c>
      <c r="U156" s="73">
        <v>8</v>
      </c>
      <c r="V156" s="73">
        <v>2019</v>
      </c>
      <c r="W156" s="148">
        <f t="shared" si="114"/>
        <v>43705</v>
      </c>
      <c r="X156" s="5" t="s">
        <v>38</v>
      </c>
      <c r="Y156" s="115"/>
      <c r="Z156" s="124">
        <f t="shared" ca="1" si="115"/>
        <v>6</v>
      </c>
      <c r="AA156" s="109">
        <f t="shared" ca="1" si="116"/>
        <v>4</v>
      </c>
      <c r="AB156" s="150">
        <f t="shared" ca="1" si="117"/>
        <v>8</v>
      </c>
      <c r="AC156" s="15" t="str">
        <f t="shared" ca="1" si="118"/>
        <v>6Years/4Months/8Days</v>
      </c>
      <c r="AD156" s="108">
        <f t="shared" si="119"/>
        <v>56862</v>
      </c>
      <c r="AE156" s="15">
        <f t="shared" ca="1" si="120"/>
        <v>29</v>
      </c>
      <c r="AF156" s="15">
        <f t="shared" ca="1" si="121"/>
        <v>8</v>
      </c>
      <c r="AG156" s="15">
        <f t="shared" ca="1" si="122"/>
        <v>0</v>
      </c>
      <c r="AH156" s="15" t="str">
        <f t="shared" ca="1" si="123"/>
        <v>29Years/8Months/0Days</v>
      </c>
      <c r="AI156" s="15" t="str">
        <f t="shared" si="124"/>
        <v>36years , 0months and 8days</v>
      </c>
      <c r="AJ156" s="15">
        <f t="shared" si="125"/>
        <v>36</v>
      </c>
      <c r="AK156" s="15">
        <f t="shared" si="126"/>
        <v>0</v>
      </c>
      <c r="AL156" s="15">
        <f t="shared" si="127"/>
        <v>8</v>
      </c>
      <c r="AO156" s="365" t="s">
        <v>2389</v>
      </c>
    </row>
    <row r="157" spans="1:41" ht="42.75" customHeight="1" x14ac:dyDescent="0.25">
      <c r="A157" s="73">
        <v>1</v>
      </c>
      <c r="B157" s="74" t="s">
        <v>1014</v>
      </c>
      <c r="C157" s="74" t="s">
        <v>1404</v>
      </c>
      <c r="D157" s="74" t="s">
        <v>1143</v>
      </c>
      <c r="E157" s="493" t="str">
        <f t="shared" si="111"/>
        <v>1/053/049/0192</v>
      </c>
      <c r="F157" s="75" t="s">
        <v>28</v>
      </c>
      <c r="G157" s="312" t="s">
        <v>1554</v>
      </c>
      <c r="H157" s="391" t="s">
        <v>42</v>
      </c>
      <c r="I157" s="390" t="s">
        <v>1565</v>
      </c>
      <c r="J157" s="294" t="s">
        <v>1225</v>
      </c>
      <c r="K157" s="178" t="s">
        <v>31</v>
      </c>
      <c r="L157" s="85">
        <v>774813442</v>
      </c>
      <c r="M157" s="94" t="s">
        <v>1226</v>
      </c>
      <c r="N157" s="392">
        <v>14</v>
      </c>
      <c r="O157" s="392">
        <v>11</v>
      </c>
      <c r="P157" s="392">
        <v>1982</v>
      </c>
      <c r="Q157" s="147">
        <f t="shared" si="112"/>
        <v>30269</v>
      </c>
      <c r="R157" s="92">
        <f t="shared" ca="1" si="113"/>
        <v>43.172602739726024</v>
      </c>
      <c r="S157" s="73" t="s">
        <v>50</v>
      </c>
      <c r="T157" s="73">
        <v>28</v>
      </c>
      <c r="U157" s="73">
        <v>8</v>
      </c>
      <c r="V157" s="73">
        <v>2019</v>
      </c>
      <c r="W157" s="148">
        <f t="shared" si="114"/>
        <v>43705</v>
      </c>
      <c r="X157" s="5" t="s">
        <v>38</v>
      </c>
      <c r="Y157" s="115"/>
      <c r="Z157" s="124">
        <f t="shared" ca="1" si="115"/>
        <v>6</v>
      </c>
      <c r="AA157" s="109">
        <f t="shared" ca="1" si="116"/>
        <v>4</v>
      </c>
      <c r="AB157" s="150">
        <f t="shared" ca="1" si="117"/>
        <v>8</v>
      </c>
      <c r="AC157" s="15" t="str">
        <f t="shared" ca="1" si="118"/>
        <v>6Years/4Months/8Days</v>
      </c>
      <c r="AD157" s="108">
        <f t="shared" si="119"/>
        <v>52184</v>
      </c>
      <c r="AE157" s="15">
        <f t="shared" ca="1" si="120"/>
        <v>16</v>
      </c>
      <c r="AF157" s="15">
        <f t="shared" ca="1" si="121"/>
        <v>10</v>
      </c>
      <c r="AG157" s="15">
        <f t="shared" ca="1" si="122"/>
        <v>9</v>
      </c>
      <c r="AH157" s="15" t="str">
        <f t="shared" ca="1" si="123"/>
        <v>16Years/10Months/9Days</v>
      </c>
      <c r="AI157" s="15" t="str">
        <f t="shared" si="124"/>
        <v>23years , 2months and 17days</v>
      </c>
      <c r="AJ157" s="15">
        <f t="shared" si="125"/>
        <v>23</v>
      </c>
      <c r="AK157" s="15">
        <f t="shared" si="126"/>
        <v>2</v>
      </c>
      <c r="AL157" s="15">
        <f t="shared" si="127"/>
        <v>17</v>
      </c>
      <c r="AO157" s="365" t="s">
        <v>2389</v>
      </c>
    </row>
    <row r="158" spans="1:41" ht="42.75" customHeight="1" x14ac:dyDescent="0.25">
      <c r="A158" s="73">
        <v>1</v>
      </c>
      <c r="B158" s="74" t="s">
        <v>1014</v>
      </c>
      <c r="C158" s="74" t="s">
        <v>1405</v>
      </c>
      <c r="D158" s="74" t="s">
        <v>1146</v>
      </c>
      <c r="E158" s="493" t="str">
        <f t="shared" si="111"/>
        <v>1/053/050/0193</v>
      </c>
      <c r="F158" s="75" t="s">
        <v>28</v>
      </c>
      <c r="G158" s="312" t="s">
        <v>1555</v>
      </c>
      <c r="H158" s="391" t="s">
        <v>42</v>
      </c>
      <c r="I158" s="390" t="s">
        <v>1566</v>
      </c>
      <c r="J158" s="294" t="s">
        <v>1228</v>
      </c>
      <c r="K158" s="178" t="s">
        <v>31</v>
      </c>
      <c r="L158" s="85">
        <v>779856383</v>
      </c>
      <c r="M158" s="94" t="s">
        <v>1229</v>
      </c>
      <c r="N158" s="392">
        <v>7</v>
      </c>
      <c r="O158" s="392">
        <v>1</v>
      </c>
      <c r="P158" s="392">
        <v>1972</v>
      </c>
      <c r="Q158" s="147">
        <f t="shared" si="112"/>
        <v>26305</v>
      </c>
      <c r="R158" s="92">
        <f t="shared" ca="1" si="113"/>
        <v>54.032876712328765</v>
      </c>
      <c r="S158" s="67" t="s">
        <v>34</v>
      </c>
      <c r="T158" s="73">
        <v>28</v>
      </c>
      <c r="U158" s="73">
        <v>8</v>
      </c>
      <c r="V158" s="73">
        <v>2019</v>
      </c>
      <c r="W158" s="148">
        <f t="shared" si="114"/>
        <v>43705</v>
      </c>
      <c r="X158" s="5" t="s">
        <v>38</v>
      </c>
      <c r="Y158" s="115"/>
      <c r="Z158" s="124">
        <f t="shared" ca="1" si="115"/>
        <v>6</v>
      </c>
      <c r="AA158" s="109">
        <f t="shared" ca="1" si="116"/>
        <v>4</v>
      </c>
      <c r="AB158" s="150">
        <f t="shared" ca="1" si="117"/>
        <v>8</v>
      </c>
      <c r="AC158" s="15" t="str">
        <f t="shared" ca="1" si="118"/>
        <v>6Years/4Months/8Days</v>
      </c>
      <c r="AD158" s="108">
        <f t="shared" si="119"/>
        <v>48220</v>
      </c>
      <c r="AE158" s="15">
        <f t="shared" ca="1" si="120"/>
        <v>6</v>
      </c>
      <c r="AF158" s="15">
        <f t="shared" ca="1" si="121"/>
        <v>0</v>
      </c>
      <c r="AG158" s="15">
        <f t="shared" ca="1" si="122"/>
        <v>2</v>
      </c>
      <c r="AH158" s="15" t="str">
        <f t="shared" ca="1" si="123"/>
        <v>6Years/0Months/2Days</v>
      </c>
      <c r="AI158" s="15" t="str">
        <f t="shared" si="124"/>
        <v>12years , 4months and 10days</v>
      </c>
      <c r="AJ158" s="15">
        <f t="shared" si="125"/>
        <v>12</v>
      </c>
      <c r="AK158" s="15">
        <f t="shared" si="126"/>
        <v>4</v>
      </c>
      <c r="AL158" s="15">
        <f t="shared" si="127"/>
        <v>10</v>
      </c>
      <c r="AO158" s="365" t="s">
        <v>2389</v>
      </c>
    </row>
    <row r="159" spans="1:41" ht="42.75" customHeight="1" x14ac:dyDescent="0.25">
      <c r="A159" s="73">
        <v>1</v>
      </c>
      <c r="B159" s="74" t="s">
        <v>1014</v>
      </c>
      <c r="C159" s="74" t="s">
        <v>306</v>
      </c>
      <c r="D159" s="74" t="s">
        <v>1151</v>
      </c>
      <c r="E159" s="493" t="str">
        <f t="shared" si="111"/>
        <v>1/053/052/0195</v>
      </c>
      <c r="F159" s="75" t="s">
        <v>28</v>
      </c>
      <c r="G159" s="312" t="s">
        <v>1557</v>
      </c>
      <c r="H159" s="391" t="s">
        <v>42</v>
      </c>
      <c r="I159" s="390" t="s">
        <v>1567</v>
      </c>
      <c r="J159" s="294" t="s">
        <v>1231</v>
      </c>
      <c r="K159" s="178" t="s">
        <v>31</v>
      </c>
      <c r="L159" s="81">
        <v>776271028</v>
      </c>
      <c r="M159" s="78" t="s">
        <v>1232</v>
      </c>
      <c r="N159" s="392">
        <v>16</v>
      </c>
      <c r="O159" s="392">
        <v>10</v>
      </c>
      <c r="P159" s="392">
        <v>1986</v>
      </c>
      <c r="Q159" s="147">
        <f t="shared" si="112"/>
        <v>31701</v>
      </c>
      <c r="R159" s="92">
        <f t="shared" ca="1" si="113"/>
        <v>39.249315068493154</v>
      </c>
      <c r="S159" s="73" t="s">
        <v>50</v>
      </c>
      <c r="T159" s="73">
        <v>28</v>
      </c>
      <c r="U159" s="73">
        <v>8</v>
      </c>
      <c r="V159" s="73">
        <v>2019</v>
      </c>
      <c r="W159" s="148">
        <f t="shared" si="114"/>
        <v>43705</v>
      </c>
      <c r="X159" s="5" t="s">
        <v>38</v>
      </c>
      <c r="Y159" s="115"/>
      <c r="Z159" s="124">
        <f t="shared" ca="1" si="115"/>
        <v>6</v>
      </c>
      <c r="AA159" s="109">
        <f t="shared" ca="1" si="116"/>
        <v>4</v>
      </c>
      <c r="AB159" s="150">
        <f t="shared" ca="1" si="117"/>
        <v>8</v>
      </c>
      <c r="AC159" s="15" t="str">
        <f t="shared" ca="1" si="118"/>
        <v>6Years/4Months/8Days</v>
      </c>
      <c r="AD159" s="108">
        <f t="shared" si="119"/>
        <v>53616</v>
      </c>
      <c r="AE159" s="15">
        <f t="shared" ca="1" si="120"/>
        <v>20</v>
      </c>
      <c r="AF159" s="15">
        <f t="shared" ca="1" si="121"/>
        <v>9</v>
      </c>
      <c r="AG159" s="15">
        <f t="shared" ca="1" si="122"/>
        <v>11</v>
      </c>
      <c r="AH159" s="15" t="str">
        <f t="shared" ca="1" si="123"/>
        <v>20Years/9Months/11Days</v>
      </c>
      <c r="AI159" s="15" t="str">
        <f t="shared" si="124"/>
        <v>27years , 1months and 18days</v>
      </c>
      <c r="AJ159" s="15">
        <f t="shared" si="125"/>
        <v>27</v>
      </c>
      <c r="AK159" s="15">
        <f t="shared" si="126"/>
        <v>1</v>
      </c>
      <c r="AL159" s="15">
        <f t="shared" si="127"/>
        <v>18</v>
      </c>
      <c r="AO159" s="365" t="s">
        <v>2389</v>
      </c>
    </row>
    <row r="160" spans="1:41" ht="31.5" customHeight="1" x14ac:dyDescent="0.25">
      <c r="A160" s="73">
        <v>1</v>
      </c>
      <c r="B160" s="74" t="s">
        <v>1014</v>
      </c>
      <c r="C160" s="74" t="s">
        <v>1406</v>
      </c>
      <c r="D160" s="74" t="s">
        <v>1154</v>
      </c>
      <c r="E160" s="493" t="str">
        <f t="shared" si="111"/>
        <v>1/053/054/0197</v>
      </c>
      <c r="F160" s="75" t="s">
        <v>28</v>
      </c>
      <c r="G160" s="312" t="s">
        <v>1559</v>
      </c>
      <c r="H160" s="391" t="s">
        <v>42</v>
      </c>
      <c r="I160" s="390" t="s">
        <v>1540</v>
      </c>
      <c r="J160" s="302" t="s">
        <v>1160</v>
      </c>
      <c r="K160" s="178" t="s">
        <v>31</v>
      </c>
      <c r="L160" s="79">
        <v>716019411</v>
      </c>
      <c r="M160" s="94" t="s">
        <v>1161</v>
      </c>
      <c r="N160" s="392">
        <v>25</v>
      </c>
      <c r="O160" s="392">
        <v>1</v>
      </c>
      <c r="P160" s="392">
        <v>1990</v>
      </c>
      <c r="Q160" s="147">
        <f t="shared" si="112"/>
        <v>32898</v>
      </c>
      <c r="R160" s="92">
        <f t="shared" ca="1" si="113"/>
        <v>35.969863013698628</v>
      </c>
      <c r="S160" s="73" t="s">
        <v>50</v>
      </c>
      <c r="T160" s="73">
        <v>16</v>
      </c>
      <c r="U160" s="73">
        <v>9</v>
      </c>
      <c r="V160" s="73">
        <v>2019</v>
      </c>
      <c r="W160" s="148">
        <f t="shared" si="114"/>
        <v>43724</v>
      </c>
      <c r="X160" s="5" t="s">
        <v>38</v>
      </c>
      <c r="Y160" s="115"/>
      <c r="Z160" s="124">
        <f t="shared" ca="1" si="115"/>
        <v>6</v>
      </c>
      <c r="AA160" s="109">
        <f t="shared" ca="1" si="116"/>
        <v>3</v>
      </c>
      <c r="AB160" s="150">
        <f t="shared" ca="1" si="117"/>
        <v>20</v>
      </c>
      <c r="AC160" s="15" t="str">
        <f t="shared" ca="1" si="118"/>
        <v>6Years/3Months/20Days</v>
      </c>
      <c r="AD160" s="108">
        <f t="shared" si="119"/>
        <v>54813</v>
      </c>
      <c r="AE160" s="15">
        <f t="shared" ca="1" si="120"/>
        <v>24</v>
      </c>
      <c r="AF160" s="15">
        <f t="shared" ca="1" si="121"/>
        <v>0</v>
      </c>
      <c r="AG160" s="15">
        <f t="shared" ca="1" si="122"/>
        <v>20</v>
      </c>
      <c r="AH160" s="15" t="str">
        <f t="shared" ca="1" si="123"/>
        <v>24Years/0Months/20Days</v>
      </c>
      <c r="AI160" s="15" t="str">
        <f t="shared" si="124"/>
        <v>30years , 4months and 9days</v>
      </c>
      <c r="AJ160" s="15">
        <f t="shared" si="125"/>
        <v>30</v>
      </c>
      <c r="AK160" s="15">
        <f t="shared" si="126"/>
        <v>4</v>
      </c>
      <c r="AL160" s="15">
        <f t="shared" si="127"/>
        <v>9</v>
      </c>
      <c r="AO160" s="434" t="s">
        <v>2390</v>
      </c>
    </row>
    <row r="161" spans="1:45" ht="31.5" customHeight="1" x14ac:dyDescent="0.25">
      <c r="A161" s="73">
        <v>1</v>
      </c>
      <c r="B161" s="74" t="s">
        <v>1014</v>
      </c>
      <c r="C161" s="74" t="s">
        <v>1407</v>
      </c>
      <c r="D161" s="74" t="s">
        <v>1157</v>
      </c>
      <c r="E161" s="493" t="str">
        <f t="shared" si="111"/>
        <v>1/053/055/0198</v>
      </c>
      <c r="F161" s="75" t="s">
        <v>28</v>
      </c>
      <c r="G161" s="312" t="s">
        <v>1560</v>
      </c>
      <c r="H161" s="391" t="s">
        <v>42</v>
      </c>
      <c r="I161" s="390" t="s">
        <v>1568</v>
      </c>
      <c r="J161" s="294" t="s">
        <v>1239</v>
      </c>
      <c r="K161" s="178" t="s">
        <v>31</v>
      </c>
      <c r="L161" s="81" t="s">
        <v>1240</v>
      </c>
      <c r="M161" s="78" t="s">
        <v>1241</v>
      </c>
      <c r="N161" s="392">
        <v>20</v>
      </c>
      <c r="O161" s="392">
        <v>5</v>
      </c>
      <c r="P161" s="392">
        <v>1992</v>
      </c>
      <c r="Q161" s="147">
        <f t="shared" si="112"/>
        <v>33744</v>
      </c>
      <c r="R161" s="92">
        <f t="shared" ca="1" si="113"/>
        <v>33.652054794520545</v>
      </c>
      <c r="S161" s="73" t="s">
        <v>50</v>
      </c>
      <c r="T161" s="73">
        <v>3</v>
      </c>
      <c r="U161" s="73">
        <v>1</v>
      </c>
      <c r="V161" s="73">
        <v>2020</v>
      </c>
      <c r="W161" s="148">
        <f t="shared" si="114"/>
        <v>43833</v>
      </c>
      <c r="X161" s="5" t="s">
        <v>38</v>
      </c>
      <c r="Y161" s="115"/>
      <c r="Z161" s="124">
        <f t="shared" ca="1" si="115"/>
        <v>6</v>
      </c>
      <c r="AA161" s="109">
        <f t="shared" ca="1" si="116"/>
        <v>0</v>
      </c>
      <c r="AB161" s="150">
        <f t="shared" ca="1" si="117"/>
        <v>2</v>
      </c>
      <c r="AC161" s="15" t="str">
        <f t="shared" ca="1" si="118"/>
        <v>6Years/0Months/2Days</v>
      </c>
      <c r="AD161" s="108">
        <f t="shared" si="119"/>
        <v>55659</v>
      </c>
      <c r="AE161" s="15">
        <f t="shared" ca="1" si="120"/>
        <v>26</v>
      </c>
      <c r="AF161" s="15">
        <f t="shared" ca="1" si="121"/>
        <v>4</v>
      </c>
      <c r="AG161" s="15">
        <f t="shared" ca="1" si="122"/>
        <v>15</v>
      </c>
      <c r="AH161" s="15" t="str">
        <f t="shared" ca="1" si="123"/>
        <v>26Years/4Months/15Days</v>
      </c>
      <c r="AI161" s="15" t="str">
        <f t="shared" si="124"/>
        <v>32years , 4months and 17days</v>
      </c>
      <c r="AJ161" s="15">
        <f t="shared" si="125"/>
        <v>32</v>
      </c>
      <c r="AK161" s="15">
        <f t="shared" si="126"/>
        <v>4</v>
      </c>
      <c r="AL161" s="15">
        <f t="shared" si="127"/>
        <v>17</v>
      </c>
      <c r="AO161" s="336"/>
    </row>
    <row r="162" spans="1:45" ht="31.5" customHeight="1" x14ac:dyDescent="0.25">
      <c r="A162" s="73">
        <v>1</v>
      </c>
      <c r="B162" s="74" t="s">
        <v>1014</v>
      </c>
      <c r="C162" s="74" t="s">
        <v>1409</v>
      </c>
      <c r="D162" s="74" t="s">
        <v>1162</v>
      </c>
      <c r="E162" s="493" t="str">
        <f t="shared" si="111"/>
        <v>1/053/057/0200</v>
      </c>
      <c r="F162" s="75" t="s">
        <v>28</v>
      </c>
      <c r="G162" s="312" t="s">
        <v>1562</v>
      </c>
      <c r="H162" s="391" t="s">
        <v>42</v>
      </c>
      <c r="I162" s="390" t="s">
        <v>1569</v>
      </c>
      <c r="J162" s="301" t="s">
        <v>1244</v>
      </c>
      <c r="K162" s="178" t="s">
        <v>31</v>
      </c>
      <c r="L162" s="77">
        <v>773474602</v>
      </c>
      <c r="M162" s="78" t="s">
        <v>1245</v>
      </c>
      <c r="N162" s="392">
        <v>26</v>
      </c>
      <c r="O162" s="392">
        <v>4</v>
      </c>
      <c r="P162" s="392">
        <v>1991</v>
      </c>
      <c r="Q162" s="147">
        <f t="shared" si="112"/>
        <v>33354</v>
      </c>
      <c r="R162" s="92">
        <f t="shared" ca="1" si="113"/>
        <v>34.720547945205482</v>
      </c>
      <c r="S162" s="73" t="s">
        <v>50</v>
      </c>
      <c r="T162" s="73">
        <v>16</v>
      </c>
      <c r="U162" s="73">
        <v>1</v>
      </c>
      <c r="V162" s="73">
        <v>2020</v>
      </c>
      <c r="W162" s="148">
        <f t="shared" si="114"/>
        <v>43846</v>
      </c>
      <c r="X162" s="48"/>
      <c r="Y162" s="115" t="s">
        <v>38</v>
      </c>
      <c r="Z162" s="124">
        <f t="shared" ca="1" si="115"/>
        <v>5</v>
      </c>
      <c r="AA162" s="109">
        <f t="shared" ca="1" si="116"/>
        <v>11</v>
      </c>
      <c r="AB162" s="150">
        <f t="shared" ca="1" si="117"/>
        <v>20</v>
      </c>
      <c r="AC162" s="15" t="str">
        <f t="shared" ca="1" si="118"/>
        <v>5Years/11Months/20Days</v>
      </c>
      <c r="AD162" s="108">
        <f t="shared" si="119"/>
        <v>55269</v>
      </c>
      <c r="AE162" s="15">
        <f t="shared" ca="1" si="120"/>
        <v>25</v>
      </c>
      <c r="AF162" s="15">
        <f t="shared" ca="1" si="121"/>
        <v>3</v>
      </c>
      <c r="AG162" s="15">
        <f t="shared" ca="1" si="122"/>
        <v>21</v>
      </c>
      <c r="AH162" s="15" t="str">
        <f t="shared" ca="1" si="123"/>
        <v>25Years/3Months/21Days</v>
      </c>
      <c r="AI162" s="15" t="str">
        <f t="shared" si="124"/>
        <v>31years , 3months and 10days</v>
      </c>
      <c r="AJ162" s="15">
        <f t="shared" si="125"/>
        <v>31</v>
      </c>
      <c r="AK162" s="15">
        <f t="shared" si="126"/>
        <v>3</v>
      </c>
      <c r="AL162" s="15">
        <f t="shared" si="127"/>
        <v>10</v>
      </c>
      <c r="AO162" s="336" t="s">
        <v>2388</v>
      </c>
    </row>
    <row r="163" spans="1:45" ht="31.5" customHeight="1" x14ac:dyDescent="0.25">
      <c r="A163" s="73">
        <v>1</v>
      </c>
      <c r="B163" s="74" t="s">
        <v>1014</v>
      </c>
      <c r="C163" s="74" t="s">
        <v>1410</v>
      </c>
      <c r="D163" s="74" t="s">
        <v>1163</v>
      </c>
      <c r="E163" s="493" t="str">
        <f t="shared" si="111"/>
        <v>1/053/058/0201</v>
      </c>
      <c r="F163" s="75" t="s">
        <v>28</v>
      </c>
      <c r="G163" s="312" t="s">
        <v>1563</v>
      </c>
      <c r="H163" s="391" t="s">
        <v>42</v>
      </c>
      <c r="I163" s="390" t="s">
        <v>1570</v>
      </c>
      <c r="J163" s="294">
        <v>200059803695</v>
      </c>
      <c r="K163" s="178" t="s">
        <v>31</v>
      </c>
      <c r="L163" s="77">
        <v>741184535</v>
      </c>
      <c r="M163" s="78" t="s">
        <v>1247</v>
      </c>
      <c r="N163" s="392">
        <v>7</v>
      </c>
      <c r="O163" s="392">
        <v>4</v>
      </c>
      <c r="P163" s="392">
        <v>2000</v>
      </c>
      <c r="Q163" s="147">
        <f t="shared" si="112"/>
        <v>36623</v>
      </c>
      <c r="R163" s="92">
        <f t="shared" ca="1" si="113"/>
        <v>25.764383561643836</v>
      </c>
      <c r="S163" s="73" t="s">
        <v>50</v>
      </c>
      <c r="T163" s="73">
        <v>24</v>
      </c>
      <c r="U163" s="73">
        <v>1</v>
      </c>
      <c r="V163" s="73">
        <v>2020</v>
      </c>
      <c r="W163" s="148">
        <f t="shared" si="114"/>
        <v>43854</v>
      </c>
      <c r="X163" s="48"/>
      <c r="Y163" s="115" t="s">
        <v>38</v>
      </c>
      <c r="Z163" s="124">
        <f t="shared" ca="1" si="115"/>
        <v>5</v>
      </c>
      <c r="AA163" s="109">
        <f t="shared" ca="1" si="116"/>
        <v>11</v>
      </c>
      <c r="AB163" s="150">
        <f t="shared" ca="1" si="117"/>
        <v>12</v>
      </c>
      <c r="AC163" s="15" t="str">
        <f t="shared" ca="1" si="118"/>
        <v>5Years/11Months/12Days</v>
      </c>
      <c r="AD163" s="108">
        <f t="shared" si="119"/>
        <v>58538</v>
      </c>
      <c r="AE163" s="15">
        <f t="shared" ca="1" si="120"/>
        <v>34</v>
      </c>
      <c r="AF163" s="15">
        <f t="shared" ca="1" si="121"/>
        <v>3</v>
      </c>
      <c r="AG163" s="15">
        <f t="shared" ca="1" si="122"/>
        <v>2</v>
      </c>
      <c r="AH163" s="15" t="str">
        <f t="shared" ca="1" si="123"/>
        <v>34Years/3Months/2Days</v>
      </c>
      <c r="AI163" s="15" t="str">
        <f t="shared" si="124"/>
        <v>40years , 2months and 14days</v>
      </c>
      <c r="AJ163" s="15">
        <f t="shared" si="125"/>
        <v>40</v>
      </c>
      <c r="AK163" s="15">
        <f t="shared" si="126"/>
        <v>2</v>
      </c>
      <c r="AL163" s="15">
        <f t="shared" si="127"/>
        <v>14</v>
      </c>
      <c r="AO163" s="336" t="s">
        <v>2388</v>
      </c>
    </row>
    <row r="164" spans="1:45" ht="31.5" customHeight="1" x14ac:dyDescent="0.25">
      <c r="A164" s="73">
        <v>1</v>
      </c>
      <c r="B164" s="74" t="s">
        <v>1014</v>
      </c>
      <c r="C164" s="74" t="s">
        <v>1411</v>
      </c>
      <c r="D164" s="74" t="s">
        <v>1166</v>
      </c>
      <c r="E164" s="493" t="str">
        <f t="shared" si="111"/>
        <v>1/053/059/0202</v>
      </c>
      <c r="F164" s="75"/>
      <c r="G164" s="312"/>
      <c r="H164" s="391"/>
      <c r="I164" s="390"/>
      <c r="J164" s="294"/>
      <c r="K164" s="178"/>
      <c r="L164" s="81"/>
      <c r="M164" s="78"/>
      <c r="N164" s="392"/>
      <c r="O164" s="392"/>
      <c r="P164" s="392"/>
      <c r="Q164" s="147"/>
      <c r="R164" s="92"/>
      <c r="S164" s="73"/>
      <c r="T164" s="73"/>
      <c r="U164" s="73"/>
      <c r="V164" s="73"/>
      <c r="W164" s="148"/>
      <c r="X164" s="48"/>
      <c r="Y164" s="115"/>
      <c r="Z164" s="124"/>
      <c r="AA164" s="109"/>
      <c r="AB164" s="150"/>
      <c r="AC164" s="15"/>
      <c r="AD164" s="108"/>
      <c r="AE164" s="15"/>
      <c r="AF164" s="15"/>
      <c r="AG164" s="15"/>
      <c r="AH164" s="15"/>
      <c r="AI164" s="15"/>
      <c r="AJ164" s="15"/>
      <c r="AK164" s="15"/>
      <c r="AL164" s="15"/>
      <c r="AO164" s="336"/>
    </row>
    <row r="165" spans="1:45" ht="31.5" customHeight="1" x14ac:dyDescent="0.25">
      <c r="A165" s="73">
        <v>1</v>
      </c>
      <c r="B165" s="74" t="s">
        <v>1014</v>
      </c>
      <c r="C165" s="74" t="s">
        <v>1413</v>
      </c>
      <c r="D165" s="74" t="s">
        <v>1173</v>
      </c>
      <c r="E165" s="493" t="str">
        <f t="shared" si="111"/>
        <v>1/053/061/0204</v>
      </c>
      <c r="F165" s="75" t="s">
        <v>40</v>
      </c>
      <c r="G165" s="312" t="s">
        <v>1573</v>
      </c>
      <c r="H165" s="391" t="s">
        <v>42</v>
      </c>
      <c r="I165" s="390" t="s">
        <v>1590</v>
      </c>
      <c r="J165" s="301" t="s">
        <v>1252</v>
      </c>
      <c r="K165" s="178" t="s">
        <v>31</v>
      </c>
      <c r="L165" s="77">
        <v>769262025</v>
      </c>
      <c r="M165" s="76" t="s">
        <v>1253</v>
      </c>
      <c r="N165" s="392">
        <v>31</v>
      </c>
      <c r="O165" s="392">
        <v>5</v>
      </c>
      <c r="P165" s="392">
        <v>1997</v>
      </c>
      <c r="Q165" s="147">
        <f t="shared" si="112"/>
        <v>35581</v>
      </c>
      <c r="R165" s="92">
        <f t="shared" ca="1" si="113"/>
        <v>28.61917808219178</v>
      </c>
      <c r="S165" s="73" t="s">
        <v>50</v>
      </c>
      <c r="T165" s="73">
        <v>27</v>
      </c>
      <c r="U165" s="73">
        <v>8</v>
      </c>
      <c r="V165" s="73">
        <v>2020</v>
      </c>
      <c r="W165" s="148">
        <f t="shared" si="114"/>
        <v>44070</v>
      </c>
      <c r="X165" s="48"/>
      <c r="Y165" s="115" t="s">
        <v>38</v>
      </c>
      <c r="Z165" s="124">
        <f t="shared" ca="1" si="115"/>
        <v>5</v>
      </c>
      <c r="AA165" s="109">
        <f t="shared" ca="1" si="116"/>
        <v>4</v>
      </c>
      <c r="AB165" s="150">
        <f t="shared" ca="1" si="117"/>
        <v>9</v>
      </c>
      <c r="AC165" s="15" t="str">
        <f t="shared" ca="1" si="118"/>
        <v>5Years/4Months/9Days</v>
      </c>
      <c r="AD165" s="108">
        <f t="shared" si="119"/>
        <v>57496</v>
      </c>
      <c r="AE165" s="15">
        <f t="shared" ca="1" si="120"/>
        <v>31</v>
      </c>
      <c r="AF165" s="15">
        <f t="shared" ca="1" si="121"/>
        <v>4</v>
      </c>
      <c r="AG165" s="15">
        <f t="shared" ca="1" si="122"/>
        <v>26</v>
      </c>
      <c r="AH165" s="15" t="str">
        <f t="shared" ca="1" si="123"/>
        <v>31Years/4Months/26Days</v>
      </c>
      <c r="AI165" s="15" t="str">
        <f t="shared" si="124"/>
        <v>36years , 9months and 4days</v>
      </c>
      <c r="AJ165" s="15">
        <f t="shared" si="125"/>
        <v>36</v>
      </c>
      <c r="AK165" s="15">
        <f t="shared" si="126"/>
        <v>9</v>
      </c>
      <c r="AL165" s="15">
        <f t="shared" si="127"/>
        <v>4</v>
      </c>
      <c r="AO165" s="336"/>
    </row>
    <row r="166" spans="1:45" ht="31.5" customHeight="1" x14ac:dyDescent="0.25">
      <c r="A166" s="73">
        <v>1</v>
      </c>
      <c r="B166" s="74" t="s">
        <v>1014</v>
      </c>
      <c r="C166" s="74" t="s">
        <v>1414</v>
      </c>
      <c r="D166" s="74" t="s">
        <v>1176</v>
      </c>
      <c r="E166" s="493" t="str">
        <f t="shared" si="111"/>
        <v>1/053/062/0205</v>
      </c>
      <c r="F166" s="75" t="s">
        <v>28</v>
      </c>
      <c r="G166" s="312" t="s">
        <v>1574</v>
      </c>
      <c r="H166" s="391" t="s">
        <v>42</v>
      </c>
      <c r="I166" s="390" t="s">
        <v>1591</v>
      </c>
      <c r="J166" s="301" t="s">
        <v>1255</v>
      </c>
      <c r="K166" s="178" t="s">
        <v>31</v>
      </c>
      <c r="L166" s="81" t="s">
        <v>1256</v>
      </c>
      <c r="M166" s="76" t="s">
        <v>1257</v>
      </c>
      <c r="N166" s="392">
        <v>25</v>
      </c>
      <c r="O166" s="392">
        <v>6</v>
      </c>
      <c r="P166" s="392">
        <v>1997</v>
      </c>
      <c r="Q166" s="147">
        <f t="shared" si="112"/>
        <v>35606</v>
      </c>
      <c r="R166" s="92">
        <f t="shared" ca="1" si="113"/>
        <v>28.550684931506851</v>
      </c>
      <c r="S166" s="73" t="s">
        <v>50</v>
      </c>
      <c r="T166" s="73">
        <v>27</v>
      </c>
      <c r="U166" s="73">
        <v>8</v>
      </c>
      <c r="V166" s="73">
        <v>2020</v>
      </c>
      <c r="W166" s="148">
        <f t="shared" si="114"/>
        <v>44070</v>
      </c>
      <c r="X166" s="5" t="s">
        <v>38</v>
      </c>
      <c r="Y166" s="115"/>
      <c r="Z166" s="124">
        <f t="shared" ca="1" si="115"/>
        <v>5</v>
      </c>
      <c r="AA166" s="109">
        <f t="shared" ca="1" si="116"/>
        <v>4</v>
      </c>
      <c r="AB166" s="150">
        <f t="shared" ca="1" si="117"/>
        <v>9</v>
      </c>
      <c r="AC166" s="15" t="str">
        <f t="shared" ca="1" si="118"/>
        <v>5Years/4Months/9Days</v>
      </c>
      <c r="AD166" s="108">
        <f t="shared" si="119"/>
        <v>57521</v>
      </c>
      <c r="AE166" s="15">
        <f t="shared" ca="1" si="120"/>
        <v>31</v>
      </c>
      <c r="AF166" s="15">
        <f t="shared" ca="1" si="121"/>
        <v>5</v>
      </c>
      <c r="AG166" s="15">
        <f t="shared" ca="1" si="122"/>
        <v>20</v>
      </c>
      <c r="AH166" s="15" t="str">
        <f t="shared" ca="1" si="123"/>
        <v>31Years/5Months/20Days</v>
      </c>
      <c r="AI166" s="15" t="str">
        <f t="shared" si="124"/>
        <v>36years , 9months and 29days</v>
      </c>
      <c r="AJ166" s="15">
        <f t="shared" si="125"/>
        <v>36</v>
      </c>
      <c r="AK166" s="15">
        <f t="shared" si="126"/>
        <v>9</v>
      </c>
      <c r="AL166" s="15">
        <f t="shared" si="127"/>
        <v>29</v>
      </c>
      <c r="AO166" s="336"/>
    </row>
    <row r="167" spans="1:45" ht="31.5" customHeight="1" x14ac:dyDescent="0.25">
      <c r="A167" s="73">
        <v>1</v>
      </c>
      <c r="B167" s="74" t="s">
        <v>1014</v>
      </c>
      <c r="C167" s="74" t="s">
        <v>1076</v>
      </c>
      <c r="D167" s="74" t="s">
        <v>1179</v>
      </c>
      <c r="E167" s="493" t="str">
        <f t="shared" si="111"/>
        <v>1/053/063/0206</v>
      </c>
      <c r="F167" s="75" t="s">
        <v>28</v>
      </c>
      <c r="G167" s="312" t="s">
        <v>1575</v>
      </c>
      <c r="H167" s="391" t="s">
        <v>42</v>
      </c>
      <c r="I167" s="390" t="s">
        <v>1592</v>
      </c>
      <c r="J167" s="301">
        <v>200082802582</v>
      </c>
      <c r="K167" s="178" t="s">
        <v>31</v>
      </c>
      <c r="L167" s="81">
        <v>713290903</v>
      </c>
      <c r="M167" s="76" t="s">
        <v>1259</v>
      </c>
      <c r="N167" s="392">
        <v>23</v>
      </c>
      <c r="O167" s="392">
        <v>11</v>
      </c>
      <c r="P167" s="392">
        <v>2000</v>
      </c>
      <c r="Q167" s="147">
        <f t="shared" si="112"/>
        <v>36853</v>
      </c>
      <c r="R167" s="92">
        <f t="shared" ca="1" si="113"/>
        <v>25.134246575342466</v>
      </c>
      <c r="S167" s="73" t="s">
        <v>50</v>
      </c>
      <c r="T167" s="73">
        <v>2</v>
      </c>
      <c r="U167" s="73">
        <v>9</v>
      </c>
      <c r="V167" s="73">
        <v>2020</v>
      </c>
      <c r="W167" s="148">
        <f t="shared" si="114"/>
        <v>44076</v>
      </c>
      <c r="X167" s="77"/>
      <c r="Y167" s="115" t="s">
        <v>38</v>
      </c>
      <c r="Z167" s="124">
        <f t="shared" ca="1" si="115"/>
        <v>5</v>
      </c>
      <c r="AA167" s="109">
        <f t="shared" ca="1" si="116"/>
        <v>4</v>
      </c>
      <c r="AB167" s="150">
        <f t="shared" ca="1" si="117"/>
        <v>3</v>
      </c>
      <c r="AC167" s="15" t="str">
        <f t="shared" ca="1" si="118"/>
        <v>5Years/4Months/3Days</v>
      </c>
      <c r="AD167" s="108">
        <f t="shared" si="119"/>
        <v>58768</v>
      </c>
      <c r="AE167" s="15">
        <f t="shared" ca="1" si="120"/>
        <v>34</v>
      </c>
      <c r="AF167" s="15">
        <f t="shared" ca="1" si="121"/>
        <v>10</v>
      </c>
      <c r="AG167" s="15">
        <f t="shared" ca="1" si="122"/>
        <v>18</v>
      </c>
      <c r="AH167" s="15" t="str">
        <f t="shared" ca="1" si="123"/>
        <v>34Years/10Months/18Days</v>
      </c>
      <c r="AI167" s="15" t="str">
        <f t="shared" si="124"/>
        <v>40years , 2months and 21days</v>
      </c>
      <c r="AJ167" s="15">
        <f t="shared" si="125"/>
        <v>40</v>
      </c>
      <c r="AK167" s="15">
        <f t="shared" si="126"/>
        <v>2</v>
      </c>
      <c r="AL167" s="15">
        <f t="shared" si="127"/>
        <v>21</v>
      </c>
      <c r="AO167" s="336" t="s">
        <v>2388</v>
      </c>
    </row>
    <row r="168" spans="1:45" ht="31.5" customHeight="1" x14ac:dyDescent="0.25">
      <c r="A168" s="73">
        <v>1</v>
      </c>
      <c r="B168" s="74" t="s">
        <v>1014</v>
      </c>
      <c r="C168" s="74" t="s">
        <v>1415</v>
      </c>
      <c r="D168" s="74" t="s">
        <v>1183</v>
      </c>
      <c r="E168" s="493" t="str">
        <f t="shared" si="111"/>
        <v>1/053/064/0207</v>
      </c>
      <c r="F168" s="75" t="s">
        <v>28</v>
      </c>
      <c r="G168" s="531" t="s">
        <v>1576</v>
      </c>
      <c r="H168" s="391" t="s">
        <v>42</v>
      </c>
      <c r="I168" s="390" t="s">
        <v>1593</v>
      </c>
      <c r="J168" s="301" t="s">
        <v>1261</v>
      </c>
      <c r="K168" s="178" t="s">
        <v>31</v>
      </c>
      <c r="L168" s="77">
        <v>722042593</v>
      </c>
      <c r="M168" s="76" t="s">
        <v>1262</v>
      </c>
      <c r="N168" s="392">
        <v>29</v>
      </c>
      <c r="O168" s="392">
        <v>7</v>
      </c>
      <c r="P168" s="392">
        <v>1966</v>
      </c>
      <c r="Q168" s="147">
        <f t="shared" si="112"/>
        <v>24317</v>
      </c>
      <c r="R168" s="537">
        <f t="shared" ca="1" si="113"/>
        <v>59.479452054794521</v>
      </c>
      <c r="S168" s="67" t="s">
        <v>34</v>
      </c>
      <c r="T168" s="73">
        <v>2</v>
      </c>
      <c r="U168" s="73">
        <v>10</v>
      </c>
      <c r="V168" s="73">
        <v>2020</v>
      </c>
      <c r="W168" s="148">
        <f t="shared" si="114"/>
        <v>44106</v>
      </c>
      <c r="X168" s="5" t="s">
        <v>38</v>
      </c>
      <c r="Y168" s="115"/>
      <c r="Z168" s="124">
        <f t="shared" ca="1" si="115"/>
        <v>5</v>
      </c>
      <c r="AA168" s="109">
        <f t="shared" ca="1" si="116"/>
        <v>3</v>
      </c>
      <c r="AB168" s="150">
        <f t="shared" ca="1" si="117"/>
        <v>3</v>
      </c>
      <c r="AC168" s="15" t="str">
        <f t="shared" ca="1" si="118"/>
        <v>5Years/3Months/3Days</v>
      </c>
      <c r="AD168" s="108">
        <f t="shared" si="119"/>
        <v>46232</v>
      </c>
      <c r="AE168" s="15">
        <f t="shared" ca="1" si="120"/>
        <v>0</v>
      </c>
      <c r="AF168" s="15">
        <f t="shared" ca="1" si="121"/>
        <v>6</v>
      </c>
      <c r="AG168" s="15">
        <f t="shared" ca="1" si="122"/>
        <v>24</v>
      </c>
      <c r="AH168" s="15" t="str">
        <f t="shared" ca="1" si="123"/>
        <v>0Years/6Months/24Days</v>
      </c>
      <c r="AI168" s="15" t="str">
        <f t="shared" si="124"/>
        <v>5years , 9months and 27days</v>
      </c>
      <c r="AJ168" s="15">
        <f t="shared" si="125"/>
        <v>5</v>
      </c>
      <c r="AK168" s="15">
        <f t="shared" si="126"/>
        <v>9</v>
      </c>
      <c r="AL168" s="15">
        <f t="shared" si="127"/>
        <v>27</v>
      </c>
      <c r="AO168" s="336"/>
    </row>
    <row r="169" spans="1:45" ht="31.5" customHeight="1" x14ac:dyDescent="0.25">
      <c r="A169" s="73">
        <v>1</v>
      </c>
      <c r="B169" s="74" t="s">
        <v>1014</v>
      </c>
      <c r="C169" s="74" t="s">
        <v>1416</v>
      </c>
      <c r="D169" s="74" t="s">
        <v>1187</v>
      </c>
      <c r="E169" s="493" t="str">
        <f t="shared" si="111"/>
        <v>1/053/065/0208</v>
      </c>
      <c r="F169" s="75" t="s">
        <v>40</v>
      </c>
      <c r="G169" s="312" t="s">
        <v>1577</v>
      </c>
      <c r="H169" s="391" t="s">
        <v>1585</v>
      </c>
      <c r="I169" s="390" t="s">
        <v>1594</v>
      </c>
      <c r="J169" s="299" t="s">
        <v>1267</v>
      </c>
      <c r="K169" s="178" t="s">
        <v>31</v>
      </c>
      <c r="L169" s="77">
        <v>775092610</v>
      </c>
      <c r="M169" s="78" t="s">
        <v>1268</v>
      </c>
      <c r="N169" s="392">
        <v>16</v>
      </c>
      <c r="O169" s="392">
        <v>2</v>
      </c>
      <c r="P169" s="392">
        <v>1993</v>
      </c>
      <c r="Q169" s="147">
        <f t="shared" si="112"/>
        <v>34016</v>
      </c>
      <c r="R169" s="92">
        <f t="shared" ca="1" si="113"/>
        <v>32.906849315068492</v>
      </c>
      <c r="S169" s="73" t="s">
        <v>50</v>
      </c>
      <c r="T169" s="73">
        <v>5</v>
      </c>
      <c r="U169" s="73">
        <v>10</v>
      </c>
      <c r="V169" s="73">
        <v>2020</v>
      </c>
      <c r="W169" s="148">
        <f t="shared" si="114"/>
        <v>44109</v>
      </c>
      <c r="X169" s="48"/>
      <c r="Y169" s="115" t="s">
        <v>38</v>
      </c>
      <c r="Z169" s="124">
        <f t="shared" ca="1" si="115"/>
        <v>5</v>
      </c>
      <c r="AA169" s="109">
        <f t="shared" ca="1" si="116"/>
        <v>3</v>
      </c>
      <c r="AB169" s="150">
        <f t="shared" ca="1" si="117"/>
        <v>0</v>
      </c>
      <c r="AC169" s="15" t="str">
        <f t="shared" ca="1" si="118"/>
        <v>5Years/3Months/0Days</v>
      </c>
      <c r="AD169" s="108">
        <f t="shared" si="119"/>
        <v>55931</v>
      </c>
      <c r="AE169" s="15">
        <f t="shared" ca="1" si="120"/>
        <v>27</v>
      </c>
      <c r="AF169" s="15">
        <f t="shared" ca="1" si="121"/>
        <v>1</v>
      </c>
      <c r="AG169" s="15">
        <f t="shared" ca="1" si="122"/>
        <v>11</v>
      </c>
      <c r="AH169" s="15" t="str">
        <f t="shared" ca="1" si="123"/>
        <v>27Years/1Months/11Days</v>
      </c>
      <c r="AI169" s="15" t="str">
        <f t="shared" si="124"/>
        <v>32years , 4months and 11days</v>
      </c>
      <c r="AJ169" s="15">
        <f t="shared" si="125"/>
        <v>32</v>
      </c>
      <c r="AK169" s="15">
        <f t="shared" si="126"/>
        <v>4</v>
      </c>
      <c r="AL169" s="15">
        <f t="shared" si="127"/>
        <v>11</v>
      </c>
      <c r="AO169" s="336"/>
    </row>
    <row r="170" spans="1:45" ht="31.5" customHeight="1" x14ac:dyDescent="0.25">
      <c r="A170" s="73">
        <v>1</v>
      </c>
      <c r="B170" s="74" t="s">
        <v>1014</v>
      </c>
      <c r="C170" s="74" t="s">
        <v>1027</v>
      </c>
      <c r="D170" s="74" t="s">
        <v>1191</v>
      </c>
      <c r="E170" s="493" t="str">
        <f t="shared" si="111"/>
        <v>1/053/066/0209</v>
      </c>
      <c r="F170" s="75" t="s">
        <v>28</v>
      </c>
      <c r="G170" s="312" t="s">
        <v>1578</v>
      </c>
      <c r="H170" s="391" t="s">
        <v>42</v>
      </c>
      <c r="I170" s="390" t="s">
        <v>1595</v>
      </c>
      <c r="J170" s="294" t="s">
        <v>1270</v>
      </c>
      <c r="K170" s="178" t="s">
        <v>31</v>
      </c>
      <c r="L170" s="81">
        <v>774944767</v>
      </c>
      <c r="M170" s="78" t="s">
        <v>1271</v>
      </c>
      <c r="N170" s="392">
        <v>15</v>
      </c>
      <c r="O170" s="392">
        <v>11</v>
      </c>
      <c r="P170" s="392">
        <v>1999</v>
      </c>
      <c r="Q170" s="147">
        <f t="shared" si="112"/>
        <v>36479</v>
      </c>
      <c r="R170" s="92">
        <f t="shared" ca="1" si="113"/>
        <v>26.158904109589042</v>
      </c>
      <c r="S170" s="73" t="s">
        <v>50</v>
      </c>
      <c r="T170" s="73">
        <v>2</v>
      </c>
      <c r="U170" s="73">
        <v>10</v>
      </c>
      <c r="V170" s="73">
        <v>2020</v>
      </c>
      <c r="W170" s="148">
        <f t="shared" si="114"/>
        <v>44106</v>
      </c>
      <c r="X170" s="5" t="s">
        <v>38</v>
      </c>
      <c r="Y170" s="115"/>
      <c r="Z170" s="124">
        <f t="shared" ca="1" si="115"/>
        <v>5</v>
      </c>
      <c r="AA170" s="109">
        <f t="shared" ca="1" si="116"/>
        <v>3</v>
      </c>
      <c r="AB170" s="150">
        <f t="shared" ca="1" si="117"/>
        <v>3</v>
      </c>
      <c r="AC170" s="15" t="str">
        <f t="shared" ca="1" si="118"/>
        <v>5Years/3Months/3Days</v>
      </c>
      <c r="AD170" s="108">
        <f t="shared" si="119"/>
        <v>58394</v>
      </c>
      <c r="AE170" s="15">
        <f t="shared" ca="1" si="120"/>
        <v>33</v>
      </c>
      <c r="AF170" s="15">
        <f t="shared" ca="1" si="121"/>
        <v>10</v>
      </c>
      <c r="AG170" s="15">
        <f t="shared" ca="1" si="122"/>
        <v>10</v>
      </c>
      <c r="AH170" s="15" t="str">
        <f t="shared" ca="1" si="123"/>
        <v>33Years/10Months/10Days</v>
      </c>
      <c r="AI170" s="15" t="str">
        <f t="shared" si="124"/>
        <v>39years , 1months and 13days</v>
      </c>
      <c r="AJ170" s="15">
        <f t="shared" si="125"/>
        <v>39</v>
      </c>
      <c r="AK170" s="15">
        <f t="shared" si="126"/>
        <v>1</v>
      </c>
      <c r="AL170" s="15">
        <f t="shared" si="127"/>
        <v>13</v>
      </c>
      <c r="AO170" s="336"/>
    </row>
    <row r="171" spans="1:45" ht="31.5" customHeight="1" x14ac:dyDescent="0.25">
      <c r="A171" s="73">
        <v>1</v>
      </c>
      <c r="B171" s="74" t="s">
        <v>1014</v>
      </c>
      <c r="C171" s="74" t="s">
        <v>1417</v>
      </c>
      <c r="D171" s="74" t="s">
        <v>1194</v>
      </c>
      <c r="E171" s="493" t="str">
        <f t="shared" si="111"/>
        <v>1/053/067/0210</v>
      </c>
      <c r="F171" s="75" t="s">
        <v>28</v>
      </c>
      <c r="G171" s="312" t="s">
        <v>1579</v>
      </c>
      <c r="H171" s="391" t="s">
        <v>42</v>
      </c>
      <c r="I171" s="390" t="s">
        <v>1596</v>
      </c>
      <c r="J171" s="294" t="s">
        <v>1273</v>
      </c>
      <c r="K171" s="72" t="s">
        <v>96</v>
      </c>
      <c r="L171" s="81">
        <v>740361144</v>
      </c>
      <c r="M171" s="76" t="s">
        <v>1274</v>
      </c>
      <c r="N171" s="392">
        <v>14</v>
      </c>
      <c r="O171" s="392">
        <v>11</v>
      </c>
      <c r="P171" s="392">
        <v>1998</v>
      </c>
      <c r="Q171" s="147">
        <f t="shared" si="112"/>
        <v>36113</v>
      </c>
      <c r="R171" s="92">
        <f t="shared" ca="1" si="113"/>
        <v>27.161643835616438</v>
      </c>
      <c r="S171" s="73" t="s">
        <v>50</v>
      </c>
      <c r="T171" s="73">
        <v>2</v>
      </c>
      <c r="U171" s="73">
        <v>10</v>
      </c>
      <c r="V171" s="73">
        <v>2020</v>
      </c>
      <c r="W171" s="148">
        <f t="shared" si="114"/>
        <v>44106</v>
      </c>
      <c r="X171" s="5" t="s">
        <v>38</v>
      </c>
      <c r="Y171" s="115"/>
      <c r="Z171" s="124">
        <f t="shared" ca="1" si="115"/>
        <v>5</v>
      </c>
      <c r="AA171" s="109">
        <f t="shared" ca="1" si="116"/>
        <v>3</v>
      </c>
      <c r="AB171" s="150">
        <f t="shared" ca="1" si="117"/>
        <v>3</v>
      </c>
      <c r="AC171" s="15" t="str">
        <f t="shared" ca="1" si="118"/>
        <v>5Years/3Months/3Days</v>
      </c>
      <c r="AD171" s="108">
        <f t="shared" si="119"/>
        <v>58028</v>
      </c>
      <c r="AE171" s="15">
        <f t="shared" ca="1" si="120"/>
        <v>32</v>
      </c>
      <c r="AF171" s="15">
        <f t="shared" ca="1" si="121"/>
        <v>10</v>
      </c>
      <c r="AG171" s="15">
        <f t="shared" ca="1" si="122"/>
        <v>9</v>
      </c>
      <c r="AH171" s="15" t="str">
        <f t="shared" ca="1" si="123"/>
        <v>32Years/10Months/9Days</v>
      </c>
      <c r="AI171" s="15" t="str">
        <f t="shared" si="124"/>
        <v>38years , 1months and 12days</v>
      </c>
      <c r="AJ171" s="15">
        <f t="shared" si="125"/>
        <v>38</v>
      </c>
      <c r="AK171" s="15">
        <f t="shared" si="126"/>
        <v>1</v>
      </c>
      <c r="AL171" s="15">
        <f t="shared" si="127"/>
        <v>12</v>
      </c>
      <c r="AO171" s="336"/>
    </row>
    <row r="172" spans="1:45" ht="31.5" customHeight="1" x14ac:dyDescent="0.25">
      <c r="A172" s="73">
        <v>1</v>
      </c>
      <c r="B172" s="74" t="s">
        <v>1014</v>
      </c>
      <c r="C172" s="74" t="s">
        <v>1418</v>
      </c>
      <c r="D172" s="74" t="s">
        <v>1199</v>
      </c>
      <c r="E172" s="493" t="str">
        <f t="shared" si="111"/>
        <v>1/053/069/0212</v>
      </c>
      <c r="F172" s="75" t="s">
        <v>40</v>
      </c>
      <c r="G172" s="318" t="s">
        <v>1581</v>
      </c>
      <c r="H172" s="391" t="s">
        <v>42</v>
      </c>
      <c r="I172" s="390" t="s">
        <v>1597</v>
      </c>
      <c r="J172" s="294">
        <v>199508200217</v>
      </c>
      <c r="K172" s="178" t="s">
        <v>31</v>
      </c>
      <c r="L172" s="81">
        <v>778199206</v>
      </c>
      <c r="M172" s="78" t="s">
        <v>1277</v>
      </c>
      <c r="N172" s="392">
        <v>22</v>
      </c>
      <c r="O172" s="392">
        <v>3</v>
      </c>
      <c r="P172" s="392">
        <v>1995</v>
      </c>
      <c r="Q172" s="147">
        <f t="shared" si="112"/>
        <v>34780</v>
      </c>
      <c r="R172" s="92">
        <f t="shared" ca="1" si="113"/>
        <v>30.813698630136987</v>
      </c>
      <c r="S172" s="67" t="s">
        <v>34</v>
      </c>
      <c r="T172" s="73">
        <v>8</v>
      </c>
      <c r="U172" s="73">
        <v>2</v>
      </c>
      <c r="V172" s="73">
        <v>2021</v>
      </c>
      <c r="W172" s="148">
        <f t="shared" si="114"/>
        <v>44235</v>
      </c>
      <c r="X172" s="77"/>
      <c r="Y172" s="115" t="s">
        <v>38</v>
      </c>
      <c r="Z172" s="124">
        <f t="shared" ca="1" si="115"/>
        <v>4</v>
      </c>
      <c r="AA172" s="109">
        <f t="shared" ca="1" si="116"/>
        <v>10</v>
      </c>
      <c r="AB172" s="150">
        <f t="shared" ca="1" si="117"/>
        <v>28</v>
      </c>
      <c r="AC172" s="15" t="str">
        <f t="shared" ca="1" si="118"/>
        <v>4Years/10Months/28Days</v>
      </c>
      <c r="AD172" s="108">
        <f t="shared" si="119"/>
        <v>56695</v>
      </c>
      <c r="AE172" s="15">
        <f t="shared" ca="1" si="120"/>
        <v>29</v>
      </c>
      <c r="AF172" s="15">
        <f t="shared" ca="1" si="121"/>
        <v>2</v>
      </c>
      <c r="AG172" s="15">
        <f t="shared" ca="1" si="122"/>
        <v>17</v>
      </c>
      <c r="AH172" s="15" t="str">
        <f t="shared" ca="1" si="123"/>
        <v>29Years/2Months/17Days</v>
      </c>
      <c r="AI172" s="15" t="str">
        <f t="shared" si="124"/>
        <v>34years , 1months and 14days</v>
      </c>
      <c r="AJ172" s="15">
        <f t="shared" si="125"/>
        <v>34</v>
      </c>
      <c r="AK172" s="15">
        <f t="shared" si="126"/>
        <v>1</v>
      </c>
      <c r="AL172" s="15">
        <f t="shared" si="127"/>
        <v>14</v>
      </c>
      <c r="AO172" s="336"/>
      <c r="AS172" s="336" t="s">
        <v>2391</v>
      </c>
    </row>
    <row r="173" spans="1:45" ht="31.5" customHeight="1" x14ac:dyDescent="0.25">
      <c r="A173" s="73">
        <v>1</v>
      </c>
      <c r="B173" s="74" t="s">
        <v>1014</v>
      </c>
      <c r="C173" s="74" t="s">
        <v>1419</v>
      </c>
      <c r="D173" s="74" t="s">
        <v>1202</v>
      </c>
      <c r="E173" s="493" t="str">
        <f t="shared" si="111"/>
        <v>1/053/070/0213</v>
      </c>
      <c r="F173" s="75" t="s">
        <v>40</v>
      </c>
      <c r="G173" s="312" t="s">
        <v>1582</v>
      </c>
      <c r="H173" s="391" t="s">
        <v>42</v>
      </c>
      <c r="I173" s="390" t="s">
        <v>1598</v>
      </c>
      <c r="J173" s="294" t="s">
        <v>1279</v>
      </c>
      <c r="K173" s="178" t="s">
        <v>31</v>
      </c>
      <c r="L173" s="81">
        <v>769015738</v>
      </c>
      <c r="M173" s="76" t="s">
        <v>1280</v>
      </c>
      <c r="N173" s="392">
        <v>26</v>
      </c>
      <c r="O173" s="392">
        <v>8</v>
      </c>
      <c r="P173" s="392">
        <v>1997</v>
      </c>
      <c r="Q173" s="147">
        <f t="shared" si="112"/>
        <v>35668</v>
      </c>
      <c r="R173" s="92">
        <f t="shared" ca="1" si="113"/>
        <v>28.38082191780822</v>
      </c>
      <c r="S173" s="73" t="s">
        <v>50</v>
      </c>
      <c r="T173" s="73">
        <v>18</v>
      </c>
      <c r="U173" s="73">
        <v>2</v>
      </c>
      <c r="V173" s="73">
        <v>2021</v>
      </c>
      <c r="W173" s="148">
        <f t="shared" si="114"/>
        <v>44245</v>
      </c>
      <c r="X173" s="77"/>
      <c r="Y173" s="115" t="s">
        <v>38</v>
      </c>
      <c r="Z173" s="124">
        <f t="shared" ca="1" si="115"/>
        <v>4</v>
      </c>
      <c r="AA173" s="109">
        <f t="shared" ca="1" si="116"/>
        <v>10</v>
      </c>
      <c r="AB173" s="150">
        <f t="shared" ca="1" si="117"/>
        <v>18</v>
      </c>
      <c r="AC173" s="15" t="str">
        <f t="shared" ca="1" si="118"/>
        <v>4Years/10Months/18Days</v>
      </c>
      <c r="AD173" s="108">
        <f t="shared" si="119"/>
        <v>57583</v>
      </c>
      <c r="AE173" s="15">
        <f t="shared" ca="1" si="120"/>
        <v>31</v>
      </c>
      <c r="AF173" s="15">
        <f t="shared" ca="1" si="121"/>
        <v>7</v>
      </c>
      <c r="AG173" s="15">
        <f t="shared" ca="1" si="122"/>
        <v>21</v>
      </c>
      <c r="AH173" s="15" t="str">
        <f t="shared" ca="1" si="123"/>
        <v>31Years/7Months/21Days</v>
      </c>
      <c r="AI173" s="15" t="str">
        <f t="shared" si="124"/>
        <v>36years , 6months and 8days</v>
      </c>
      <c r="AJ173" s="15">
        <f t="shared" si="125"/>
        <v>36</v>
      </c>
      <c r="AK173" s="15">
        <f t="shared" si="126"/>
        <v>6</v>
      </c>
      <c r="AL173" s="15">
        <f t="shared" si="127"/>
        <v>8</v>
      </c>
      <c r="AO173" s="336"/>
    </row>
    <row r="174" spans="1:45" ht="31.5" customHeight="1" x14ac:dyDescent="0.25">
      <c r="A174" s="73">
        <v>1</v>
      </c>
      <c r="B174" s="74" t="s">
        <v>1014</v>
      </c>
      <c r="C174" s="74" t="s">
        <v>1085</v>
      </c>
      <c r="D174" s="74" t="s">
        <v>1205</v>
      </c>
      <c r="E174" s="493" t="str">
        <f t="shared" si="111"/>
        <v>1/053/071/0214</v>
      </c>
      <c r="F174" s="75" t="s">
        <v>28</v>
      </c>
      <c r="G174" s="312" t="s">
        <v>1583</v>
      </c>
      <c r="H174" s="391" t="s">
        <v>42</v>
      </c>
      <c r="I174" s="390" t="s">
        <v>1599</v>
      </c>
      <c r="J174" s="294">
        <v>198008601292</v>
      </c>
      <c r="K174" s="178" t="s">
        <v>31</v>
      </c>
      <c r="L174" s="81">
        <v>777162910</v>
      </c>
      <c r="M174" s="76" t="s">
        <v>1282</v>
      </c>
      <c r="N174" s="392">
        <v>26</v>
      </c>
      <c r="O174" s="392">
        <v>3</v>
      </c>
      <c r="P174" s="392">
        <v>1980</v>
      </c>
      <c r="Q174" s="147">
        <f t="shared" si="112"/>
        <v>29306</v>
      </c>
      <c r="R174" s="92">
        <f t="shared" ca="1" si="113"/>
        <v>45.81095890410959</v>
      </c>
      <c r="S174" s="67" t="s">
        <v>34</v>
      </c>
      <c r="T174" s="73">
        <v>5</v>
      </c>
      <c r="U174" s="73">
        <v>4</v>
      </c>
      <c r="V174" s="73">
        <v>2021</v>
      </c>
      <c r="W174" s="148">
        <f t="shared" si="114"/>
        <v>44291</v>
      </c>
      <c r="X174" s="5" t="s">
        <v>38</v>
      </c>
      <c r="Y174" s="115"/>
      <c r="Z174" s="124">
        <f t="shared" ca="1" si="115"/>
        <v>4</v>
      </c>
      <c r="AA174" s="109">
        <f t="shared" ca="1" si="116"/>
        <v>9</v>
      </c>
      <c r="AB174" s="150">
        <f t="shared" ca="1" si="117"/>
        <v>0</v>
      </c>
      <c r="AC174" s="15" t="str">
        <f t="shared" ca="1" si="118"/>
        <v>4Years/9Months/0Days</v>
      </c>
      <c r="AD174" s="108">
        <f t="shared" si="119"/>
        <v>51221</v>
      </c>
      <c r="AE174" s="15">
        <f t="shared" ca="1" si="120"/>
        <v>14</v>
      </c>
      <c r="AF174" s="15">
        <f t="shared" ca="1" si="121"/>
        <v>2</v>
      </c>
      <c r="AG174" s="15">
        <f t="shared" ca="1" si="122"/>
        <v>21</v>
      </c>
      <c r="AH174" s="15" t="str">
        <f t="shared" ca="1" si="123"/>
        <v>14Years/2Months/21Days</v>
      </c>
      <c r="AI174" s="15" t="str">
        <f t="shared" si="124"/>
        <v>18years , 11months and 21days</v>
      </c>
      <c r="AJ174" s="15">
        <f t="shared" si="125"/>
        <v>18</v>
      </c>
      <c r="AK174" s="15">
        <f t="shared" si="126"/>
        <v>11</v>
      </c>
      <c r="AL174" s="15">
        <f t="shared" si="127"/>
        <v>21</v>
      </c>
      <c r="AO174" s="336"/>
      <c r="AS174" s="336" t="s">
        <v>2391</v>
      </c>
    </row>
    <row r="175" spans="1:45" ht="31.5" customHeight="1" x14ac:dyDescent="0.25">
      <c r="A175" s="73">
        <v>1</v>
      </c>
      <c r="B175" s="74" t="s">
        <v>1014</v>
      </c>
      <c r="C175" s="74" t="s">
        <v>1420</v>
      </c>
      <c r="D175" s="74" t="s">
        <v>1208</v>
      </c>
      <c r="E175" s="493" t="str">
        <f t="shared" si="111"/>
        <v>1/053/072/0215</v>
      </c>
      <c r="F175" s="75"/>
      <c r="G175" s="312"/>
      <c r="H175" s="391"/>
      <c r="I175" s="390"/>
      <c r="J175" s="294"/>
      <c r="K175" s="178"/>
      <c r="L175" s="81"/>
      <c r="M175" s="76"/>
      <c r="N175" s="392"/>
      <c r="O175" s="392"/>
      <c r="P175" s="392"/>
      <c r="Q175" s="147"/>
      <c r="R175" s="92"/>
      <c r="S175" s="73"/>
      <c r="T175" s="73"/>
      <c r="U175" s="73"/>
      <c r="V175" s="73"/>
      <c r="W175" s="148"/>
      <c r="X175" s="81"/>
      <c r="Y175" s="115"/>
      <c r="Z175" s="124"/>
      <c r="AA175" s="109"/>
      <c r="AB175" s="150"/>
      <c r="AC175" s="15"/>
      <c r="AD175" s="108"/>
      <c r="AE175" s="15"/>
      <c r="AF175" s="15"/>
      <c r="AG175" s="15"/>
      <c r="AH175" s="15"/>
      <c r="AI175" s="15"/>
      <c r="AJ175" s="15"/>
      <c r="AK175" s="15"/>
      <c r="AL175" s="15"/>
      <c r="AO175" s="336"/>
    </row>
    <row r="176" spans="1:45" ht="31.5" customHeight="1" x14ac:dyDescent="0.25">
      <c r="A176" s="73">
        <v>1</v>
      </c>
      <c r="B176" s="74" t="s">
        <v>1014</v>
      </c>
      <c r="C176" s="74" t="s">
        <v>1421</v>
      </c>
      <c r="D176" s="74" t="s">
        <v>1211</v>
      </c>
      <c r="E176" s="493" t="str">
        <f t="shared" si="111"/>
        <v>1/053/073/0216</v>
      </c>
      <c r="F176" s="75" t="s">
        <v>40</v>
      </c>
      <c r="G176" s="312" t="s">
        <v>1601</v>
      </c>
      <c r="H176" s="391" t="s">
        <v>42</v>
      </c>
      <c r="I176" s="390" t="s">
        <v>1610</v>
      </c>
      <c r="J176" s="294">
        <v>200150200569</v>
      </c>
      <c r="K176" s="178" t="s">
        <v>31</v>
      </c>
      <c r="L176" s="81" t="s">
        <v>1290</v>
      </c>
      <c r="M176" s="78" t="s">
        <v>1291</v>
      </c>
      <c r="N176" s="392">
        <v>2</v>
      </c>
      <c r="O176" s="392">
        <v>1</v>
      </c>
      <c r="P176" s="392">
        <v>2001</v>
      </c>
      <c r="Q176" s="147">
        <f t="shared" si="112"/>
        <v>36893</v>
      </c>
      <c r="R176" s="92">
        <f t="shared" ca="1" si="113"/>
        <v>25.024657534246575</v>
      </c>
      <c r="S176" s="73" t="s">
        <v>50</v>
      </c>
      <c r="T176" s="73">
        <v>25</v>
      </c>
      <c r="U176" s="73">
        <v>10</v>
      </c>
      <c r="V176" s="73">
        <v>2021</v>
      </c>
      <c r="W176" s="148">
        <f t="shared" si="114"/>
        <v>44494</v>
      </c>
      <c r="X176" s="81"/>
      <c r="Y176" s="115" t="s">
        <v>38</v>
      </c>
      <c r="Z176" s="124">
        <f t="shared" ca="1" si="115"/>
        <v>4</v>
      </c>
      <c r="AA176" s="109">
        <f t="shared" ca="1" si="116"/>
        <v>2</v>
      </c>
      <c r="AB176" s="150">
        <f t="shared" ca="1" si="117"/>
        <v>11</v>
      </c>
      <c r="AC176" s="15" t="str">
        <f t="shared" ca="1" si="118"/>
        <v>4Years/2Months/11Days</v>
      </c>
      <c r="AD176" s="108">
        <f t="shared" si="119"/>
        <v>58808</v>
      </c>
      <c r="AE176" s="15">
        <f t="shared" ca="1" si="120"/>
        <v>34</v>
      </c>
      <c r="AF176" s="15">
        <f t="shared" ca="1" si="121"/>
        <v>11</v>
      </c>
      <c r="AG176" s="15">
        <f t="shared" ca="1" si="122"/>
        <v>28</v>
      </c>
      <c r="AH176" s="15" t="str">
        <f t="shared" ca="1" si="123"/>
        <v>34Years/11Months/28Days</v>
      </c>
      <c r="AI176" s="15" t="str">
        <f t="shared" si="124"/>
        <v>39years , 2months and 8days</v>
      </c>
      <c r="AJ176" s="15">
        <f t="shared" si="125"/>
        <v>39</v>
      </c>
      <c r="AK176" s="15">
        <f t="shared" si="126"/>
        <v>2</v>
      </c>
      <c r="AL176" s="15">
        <f t="shared" si="127"/>
        <v>8</v>
      </c>
      <c r="AO176" s="336"/>
    </row>
    <row r="177" spans="1:41" ht="31.5" customHeight="1" x14ac:dyDescent="0.25">
      <c r="A177" s="73">
        <v>1</v>
      </c>
      <c r="B177" s="74" t="s">
        <v>1014</v>
      </c>
      <c r="C177" s="74" t="s">
        <v>1088</v>
      </c>
      <c r="D177" s="74" t="s">
        <v>1214</v>
      </c>
      <c r="E177" s="493" t="str">
        <f t="shared" si="111"/>
        <v>1/053/074/0217</v>
      </c>
      <c r="F177" s="75" t="s">
        <v>28</v>
      </c>
      <c r="G177" s="312" t="s">
        <v>1602</v>
      </c>
      <c r="H177" s="391" t="s">
        <v>42</v>
      </c>
      <c r="I177" s="390" t="s">
        <v>1611</v>
      </c>
      <c r="J177" s="294" t="s">
        <v>1292</v>
      </c>
      <c r="K177" s="178" t="s">
        <v>31</v>
      </c>
      <c r="L177" s="81">
        <v>779160827</v>
      </c>
      <c r="M177" s="76"/>
      <c r="N177" s="392">
        <v>6</v>
      </c>
      <c r="O177" s="392">
        <v>7</v>
      </c>
      <c r="P177" s="392">
        <v>1995</v>
      </c>
      <c r="Q177" s="147">
        <f t="shared" si="112"/>
        <v>34886</v>
      </c>
      <c r="R177" s="92">
        <f t="shared" ca="1" si="113"/>
        <v>30.523287671232875</v>
      </c>
      <c r="S177" s="73" t="s">
        <v>50</v>
      </c>
      <c r="T177" s="73">
        <v>5</v>
      </c>
      <c r="U177" s="73">
        <v>11</v>
      </c>
      <c r="V177" s="73">
        <v>2021</v>
      </c>
      <c r="W177" s="148">
        <f t="shared" si="114"/>
        <v>44505</v>
      </c>
      <c r="X177" s="81"/>
      <c r="Y177" s="115" t="s">
        <v>38</v>
      </c>
      <c r="Z177" s="124">
        <f t="shared" ca="1" si="115"/>
        <v>4</v>
      </c>
      <c r="AA177" s="109">
        <f t="shared" ca="1" si="116"/>
        <v>2</v>
      </c>
      <c r="AB177" s="150">
        <f t="shared" ca="1" si="117"/>
        <v>0</v>
      </c>
      <c r="AC177" s="15" t="str">
        <f t="shared" ca="1" si="118"/>
        <v>4Years/2Months/0Days</v>
      </c>
      <c r="AD177" s="108">
        <f t="shared" si="119"/>
        <v>56801</v>
      </c>
      <c r="AE177" s="15">
        <f t="shared" ca="1" si="120"/>
        <v>29</v>
      </c>
      <c r="AF177" s="15">
        <f t="shared" ca="1" si="121"/>
        <v>6</v>
      </c>
      <c r="AG177" s="15">
        <f t="shared" ca="1" si="122"/>
        <v>1</v>
      </c>
      <c r="AH177" s="15" t="str">
        <f t="shared" ca="1" si="123"/>
        <v>29Years/6Months/1Days</v>
      </c>
      <c r="AI177" s="15" t="str">
        <f t="shared" si="124"/>
        <v>33years , 8months and 1days</v>
      </c>
      <c r="AJ177" s="15">
        <f t="shared" si="125"/>
        <v>33</v>
      </c>
      <c r="AK177" s="15">
        <f t="shared" si="126"/>
        <v>8</v>
      </c>
      <c r="AL177" s="15">
        <f t="shared" si="127"/>
        <v>1</v>
      </c>
      <c r="AO177" s="336" t="s">
        <v>2392</v>
      </c>
    </row>
    <row r="178" spans="1:41" ht="31.5" customHeight="1" x14ac:dyDescent="0.25">
      <c r="A178" s="73">
        <v>1</v>
      </c>
      <c r="B178" s="74" t="s">
        <v>1014</v>
      </c>
      <c r="C178" s="74" t="s">
        <v>1422</v>
      </c>
      <c r="D178" s="74" t="s">
        <v>1219</v>
      </c>
      <c r="E178" s="493" t="str">
        <f t="shared" si="111"/>
        <v>1/053/076/0219</v>
      </c>
      <c r="F178" s="75" t="s">
        <v>28</v>
      </c>
      <c r="G178" s="312" t="s">
        <v>1604</v>
      </c>
      <c r="H178" s="391" t="s">
        <v>1586</v>
      </c>
      <c r="I178" s="390" t="s">
        <v>1612</v>
      </c>
      <c r="J178" s="301">
        <v>198071400086</v>
      </c>
      <c r="K178" s="178" t="s">
        <v>31</v>
      </c>
      <c r="L178" s="81">
        <v>716831266</v>
      </c>
      <c r="M178" s="78" t="s">
        <v>1293</v>
      </c>
      <c r="N178" s="392">
        <v>1</v>
      </c>
      <c r="O178" s="392">
        <v>8</v>
      </c>
      <c r="P178" s="392">
        <v>1980</v>
      </c>
      <c r="Q178" s="147">
        <f t="shared" ref="Q178:Q209" si="128">DATE(P178,O178,N178)</f>
        <v>29434</v>
      </c>
      <c r="R178" s="92">
        <f t="shared" ref="R178:R209" ca="1" si="129">($G$7-Q178)/365</f>
        <v>45.460273972602742</v>
      </c>
      <c r="S178" s="73" t="s">
        <v>50</v>
      </c>
      <c r="T178" s="73">
        <v>14</v>
      </c>
      <c r="U178" s="73">
        <v>11</v>
      </c>
      <c r="V178" s="73">
        <v>2021</v>
      </c>
      <c r="W178" s="148">
        <f t="shared" ref="W178:W209" si="130">DATE(V178,U178,T178)</f>
        <v>44514</v>
      </c>
      <c r="X178" s="5" t="s">
        <v>38</v>
      </c>
      <c r="Y178" s="115"/>
      <c r="Z178" s="124">
        <f t="shared" ref="Z178:Z202" ca="1" si="131">DATEDIF(W178,TODAY(),"Y")</f>
        <v>4</v>
      </c>
      <c r="AA178" s="109">
        <f t="shared" ref="AA178:AA202" ca="1" si="132">DATEDIF(W178,TODAY(),"YM")</f>
        <v>1</v>
      </c>
      <c r="AB178" s="150">
        <f t="shared" ref="AB178:AB202" ca="1" si="133">DATEDIF(W178,TODAY(),"MD")</f>
        <v>22</v>
      </c>
      <c r="AC178" s="15" t="str">
        <f t="shared" ref="AC178:AC202" ca="1" si="134">CONCATENATE(Z178,"Years","/",,AA178,"Months","/",AB178,"Days")</f>
        <v>4Years/1Months/22Days</v>
      </c>
      <c r="AD178" s="108">
        <f t="shared" ref="AD178:AD202" si="135">(DATE(P178,O178,N178)+21915)</f>
        <v>51349</v>
      </c>
      <c r="AE178" s="15">
        <f t="shared" ref="AE178:AE201" ca="1" si="136">DATEDIF(TODAY(),AD178,"Y")</f>
        <v>14</v>
      </c>
      <c r="AF178" s="15">
        <f t="shared" ref="AF178:AF201" ca="1" si="137">DATEDIF(TODAY(),AD178,"YM")</f>
        <v>6</v>
      </c>
      <c r="AG178" s="15">
        <f t="shared" ref="AG178:AG201" ca="1" si="138">DATEDIF(TODAY(),AD178,"MD")</f>
        <v>27</v>
      </c>
      <c r="AH178" s="15" t="str">
        <f t="shared" ref="AH178:AH201" ca="1" si="139">CONCATENATE(AE178,"Years","/",AF178,"Months","/",AG178,"Days")</f>
        <v>14Years/6Months/27Days</v>
      </c>
      <c r="AI178" s="15" t="str">
        <f t="shared" ref="AI178:AI201" si="140">CONCATENATE(AJ178,"years", " ",",", " ",AK178,"months ","and"," ",AL178,"days")</f>
        <v>18years , 8months and 18days</v>
      </c>
      <c r="AJ178" s="15">
        <f t="shared" ref="AJ178:AJ201" si="141">DATEDIF(W178,AD178,"Y")</f>
        <v>18</v>
      </c>
      <c r="AK178" s="15">
        <f t="shared" ref="AK178:AK201" si="142">DATEDIF(W178,AD178,"YM")</f>
        <v>8</v>
      </c>
      <c r="AL178" s="15">
        <f t="shared" ref="AL178:AL201" si="143">DATEDIF(W178,AD178,"MD")</f>
        <v>18</v>
      </c>
      <c r="AO178" s="336"/>
    </row>
    <row r="179" spans="1:41" ht="31.5" customHeight="1" x14ac:dyDescent="0.25">
      <c r="A179" s="73">
        <v>1</v>
      </c>
      <c r="B179" s="74" t="s">
        <v>1014</v>
      </c>
      <c r="C179" s="74" t="s">
        <v>1425</v>
      </c>
      <c r="D179" s="74" t="s">
        <v>1227</v>
      </c>
      <c r="E179" s="493" t="str">
        <f t="shared" si="111"/>
        <v>1/053/079/0222</v>
      </c>
      <c r="F179" s="75" t="s">
        <v>40</v>
      </c>
      <c r="G179" s="312" t="s">
        <v>1607</v>
      </c>
      <c r="H179" s="391" t="s">
        <v>1589</v>
      </c>
      <c r="I179" s="390" t="s">
        <v>1613</v>
      </c>
      <c r="J179" s="294" t="s">
        <v>1171</v>
      </c>
      <c r="K179" s="178" t="s">
        <v>31</v>
      </c>
      <c r="L179" s="77">
        <v>779298858</v>
      </c>
      <c r="M179" s="76" t="s">
        <v>1172</v>
      </c>
      <c r="N179" s="392">
        <v>5</v>
      </c>
      <c r="O179" s="392">
        <v>2</v>
      </c>
      <c r="P179" s="392">
        <v>1994</v>
      </c>
      <c r="Q179" s="147">
        <f t="shared" si="128"/>
        <v>34370</v>
      </c>
      <c r="R179" s="92">
        <f t="shared" ca="1" si="129"/>
        <v>31.936986301369863</v>
      </c>
      <c r="S179" s="73" t="s">
        <v>50</v>
      </c>
      <c r="T179" s="73">
        <v>14</v>
      </c>
      <c r="U179" s="73">
        <v>11</v>
      </c>
      <c r="V179" s="73">
        <v>2021</v>
      </c>
      <c r="W179" s="148">
        <f t="shared" si="130"/>
        <v>44514</v>
      </c>
      <c r="X179" s="83"/>
      <c r="Y179" s="115" t="s">
        <v>38</v>
      </c>
      <c r="Z179" s="124">
        <f t="shared" ca="1" si="131"/>
        <v>4</v>
      </c>
      <c r="AA179" s="109">
        <f t="shared" ca="1" si="132"/>
        <v>1</v>
      </c>
      <c r="AB179" s="150">
        <f t="shared" ca="1" si="133"/>
        <v>22</v>
      </c>
      <c r="AC179" s="15" t="str">
        <f t="shared" ca="1" si="134"/>
        <v>4Years/1Months/22Days</v>
      </c>
      <c r="AD179" s="108">
        <f t="shared" si="135"/>
        <v>56285</v>
      </c>
      <c r="AE179" s="15">
        <f t="shared" ca="1" si="136"/>
        <v>28</v>
      </c>
      <c r="AF179" s="15">
        <f t="shared" ca="1" si="137"/>
        <v>1</v>
      </c>
      <c r="AG179" s="15">
        <f t="shared" ca="1" si="138"/>
        <v>0</v>
      </c>
      <c r="AH179" s="15" t="str">
        <f t="shared" ca="1" si="139"/>
        <v>28Years/1Months/0Days</v>
      </c>
      <c r="AI179" s="15" t="str">
        <f t="shared" si="140"/>
        <v>32years , 2months and 22days</v>
      </c>
      <c r="AJ179" s="15">
        <f t="shared" si="141"/>
        <v>32</v>
      </c>
      <c r="AK179" s="15">
        <f t="shared" si="142"/>
        <v>2</v>
      </c>
      <c r="AL179" s="15">
        <f t="shared" si="143"/>
        <v>22</v>
      </c>
      <c r="AO179" s="336"/>
    </row>
    <row r="180" spans="1:41" ht="31.5" customHeight="1" x14ac:dyDescent="0.25">
      <c r="A180" s="73">
        <v>1</v>
      </c>
      <c r="B180" s="74" t="s">
        <v>1014</v>
      </c>
      <c r="C180" s="74" t="s">
        <v>1426</v>
      </c>
      <c r="D180" s="74" t="s">
        <v>1230</v>
      </c>
      <c r="E180" s="493" t="str">
        <f t="shared" si="111"/>
        <v>1/053/081/0224</v>
      </c>
      <c r="F180" s="75" t="s">
        <v>40</v>
      </c>
      <c r="G180" s="312" t="s">
        <v>1609</v>
      </c>
      <c r="H180" s="391" t="s">
        <v>42</v>
      </c>
      <c r="I180" s="390" t="s">
        <v>1614</v>
      </c>
      <c r="J180" s="294" t="s">
        <v>1294</v>
      </c>
      <c r="K180" s="178" t="s">
        <v>31</v>
      </c>
      <c r="L180" s="81">
        <v>778545650</v>
      </c>
      <c r="M180" s="78" t="s">
        <v>1295</v>
      </c>
      <c r="N180" s="392">
        <v>22</v>
      </c>
      <c r="O180" s="392">
        <v>12</v>
      </c>
      <c r="P180" s="392">
        <v>1995</v>
      </c>
      <c r="Q180" s="147">
        <f t="shared" si="128"/>
        <v>35055</v>
      </c>
      <c r="R180" s="92">
        <f t="shared" ca="1" si="129"/>
        <v>30.06027397260274</v>
      </c>
      <c r="S180" s="67" t="s">
        <v>34</v>
      </c>
      <c r="T180" s="73">
        <v>6</v>
      </c>
      <c r="U180" s="73">
        <v>12</v>
      </c>
      <c r="V180" s="73">
        <v>2021</v>
      </c>
      <c r="W180" s="148">
        <f t="shared" si="130"/>
        <v>44536</v>
      </c>
      <c r="X180" s="81"/>
      <c r="Y180" s="115" t="s">
        <v>38</v>
      </c>
      <c r="Z180" s="124">
        <f t="shared" ca="1" si="131"/>
        <v>4</v>
      </c>
      <c r="AA180" s="109">
        <f t="shared" ca="1" si="132"/>
        <v>0</v>
      </c>
      <c r="AB180" s="150">
        <f t="shared" ca="1" si="133"/>
        <v>30</v>
      </c>
      <c r="AC180" s="15" t="str">
        <f t="shared" ca="1" si="134"/>
        <v>4Years/0Months/30Days</v>
      </c>
      <c r="AD180" s="108">
        <f t="shared" si="135"/>
        <v>56970</v>
      </c>
      <c r="AE180" s="15">
        <f t="shared" ca="1" si="136"/>
        <v>29</v>
      </c>
      <c r="AF180" s="15">
        <f t="shared" ca="1" si="137"/>
        <v>11</v>
      </c>
      <c r="AG180" s="15">
        <f t="shared" ca="1" si="138"/>
        <v>17</v>
      </c>
      <c r="AH180" s="15" t="str">
        <f t="shared" ca="1" si="139"/>
        <v>29Years/11Months/17Days</v>
      </c>
      <c r="AI180" s="15" t="str">
        <f t="shared" si="140"/>
        <v>34years , 0months and 16days</v>
      </c>
      <c r="AJ180" s="15">
        <f t="shared" si="141"/>
        <v>34</v>
      </c>
      <c r="AK180" s="15">
        <f t="shared" si="142"/>
        <v>0</v>
      </c>
      <c r="AL180" s="15">
        <f t="shared" si="143"/>
        <v>16</v>
      </c>
      <c r="AO180" s="336"/>
    </row>
    <row r="181" spans="1:41" ht="31.5" customHeight="1" x14ac:dyDescent="0.25">
      <c r="A181" s="73">
        <v>1</v>
      </c>
      <c r="B181" s="74" t="s">
        <v>1014</v>
      </c>
      <c r="C181" s="74" t="s">
        <v>1101</v>
      </c>
      <c r="D181" s="74" t="s">
        <v>1233</v>
      </c>
      <c r="E181" s="493" t="str">
        <f t="shared" si="111"/>
        <v>1/053/082/0225</v>
      </c>
      <c r="F181" s="75" t="s">
        <v>28</v>
      </c>
      <c r="G181" s="312" t="s">
        <v>1615</v>
      </c>
      <c r="H181" s="391" t="s">
        <v>42</v>
      </c>
      <c r="I181" s="390" t="s">
        <v>1628</v>
      </c>
      <c r="J181" s="294">
        <v>200284510344</v>
      </c>
      <c r="K181" s="178" t="s">
        <v>31</v>
      </c>
      <c r="L181" s="81">
        <v>701533870</v>
      </c>
      <c r="M181" s="78" t="s">
        <v>1296</v>
      </c>
      <c r="N181" s="392">
        <v>10</v>
      </c>
      <c r="O181" s="392">
        <v>12</v>
      </c>
      <c r="P181" s="392">
        <v>2002</v>
      </c>
      <c r="Q181" s="147">
        <f t="shared" si="128"/>
        <v>37600</v>
      </c>
      <c r="R181" s="92">
        <f t="shared" ca="1" si="129"/>
        <v>23.087671232876712</v>
      </c>
      <c r="S181" s="73" t="s">
        <v>50</v>
      </c>
      <c r="T181" s="73">
        <v>3</v>
      </c>
      <c r="U181" s="73">
        <v>1</v>
      </c>
      <c r="V181" s="73">
        <v>2022</v>
      </c>
      <c r="W181" s="148">
        <f t="shared" si="130"/>
        <v>44564</v>
      </c>
      <c r="X181" s="81"/>
      <c r="Y181" s="115" t="s">
        <v>38</v>
      </c>
      <c r="Z181" s="124">
        <f t="shared" ca="1" si="131"/>
        <v>4</v>
      </c>
      <c r="AA181" s="109">
        <f t="shared" ca="1" si="132"/>
        <v>0</v>
      </c>
      <c r="AB181" s="150">
        <f t="shared" ca="1" si="133"/>
        <v>2</v>
      </c>
      <c r="AC181" s="15" t="str">
        <f t="shared" ca="1" si="134"/>
        <v>4Years/0Months/2Days</v>
      </c>
      <c r="AD181" s="108">
        <f t="shared" si="135"/>
        <v>59515</v>
      </c>
      <c r="AE181" s="15">
        <f t="shared" ca="1" si="136"/>
        <v>36</v>
      </c>
      <c r="AF181" s="15">
        <f t="shared" ca="1" si="137"/>
        <v>11</v>
      </c>
      <c r="AG181" s="15">
        <f t="shared" ca="1" si="138"/>
        <v>5</v>
      </c>
      <c r="AH181" s="15" t="str">
        <f t="shared" ca="1" si="139"/>
        <v>36Years/11Months/5Days</v>
      </c>
      <c r="AI181" s="15" t="str">
        <f t="shared" si="140"/>
        <v>40years , 11months and 7days</v>
      </c>
      <c r="AJ181" s="15">
        <f t="shared" si="141"/>
        <v>40</v>
      </c>
      <c r="AK181" s="15">
        <f t="shared" si="142"/>
        <v>11</v>
      </c>
      <c r="AL181" s="15">
        <f t="shared" si="143"/>
        <v>7</v>
      </c>
      <c r="AO181" s="336" t="s">
        <v>2393</v>
      </c>
    </row>
    <row r="182" spans="1:41" ht="31.5" customHeight="1" x14ac:dyDescent="0.25">
      <c r="A182" s="73">
        <v>1</v>
      </c>
      <c r="B182" s="74" t="s">
        <v>1014</v>
      </c>
      <c r="C182" s="74" t="s">
        <v>1427</v>
      </c>
      <c r="D182" s="74" t="s">
        <v>1234</v>
      </c>
      <c r="E182" s="493" t="str">
        <f t="shared" si="111"/>
        <v>1/053/083/0226</v>
      </c>
      <c r="F182" s="169" t="s">
        <v>28</v>
      </c>
      <c r="G182" s="325" t="s">
        <v>1616</v>
      </c>
      <c r="H182" s="391" t="s">
        <v>42</v>
      </c>
      <c r="I182" s="390" t="s">
        <v>1629</v>
      </c>
      <c r="J182" s="301" t="s">
        <v>1297</v>
      </c>
      <c r="K182" s="178" t="s">
        <v>31</v>
      </c>
      <c r="L182" s="77">
        <v>779841619</v>
      </c>
      <c r="M182" s="76" t="s">
        <v>1298</v>
      </c>
      <c r="N182" s="392">
        <v>4</v>
      </c>
      <c r="O182" s="392">
        <v>3</v>
      </c>
      <c r="P182" s="392">
        <v>1977</v>
      </c>
      <c r="Q182" s="147">
        <f t="shared" si="128"/>
        <v>28188</v>
      </c>
      <c r="R182" s="92">
        <f t="shared" ca="1" si="129"/>
        <v>48.873972602739727</v>
      </c>
      <c r="S182" s="73" t="s">
        <v>50</v>
      </c>
      <c r="T182" s="73">
        <v>3</v>
      </c>
      <c r="U182" s="73">
        <v>1</v>
      </c>
      <c r="V182" s="73">
        <v>2022</v>
      </c>
      <c r="W182" s="148">
        <f t="shared" si="130"/>
        <v>44564</v>
      </c>
      <c r="X182" s="77"/>
      <c r="Y182" s="115" t="s">
        <v>38</v>
      </c>
      <c r="Z182" s="124">
        <f t="shared" ca="1" si="131"/>
        <v>4</v>
      </c>
      <c r="AA182" s="109">
        <f t="shared" ca="1" si="132"/>
        <v>0</v>
      </c>
      <c r="AB182" s="150">
        <f t="shared" ca="1" si="133"/>
        <v>2</v>
      </c>
      <c r="AC182" s="15" t="str">
        <f t="shared" ca="1" si="134"/>
        <v>4Years/0Months/2Days</v>
      </c>
      <c r="AD182" s="108">
        <f t="shared" si="135"/>
        <v>50103</v>
      </c>
      <c r="AE182" s="15">
        <f t="shared" ca="1" si="136"/>
        <v>11</v>
      </c>
      <c r="AF182" s="15">
        <f t="shared" ca="1" si="137"/>
        <v>1</v>
      </c>
      <c r="AG182" s="15">
        <f t="shared" ca="1" si="138"/>
        <v>27</v>
      </c>
      <c r="AH182" s="15" t="str">
        <f t="shared" ca="1" si="139"/>
        <v>11Years/1Months/27Days</v>
      </c>
      <c r="AI182" s="15" t="str">
        <f t="shared" si="140"/>
        <v>15years , 2months and 1days</v>
      </c>
      <c r="AJ182" s="15">
        <f t="shared" si="141"/>
        <v>15</v>
      </c>
      <c r="AK182" s="15">
        <f t="shared" si="142"/>
        <v>2</v>
      </c>
      <c r="AL182" s="15">
        <f t="shared" si="143"/>
        <v>1</v>
      </c>
      <c r="AO182" s="336" t="s">
        <v>2394</v>
      </c>
    </row>
    <row r="183" spans="1:41" ht="31.5" customHeight="1" x14ac:dyDescent="0.25">
      <c r="A183" s="73">
        <v>1</v>
      </c>
      <c r="B183" s="74" t="s">
        <v>1014</v>
      </c>
      <c r="C183" s="74" t="s">
        <v>1428</v>
      </c>
      <c r="D183" s="74" t="s">
        <v>1235</v>
      </c>
      <c r="E183" s="493" t="str">
        <f t="shared" si="111"/>
        <v>1/053/084/0227</v>
      </c>
      <c r="F183" s="75" t="s">
        <v>54</v>
      </c>
      <c r="G183" s="312" t="s">
        <v>1617</v>
      </c>
      <c r="H183" s="391" t="s">
        <v>42</v>
      </c>
      <c r="I183" s="390" t="s">
        <v>1630</v>
      </c>
      <c r="J183" s="301" t="s">
        <v>1299</v>
      </c>
      <c r="K183" s="178" t="s">
        <v>31</v>
      </c>
      <c r="L183" s="77">
        <v>773963727</v>
      </c>
      <c r="M183" s="76" t="s">
        <v>1300</v>
      </c>
      <c r="N183" s="392">
        <v>1</v>
      </c>
      <c r="O183" s="392">
        <v>2</v>
      </c>
      <c r="P183" s="392">
        <v>1991</v>
      </c>
      <c r="Q183" s="147">
        <f t="shared" si="128"/>
        <v>33270</v>
      </c>
      <c r="R183" s="92">
        <f t="shared" ca="1" si="129"/>
        <v>34.950684931506849</v>
      </c>
      <c r="S183" s="73" t="s">
        <v>50</v>
      </c>
      <c r="T183" s="73">
        <v>25</v>
      </c>
      <c r="U183" s="73">
        <v>4</v>
      </c>
      <c r="V183" s="73">
        <v>2022</v>
      </c>
      <c r="W183" s="148">
        <f t="shared" si="130"/>
        <v>44676</v>
      </c>
      <c r="X183" s="77"/>
      <c r="Y183" s="115" t="s">
        <v>38</v>
      </c>
      <c r="Z183" s="124">
        <f t="shared" ca="1" si="131"/>
        <v>3</v>
      </c>
      <c r="AA183" s="109">
        <f t="shared" ca="1" si="132"/>
        <v>8</v>
      </c>
      <c r="AB183" s="150">
        <f t="shared" ca="1" si="133"/>
        <v>11</v>
      </c>
      <c r="AC183" s="15" t="str">
        <f t="shared" ca="1" si="134"/>
        <v>3Years/8Months/11Days</v>
      </c>
      <c r="AD183" s="108">
        <f t="shared" si="135"/>
        <v>55185</v>
      </c>
      <c r="AE183" s="15">
        <f t="shared" ca="1" si="136"/>
        <v>25</v>
      </c>
      <c r="AF183" s="15">
        <f t="shared" ca="1" si="137"/>
        <v>0</v>
      </c>
      <c r="AG183" s="15">
        <f t="shared" ca="1" si="138"/>
        <v>27</v>
      </c>
      <c r="AH183" s="15" t="str">
        <f t="shared" ca="1" si="139"/>
        <v>25Years/0Months/27Days</v>
      </c>
      <c r="AI183" s="15" t="str">
        <f t="shared" si="140"/>
        <v>28years , 9months and 7days</v>
      </c>
      <c r="AJ183" s="15">
        <f t="shared" si="141"/>
        <v>28</v>
      </c>
      <c r="AK183" s="15">
        <f t="shared" si="142"/>
        <v>9</v>
      </c>
      <c r="AL183" s="15">
        <f t="shared" si="143"/>
        <v>7</v>
      </c>
      <c r="AO183" s="336"/>
    </row>
    <row r="184" spans="1:41" ht="31.5" customHeight="1" x14ac:dyDescent="0.25">
      <c r="A184" s="73">
        <v>1</v>
      </c>
      <c r="B184" s="74" t="s">
        <v>1014</v>
      </c>
      <c r="C184" s="74" t="s">
        <v>1429</v>
      </c>
      <c r="D184" s="74" t="s">
        <v>1238</v>
      </c>
      <c r="E184" s="493" t="str">
        <f t="shared" si="111"/>
        <v>1/053/085/0228</v>
      </c>
      <c r="F184" s="75" t="s">
        <v>28</v>
      </c>
      <c r="G184" s="312" t="s">
        <v>1618</v>
      </c>
      <c r="H184" s="391" t="s">
        <v>42</v>
      </c>
      <c r="I184" s="390" t="s">
        <v>1631</v>
      </c>
      <c r="J184" s="301" t="s">
        <v>1301</v>
      </c>
      <c r="K184" s="72" t="s">
        <v>96</v>
      </c>
      <c r="L184" s="77">
        <v>779087732</v>
      </c>
      <c r="M184" s="76" t="s">
        <v>1302</v>
      </c>
      <c r="N184" s="392">
        <v>25</v>
      </c>
      <c r="O184" s="392">
        <v>9</v>
      </c>
      <c r="P184" s="392">
        <v>1988</v>
      </c>
      <c r="Q184" s="147">
        <f t="shared" si="128"/>
        <v>32411</v>
      </c>
      <c r="R184" s="92">
        <f t="shared" ca="1" si="129"/>
        <v>37.304109589041097</v>
      </c>
      <c r="S184" s="73" t="s">
        <v>50</v>
      </c>
      <c r="T184" s="73">
        <v>17</v>
      </c>
      <c r="U184" s="73">
        <v>5</v>
      </c>
      <c r="V184" s="73">
        <v>2022</v>
      </c>
      <c r="W184" s="148">
        <f t="shared" si="130"/>
        <v>44698</v>
      </c>
      <c r="X184" s="77"/>
      <c r="Y184" s="115" t="s">
        <v>38</v>
      </c>
      <c r="Z184" s="124">
        <f t="shared" ca="1" si="131"/>
        <v>3</v>
      </c>
      <c r="AA184" s="109">
        <f t="shared" ca="1" si="132"/>
        <v>7</v>
      </c>
      <c r="AB184" s="150">
        <f t="shared" ca="1" si="133"/>
        <v>19</v>
      </c>
      <c r="AC184" s="15" t="str">
        <f t="shared" ca="1" si="134"/>
        <v>3Years/7Months/19Days</v>
      </c>
      <c r="AD184" s="108">
        <f t="shared" si="135"/>
        <v>54326</v>
      </c>
      <c r="AE184" s="15">
        <f t="shared" ca="1" si="136"/>
        <v>22</v>
      </c>
      <c r="AF184" s="15">
        <f t="shared" ca="1" si="137"/>
        <v>8</v>
      </c>
      <c r="AG184" s="15">
        <f t="shared" ca="1" si="138"/>
        <v>20</v>
      </c>
      <c r="AH184" s="15" t="str">
        <f t="shared" ca="1" si="139"/>
        <v>22Years/8Months/20Days</v>
      </c>
      <c r="AI184" s="15" t="str">
        <f t="shared" si="140"/>
        <v>26years , 4months and 8days</v>
      </c>
      <c r="AJ184" s="15">
        <f t="shared" si="141"/>
        <v>26</v>
      </c>
      <c r="AK184" s="15">
        <f t="shared" si="142"/>
        <v>4</v>
      </c>
      <c r="AL184" s="15">
        <f t="shared" si="143"/>
        <v>8</v>
      </c>
      <c r="AO184" s="336" t="s">
        <v>2395</v>
      </c>
    </row>
    <row r="185" spans="1:41" s="328" customFormat="1" ht="31.5" customHeight="1" x14ac:dyDescent="0.25">
      <c r="A185" s="73">
        <v>1</v>
      </c>
      <c r="B185" s="74" t="s">
        <v>1014</v>
      </c>
      <c r="C185" s="74" t="s">
        <v>1104</v>
      </c>
      <c r="D185" s="74" t="s">
        <v>1242</v>
      </c>
      <c r="E185" s="493" t="str">
        <f t="shared" si="111"/>
        <v>1/053/086/0229</v>
      </c>
      <c r="F185" s="75" t="s">
        <v>28</v>
      </c>
      <c r="G185" s="526" t="s">
        <v>1619</v>
      </c>
      <c r="H185" s="76" t="s">
        <v>42</v>
      </c>
      <c r="I185" s="477" t="s">
        <v>1765</v>
      </c>
      <c r="J185" s="301" t="s">
        <v>1303</v>
      </c>
      <c r="K185" s="393" t="s">
        <v>31</v>
      </c>
      <c r="L185" s="77">
        <v>714919318</v>
      </c>
      <c r="M185" s="76" t="s">
        <v>1304</v>
      </c>
      <c r="N185" s="499">
        <v>5</v>
      </c>
      <c r="O185" s="499">
        <v>5</v>
      </c>
      <c r="P185" s="499">
        <v>1959</v>
      </c>
      <c r="Q185" s="500">
        <f t="shared" si="128"/>
        <v>21675</v>
      </c>
      <c r="R185" s="534">
        <f t="shared" ca="1" si="129"/>
        <v>66.717808219178082</v>
      </c>
      <c r="S185" s="73" t="s">
        <v>34</v>
      </c>
      <c r="T185" s="73">
        <v>26</v>
      </c>
      <c r="U185" s="73">
        <v>8</v>
      </c>
      <c r="V185" s="73">
        <v>2022</v>
      </c>
      <c r="W185" s="225">
        <f t="shared" si="130"/>
        <v>44799</v>
      </c>
      <c r="X185" s="48"/>
      <c r="Y185" s="77"/>
      <c r="Z185" s="168">
        <f t="shared" ca="1" si="131"/>
        <v>3</v>
      </c>
      <c r="AA185" s="119">
        <f t="shared" ca="1" si="132"/>
        <v>4</v>
      </c>
      <c r="AB185" s="501">
        <f t="shared" ca="1" si="133"/>
        <v>10</v>
      </c>
      <c r="AC185" s="47" t="str">
        <f t="shared" ca="1" si="134"/>
        <v>3Years/4Months/10Days</v>
      </c>
      <c r="AD185" s="120">
        <f t="shared" si="135"/>
        <v>43590</v>
      </c>
      <c r="AE185" s="47" t="e">
        <f t="shared" ca="1" si="136"/>
        <v>#NUM!</v>
      </c>
      <c r="AF185" s="47" t="e">
        <f t="shared" ca="1" si="137"/>
        <v>#NUM!</v>
      </c>
      <c r="AG185" s="47" t="e">
        <f t="shared" ca="1" si="138"/>
        <v>#NUM!</v>
      </c>
      <c r="AH185" s="47" t="e">
        <f t="shared" ca="1" si="139"/>
        <v>#NUM!</v>
      </c>
      <c r="AI185" s="47" t="e">
        <f t="shared" si="140"/>
        <v>#NUM!</v>
      </c>
      <c r="AJ185" s="47" t="e">
        <f t="shared" si="141"/>
        <v>#NUM!</v>
      </c>
      <c r="AK185" s="47" t="e">
        <f t="shared" si="142"/>
        <v>#NUM!</v>
      </c>
      <c r="AL185" s="47" t="e">
        <f t="shared" si="143"/>
        <v>#NUM!</v>
      </c>
      <c r="AM185" s="48" t="s">
        <v>1739</v>
      </c>
      <c r="AN185" s="48" t="s">
        <v>1746</v>
      </c>
      <c r="AO185" s="328" t="s">
        <v>1746</v>
      </c>
    </row>
    <row r="186" spans="1:41" s="328" customFormat="1" ht="31.5" customHeight="1" x14ac:dyDescent="0.25">
      <c r="A186" s="73">
        <v>1</v>
      </c>
      <c r="B186" s="74" t="s">
        <v>1014</v>
      </c>
      <c r="C186" s="74" t="s">
        <v>1430</v>
      </c>
      <c r="D186" s="74" t="s">
        <v>1243</v>
      </c>
      <c r="E186" s="493" t="str">
        <f t="shared" si="111"/>
        <v>1/053/087/0230</v>
      </c>
      <c r="F186" s="75" t="s">
        <v>28</v>
      </c>
      <c r="G186" s="312" t="s">
        <v>1620</v>
      </c>
      <c r="H186" s="76" t="s">
        <v>42</v>
      </c>
      <c r="I186" s="477" t="s">
        <v>1744</v>
      </c>
      <c r="J186" s="301">
        <v>199552301902</v>
      </c>
      <c r="K186" s="502" t="s">
        <v>96</v>
      </c>
      <c r="L186" s="77">
        <v>719930340</v>
      </c>
      <c r="M186" s="76" t="s">
        <v>1305</v>
      </c>
      <c r="N186" s="499">
        <v>23</v>
      </c>
      <c r="O186" s="499">
        <v>1</v>
      </c>
      <c r="P186" s="499">
        <v>1995</v>
      </c>
      <c r="Q186" s="500">
        <f t="shared" si="128"/>
        <v>34722</v>
      </c>
      <c r="R186" s="86">
        <f t="shared" ca="1" si="129"/>
        <v>30.972602739726028</v>
      </c>
      <c r="S186" s="73" t="s">
        <v>50</v>
      </c>
      <c r="T186" s="73">
        <v>29</v>
      </c>
      <c r="U186" s="73">
        <v>8</v>
      </c>
      <c r="V186" s="73">
        <v>2022</v>
      </c>
      <c r="W186" s="225">
        <f t="shared" si="130"/>
        <v>44802</v>
      </c>
      <c r="X186" s="48"/>
      <c r="Y186" s="77"/>
      <c r="Z186" s="168">
        <f t="shared" ca="1" si="131"/>
        <v>3</v>
      </c>
      <c r="AA186" s="119">
        <f t="shared" ca="1" si="132"/>
        <v>4</v>
      </c>
      <c r="AB186" s="501">
        <f t="shared" ca="1" si="133"/>
        <v>7</v>
      </c>
      <c r="AC186" s="47" t="str">
        <f t="shared" ca="1" si="134"/>
        <v>3Years/4Months/7Days</v>
      </c>
      <c r="AD186" s="120">
        <f t="shared" si="135"/>
        <v>56637</v>
      </c>
      <c r="AE186" s="47">
        <f t="shared" ca="1" si="136"/>
        <v>29</v>
      </c>
      <c r="AF186" s="47">
        <f t="shared" ca="1" si="137"/>
        <v>0</v>
      </c>
      <c r="AG186" s="47">
        <f t="shared" ca="1" si="138"/>
        <v>18</v>
      </c>
      <c r="AH186" s="47" t="str">
        <f t="shared" ca="1" si="139"/>
        <v>29Years/0Months/18Days</v>
      </c>
      <c r="AI186" s="47" t="str">
        <f t="shared" si="140"/>
        <v>32years , 4months and 25days</v>
      </c>
      <c r="AJ186" s="47">
        <f t="shared" si="141"/>
        <v>32</v>
      </c>
      <c r="AK186" s="47">
        <f t="shared" si="142"/>
        <v>4</v>
      </c>
      <c r="AL186" s="47">
        <f t="shared" si="143"/>
        <v>25</v>
      </c>
      <c r="AM186" s="48" t="s">
        <v>1739</v>
      </c>
      <c r="AN186" s="48" t="s">
        <v>1747</v>
      </c>
      <c r="AO186" s="328" t="s">
        <v>1747</v>
      </c>
    </row>
    <row r="187" spans="1:41" s="328" customFormat="1" ht="31.5" customHeight="1" x14ac:dyDescent="0.25">
      <c r="A187" s="73">
        <v>1</v>
      </c>
      <c r="B187" s="74" t="s">
        <v>1014</v>
      </c>
      <c r="C187" s="74" t="s">
        <v>1431</v>
      </c>
      <c r="D187" s="74" t="s">
        <v>1246</v>
      </c>
      <c r="E187" s="493" t="str">
        <f t="shared" si="111"/>
        <v>1/053/088/0231</v>
      </c>
      <c r="F187" s="75" t="s">
        <v>28</v>
      </c>
      <c r="G187" s="312" t="s">
        <v>1621</v>
      </c>
      <c r="H187" s="76" t="s">
        <v>42</v>
      </c>
      <c r="I187" s="477" t="s">
        <v>1632</v>
      </c>
      <c r="J187" s="301" t="s">
        <v>1306</v>
      </c>
      <c r="K187" s="393" t="s">
        <v>31</v>
      </c>
      <c r="L187" s="77" t="s">
        <v>1307</v>
      </c>
      <c r="M187" s="87" t="s">
        <v>1308</v>
      </c>
      <c r="N187" s="499">
        <v>30</v>
      </c>
      <c r="O187" s="499">
        <v>11</v>
      </c>
      <c r="P187" s="499">
        <v>1993</v>
      </c>
      <c r="Q187" s="500">
        <f t="shared" si="128"/>
        <v>34303</v>
      </c>
      <c r="R187" s="86">
        <f t="shared" ca="1" si="129"/>
        <v>32.12054794520548</v>
      </c>
      <c r="S187" s="73" t="s">
        <v>50</v>
      </c>
      <c r="T187" s="73">
        <v>26</v>
      </c>
      <c r="U187" s="73">
        <v>8</v>
      </c>
      <c r="V187" s="73">
        <v>2022</v>
      </c>
      <c r="W187" s="225">
        <f t="shared" si="130"/>
        <v>44799</v>
      </c>
      <c r="Y187" s="77"/>
      <c r="Z187" s="168">
        <f t="shared" ca="1" si="131"/>
        <v>3</v>
      </c>
      <c r="AA187" s="119">
        <f t="shared" ca="1" si="132"/>
        <v>4</v>
      </c>
      <c r="AB187" s="501">
        <f t="shared" ca="1" si="133"/>
        <v>10</v>
      </c>
      <c r="AC187" s="47" t="str">
        <f t="shared" ca="1" si="134"/>
        <v>3Years/4Months/10Days</v>
      </c>
      <c r="AD187" s="120">
        <f t="shared" si="135"/>
        <v>56218</v>
      </c>
      <c r="AE187" s="47">
        <f t="shared" ca="1" si="136"/>
        <v>27</v>
      </c>
      <c r="AF187" s="47">
        <f t="shared" ca="1" si="137"/>
        <v>10</v>
      </c>
      <c r="AG187" s="47">
        <f t="shared" ca="1" si="138"/>
        <v>25</v>
      </c>
      <c r="AH187" s="47" t="str">
        <f t="shared" ca="1" si="139"/>
        <v>27Years/10Months/25Days</v>
      </c>
      <c r="AI187" s="47" t="str">
        <f t="shared" si="140"/>
        <v>31years , 3months and 4days</v>
      </c>
      <c r="AJ187" s="47">
        <f t="shared" si="141"/>
        <v>31</v>
      </c>
      <c r="AK187" s="47">
        <f t="shared" si="142"/>
        <v>3</v>
      </c>
      <c r="AL187" s="47">
        <f t="shared" si="143"/>
        <v>4</v>
      </c>
      <c r="AM187" s="48" t="s">
        <v>1739</v>
      </c>
      <c r="AN187" s="48" t="s">
        <v>1746</v>
      </c>
      <c r="AO187" s="328" t="s">
        <v>1746</v>
      </c>
    </row>
    <row r="188" spans="1:41" s="328" customFormat="1" ht="31.5" customHeight="1" x14ac:dyDescent="0.25">
      <c r="A188" s="73">
        <v>1</v>
      </c>
      <c r="B188" s="74" t="s">
        <v>1014</v>
      </c>
      <c r="C188" s="74" t="s">
        <v>1432</v>
      </c>
      <c r="D188" s="74" t="s">
        <v>1248</v>
      </c>
      <c r="E188" s="493" t="str">
        <f t="shared" si="111"/>
        <v>1/053/089/0232</v>
      </c>
      <c r="F188" s="419" t="s">
        <v>54</v>
      </c>
      <c r="G188" s="498" t="s">
        <v>1622</v>
      </c>
      <c r="H188" s="76" t="s">
        <v>42</v>
      </c>
      <c r="I188" s="312" t="s">
        <v>1633</v>
      </c>
      <c r="J188" s="301">
        <v>200259902593</v>
      </c>
      <c r="K188" s="393" t="s">
        <v>31</v>
      </c>
      <c r="L188" s="77">
        <v>770795732</v>
      </c>
      <c r="M188" s="87" t="s">
        <v>1309</v>
      </c>
      <c r="N188" s="499">
        <v>8</v>
      </c>
      <c r="O188" s="499">
        <v>4</v>
      </c>
      <c r="P188" s="499">
        <v>2002</v>
      </c>
      <c r="Q188" s="500">
        <f t="shared" si="128"/>
        <v>37354</v>
      </c>
      <c r="R188" s="86">
        <f t="shared" ca="1" si="129"/>
        <v>23.761643835616439</v>
      </c>
      <c r="S188" s="73" t="s">
        <v>50</v>
      </c>
      <c r="T188" s="73">
        <v>26</v>
      </c>
      <c r="U188" s="73">
        <v>8</v>
      </c>
      <c r="V188" s="73">
        <v>2022</v>
      </c>
      <c r="W188" s="225">
        <f t="shared" si="130"/>
        <v>44799</v>
      </c>
      <c r="Y188" s="77"/>
      <c r="Z188" s="168">
        <f t="shared" ca="1" si="131"/>
        <v>3</v>
      </c>
      <c r="AA188" s="119">
        <f t="shared" ca="1" si="132"/>
        <v>4</v>
      </c>
      <c r="AB188" s="501">
        <f t="shared" ca="1" si="133"/>
        <v>10</v>
      </c>
      <c r="AC188" s="47" t="str">
        <f t="shared" ca="1" si="134"/>
        <v>3Years/4Months/10Days</v>
      </c>
      <c r="AD188" s="120">
        <f t="shared" si="135"/>
        <v>59269</v>
      </c>
      <c r="AE188" s="47">
        <f t="shared" ca="1" si="136"/>
        <v>36</v>
      </c>
      <c r="AF188" s="47">
        <f t="shared" ca="1" si="137"/>
        <v>3</v>
      </c>
      <c r="AG188" s="47">
        <f t="shared" ca="1" si="138"/>
        <v>3</v>
      </c>
      <c r="AH188" s="47" t="str">
        <f t="shared" ca="1" si="139"/>
        <v>36Years/3Months/3Days</v>
      </c>
      <c r="AI188" s="47" t="str">
        <f t="shared" si="140"/>
        <v>39years , 7months and 13days</v>
      </c>
      <c r="AJ188" s="47">
        <f t="shared" si="141"/>
        <v>39</v>
      </c>
      <c r="AK188" s="47">
        <f t="shared" si="142"/>
        <v>7</v>
      </c>
      <c r="AL188" s="47">
        <f t="shared" si="143"/>
        <v>13</v>
      </c>
      <c r="AM188" s="48"/>
      <c r="AN188" s="48"/>
    </row>
    <row r="189" spans="1:41" s="328" customFormat="1" ht="31.5" customHeight="1" x14ac:dyDescent="0.25">
      <c r="A189" s="73">
        <v>1</v>
      </c>
      <c r="B189" s="74" t="s">
        <v>1014</v>
      </c>
      <c r="C189" s="74" t="s">
        <v>1433</v>
      </c>
      <c r="D189" s="74" t="s">
        <v>1250</v>
      </c>
      <c r="E189" s="493" t="str">
        <f t="shared" si="111"/>
        <v>1/053/090/0233</v>
      </c>
      <c r="F189" s="75" t="s">
        <v>28</v>
      </c>
      <c r="G189" s="312" t="s">
        <v>1623</v>
      </c>
      <c r="H189" s="76" t="s">
        <v>42</v>
      </c>
      <c r="I189" s="477" t="s">
        <v>1745</v>
      </c>
      <c r="J189" s="301" t="s">
        <v>1310</v>
      </c>
      <c r="K189" s="393" t="s">
        <v>31</v>
      </c>
      <c r="L189" s="503">
        <v>779518888</v>
      </c>
      <c r="M189" s="87" t="s">
        <v>1311</v>
      </c>
      <c r="N189" s="499">
        <v>13</v>
      </c>
      <c r="O189" s="499">
        <v>6</v>
      </c>
      <c r="P189" s="499">
        <v>1989</v>
      </c>
      <c r="Q189" s="500">
        <f t="shared" si="128"/>
        <v>32672</v>
      </c>
      <c r="R189" s="86">
        <f t="shared" ca="1" si="129"/>
        <v>36.589041095890408</v>
      </c>
      <c r="S189" s="73" t="s">
        <v>50</v>
      </c>
      <c r="T189" s="73">
        <v>26</v>
      </c>
      <c r="U189" s="73">
        <v>8</v>
      </c>
      <c r="V189" s="73">
        <v>2022</v>
      </c>
      <c r="W189" s="225">
        <f t="shared" si="130"/>
        <v>44799</v>
      </c>
      <c r="Y189" s="77"/>
      <c r="Z189" s="168">
        <f t="shared" ca="1" si="131"/>
        <v>3</v>
      </c>
      <c r="AA189" s="119">
        <f t="shared" ca="1" si="132"/>
        <v>4</v>
      </c>
      <c r="AB189" s="501">
        <f t="shared" ca="1" si="133"/>
        <v>10</v>
      </c>
      <c r="AC189" s="47" t="str">
        <f t="shared" ca="1" si="134"/>
        <v>3Years/4Months/10Days</v>
      </c>
      <c r="AD189" s="120">
        <f t="shared" si="135"/>
        <v>54587</v>
      </c>
      <c r="AE189" s="47">
        <f t="shared" ca="1" si="136"/>
        <v>23</v>
      </c>
      <c r="AF189" s="47">
        <f t="shared" ca="1" si="137"/>
        <v>5</v>
      </c>
      <c r="AG189" s="47">
        <f t="shared" ca="1" si="138"/>
        <v>8</v>
      </c>
      <c r="AH189" s="47" t="str">
        <f t="shared" ca="1" si="139"/>
        <v>23Years/5Months/8Days</v>
      </c>
      <c r="AI189" s="47" t="str">
        <f t="shared" si="140"/>
        <v>26years , 9months and 18days</v>
      </c>
      <c r="AJ189" s="47">
        <f t="shared" si="141"/>
        <v>26</v>
      </c>
      <c r="AK189" s="47">
        <f t="shared" si="142"/>
        <v>9</v>
      </c>
      <c r="AL189" s="47">
        <f t="shared" si="143"/>
        <v>18</v>
      </c>
      <c r="AM189" s="48" t="s">
        <v>1739</v>
      </c>
      <c r="AN189" s="48" t="s">
        <v>1746</v>
      </c>
      <c r="AO189" s="328" t="s">
        <v>1746</v>
      </c>
    </row>
    <row r="190" spans="1:41" s="328" customFormat="1" ht="31.5" customHeight="1" x14ac:dyDescent="0.25">
      <c r="A190" s="73">
        <v>1</v>
      </c>
      <c r="B190" s="74" t="s">
        <v>1014</v>
      </c>
      <c r="C190" s="74" t="s">
        <v>1434</v>
      </c>
      <c r="D190" s="74" t="s">
        <v>1251</v>
      </c>
      <c r="E190" s="493" t="str">
        <f t="shared" si="111"/>
        <v>1/053/091/0234</v>
      </c>
      <c r="F190" s="75" t="s">
        <v>28</v>
      </c>
      <c r="G190" s="312" t="s">
        <v>1624</v>
      </c>
      <c r="H190" s="76" t="s">
        <v>42</v>
      </c>
      <c r="I190" s="477" t="s">
        <v>1743</v>
      </c>
      <c r="J190" s="301" t="s">
        <v>1312</v>
      </c>
      <c r="K190" s="502" t="s">
        <v>96</v>
      </c>
      <c r="L190" s="77" t="s">
        <v>1313</v>
      </c>
      <c r="M190" s="76" t="s">
        <v>1314</v>
      </c>
      <c r="N190" s="499">
        <v>22</v>
      </c>
      <c r="O190" s="499">
        <v>8</v>
      </c>
      <c r="P190" s="499">
        <v>1986</v>
      </c>
      <c r="Q190" s="500">
        <f t="shared" si="128"/>
        <v>31646</v>
      </c>
      <c r="R190" s="86">
        <f t="shared" ca="1" si="129"/>
        <v>39.4</v>
      </c>
      <c r="S190" s="73" t="s">
        <v>34</v>
      </c>
      <c r="T190" s="73">
        <v>8</v>
      </c>
      <c r="U190" s="73">
        <v>9</v>
      </c>
      <c r="V190" s="73">
        <v>2022</v>
      </c>
      <c r="W190" s="174">
        <f t="shared" si="130"/>
        <v>44812</v>
      </c>
      <c r="X190" s="83"/>
      <c r="Y190" s="77"/>
      <c r="Z190" s="168">
        <f t="shared" ca="1" si="131"/>
        <v>3</v>
      </c>
      <c r="AA190" s="119">
        <f t="shared" ca="1" si="132"/>
        <v>3</v>
      </c>
      <c r="AB190" s="501">
        <f t="shared" ca="1" si="133"/>
        <v>28</v>
      </c>
      <c r="AC190" s="47" t="str">
        <f t="shared" ca="1" si="134"/>
        <v>3Years/3Months/28Days</v>
      </c>
      <c r="AD190" s="120">
        <f t="shared" si="135"/>
        <v>53561</v>
      </c>
      <c r="AE190" s="47">
        <f t="shared" ca="1" si="136"/>
        <v>20</v>
      </c>
      <c r="AF190" s="47">
        <f t="shared" ca="1" si="137"/>
        <v>7</v>
      </c>
      <c r="AG190" s="47">
        <f t="shared" ca="1" si="138"/>
        <v>17</v>
      </c>
      <c r="AH190" s="47" t="str">
        <f t="shared" ca="1" si="139"/>
        <v>20Years/7Months/17Days</v>
      </c>
      <c r="AI190" s="47" t="str">
        <f t="shared" si="140"/>
        <v>23years , 11months and 14days</v>
      </c>
      <c r="AJ190" s="47">
        <f t="shared" si="141"/>
        <v>23</v>
      </c>
      <c r="AK190" s="47">
        <f t="shared" si="142"/>
        <v>11</v>
      </c>
      <c r="AL190" s="47">
        <f t="shared" si="143"/>
        <v>14</v>
      </c>
      <c r="AM190" s="48"/>
      <c r="AN190" s="48"/>
      <c r="AO190" s="328" t="s">
        <v>1746</v>
      </c>
    </row>
    <row r="191" spans="1:41" s="328" customFormat="1" ht="31.5" customHeight="1" x14ac:dyDescent="0.25">
      <c r="A191" s="73">
        <v>1</v>
      </c>
      <c r="B191" s="74" t="s">
        <v>1014</v>
      </c>
      <c r="C191" s="74" t="s">
        <v>1435</v>
      </c>
      <c r="D191" s="74" t="s">
        <v>1254</v>
      </c>
      <c r="E191" s="493" t="str">
        <f t="shared" si="111"/>
        <v>1/053/092/0235</v>
      </c>
      <c r="F191" s="75" t="s">
        <v>28</v>
      </c>
      <c r="G191" s="312" t="s">
        <v>1625</v>
      </c>
      <c r="H191" s="76" t="s">
        <v>42</v>
      </c>
      <c r="I191" s="477" t="s">
        <v>1634</v>
      </c>
      <c r="J191" s="294">
        <v>198258710078</v>
      </c>
      <c r="K191" s="393" t="s">
        <v>1131</v>
      </c>
      <c r="L191" s="77" t="s">
        <v>1315</v>
      </c>
      <c r="M191" s="87" t="s">
        <v>1316</v>
      </c>
      <c r="N191" s="499">
        <v>27</v>
      </c>
      <c r="O191" s="499">
        <v>3</v>
      </c>
      <c r="P191" s="499">
        <v>1982</v>
      </c>
      <c r="Q191" s="500">
        <f t="shared" si="128"/>
        <v>30037</v>
      </c>
      <c r="R191" s="86">
        <f t="shared" ca="1" si="129"/>
        <v>43.80821917808219</v>
      </c>
      <c r="S191" s="73" t="s">
        <v>50</v>
      </c>
      <c r="T191" s="73">
        <v>26</v>
      </c>
      <c r="U191" s="73">
        <v>9</v>
      </c>
      <c r="V191" s="73">
        <v>2022</v>
      </c>
      <c r="W191" s="225">
        <f t="shared" si="130"/>
        <v>44830</v>
      </c>
      <c r="Y191" s="77"/>
      <c r="Z191" s="168">
        <f t="shared" ca="1" si="131"/>
        <v>3</v>
      </c>
      <c r="AA191" s="119">
        <f t="shared" ca="1" si="132"/>
        <v>3</v>
      </c>
      <c r="AB191" s="501">
        <f t="shared" ca="1" si="133"/>
        <v>10</v>
      </c>
      <c r="AC191" s="47" t="str">
        <f t="shared" ca="1" si="134"/>
        <v>3Years/3Months/10Days</v>
      </c>
      <c r="AD191" s="120">
        <f t="shared" si="135"/>
        <v>51952</v>
      </c>
      <c r="AE191" s="47">
        <f t="shared" ca="1" si="136"/>
        <v>16</v>
      </c>
      <c r="AF191" s="47">
        <f t="shared" ca="1" si="137"/>
        <v>2</v>
      </c>
      <c r="AG191" s="47">
        <f t="shared" ca="1" si="138"/>
        <v>22</v>
      </c>
      <c r="AH191" s="47" t="str">
        <f t="shared" ca="1" si="139"/>
        <v>16Years/2Months/22Days</v>
      </c>
      <c r="AI191" s="47" t="str">
        <f t="shared" si="140"/>
        <v>19years , 6months and 1days</v>
      </c>
      <c r="AJ191" s="47">
        <f t="shared" si="141"/>
        <v>19</v>
      </c>
      <c r="AK191" s="47">
        <f t="shared" si="142"/>
        <v>6</v>
      </c>
      <c r="AL191" s="47">
        <f t="shared" si="143"/>
        <v>1</v>
      </c>
      <c r="AM191" s="48" t="s">
        <v>1739</v>
      </c>
      <c r="AN191" s="48" t="s">
        <v>1748</v>
      </c>
      <c r="AO191" s="328" t="s">
        <v>1748</v>
      </c>
    </row>
    <row r="192" spans="1:41" s="328" customFormat="1" ht="31.5" customHeight="1" x14ac:dyDescent="0.25">
      <c r="A192" s="73">
        <v>1</v>
      </c>
      <c r="B192" s="74" t="s">
        <v>1014</v>
      </c>
      <c r="C192" s="74" t="s">
        <v>1436</v>
      </c>
      <c r="D192" s="74" t="s">
        <v>1258</v>
      </c>
      <c r="E192" s="493" t="str">
        <f t="shared" si="111"/>
        <v>1/053/093/0236</v>
      </c>
      <c r="F192" s="75" t="s">
        <v>54</v>
      </c>
      <c r="G192" s="312" t="s">
        <v>1626</v>
      </c>
      <c r="H192" s="76" t="s">
        <v>42</v>
      </c>
      <c r="I192" s="312" t="s">
        <v>1635</v>
      </c>
      <c r="J192" s="301" t="s">
        <v>1317</v>
      </c>
      <c r="K192" s="393" t="s">
        <v>31</v>
      </c>
      <c r="L192" s="77">
        <v>773106566</v>
      </c>
      <c r="M192" s="87" t="s">
        <v>1318</v>
      </c>
      <c r="N192" s="499">
        <v>23</v>
      </c>
      <c r="O192" s="499">
        <v>2</v>
      </c>
      <c r="P192" s="499">
        <v>1999</v>
      </c>
      <c r="Q192" s="500">
        <f t="shared" si="128"/>
        <v>36214</v>
      </c>
      <c r="R192" s="86">
        <f t="shared" ca="1" si="129"/>
        <v>26.884931506849316</v>
      </c>
      <c r="S192" s="73" t="s">
        <v>50</v>
      </c>
      <c r="T192" s="73">
        <v>3</v>
      </c>
      <c r="U192" s="73">
        <v>10</v>
      </c>
      <c r="V192" s="73">
        <v>2022</v>
      </c>
      <c r="W192" s="225">
        <f t="shared" si="130"/>
        <v>44837</v>
      </c>
      <c r="X192" s="48"/>
      <c r="Y192" s="77"/>
      <c r="Z192" s="168">
        <f t="shared" ca="1" si="131"/>
        <v>3</v>
      </c>
      <c r="AA192" s="119">
        <f t="shared" ca="1" si="132"/>
        <v>3</v>
      </c>
      <c r="AB192" s="501">
        <f t="shared" ca="1" si="133"/>
        <v>2</v>
      </c>
      <c r="AC192" s="47" t="str">
        <f t="shared" ca="1" si="134"/>
        <v>3Years/3Months/2Days</v>
      </c>
      <c r="AD192" s="120">
        <f t="shared" si="135"/>
        <v>58129</v>
      </c>
      <c r="AE192" s="47">
        <f t="shared" ca="1" si="136"/>
        <v>33</v>
      </c>
      <c r="AF192" s="47">
        <f t="shared" ca="1" si="137"/>
        <v>1</v>
      </c>
      <c r="AG192" s="47">
        <f t="shared" ca="1" si="138"/>
        <v>18</v>
      </c>
      <c r="AH192" s="47" t="str">
        <f t="shared" ca="1" si="139"/>
        <v>33Years/1Months/18Days</v>
      </c>
      <c r="AI192" s="47" t="str">
        <f t="shared" si="140"/>
        <v>36years , 4months and 20days</v>
      </c>
      <c r="AJ192" s="47">
        <f t="shared" si="141"/>
        <v>36</v>
      </c>
      <c r="AK192" s="47">
        <f t="shared" si="142"/>
        <v>4</v>
      </c>
      <c r="AL192" s="47">
        <f t="shared" si="143"/>
        <v>20</v>
      </c>
      <c r="AM192" s="48"/>
      <c r="AN192" s="48"/>
    </row>
    <row r="193" spans="1:48" s="328" customFormat="1" ht="31.5" customHeight="1" x14ac:dyDescent="0.25">
      <c r="A193" s="73">
        <v>1</v>
      </c>
      <c r="B193" s="74" t="s">
        <v>1014</v>
      </c>
      <c r="C193" s="74" t="s">
        <v>1437</v>
      </c>
      <c r="D193" s="74" t="s">
        <v>1260</v>
      </c>
      <c r="E193" s="493" t="str">
        <f t="shared" si="111"/>
        <v>1/053/094/0237</v>
      </c>
      <c r="F193" s="487" t="s">
        <v>54</v>
      </c>
      <c r="G193" s="527" t="s">
        <v>1627</v>
      </c>
      <c r="H193" s="76" t="s">
        <v>42</v>
      </c>
      <c r="I193" s="477" t="s">
        <v>1742</v>
      </c>
      <c r="J193" s="301" t="s">
        <v>1319</v>
      </c>
      <c r="K193" s="393" t="s">
        <v>31</v>
      </c>
      <c r="L193" s="77">
        <v>772297791</v>
      </c>
      <c r="M193" s="87" t="s">
        <v>1320</v>
      </c>
      <c r="N193" s="499">
        <v>22</v>
      </c>
      <c r="O193" s="499">
        <v>8</v>
      </c>
      <c r="P193" s="499">
        <v>1961</v>
      </c>
      <c r="Q193" s="500">
        <f t="shared" si="128"/>
        <v>22515</v>
      </c>
      <c r="R193" s="534">
        <f t="shared" ca="1" si="129"/>
        <v>64.416438356164377</v>
      </c>
      <c r="S193" s="73" t="s">
        <v>34</v>
      </c>
      <c r="T193" s="73">
        <v>26</v>
      </c>
      <c r="U193" s="73">
        <v>8</v>
      </c>
      <c r="V193" s="73">
        <v>2022</v>
      </c>
      <c r="W193" s="225">
        <f t="shared" si="130"/>
        <v>44799</v>
      </c>
      <c r="X193" s="48"/>
      <c r="Y193" s="77"/>
      <c r="Z193" s="168">
        <f t="shared" ca="1" si="131"/>
        <v>3</v>
      </c>
      <c r="AA193" s="119">
        <f t="shared" ca="1" si="132"/>
        <v>4</v>
      </c>
      <c r="AB193" s="501">
        <f t="shared" ca="1" si="133"/>
        <v>10</v>
      </c>
      <c r="AC193" s="47" t="str">
        <f t="shared" ca="1" si="134"/>
        <v>3Years/4Months/10Days</v>
      </c>
      <c r="AD193" s="120">
        <f t="shared" si="135"/>
        <v>44430</v>
      </c>
      <c r="AE193" s="47" t="e">
        <f t="shared" ca="1" si="136"/>
        <v>#NUM!</v>
      </c>
      <c r="AF193" s="47" t="e">
        <f t="shared" ca="1" si="137"/>
        <v>#NUM!</v>
      </c>
      <c r="AG193" s="47" t="e">
        <f t="shared" ca="1" si="138"/>
        <v>#NUM!</v>
      </c>
      <c r="AH193" s="47" t="e">
        <f t="shared" ca="1" si="139"/>
        <v>#NUM!</v>
      </c>
      <c r="AI193" s="47" t="e">
        <f t="shared" si="140"/>
        <v>#NUM!</v>
      </c>
      <c r="AJ193" s="47" t="e">
        <f t="shared" si="141"/>
        <v>#NUM!</v>
      </c>
      <c r="AK193" s="47" t="e">
        <f t="shared" si="142"/>
        <v>#NUM!</v>
      </c>
      <c r="AL193" s="47" t="e">
        <f t="shared" si="143"/>
        <v>#NUM!</v>
      </c>
      <c r="AM193" s="48"/>
      <c r="AN193" s="48"/>
    </row>
    <row r="194" spans="1:48" ht="31.5" customHeight="1" x14ac:dyDescent="0.25">
      <c r="A194" s="73">
        <v>1</v>
      </c>
      <c r="B194" s="74" t="s">
        <v>1014</v>
      </c>
      <c r="C194" s="74" t="s">
        <v>1438</v>
      </c>
      <c r="D194" s="74" t="s">
        <v>1263</v>
      </c>
      <c r="E194" s="493" t="str">
        <f t="shared" si="111"/>
        <v>1/053/095/0238</v>
      </c>
      <c r="F194" s="75" t="s">
        <v>54</v>
      </c>
      <c r="G194" s="312" t="s">
        <v>1636</v>
      </c>
      <c r="H194" s="391" t="s">
        <v>42</v>
      </c>
      <c r="I194" s="390" t="s">
        <v>1646</v>
      </c>
      <c r="J194" s="301" t="s">
        <v>1321</v>
      </c>
      <c r="K194" s="178" t="s">
        <v>31</v>
      </c>
      <c r="L194" s="79" t="s">
        <v>1322</v>
      </c>
      <c r="M194" s="76" t="s">
        <v>1323</v>
      </c>
      <c r="N194" s="392">
        <v>7</v>
      </c>
      <c r="O194" s="392">
        <v>3</v>
      </c>
      <c r="P194" s="392">
        <v>1997</v>
      </c>
      <c r="Q194" s="147">
        <f t="shared" si="128"/>
        <v>35496</v>
      </c>
      <c r="R194" s="92">
        <f t="shared" ca="1" si="129"/>
        <v>28.852054794520548</v>
      </c>
      <c r="S194" s="73" t="s">
        <v>50</v>
      </c>
      <c r="T194" s="73">
        <v>17</v>
      </c>
      <c r="U194" s="73">
        <v>10</v>
      </c>
      <c r="V194" s="73">
        <v>2022</v>
      </c>
      <c r="W194" s="148">
        <f t="shared" si="130"/>
        <v>44851</v>
      </c>
      <c r="X194" s="48"/>
      <c r="Y194" s="117"/>
      <c r="Z194" s="124">
        <f t="shared" ca="1" si="131"/>
        <v>3</v>
      </c>
      <c r="AA194" s="109">
        <f t="shared" ca="1" si="132"/>
        <v>2</v>
      </c>
      <c r="AB194" s="150">
        <f t="shared" ca="1" si="133"/>
        <v>19</v>
      </c>
      <c r="AC194" s="15" t="str">
        <f t="shared" ca="1" si="134"/>
        <v>3Years/2Months/19Days</v>
      </c>
      <c r="AD194" s="108">
        <f t="shared" si="135"/>
        <v>57411</v>
      </c>
      <c r="AE194" s="15">
        <f t="shared" ca="1" si="136"/>
        <v>31</v>
      </c>
      <c r="AF194" s="15">
        <f t="shared" ca="1" si="137"/>
        <v>2</v>
      </c>
      <c r="AG194" s="15">
        <f t="shared" ca="1" si="138"/>
        <v>2</v>
      </c>
      <c r="AH194" s="15" t="str">
        <f t="shared" ca="1" si="139"/>
        <v>31Years/2Months/2Days</v>
      </c>
      <c r="AI194" s="15" t="str">
        <f t="shared" si="140"/>
        <v>34years , 4months and 18days</v>
      </c>
      <c r="AJ194" s="15">
        <f t="shared" si="141"/>
        <v>34</v>
      </c>
      <c r="AK194" s="15">
        <f t="shared" si="142"/>
        <v>4</v>
      </c>
      <c r="AL194" s="15">
        <f t="shared" si="143"/>
        <v>18</v>
      </c>
      <c r="AO194" s="336"/>
    </row>
    <row r="195" spans="1:48" ht="31.5" customHeight="1" x14ac:dyDescent="0.25">
      <c r="A195" s="73">
        <v>1</v>
      </c>
      <c r="B195" s="74" t="s">
        <v>1014</v>
      </c>
      <c r="C195" s="74" t="s">
        <v>1439</v>
      </c>
      <c r="D195" s="74" t="s">
        <v>1266</v>
      </c>
      <c r="E195" s="493" t="str">
        <f t="shared" si="111"/>
        <v>1/053/096/0239</v>
      </c>
      <c r="F195" s="75" t="s">
        <v>54</v>
      </c>
      <c r="G195" s="312" t="s">
        <v>1637</v>
      </c>
      <c r="H195" s="391" t="s">
        <v>42</v>
      </c>
      <c r="I195" s="390" t="s">
        <v>1647</v>
      </c>
      <c r="J195" s="301" t="s">
        <v>1324</v>
      </c>
      <c r="K195" s="178" t="s">
        <v>31</v>
      </c>
      <c r="L195" s="77">
        <v>778953845</v>
      </c>
      <c r="M195" s="87" t="s">
        <v>1325</v>
      </c>
      <c r="N195" s="392">
        <v>29</v>
      </c>
      <c r="O195" s="392">
        <v>8</v>
      </c>
      <c r="P195" s="392">
        <v>1994</v>
      </c>
      <c r="Q195" s="147">
        <f t="shared" si="128"/>
        <v>34575</v>
      </c>
      <c r="R195" s="92">
        <f t="shared" ca="1" si="129"/>
        <v>31.375342465753423</v>
      </c>
      <c r="S195" s="73" t="s">
        <v>50</v>
      </c>
      <c r="T195" s="73">
        <v>3</v>
      </c>
      <c r="U195" s="73">
        <v>10</v>
      </c>
      <c r="V195" s="73">
        <v>2022</v>
      </c>
      <c r="W195" s="148">
        <f t="shared" si="130"/>
        <v>44837</v>
      </c>
      <c r="X195" s="328"/>
      <c r="Y195" s="117"/>
      <c r="Z195" s="124">
        <f t="shared" ca="1" si="131"/>
        <v>3</v>
      </c>
      <c r="AA195" s="109">
        <f t="shared" ca="1" si="132"/>
        <v>3</v>
      </c>
      <c r="AB195" s="150">
        <f t="shared" ca="1" si="133"/>
        <v>2</v>
      </c>
      <c r="AC195" s="15" t="str">
        <f t="shared" ca="1" si="134"/>
        <v>3Years/3Months/2Days</v>
      </c>
      <c r="AD195" s="108">
        <f t="shared" si="135"/>
        <v>56490</v>
      </c>
      <c r="AE195" s="15">
        <f t="shared" ca="1" si="136"/>
        <v>28</v>
      </c>
      <c r="AF195" s="15">
        <f t="shared" ca="1" si="137"/>
        <v>7</v>
      </c>
      <c r="AG195" s="15">
        <f t="shared" ca="1" si="138"/>
        <v>24</v>
      </c>
      <c r="AH195" s="15" t="str">
        <f t="shared" ca="1" si="139"/>
        <v>28Years/7Months/24Days</v>
      </c>
      <c r="AI195" s="15" t="str">
        <f t="shared" si="140"/>
        <v>31years , 10months and 26days</v>
      </c>
      <c r="AJ195" s="15">
        <f t="shared" si="141"/>
        <v>31</v>
      </c>
      <c r="AK195" s="15">
        <f t="shared" si="142"/>
        <v>10</v>
      </c>
      <c r="AL195" s="15">
        <f t="shared" si="143"/>
        <v>26</v>
      </c>
      <c r="AO195" s="336"/>
    </row>
    <row r="196" spans="1:48" ht="31.5" customHeight="1" x14ac:dyDescent="0.25">
      <c r="A196" s="73">
        <v>1</v>
      </c>
      <c r="B196" s="74" t="s">
        <v>1014</v>
      </c>
      <c r="C196" s="74" t="s">
        <v>1440</v>
      </c>
      <c r="D196" s="74" t="s">
        <v>1269</v>
      </c>
      <c r="E196" s="493" t="str">
        <f t="shared" si="111"/>
        <v>1/053/097/0240</v>
      </c>
      <c r="F196" s="75" t="s">
        <v>54</v>
      </c>
      <c r="G196" s="526" t="s">
        <v>1638</v>
      </c>
      <c r="H196" s="391" t="s">
        <v>42</v>
      </c>
      <c r="I196" s="390" t="s">
        <v>1648</v>
      </c>
      <c r="J196" s="301" t="s">
        <v>1329</v>
      </c>
      <c r="K196" s="72" t="s">
        <v>96</v>
      </c>
      <c r="L196" s="77" t="s">
        <v>1330</v>
      </c>
      <c r="M196" s="87" t="s">
        <v>1016</v>
      </c>
      <c r="N196" s="392">
        <v>14</v>
      </c>
      <c r="O196" s="392">
        <v>4</v>
      </c>
      <c r="P196" s="392">
        <v>1965</v>
      </c>
      <c r="Q196" s="147">
        <f t="shared" si="128"/>
        <v>23846</v>
      </c>
      <c r="R196" s="534">
        <f t="shared" ca="1" si="129"/>
        <v>60.769863013698632</v>
      </c>
      <c r="S196" s="67" t="s">
        <v>34</v>
      </c>
      <c r="T196" s="73">
        <v>31</v>
      </c>
      <c r="U196" s="73">
        <v>10</v>
      </c>
      <c r="V196" s="73">
        <v>2022</v>
      </c>
      <c r="W196" s="148">
        <f t="shared" si="130"/>
        <v>44865</v>
      </c>
      <c r="X196" s="48"/>
      <c r="Y196" s="117"/>
      <c r="Z196" s="124">
        <f t="shared" ca="1" si="131"/>
        <v>3</v>
      </c>
      <c r="AA196" s="109">
        <f t="shared" ca="1" si="132"/>
        <v>2</v>
      </c>
      <c r="AB196" s="150">
        <f t="shared" ca="1" si="133"/>
        <v>5</v>
      </c>
      <c r="AC196" s="15" t="str">
        <f t="shared" ca="1" si="134"/>
        <v>3Years/2Months/5Days</v>
      </c>
      <c r="AD196" s="108">
        <f t="shared" si="135"/>
        <v>45761</v>
      </c>
      <c r="AE196" s="15" t="e">
        <f t="shared" ca="1" si="136"/>
        <v>#NUM!</v>
      </c>
      <c r="AF196" s="15" t="e">
        <f t="shared" ca="1" si="137"/>
        <v>#NUM!</v>
      </c>
      <c r="AG196" s="15" t="e">
        <f t="shared" ca="1" si="138"/>
        <v>#NUM!</v>
      </c>
      <c r="AH196" s="15" t="e">
        <f t="shared" ca="1" si="139"/>
        <v>#NUM!</v>
      </c>
      <c r="AI196" s="15" t="str">
        <f t="shared" si="140"/>
        <v>2years , 5months and 14days</v>
      </c>
      <c r="AJ196" s="15">
        <f t="shared" si="141"/>
        <v>2</v>
      </c>
      <c r="AK196" s="15">
        <f t="shared" si="142"/>
        <v>5</v>
      </c>
      <c r="AL196" s="15">
        <f t="shared" si="143"/>
        <v>14</v>
      </c>
      <c r="AO196" s="336"/>
    </row>
    <row r="197" spans="1:48" ht="31.5" customHeight="1" x14ac:dyDescent="0.25">
      <c r="A197" s="73">
        <v>1</v>
      </c>
      <c r="B197" s="74" t="s">
        <v>1014</v>
      </c>
      <c r="C197" s="74" t="s">
        <v>1441</v>
      </c>
      <c r="D197" s="74" t="s">
        <v>1272</v>
      </c>
      <c r="E197" s="493" t="str">
        <f t="shared" si="111"/>
        <v>1/053/098/0241</v>
      </c>
      <c r="F197" s="75" t="s">
        <v>28</v>
      </c>
      <c r="G197" s="312" t="s">
        <v>1639</v>
      </c>
      <c r="H197" s="391" t="s">
        <v>1645</v>
      </c>
      <c r="I197" s="390" t="s">
        <v>1649</v>
      </c>
      <c r="J197" s="294" t="s">
        <v>1331</v>
      </c>
      <c r="K197" s="178" t="s">
        <v>31</v>
      </c>
      <c r="L197" s="81">
        <v>714701201</v>
      </c>
      <c r="M197" s="78" t="s">
        <v>1332</v>
      </c>
      <c r="N197" s="392">
        <v>15</v>
      </c>
      <c r="O197" s="392">
        <v>7</v>
      </c>
      <c r="P197" s="392">
        <v>1985</v>
      </c>
      <c r="Q197" s="147">
        <f t="shared" si="128"/>
        <v>31243</v>
      </c>
      <c r="R197" s="92">
        <f t="shared" ca="1" si="129"/>
        <v>40.504109589041093</v>
      </c>
      <c r="S197" s="73" t="s">
        <v>50</v>
      </c>
      <c r="T197" s="73">
        <v>21</v>
      </c>
      <c r="U197" s="73">
        <v>11</v>
      </c>
      <c r="V197" s="73">
        <v>2022</v>
      </c>
      <c r="W197" s="148">
        <f t="shared" si="130"/>
        <v>44886</v>
      </c>
      <c r="X197" s="48"/>
      <c r="Y197" s="117"/>
      <c r="Z197" s="124">
        <f t="shared" ca="1" si="131"/>
        <v>3</v>
      </c>
      <c r="AA197" s="109">
        <f t="shared" ca="1" si="132"/>
        <v>1</v>
      </c>
      <c r="AB197" s="150">
        <f t="shared" ca="1" si="133"/>
        <v>15</v>
      </c>
      <c r="AC197" s="15" t="str">
        <f t="shared" ca="1" si="134"/>
        <v>3Years/1Months/15Days</v>
      </c>
      <c r="AD197" s="108">
        <f t="shared" si="135"/>
        <v>53158</v>
      </c>
      <c r="AE197" s="15">
        <f t="shared" ca="1" si="136"/>
        <v>19</v>
      </c>
      <c r="AF197" s="15">
        <f t="shared" ca="1" si="137"/>
        <v>6</v>
      </c>
      <c r="AG197" s="15">
        <f t="shared" ca="1" si="138"/>
        <v>10</v>
      </c>
      <c r="AH197" s="15" t="str">
        <f t="shared" ca="1" si="139"/>
        <v>19Years/6Months/10Days</v>
      </c>
      <c r="AI197" s="15" t="str">
        <f t="shared" si="140"/>
        <v>22years , 7months and 24days</v>
      </c>
      <c r="AJ197" s="15">
        <f t="shared" si="141"/>
        <v>22</v>
      </c>
      <c r="AK197" s="15">
        <f t="shared" si="142"/>
        <v>7</v>
      </c>
      <c r="AL197" s="15">
        <f t="shared" si="143"/>
        <v>24</v>
      </c>
      <c r="AO197" s="336" t="s">
        <v>2396</v>
      </c>
    </row>
    <row r="198" spans="1:48" ht="31.5" customHeight="1" x14ac:dyDescent="0.25">
      <c r="A198" s="73">
        <v>1</v>
      </c>
      <c r="B198" s="74" t="s">
        <v>1014</v>
      </c>
      <c r="C198" s="74" t="s">
        <v>1442</v>
      </c>
      <c r="D198" s="74" t="s">
        <v>1275</v>
      </c>
      <c r="E198" s="493" t="str">
        <f t="shared" si="111"/>
        <v>1/053/099/0242</v>
      </c>
      <c r="F198" s="75" t="s">
        <v>28</v>
      </c>
      <c r="G198" s="312" t="s">
        <v>1640</v>
      </c>
      <c r="H198" s="391" t="s">
        <v>42</v>
      </c>
      <c r="I198" s="390" t="s">
        <v>1650</v>
      </c>
      <c r="J198" s="294" t="s">
        <v>1333</v>
      </c>
      <c r="K198" s="178" t="s">
        <v>31</v>
      </c>
      <c r="L198" s="81" t="s">
        <v>1334</v>
      </c>
      <c r="M198" s="78" t="s">
        <v>1335</v>
      </c>
      <c r="N198" s="392">
        <v>17</v>
      </c>
      <c r="O198" s="392">
        <v>1</v>
      </c>
      <c r="P198" s="392">
        <v>1995</v>
      </c>
      <c r="Q198" s="147">
        <f t="shared" si="128"/>
        <v>34716</v>
      </c>
      <c r="R198" s="92">
        <f t="shared" ca="1" si="129"/>
        <v>30.989041095890411</v>
      </c>
      <c r="S198" s="73" t="s">
        <v>50</v>
      </c>
      <c r="T198" s="73">
        <v>9</v>
      </c>
      <c r="U198" s="73">
        <v>1</v>
      </c>
      <c r="V198" s="73">
        <v>2023</v>
      </c>
      <c r="W198" s="148">
        <f t="shared" si="130"/>
        <v>44935</v>
      </c>
      <c r="X198" s="48"/>
      <c r="Y198" s="115"/>
      <c r="Z198" s="124">
        <f t="shared" ca="1" si="131"/>
        <v>2</v>
      </c>
      <c r="AA198" s="109">
        <f t="shared" ca="1" si="132"/>
        <v>11</v>
      </c>
      <c r="AB198" s="150">
        <f t="shared" ca="1" si="133"/>
        <v>27</v>
      </c>
      <c r="AC198" s="15" t="str">
        <f t="shared" ca="1" si="134"/>
        <v>2Years/11Months/27Days</v>
      </c>
      <c r="AD198" s="108">
        <f t="shared" si="135"/>
        <v>56631</v>
      </c>
      <c r="AE198" s="15">
        <f t="shared" ca="1" si="136"/>
        <v>29</v>
      </c>
      <c r="AF198" s="15">
        <f t="shared" ca="1" si="137"/>
        <v>0</v>
      </c>
      <c r="AG198" s="15">
        <f t="shared" ca="1" si="138"/>
        <v>12</v>
      </c>
      <c r="AH198" s="15" t="str">
        <f t="shared" ca="1" si="139"/>
        <v>29Years/0Months/12Days</v>
      </c>
      <c r="AI198" s="15" t="str">
        <f t="shared" si="140"/>
        <v>32years , 0months and 8days</v>
      </c>
      <c r="AJ198" s="15">
        <f t="shared" si="141"/>
        <v>32</v>
      </c>
      <c r="AK198" s="15">
        <f t="shared" si="142"/>
        <v>0</v>
      </c>
      <c r="AL198" s="15">
        <f t="shared" si="143"/>
        <v>8</v>
      </c>
      <c r="AO198" s="336" t="s">
        <v>2397</v>
      </c>
    </row>
    <row r="199" spans="1:48" ht="31.5" customHeight="1" x14ac:dyDescent="0.25">
      <c r="A199" s="73">
        <v>1</v>
      </c>
      <c r="B199" s="74" t="s">
        <v>1014</v>
      </c>
      <c r="C199" s="74" t="s">
        <v>1443</v>
      </c>
      <c r="D199" s="74" t="s">
        <v>1276</v>
      </c>
      <c r="E199" s="493" t="str">
        <f t="shared" si="111"/>
        <v>1/053/100/0243</v>
      </c>
      <c r="F199" s="75" t="s">
        <v>28</v>
      </c>
      <c r="G199" s="312" t="s">
        <v>1643</v>
      </c>
      <c r="H199" s="178" t="s">
        <v>42</v>
      </c>
      <c r="I199" s="178"/>
      <c r="J199" s="300" t="s">
        <v>1340</v>
      </c>
      <c r="K199" s="178" t="s">
        <v>1131</v>
      </c>
      <c r="L199" s="188">
        <v>769446876</v>
      </c>
      <c r="M199" s="189"/>
      <c r="N199" s="396">
        <v>28</v>
      </c>
      <c r="O199" s="396">
        <v>11</v>
      </c>
      <c r="P199" s="396">
        <v>1996</v>
      </c>
      <c r="Q199" s="179">
        <f t="shared" si="128"/>
        <v>35397</v>
      </c>
      <c r="R199" s="180">
        <f t="shared" ca="1" si="129"/>
        <v>29.123287671232877</v>
      </c>
      <c r="S199" s="168" t="s">
        <v>50</v>
      </c>
      <c r="T199" s="168">
        <v>9</v>
      </c>
      <c r="U199" s="168">
        <v>1</v>
      </c>
      <c r="V199" s="168">
        <v>2023</v>
      </c>
      <c r="W199" s="181">
        <f t="shared" si="130"/>
        <v>44935</v>
      </c>
      <c r="X199" s="168"/>
      <c r="Y199" s="182"/>
      <c r="Z199" s="124">
        <f t="shared" ca="1" si="131"/>
        <v>2</v>
      </c>
      <c r="AA199" s="109">
        <f t="shared" ca="1" si="132"/>
        <v>11</v>
      </c>
      <c r="AB199" s="109">
        <f t="shared" ca="1" si="133"/>
        <v>27</v>
      </c>
      <c r="AC199" s="109" t="str">
        <f t="shared" ca="1" si="134"/>
        <v>2Years/11Months/27Days</v>
      </c>
      <c r="AD199" s="183">
        <f t="shared" si="135"/>
        <v>57312</v>
      </c>
      <c r="AE199" s="109">
        <f t="shared" ca="1" si="136"/>
        <v>30</v>
      </c>
      <c r="AF199" s="109">
        <f t="shared" ca="1" si="137"/>
        <v>10</v>
      </c>
      <c r="AG199" s="109">
        <f t="shared" ca="1" si="138"/>
        <v>23</v>
      </c>
      <c r="AH199" s="109" t="str">
        <f t="shared" ca="1" si="139"/>
        <v>30Years/10Months/23Days</v>
      </c>
      <c r="AI199" s="109" t="str">
        <f t="shared" si="140"/>
        <v>33years , 10months and 19days</v>
      </c>
      <c r="AJ199" s="109">
        <f t="shared" si="141"/>
        <v>33</v>
      </c>
      <c r="AK199" s="109">
        <f t="shared" si="142"/>
        <v>10</v>
      </c>
      <c r="AL199" s="109">
        <f t="shared" si="143"/>
        <v>19</v>
      </c>
      <c r="AM199" s="124"/>
      <c r="AO199" s="336" t="s">
        <v>2397</v>
      </c>
    </row>
    <row r="200" spans="1:48" ht="31.5" customHeight="1" x14ac:dyDescent="0.25">
      <c r="A200" s="73">
        <v>1</v>
      </c>
      <c r="B200" s="74" t="s">
        <v>1014</v>
      </c>
      <c r="C200" s="74" t="s">
        <v>1444</v>
      </c>
      <c r="D200" s="74" t="s">
        <v>1278</v>
      </c>
      <c r="E200" s="493" t="str">
        <f t="shared" si="111"/>
        <v>1/053/101/0244</v>
      </c>
      <c r="F200" s="75" t="s">
        <v>28</v>
      </c>
      <c r="G200" s="312" t="s">
        <v>1644</v>
      </c>
      <c r="H200" s="178" t="s">
        <v>42</v>
      </c>
      <c r="I200" s="397" t="s">
        <v>1653</v>
      </c>
      <c r="J200" s="300" t="s">
        <v>1341</v>
      </c>
      <c r="K200" s="178" t="s">
        <v>31</v>
      </c>
      <c r="L200" s="188">
        <v>771643856</v>
      </c>
      <c r="M200" s="189"/>
      <c r="N200" s="396">
        <v>27</v>
      </c>
      <c r="O200" s="396">
        <v>5</v>
      </c>
      <c r="P200" s="396">
        <v>1999</v>
      </c>
      <c r="Q200" s="179">
        <f t="shared" si="128"/>
        <v>36307</v>
      </c>
      <c r="R200" s="180">
        <f t="shared" ca="1" si="129"/>
        <v>26.63013698630137</v>
      </c>
      <c r="S200" s="168" t="s">
        <v>50</v>
      </c>
      <c r="T200" s="168">
        <v>9</v>
      </c>
      <c r="U200" s="168">
        <v>1</v>
      </c>
      <c r="V200" s="168">
        <v>2023</v>
      </c>
      <c r="W200" s="181">
        <f t="shared" si="130"/>
        <v>44935</v>
      </c>
      <c r="X200" s="168"/>
      <c r="Y200" s="182"/>
      <c r="Z200" s="124">
        <f t="shared" ca="1" si="131"/>
        <v>2</v>
      </c>
      <c r="AA200" s="109">
        <f t="shared" ca="1" si="132"/>
        <v>11</v>
      </c>
      <c r="AB200" s="109">
        <f t="shared" ca="1" si="133"/>
        <v>27</v>
      </c>
      <c r="AC200" s="109" t="str">
        <f t="shared" ca="1" si="134"/>
        <v>2Years/11Months/27Days</v>
      </c>
      <c r="AD200" s="183">
        <f t="shared" si="135"/>
        <v>58222</v>
      </c>
      <c r="AE200" s="109">
        <f t="shared" ca="1" si="136"/>
        <v>33</v>
      </c>
      <c r="AF200" s="109">
        <f t="shared" ca="1" si="137"/>
        <v>4</v>
      </c>
      <c r="AG200" s="109">
        <f t="shared" ca="1" si="138"/>
        <v>22</v>
      </c>
      <c r="AH200" s="109" t="str">
        <f t="shared" ca="1" si="139"/>
        <v>33Years/4Months/22Days</v>
      </c>
      <c r="AI200" s="109" t="str">
        <f t="shared" si="140"/>
        <v>36years , 4months and 18days</v>
      </c>
      <c r="AJ200" s="109">
        <f t="shared" si="141"/>
        <v>36</v>
      </c>
      <c r="AK200" s="109">
        <f t="shared" si="142"/>
        <v>4</v>
      </c>
      <c r="AL200" s="109">
        <f t="shared" si="143"/>
        <v>18</v>
      </c>
      <c r="AM200" s="124"/>
      <c r="AO200" s="336" t="s">
        <v>2397</v>
      </c>
    </row>
    <row r="201" spans="1:48" ht="31.5" customHeight="1" x14ac:dyDescent="0.25">
      <c r="A201" s="73">
        <v>1</v>
      </c>
      <c r="B201" s="74" t="s">
        <v>1014</v>
      </c>
      <c r="C201" s="74" t="s">
        <v>1445</v>
      </c>
      <c r="D201" s="74" t="s">
        <v>1281</v>
      </c>
      <c r="E201" s="493" t="str">
        <f t="shared" si="111"/>
        <v>1/053/102/0245</v>
      </c>
      <c r="F201" s="75" t="s">
        <v>28</v>
      </c>
      <c r="G201" s="312" t="s">
        <v>2091</v>
      </c>
      <c r="H201" s="398" t="s">
        <v>42</v>
      </c>
      <c r="I201" s="398" t="s">
        <v>2092</v>
      </c>
      <c r="J201" s="399" t="s">
        <v>2093</v>
      </c>
      <c r="K201" s="398" t="s">
        <v>96</v>
      </c>
      <c r="L201" s="400">
        <v>719887246</v>
      </c>
      <c r="M201" s="398" t="s">
        <v>2094</v>
      </c>
      <c r="N201" s="401">
        <v>6</v>
      </c>
      <c r="O201" s="401">
        <v>12</v>
      </c>
      <c r="P201" s="401">
        <v>1994</v>
      </c>
      <c r="Q201" s="147">
        <f t="shared" si="128"/>
        <v>34674</v>
      </c>
      <c r="R201" s="180">
        <f t="shared" ca="1" si="129"/>
        <v>31.104109589041094</v>
      </c>
      <c r="S201" s="398" t="s">
        <v>50</v>
      </c>
      <c r="T201" s="168">
        <v>30</v>
      </c>
      <c r="U201" s="168">
        <v>1</v>
      </c>
      <c r="V201" s="168">
        <v>2023</v>
      </c>
      <c r="W201" s="181">
        <f t="shared" si="130"/>
        <v>44956</v>
      </c>
      <c r="X201" s="168"/>
      <c r="Y201" s="182"/>
      <c r="Z201" s="124">
        <f t="shared" ca="1" si="131"/>
        <v>2</v>
      </c>
      <c r="AA201" s="109">
        <f t="shared" ca="1" si="132"/>
        <v>11</v>
      </c>
      <c r="AB201" s="109">
        <f t="shared" ca="1" si="133"/>
        <v>6</v>
      </c>
      <c r="AC201" s="109" t="str">
        <f t="shared" ca="1" si="134"/>
        <v>2Years/11Months/6Days</v>
      </c>
      <c r="AD201" s="183">
        <f t="shared" si="135"/>
        <v>56589</v>
      </c>
      <c r="AE201" s="109">
        <f t="shared" ca="1" si="136"/>
        <v>28</v>
      </c>
      <c r="AF201" s="109">
        <f t="shared" ca="1" si="137"/>
        <v>11</v>
      </c>
      <c r="AG201" s="109">
        <f t="shared" ca="1" si="138"/>
        <v>1</v>
      </c>
      <c r="AH201" s="109" t="str">
        <f t="shared" ca="1" si="139"/>
        <v>28Years/11Months/1Days</v>
      </c>
      <c r="AI201" s="109" t="str">
        <f t="shared" si="140"/>
        <v>31years , 10months and 6days</v>
      </c>
      <c r="AJ201" s="109">
        <f t="shared" si="141"/>
        <v>31</v>
      </c>
      <c r="AK201" s="109">
        <f t="shared" si="142"/>
        <v>10</v>
      </c>
      <c r="AL201" s="109">
        <f t="shared" si="143"/>
        <v>6</v>
      </c>
      <c r="AM201" s="124"/>
      <c r="AO201" s="336" t="s">
        <v>2398</v>
      </c>
    </row>
    <row r="202" spans="1:48" ht="31.5" customHeight="1" x14ac:dyDescent="0.25">
      <c r="A202" s="73">
        <v>1</v>
      </c>
      <c r="B202" s="74" t="s">
        <v>1014</v>
      </c>
      <c r="C202" s="74" t="s">
        <v>1446</v>
      </c>
      <c r="D202" s="74" t="s">
        <v>1283</v>
      </c>
      <c r="E202" s="493" t="str">
        <f t="shared" ref="E202:E244" si="144">CONCATENATE(A202,"/",B202,"/",C202,"/",D202)</f>
        <v>1/053/103/0246</v>
      </c>
      <c r="F202" s="75" t="s">
        <v>28</v>
      </c>
      <c r="G202" s="312" t="s">
        <v>2095</v>
      </c>
      <c r="H202" s="398" t="s">
        <v>42</v>
      </c>
      <c r="I202" s="398" t="s">
        <v>2096</v>
      </c>
      <c r="J202" s="402">
        <v>197585101960</v>
      </c>
      <c r="K202" s="398" t="s">
        <v>31</v>
      </c>
      <c r="L202" s="400">
        <v>702917749</v>
      </c>
      <c r="M202" s="403" t="s">
        <v>2097</v>
      </c>
      <c r="N202" s="396">
        <v>16</v>
      </c>
      <c r="O202" s="396">
        <v>12</v>
      </c>
      <c r="P202" s="396">
        <v>1975</v>
      </c>
      <c r="Q202" s="147">
        <f t="shared" si="128"/>
        <v>27744</v>
      </c>
      <c r="R202" s="180">
        <f t="shared" ca="1" si="129"/>
        <v>50.090410958904108</v>
      </c>
      <c r="S202" s="398" t="s">
        <v>50</v>
      </c>
      <c r="T202" s="168">
        <v>6</v>
      </c>
      <c r="U202" s="168">
        <v>3</v>
      </c>
      <c r="V202" s="168">
        <v>2023</v>
      </c>
      <c r="W202" s="181">
        <f t="shared" si="130"/>
        <v>44991</v>
      </c>
      <c r="X202" s="168"/>
      <c r="Y202" s="182"/>
      <c r="Z202" s="124">
        <f t="shared" ca="1" si="131"/>
        <v>2</v>
      </c>
      <c r="AA202" s="109">
        <f t="shared" ca="1" si="132"/>
        <v>9</v>
      </c>
      <c r="AB202" s="109">
        <f t="shared" ca="1" si="133"/>
        <v>30</v>
      </c>
      <c r="AC202" s="109" t="str">
        <f t="shared" ca="1" si="134"/>
        <v>2Years/9Months/30Days</v>
      </c>
      <c r="AD202" s="183">
        <f t="shared" si="135"/>
        <v>49659</v>
      </c>
      <c r="AE202" s="109"/>
      <c r="AF202" s="109"/>
      <c r="AG202" s="109"/>
      <c r="AH202" s="109"/>
      <c r="AI202" s="109"/>
      <c r="AJ202" s="109"/>
      <c r="AK202" s="109"/>
      <c r="AL202" s="109"/>
      <c r="AM202" s="124"/>
      <c r="AO202" s="336" t="s">
        <v>2399</v>
      </c>
    </row>
    <row r="203" spans="1:48" s="407" customFormat="1" ht="31.5" customHeight="1" x14ac:dyDescent="0.25">
      <c r="A203" s="40">
        <v>1</v>
      </c>
      <c r="B203" s="497" t="s">
        <v>1406</v>
      </c>
      <c r="C203" s="497" t="s">
        <v>329</v>
      </c>
      <c r="D203" s="213" t="s">
        <v>1286</v>
      </c>
      <c r="E203" s="211" t="str">
        <f t="shared" si="144"/>
        <v>1/054/001/0247</v>
      </c>
      <c r="F203" s="49"/>
      <c r="G203" s="404" t="s">
        <v>2585</v>
      </c>
      <c r="H203" s="405" t="s">
        <v>1888</v>
      </c>
      <c r="I203" s="404" t="s">
        <v>1889</v>
      </c>
      <c r="J203" s="294"/>
      <c r="K203" s="406" t="s">
        <v>31</v>
      </c>
      <c r="L203" s="51"/>
      <c r="M203" s="329"/>
      <c r="N203" s="330"/>
      <c r="O203" s="330"/>
      <c r="P203" s="330"/>
      <c r="Q203" s="154"/>
      <c r="R203" s="155"/>
      <c r="S203" s="40" t="s">
        <v>34</v>
      </c>
      <c r="T203" s="40"/>
      <c r="U203" s="40"/>
      <c r="V203" s="40"/>
      <c r="W203" s="156"/>
      <c r="X203" s="48"/>
      <c r="Y203" s="115"/>
      <c r="Z203" s="124"/>
      <c r="AA203" s="109"/>
      <c r="AB203" s="109"/>
      <c r="AC203" s="109"/>
      <c r="AD203" s="183"/>
      <c r="AE203" s="109"/>
      <c r="AF203" s="109"/>
      <c r="AG203" s="109"/>
      <c r="AH203" s="109"/>
      <c r="AI203" s="109"/>
      <c r="AJ203" s="109"/>
      <c r="AK203" s="109"/>
      <c r="AL203" s="109"/>
      <c r="AM203" s="15"/>
      <c r="AN203" s="15"/>
    </row>
    <row r="204" spans="1:48" s="407" customFormat="1" ht="31.5" customHeight="1" x14ac:dyDescent="0.25">
      <c r="A204" s="40">
        <v>1</v>
      </c>
      <c r="B204" s="497" t="s">
        <v>1406</v>
      </c>
      <c r="C204" s="497" t="s">
        <v>338</v>
      </c>
      <c r="D204" s="213" t="s">
        <v>1894</v>
      </c>
      <c r="E204" s="211" t="str">
        <f t="shared" si="144"/>
        <v>1/054/002/0248</v>
      </c>
      <c r="F204" s="49"/>
      <c r="G204" s="404" t="s">
        <v>1890</v>
      </c>
      <c r="H204" s="405" t="s">
        <v>42</v>
      </c>
      <c r="I204" s="404" t="s">
        <v>1889</v>
      </c>
      <c r="J204" s="294" t="s">
        <v>1891</v>
      </c>
      <c r="K204" s="406" t="s">
        <v>31</v>
      </c>
      <c r="L204" s="51" t="s">
        <v>1893</v>
      </c>
      <c r="M204" s="329" t="s">
        <v>1892</v>
      </c>
      <c r="N204" s="330">
        <v>7</v>
      </c>
      <c r="O204" s="330">
        <v>12</v>
      </c>
      <c r="P204" s="330">
        <v>1990</v>
      </c>
      <c r="Q204" s="154">
        <f t="shared" si="128"/>
        <v>33214</v>
      </c>
      <c r="R204" s="155">
        <f t="shared" ca="1" si="129"/>
        <v>35.104109589041094</v>
      </c>
      <c r="S204" s="40" t="s">
        <v>34</v>
      </c>
      <c r="T204" s="40">
        <v>27</v>
      </c>
      <c r="U204" s="40">
        <v>7</v>
      </c>
      <c r="V204" s="40">
        <v>2022</v>
      </c>
      <c r="W204" s="156">
        <f t="shared" si="130"/>
        <v>44769</v>
      </c>
      <c r="X204" s="48"/>
      <c r="Y204" s="115"/>
      <c r="Z204" s="109"/>
      <c r="AA204" s="109"/>
      <c r="AB204" s="150"/>
      <c r="AC204" s="15"/>
      <c r="AD204" s="108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</row>
    <row r="205" spans="1:48" s="407" customFormat="1" ht="31.5" customHeight="1" x14ac:dyDescent="0.25">
      <c r="A205" s="73">
        <v>1</v>
      </c>
      <c r="B205" s="497" t="s">
        <v>1406</v>
      </c>
      <c r="C205" s="497" t="s">
        <v>345</v>
      </c>
      <c r="D205" s="213" t="s">
        <v>1895</v>
      </c>
      <c r="E205" s="211" t="str">
        <f t="shared" si="144"/>
        <v>1/054/003/0249</v>
      </c>
      <c r="F205" s="3"/>
      <c r="G205" s="408" t="s">
        <v>1831</v>
      </c>
      <c r="H205" s="409" t="s">
        <v>1832</v>
      </c>
      <c r="I205" s="408" t="s">
        <v>1833</v>
      </c>
      <c r="J205" s="295" t="s">
        <v>1769</v>
      </c>
      <c r="K205" s="409" t="s">
        <v>1871</v>
      </c>
      <c r="L205" s="10" t="s">
        <v>1770</v>
      </c>
      <c r="M205" s="331"/>
      <c r="N205" s="3" t="s">
        <v>32</v>
      </c>
      <c r="O205" s="3" t="s">
        <v>166</v>
      </c>
      <c r="P205" s="3" t="s">
        <v>169</v>
      </c>
      <c r="Q205" s="154">
        <f t="shared" si="128"/>
        <v>28676</v>
      </c>
      <c r="R205" s="155">
        <f t="shared" ca="1" si="129"/>
        <v>47.536986301369865</v>
      </c>
      <c r="S205" s="410" t="s">
        <v>50</v>
      </c>
      <c r="T205" s="3" t="s">
        <v>63</v>
      </c>
      <c r="U205" s="3" t="s">
        <v>33</v>
      </c>
      <c r="V205" s="3" t="s">
        <v>459</v>
      </c>
      <c r="W205" s="156">
        <f t="shared" si="130"/>
        <v>39234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08"/>
      <c r="AL205" s="15"/>
      <c r="AM205" s="15"/>
      <c r="AN205" s="15"/>
      <c r="AO205" s="15"/>
      <c r="AP205" s="15"/>
      <c r="AQ205" s="15"/>
      <c r="AR205" s="5"/>
      <c r="AS205" s="5"/>
      <c r="AT205" s="5"/>
      <c r="AV205" s="411"/>
    </row>
    <row r="206" spans="1:48" s="407" customFormat="1" ht="31.5" customHeight="1" x14ac:dyDescent="0.25">
      <c r="A206" s="73">
        <v>1</v>
      </c>
      <c r="B206" s="497" t="s">
        <v>1406</v>
      </c>
      <c r="C206" s="497" t="s">
        <v>352</v>
      </c>
      <c r="D206" s="213" t="s">
        <v>1896</v>
      </c>
      <c r="E206" s="211" t="str">
        <f t="shared" si="144"/>
        <v>1/054/004/0250</v>
      </c>
      <c r="F206" s="3"/>
      <c r="G206" s="408" t="s">
        <v>1834</v>
      </c>
      <c r="H206" s="409" t="s">
        <v>1832</v>
      </c>
      <c r="I206" s="408" t="s">
        <v>1835</v>
      </c>
      <c r="J206" s="295" t="s">
        <v>1772</v>
      </c>
      <c r="K206" s="409" t="s">
        <v>1872</v>
      </c>
      <c r="L206" s="10" t="s">
        <v>1774</v>
      </c>
      <c r="M206" s="331" t="s">
        <v>1775</v>
      </c>
      <c r="N206" s="3" t="s">
        <v>89</v>
      </c>
      <c r="O206" s="3" t="s">
        <v>32</v>
      </c>
      <c r="P206" s="3" t="s">
        <v>570</v>
      </c>
      <c r="Q206" s="154">
        <f t="shared" si="128"/>
        <v>32644</v>
      </c>
      <c r="R206" s="155">
        <f t="shared" ca="1" si="129"/>
        <v>36.665753424657531</v>
      </c>
      <c r="S206" s="410" t="s">
        <v>50</v>
      </c>
      <c r="T206" s="3" t="s">
        <v>62</v>
      </c>
      <c r="U206" s="3" t="s">
        <v>63</v>
      </c>
      <c r="V206" s="3" t="s">
        <v>213</v>
      </c>
      <c r="W206" s="156">
        <f t="shared" si="130"/>
        <v>40546</v>
      </c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08"/>
      <c r="AL206" s="15"/>
      <c r="AM206" s="15"/>
      <c r="AN206" s="15"/>
      <c r="AO206" s="15"/>
      <c r="AP206" s="15"/>
      <c r="AQ206" s="15"/>
      <c r="AR206" s="5"/>
      <c r="AS206" s="5"/>
      <c r="AT206" s="5"/>
      <c r="AV206" s="411"/>
    </row>
    <row r="207" spans="1:48" s="407" customFormat="1" ht="31.5" customHeight="1" x14ac:dyDescent="0.25">
      <c r="A207" s="73">
        <v>1</v>
      </c>
      <c r="B207" s="497" t="s">
        <v>1406</v>
      </c>
      <c r="C207" s="497" t="s">
        <v>361</v>
      </c>
      <c r="D207" s="213" t="s">
        <v>1897</v>
      </c>
      <c r="E207" s="211" t="str">
        <f t="shared" si="144"/>
        <v>1/054/005/0251</v>
      </c>
      <c r="F207" s="3"/>
      <c r="G207" s="408" t="s">
        <v>1836</v>
      </c>
      <c r="H207" s="409" t="s">
        <v>1832</v>
      </c>
      <c r="I207" s="408" t="s">
        <v>1837</v>
      </c>
      <c r="J207" s="295" t="s">
        <v>1776</v>
      </c>
      <c r="K207" s="409" t="s">
        <v>1871</v>
      </c>
      <c r="L207" s="10" t="s">
        <v>1777</v>
      </c>
      <c r="M207" s="331" t="s">
        <v>1778</v>
      </c>
      <c r="N207" s="3" t="s">
        <v>79</v>
      </c>
      <c r="O207" s="3" t="s">
        <v>80</v>
      </c>
      <c r="P207" s="3" t="s">
        <v>679</v>
      </c>
      <c r="Q207" s="154">
        <f t="shared" si="128"/>
        <v>32261</v>
      </c>
      <c r="R207" s="155">
        <f t="shared" ca="1" si="129"/>
        <v>37.715068493150682</v>
      </c>
      <c r="S207" s="410" t="s">
        <v>50</v>
      </c>
      <c r="T207" s="3" t="s">
        <v>63</v>
      </c>
      <c r="U207" s="3" t="s">
        <v>63</v>
      </c>
      <c r="V207" s="3" t="s">
        <v>557</v>
      </c>
      <c r="W207" s="156">
        <f t="shared" si="130"/>
        <v>40909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08"/>
      <c r="AL207" s="15"/>
      <c r="AM207" s="15"/>
      <c r="AN207" s="15"/>
      <c r="AO207" s="15"/>
      <c r="AP207" s="15"/>
      <c r="AQ207" s="15"/>
      <c r="AR207" s="5"/>
      <c r="AS207" s="5"/>
      <c r="AT207" s="5"/>
      <c r="AV207" s="411"/>
    </row>
    <row r="208" spans="1:48" s="407" customFormat="1" ht="31.5" customHeight="1" x14ac:dyDescent="0.25">
      <c r="A208" s="73">
        <v>1</v>
      </c>
      <c r="B208" s="497" t="s">
        <v>1406</v>
      </c>
      <c r="C208" s="497" t="s">
        <v>369</v>
      </c>
      <c r="D208" s="213" t="s">
        <v>1898</v>
      </c>
      <c r="E208" s="211" t="str">
        <f t="shared" si="144"/>
        <v>1/054/006/0252</v>
      </c>
      <c r="F208" s="3"/>
      <c r="G208" s="408" t="s">
        <v>1838</v>
      </c>
      <c r="H208" s="412" t="s">
        <v>1832</v>
      </c>
      <c r="I208" s="408" t="s">
        <v>1839</v>
      </c>
      <c r="J208" s="295" t="s">
        <v>1779</v>
      </c>
      <c r="K208" s="409" t="s">
        <v>1873</v>
      </c>
      <c r="L208" s="10" t="s">
        <v>1780</v>
      </c>
      <c r="M208" s="331" t="s">
        <v>1781</v>
      </c>
      <c r="N208" s="3" t="s">
        <v>625</v>
      </c>
      <c r="O208" s="3" t="s">
        <v>80</v>
      </c>
      <c r="P208" s="3" t="s">
        <v>570</v>
      </c>
      <c r="Q208" s="154">
        <f t="shared" si="128"/>
        <v>32624</v>
      </c>
      <c r="R208" s="155">
        <f t="shared" ca="1" si="129"/>
        <v>36.720547945205482</v>
      </c>
      <c r="S208" s="410" t="s">
        <v>50</v>
      </c>
      <c r="T208" s="3" t="s">
        <v>63</v>
      </c>
      <c r="U208" s="3" t="s">
        <v>36</v>
      </c>
      <c r="V208" s="3" t="s">
        <v>557</v>
      </c>
      <c r="W208" s="156">
        <f t="shared" si="130"/>
        <v>41183</v>
      </c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08"/>
      <c r="AL208" s="15"/>
      <c r="AM208" s="15"/>
      <c r="AN208" s="15"/>
      <c r="AO208" s="15"/>
      <c r="AP208" s="15"/>
      <c r="AQ208" s="15"/>
      <c r="AR208" s="5"/>
      <c r="AS208" s="5"/>
      <c r="AT208" s="5"/>
      <c r="AV208" s="411"/>
    </row>
    <row r="209" spans="1:48" s="407" customFormat="1" ht="31.5" customHeight="1" x14ac:dyDescent="0.25">
      <c r="A209" s="73">
        <v>1</v>
      </c>
      <c r="B209" s="497" t="s">
        <v>1406</v>
      </c>
      <c r="C209" s="497" t="s">
        <v>377</v>
      </c>
      <c r="D209" s="213" t="s">
        <v>1899</v>
      </c>
      <c r="E209" s="211" t="str">
        <f t="shared" si="144"/>
        <v>1/054/007/0253</v>
      </c>
      <c r="F209" s="3"/>
      <c r="G209" s="408" t="s">
        <v>1840</v>
      </c>
      <c r="H209" s="409" t="s">
        <v>1832</v>
      </c>
      <c r="I209" s="408" t="s">
        <v>1841</v>
      </c>
      <c r="J209" s="295" t="s">
        <v>1782</v>
      </c>
      <c r="K209" s="409" t="s">
        <v>1871</v>
      </c>
      <c r="L209" s="10" t="s">
        <v>1783</v>
      </c>
      <c r="M209" s="331" t="s">
        <v>1784</v>
      </c>
      <c r="N209" s="3" t="s">
        <v>35</v>
      </c>
      <c r="O209" s="3" t="s">
        <v>36</v>
      </c>
      <c r="P209" s="3" t="s">
        <v>376</v>
      </c>
      <c r="Q209" s="154">
        <f t="shared" si="128"/>
        <v>32052</v>
      </c>
      <c r="R209" s="155">
        <f t="shared" ca="1" si="129"/>
        <v>38.287671232876711</v>
      </c>
      <c r="S209" s="410" t="s">
        <v>50</v>
      </c>
      <c r="T209" s="3" t="s">
        <v>63</v>
      </c>
      <c r="U209" s="3" t="s">
        <v>63</v>
      </c>
      <c r="V209" s="3" t="s">
        <v>632</v>
      </c>
      <c r="W209" s="156">
        <f t="shared" si="130"/>
        <v>42005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08"/>
      <c r="AL209" s="15"/>
      <c r="AM209" s="15"/>
      <c r="AN209" s="15"/>
      <c r="AO209" s="15"/>
      <c r="AP209" s="15"/>
      <c r="AQ209" s="15"/>
      <c r="AR209" s="5"/>
      <c r="AS209" s="5"/>
      <c r="AT209" s="5"/>
      <c r="AV209" s="411"/>
    </row>
    <row r="210" spans="1:48" s="407" customFormat="1" ht="31.5" customHeight="1" x14ac:dyDescent="0.25">
      <c r="A210" s="73">
        <v>1</v>
      </c>
      <c r="B210" s="497" t="s">
        <v>1406</v>
      </c>
      <c r="C210" s="497" t="s">
        <v>384</v>
      </c>
      <c r="D210" s="213" t="s">
        <v>1900</v>
      </c>
      <c r="E210" s="211" t="str">
        <f t="shared" si="144"/>
        <v>1/054/008/0254</v>
      </c>
      <c r="F210" s="3"/>
      <c r="G210" s="408" t="s">
        <v>1842</v>
      </c>
      <c r="H210" s="409" t="s">
        <v>1832</v>
      </c>
      <c r="I210" s="408" t="s">
        <v>1843</v>
      </c>
      <c r="J210" s="295" t="s">
        <v>1785</v>
      </c>
      <c r="K210" s="409" t="s">
        <v>96</v>
      </c>
      <c r="L210" s="10" t="s">
        <v>1786</v>
      </c>
      <c r="M210" s="331"/>
      <c r="N210" s="3" t="s">
        <v>32</v>
      </c>
      <c r="O210" s="3" t="s">
        <v>80</v>
      </c>
      <c r="P210" s="3" t="s">
        <v>169</v>
      </c>
      <c r="Q210" s="154">
        <f t="shared" ref="Q210:Q233" si="145">DATE(P210,O210,N210)</f>
        <v>28585</v>
      </c>
      <c r="R210" s="155">
        <f t="shared" ref="R210:R233" ca="1" si="146">($G$7-Q210)/365</f>
        <v>47.786301369863011</v>
      </c>
      <c r="S210" s="410" t="s">
        <v>50</v>
      </c>
      <c r="T210" s="3" t="s">
        <v>51</v>
      </c>
      <c r="U210" s="3" t="s">
        <v>63</v>
      </c>
      <c r="V210" s="3" t="s">
        <v>148</v>
      </c>
      <c r="W210" s="156">
        <f t="shared" ref="W210:W233" si="147">DATE(V210,U210,T210)</f>
        <v>43109</v>
      </c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08"/>
      <c r="AL210" s="15"/>
      <c r="AM210" s="15"/>
      <c r="AN210" s="15"/>
      <c r="AO210" s="15"/>
      <c r="AP210" s="15"/>
      <c r="AQ210" s="15"/>
      <c r="AR210" s="5"/>
      <c r="AS210" s="5"/>
      <c r="AT210" s="5"/>
      <c r="AV210" s="411"/>
    </row>
    <row r="211" spans="1:48" s="407" customFormat="1" ht="31.5" customHeight="1" x14ac:dyDescent="0.25">
      <c r="A211" s="73">
        <v>1</v>
      </c>
      <c r="B211" s="497" t="s">
        <v>1406</v>
      </c>
      <c r="C211" s="497" t="s">
        <v>1374</v>
      </c>
      <c r="D211" s="213" t="s">
        <v>1901</v>
      </c>
      <c r="E211" s="211" t="str">
        <f t="shared" si="144"/>
        <v>1/054/009/0255</v>
      </c>
      <c r="F211" s="3"/>
      <c r="G211" s="408" t="s">
        <v>1844</v>
      </c>
      <c r="H211" s="409" t="s">
        <v>1832</v>
      </c>
      <c r="I211" s="408" t="s">
        <v>1845</v>
      </c>
      <c r="J211" s="296" t="s">
        <v>1787</v>
      </c>
      <c r="K211" s="409" t="s">
        <v>1871</v>
      </c>
      <c r="L211" s="10" t="s">
        <v>1788</v>
      </c>
      <c r="M211" s="331" t="s">
        <v>1789</v>
      </c>
      <c r="N211" s="3" t="s">
        <v>69</v>
      </c>
      <c r="O211" s="3" t="s">
        <v>33</v>
      </c>
      <c r="P211" s="3" t="s">
        <v>61</v>
      </c>
      <c r="Q211" s="154">
        <f t="shared" si="145"/>
        <v>35611</v>
      </c>
      <c r="R211" s="155">
        <f t="shared" ca="1" si="146"/>
        <v>28.536986301369861</v>
      </c>
      <c r="S211" s="410" t="s">
        <v>50</v>
      </c>
      <c r="T211" s="3" t="s">
        <v>51</v>
      </c>
      <c r="U211" s="3" t="s">
        <v>63</v>
      </c>
      <c r="V211" s="3" t="s">
        <v>148</v>
      </c>
      <c r="W211" s="156">
        <f t="shared" si="147"/>
        <v>43109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08"/>
      <c r="AL211" s="15"/>
      <c r="AM211" s="15"/>
      <c r="AN211" s="15"/>
      <c r="AO211" s="15"/>
      <c r="AP211" s="15"/>
      <c r="AQ211" s="15"/>
      <c r="AR211" s="5"/>
      <c r="AS211" s="5"/>
      <c r="AT211" s="5"/>
      <c r="AV211" s="411"/>
    </row>
    <row r="212" spans="1:48" s="407" customFormat="1" ht="31.5" customHeight="1" x14ac:dyDescent="0.25">
      <c r="A212" s="73">
        <v>1</v>
      </c>
      <c r="B212" s="497" t="s">
        <v>1406</v>
      </c>
      <c r="C212" s="497" t="s">
        <v>1375</v>
      </c>
      <c r="D212" s="213" t="s">
        <v>1902</v>
      </c>
      <c r="E212" s="211" t="str">
        <f t="shared" si="144"/>
        <v>1/054/010/0256</v>
      </c>
      <c r="F212" s="3"/>
      <c r="G212" s="408" t="s">
        <v>1846</v>
      </c>
      <c r="H212" s="409" t="s">
        <v>1832</v>
      </c>
      <c r="I212" s="408" t="s">
        <v>1847</v>
      </c>
      <c r="J212" s="295" t="s">
        <v>1790</v>
      </c>
      <c r="K212" s="409" t="s">
        <v>1873</v>
      </c>
      <c r="L212" s="10" t="s">
        <v>1791</v>
      </c>
      <c r="M212" s="331" t="s">
        <v>1792</v>
      </c>
      <c r="N212" s="3" t="s">
        <v>80</v>
      </c>
      <c r="O212" s="3" t="s">
        <v>166</v>
      </c>
      <c r="P212" s="3" t="s">
        <v>177</v>
      </c>
      <c r="Q212" s="154">
        <f t="shared" si="145"/>
        <v>35250</v>
      </c>
      <c r="R212" s="155">
        <f t="shared" ca="1" si="146"/>
        <v>29.526027397260275</v>
      </c>
      <c r="S212" s="410" t="s">
        <v>50</v>
      </c>
      <c r="T212" s="3" t="s">
        <v>51</v>
      </c>
      <c r="U212" s="3" t="s">
        <v>166</v>
      </c>
      <c r="V212" s="3" t="s">
        <v>177</v>
      </c>
      <c r="W212" s="156">
        <f t="shared" si="147"/>
        <v>35255</v>
      </c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08"/>
      <c r="AL212" s="15"/>
      <c r="AM212" s="15"/>
      <c r="AN212" s="15"/>
      <c r="AO212" s="15"/>
      <c r="AP212" s="15"/>
      <c r="AQ212" s="15"/>
      <c r="AR212" s="5"/>
      <c r="AS212" s="5"/>
      <c r="AT212" s="5"/>
      <c r="AV212" s="411"/>
    </row>
    <row r="213" spans="1:48" s="407" customFormat="1" ht="31.5" customHeight="1" x14ac:dyDescent="0.25">
      <c r="A213" s="73">
        <v>1</v>
      </c>
      <c r="B213" s="497" t="s">
        <v>1406</v>
      </c>
      <c r="C213" s="497" t="s">
        <v>1037</v>
      </c>
      <c r="D213" s="213" t="s">
        <v>1903</v>
      </c>
      <c r="E213" s="211" t="str">
        <f t="shared" si="144"/>
        <v>1/054/011/0257</v>
      </c>
      <c r="F213" s="3"/>
      <c r="G213" s="408" t="s">
        <v>1848</v>
      </c>
      <c r="H213" s="409" t="s">
        <v>1832</v>
      </c>
      <c r="I213" s="408" t="s">
        <v>1849</v>
      </c>
      <c r="J213" s="295" t="s">
        <v>1793</v>
      </c>
      <c r="K213" s="409" t="s">
        <v>96</v>
      </c>
      <c r="L213" s="10" t="s">
        <v>1794</v>
      </c>
      <c r="M213" s="331" t="s">
        <v>1795</v>
      </c>
      <c r="N213" s="3" t="s">
        <v>63</v>
      </c>
      <c r="O213" s="3" t="s">
        <v>60</v>
      </c>
      <c r="P213" s="3" t="s">
        <v>758</v>
      </c>
      <c r="Q213" s="154">
        <f t="shared" si="145"/>
        <v>36100</v>
      </c>
      <c r="R213" s="155">
        <f t="shared" ca="1" si="146"/>
        <v>27.197260273972603</v>
      </c>
      <c r="S213" s="410" t="s">
        <v>50</v>
      </c>
      <c r="T213" s="3" t="s">
        <v>63</v>
      </c>
      <c r="U213" s="3" t="s">
        <v>35</v>
      </c>
      <c r="V213" s="3" t="s">
        <v>220</v>
      </c>
      <c r="W213" s="156">
        <f t="shared" si="147"/>
        <v>44228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08"/>
      <c r="AL213" s="15"/>
      <c r="AM213" s="15"/>
      <c r="AN213" s="15"/>
      <c r="AO213" s="15"/>
      <c r="AP213" s="15"/>
      <c r="AQ213" s="15"/>
      <c r="AR213" s="5"/>
      <c r="AS213" s="5"/>
      <c r="AT213" s="5"/>
      <c r="AV213" s="411"/>
    </row>
    <row r="214" spans="1:48" s="407" customFormat="1" ht="31.5" customHeight="1" x14ac:dyDescent="0.25">
      <c r="A214" s="73">
        <v>1</v>
      </c>
      <c r="B214" s="497" t="s">
        <v>1406</v>
      </c>
      <c r="C214" s="497" t="s">
        <v>1376</v>
      </c>
      <c r="D214" s="213" t="s">
        <v>1904</v>
      </c>
      <c r="E214" s="211" t="str">
        <f t="shared" si="144"/>
        <v>1/054/012/0258</v>
      </c>
      <c r="F214" s="3"/>
      <c r="G214" s="408" t="s">
        <v>1850</v>
      </c>
      <c r="H214" s="409" t="s">
        <v>1832</v>
      </c>
      <c r="I214" s="408" t="s">
        <v>1851</v>
      </c>
      <c r="J214" s="295" t="s">
        <v>1796</v>
      </c>
      <c r="K214" s="409" t="s">
        <v>1871</v>
      </c>
      <c r="L214" s="10" t="s">
        <v>1797</v>
      </c>
      <c r="M214" s="331" t="s">
        <v>1798</v>
      </c>
      <c r="N214" s="3" t="s">
        <v>107</v>
      </c>
      <c r="O214" s="3" t="s">
        <v>80</v>
      </c>
      <c r="P214" s="3" t="s">
        <v>177</v>
      </c>
      <c r="Q214" s="154">
        <f t="shared" si="145"/>
        <v>35178</v>
      </c>
      <c r="R214" s="155">
        <f t="shared" ca="1" si="146"/>
        <v>29.723287671232878</v>
      </c>
      <c r="S214" s="410" t="s">
        <v>50</v>
      </c>
      <c r="T214" s="3" t="s">
        <v>114</v>
      </c>
      <c r="U214" s="3" t="s">
        <v>62</v>
      </c>
      <c r="V214" s="3" t="s">
        <v>220</v>
      </c>
      <c r="W214" s="156">
        <f t="shared" si="147"/>
        <v>44270</v>
      </c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08"/>
      <c r="AL214" s="15"/>
      <c r="AM214" s="15"/>
      <c r="AN214" s="15"/>
      <c r="AO214" s="15"/>
      <c r="AP214" s="15"/>
      <c r="AQ214" s="15"/>
      <c r="AR214" s="5"/>
      <c r="AS214" s="5"/>
      <c r="AT214" s="5"/>
      <c r="AV214" s="411"/>
    </row>
    <row r="215" spans="1:48" s="407" customFormat="1" ht="31.5" customHeight="1" x14ac:dyDescent="0.25">
      <c r="A215" s="73">
        <v>1</v>
      </c>
      <c r="B215" s="497" t="s">
        <v>1406</v>
      </c>
      <c r="C215" s="497" t="s">
        <v>1377</v>
      </c>
      <c r="D215" s="213" t="s">
        <v>1905</v>
      </c>
      <c r="E215" s="211" t="str">
        <f t="shared" si="144"/>
        <v>1/054/013/0259</v>
      </c>
      <c r="F215" s="3"/>
      <c r="G215" s="408" t="s">
        <v>1852</v>
      </c>
      <c r="H215" s="409" t="s">
        <v>1832</v>
      </c>
      <c r="I215" s="408" t="s">
        <v>1853</v>
      </c>
      <c r="J215" s="295" t="s">
        <v>1799</v>
      </c>
      <c r="K215" s="409" t="s">
        <v>1871</v>
      </c>
      <c r="L215" s="10" t="s">
        <v>1800</v>
      </c>
      <c r="M215" s="331" t="s">
        <v>1801</v>
      </c>
      <c r="N215" s="3" t="s">
        <v>51</v>
      </c>
      <c r="O215" s="3" t="s">
        <v>63</v>
      </c>
      <c r="P215" s="3" t="s">
        <v>732</v>
      </c>
      <c r="Q215" s="154">
        <f t="shared" si="145"/>
        <v>36169</v>
      </c>
      <c r="R215" s="155">
        <f t="shared" ca="1" si="146"/>
        <v>27.008219178082193</v>
      </c>
      <c r="S215" s="410" t="s">
        <v>50</v>
      </c>
      <c r="T215" s="3" t="s">
        <v>60</v>
      </c>
      <c r="U215" s="3" t="s">
        <v>63</v>
      </c>
      <c r="V215" s="3" t="s">
        <v>37</v>
      </c>
      <c r="W215" s="156">
        <f t="shared" si="147"/>
        <v>44572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08"/>
      <c r="AL215" s="15"/>
      <c r="AM215" s="15"/>
      <c r="AN215" s="15"/>
      <c r="AO215" s="15"/>
      <c r="AP215" s="15"/>
      <c r="AQ215" s="15"/>
      <c r="AR215" s="5"/>
      <c r="AS215" s="5"/>
      <c r="AT215" s="5"/>
      <c r="AV215" s="411"/>
    </row>
    <row r="216" spans="1:48" s="407" customFormat="1" ht="31.5" customHeight="1" x14ac:dyDescent="0.25">
      <c r="A216" s="73">
        <v>1</v>
      </c>
      <c r="B216" s="497" t="s">
        <v>1406</v>
      </c>
      <c r="C216" s="497" t="s">
        <v>1378</v>
      </c>
      <c r="D216" s="213" t="s">
        <v>1906</v>
      </c>
      <c r="E216" s="211" t="str">
        <f t="shared" si="144"/>
        <v>1/054/014/0260</v>
      </c>
      <c r="F216" s="3"/>
      <c r="G216" s="413" t="s">
        <v>2311</v>
      </c>
      <c r="H216" s="409" t="s">
        <v>1832</v>
      </c>
      <c r="I216" s="408" t="s">
        <v>1854</v>
      </c>
      <c r="J216" s="296" t="s">
        <v>1802</v>
      </c>
      <c r="K216" s="409" t="s">
        <v>1873</v>
      </c>
      <c r="L216" s="10" t="s">
        <v>1803</v>
      </c>
      <c r="M216" s="331" t="s">
        <v>1804</v>
      </c>
      <c r="N216" s="3" t="s">
        <v>35</v>
      </c>
      <c r="O216" s="3" t="s">
        <v>35</v>
      </c>
      <c r="P216" s="3" t="s">
        <v>506</v>
      </c>
      <c r="Q216" s="154">
        <f t="shared" si="145"/>
        <v>31080</v>
      </c>
      <c r="R216" s="155">
        <f t="shared" ca="1" si="146"/>
        <v>40.950684931506849</v>
      </c>
      <c r="S216" s="410" t="s">
        <v>50</v>
      </c>
      <c r="T216" s="3" t="s">
        <v>35</v>
      </c>
      <c r="U216" s="3" t="s">
        <v>32</v>
      </c>
      <c r="V216" s="3" t="s">
        <v>37</v>
      </c>
      <c r="W216" s="156">
        <f t="shared" si="147"/>
        <v>44683</v>
      </c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08"/>
      <c r="AL216" s="15"/>
      <c r="AM216" s="15"/>
      <c r="AN216" s="15"/>
      <c r="AO216" s="15"/>
      <c r="AP216" s="15"/>
      <c r="AQ216" s="15"/>
      <c r="AR216" s="5"/>
      <c r="AS216" s="5"/>
      <c r="AT216" s="5"/>
      <c r="AV216" s="411"/>
    </row>
    <row r="217" spans="1:48" s="407" customFormat="1" ht="31.5" customHeight="1" x14ac:dyDescent="0.25">
      <c r="A217" s="73">
        <v>1</v>
      </c>
      <c r="B217" s="497" t="s">
        <v>1406</v>
      </c>
      <c r="C217" s="497" t="s">
        <v>1379</v>
      </c>
      <c r="D217" s="213" t="s">
        <v>1907</v>
      </c>
      <c r="E217" s="211" t="str">
        <f t="shared" si="144"/>
        <v>1/054/015/0261</v>
      </c>
      <c r="F217" s="3"/>
      <c r="G217" s="408" t="s">
        <v>1855</v>
      </c>
      <c r="H217" s="409" t="s">
        <v>1832</v>
      </c>
      <c r="I217" s="408" t="s">
        <v>1856</v>
      </c>
      <c r="J217" s="295" t="s">
        <v>1805</v>
      </c>
      <c r="K217" s="409" t="s">
        <v>1871</v>
      </c>
      <c r="L217" s="10" t="s">
        <v>1806</v>
      </c>
      <c r="M217" s="331" t="s">
        <v>1807</v>
      </c>
      <c r="N217" s="3" t="s">
        <v>100</v>
      </c>
      <c r="O217" s="3" t="s">
        <v>80</v>
      </c>
      <c r="P217" s="3" t="s">
        <v>732</v>
      </c>
      <c r="Q217" s="154">
        <f t="shared" si="145"/>
        <v>36264</v>
      </c>
      <c r="R217" s="155">
        <f t="shared" ca="1" si="146"/>
        <v>26.747945205479454</v>
      </c>
      <c r="S217" s="410" t="s">
        <v>50</v>
      </c>
      <c r="T217" s="3" t="s">
        <v>33</v>
      </c>
      <c r="U217" s="3" t="s">
        <v>32</v>
      </c>
      <c r="V217" s="3" t="s">
        <v>37</v>
      </c>
      <c r="W217" s="156">
        <f t="shared" si="147"/>
        <v>44687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08"/>
      <c r="AL217" s="15"/>
      <c r="AM217" s="15"/>
      <c r="AN217" s="15"/>
      <c r="AO217" s="15"/>
      <c r="AP217" s="15"/>
      <c r="AQ217" s="15"/>
      <c r="AR217" s="5"/>
      <c r="AS217" s="5"/>
      <c r="AT217" s="5"/>
      <c r="AV217" s="411"/>
    </row>
    <row r="218" spans="1:48" s="407" customFormat="1" ht="31.5" customHeight="1" x14ac:dyDescent="0.25">
      <c r="A218" s="73">
        <v>1</v>
      </c>
      <c r="B218" s="497" t="s">
        <v>1406</v>
      </c>
      <c r="C218" s="497" t="s">
        <v>1380</v>
      </c>
      <c r="D218" s="213" t="s">
        <v>1908</v>
      </c>
      <c r="E218" s="211" t="str">
        <f t="shared" si="144"/>
        <v>1/054/016/0262</v>
      </c>
      <c r="F218" s="3"/>
      <c r="G218" s="408" t="s">
        <v>1857</v>
      </c>
      <c r="H218" s="409" t="s">
        <v>1832</v>
      </c>
      <c r="I218" s="408" t="s">
        <v>1858</v>
      </c>
      <c r="J218" s="295">
        <v>196967902399</v>
      </c>
      <c r="K218" s="409" t="s">
        <v>1871</v>
      </c>
      <c r="L218" s="10" t="s">
        <v>1808</v>
      </c>
      <c r="M218" s="331" t="s">
        <v>1809</v>
      </c>
      <c r="N218" s="3" t="s">
        <v>288</v>
      </c>
      <c r="O218" s="3" t="s">
        <v>33</v>
      </c>
      <c r="P218" s="3" t="s">
        <v>390</v>
      </c>
      <c r="Q218" s="154">
        <f t="shared" si="145"/>
        <v>25381</v>
      </c>
      <c r="R218" s="155">
        <f t="shared" ca="1" si="146"/>
        <v>56.564383561643837</v>
      </c>
      <c r="S218" s="410" t="s">
        <v>50</v>
      </c>
      <c r="T218" s="3" t="s">
        <v>80</v>
      </c>
      <c r="U218" s="3" t="s">
        <v>51</v>
      </c>
      <c r="V218" s="3" t="s">
        <v>37</v>
      </c>
      <c r="W218" s="156">
        <f t="shared" si="147"/>
        <v>44808</v>
      </c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08"/>
      <c r="AL218" s="15"/>
      <c r="AM218" s="15"/>
      <c r="AN218" s="15"/>
      <c r="AO218" s="15"/>
      <c r="AP218" s="15"/>
      <c r="AQ218" s="15"/>
      <c r="AR218" s="5"/>
      <c r="AS218" s="5"/>
      <c r="AT218" s="5"/>
      <c r="AV218" s="411"/>
    </row>
    <row r="219" spans="1:48" s="407" customFormat="1" ht="31.5" customHeight="1" x14ac:dyDescent="0.25">
      <c r="A219" s="73">
        <v>1</v>
      </c>
      <c r="B219" s="497" t="s">
        <v>1406</v>
      </c>
      <c r="C219" s="497" t="s">
        <v>1021</v>
      </c>
      <c r="D219" s="213" t="s">
        <v>1909</v>
      </c>
      <c r="E219" s="211" t="str">
        <f t="shared" si="144"/>
        <v>1/054/017/0263</v>
      </c>
      <c r="F219" s="3"/>
      <c r="G219" s="408" t="s">
        <v>1859</v>
      </c>
      <c r="H219" s="409" t="s">
        <v>1832</v>
      </c>
      <c r="I219" s="408" t="s">
        <v>1860</v>
      </c>
      <c r="J219" s="295">
        <v>200018301050</v>
      </c>
      <c r="K219" s="409" t="s">
        <v>1871</v>
      </c>
      <c r="L219" s="10" t="s">
        <v>1810</v>
      </c>
      <c r="M219" s="331" t="s">
        <v>1811</v>
      </c>
      <c r="N219" s="3" t="s">
        <v>63</v>
      </c>
      <c r="O219" s="3" t="s">
        <v>166</v>
      </c>
      <c r="P219" s="3" t="s">
        <v>181</v>
      </c>
      <c r="Q219" s="154">
        <f t="shared" si="145"/>
        <v>36708</v>
      </c>
      <c r="R219" s="155">
        <f t="shared" ca="1" si="146"/>
        <v>25.531506849315068</v>
      </c>
      <c r="S219" s="410" t="s">
        <v>1874</v>
      </c>
      <c r="T219" s="3" t="s">
        <v>70</v>
      </c>
      <c r="U219" s="3" t="s">
        <v>51</v>
      </c>
      <c r="V219" s="3" t="s">
        <v>37</v>
      </c>
      <c r="W219" s="156">
        <f t="shared" si="147"/>
        <v>44816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08"/>
      <c r="AL219" s="15"/>
      <c r="AM219" s="15"/>
      <c r="AN219" s="15"/>
      <c r="AO219" s="15"/>
      <c r="AP219" s="15"/>
      <c r="AQ219" s="15"/>
      <c r="AR219" s="5"/>
      <c r="AS219" s="5"/>
      <c r="AT219" s="5"/>
      <c r="AV219" s="411"/>
    </row>
    <row r="220" spans="1:48" s="407" customFormat="1" ht="31.5" customHeight="1" x14ac:dyDescent="0.25">
      <c r="A220" s="73">
        <v>1</v>
      </c>
      <c r="B220" s="497" t="s">
        <v>1406</v>
      </c>
      <c r="C220" s="497" t="s">
        <v>1041</v>
      </c>
      <c r="D220" s="213" t="s">
        <v>1910</v>
      </c>
      <c r="E220" s="211" t="str">
        <f t="shared" si="144"/>
        <v>1/054/018/0264</v>
      </c>
      <c r="F220" s="3"/>
      <c r="G220" s="408" t="s">
        <v>1861</v>
      </c>
      <c r="H220" s="409" t="s">
        <v>1832</v>
      </c>
      <c r="I220" s="408" t="s">
        <v>1862</v>
      </c>
      <c r="J220" s="295">
        <v>200159803286</v>
      </c>
      <c r="K220" s="409" t="s">
        <v>1871</v>
      </c>
      <c r="L220" s="10" t="s">
        <v>1812</v>
      </c>
      <c r="M220" s="331" t="s">
        <v>1813</v>
      </c>
      <c r="N220" s="3" t="s">
        <v>166</v>
      </c>
      <c r="O220" s="3" t="s">
        <v>80</v>
      </c>
      <c r="P220" s="3" t="s">
        <v>1814</v>
      </c>
      <c r="Q220" s="154">
        <f t="shared" si="145"/>
        <v>36988</v>
      </c>
      <c r="R220" s="155">
        <f t="shared" ca="1" si="146"/>
        <v>24.764383561643836</v>
      </c>
      <c r="S220" s="410" t="s">
        <v>50</v>
      </c>
      <c r="T220" s="3" t="s">
        <v>625</v>
      </c>
      <c r="U220" s="3" t="s">
        <v>51</v>
      </c>
      <c r="V220" s="3" t="s">
        <v>37</v>
      </c>
      <c r="W220" s="156">
        <f t="shared" si="147"/>
        <v>44830</v>
      </c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08"/>
      <c r="AL220" s="15"/>
      <c r="AM220" s="15"/>
      <c r="AN220" s="15"/>
      <c r="AO220" s="15"/>
      <c r="AP220" s="15"/>
      <c r="AQ220" s="15"/>
      <c r="AR220" s="5"/>
      <c r="AS220" s="5"/>
      <c r="AT220" s="5"/>
      <c r="AV220" s="411"/>
    </row>
    <row r="221" spans="1:48" s="407" customFormat="1" ht="31.5" customHeight="1" x14ac:dyDescent="0.25">
      <c r="A221" s="73">
        <v>1</v>
      </c>
      <c r="B221" s="497" t="s">
        <v>1406</v>
      </c>
      <c r="C221" s="497" t="s">
        <v>1381</v>
      </c>
      <c r="D221" s="213" t="s">
        <v>1911</v>
      </c>
      <c r="E221" s="211" t="str">
        <f t="shared" si="144"/>
        <v>1/054/019/0265</v>
      </c>
      <c r="F221" s="3"/>
      <c r="G221" s="414" t="s">
        <v>1863</v>
      </c>
      <c r="H221" s="415" t="s">
        <v>1832</v>
      </c>
      <c r="I221" s="414" t="s">
        <v>1864</v>
      </c>
      <c r="J221" s="377" t="s">
        <v>1815</v>
      </c>
      <c r="K221" s="416" t="s">
        <v>1872</v>
      </c>
      <c r="L221" s="26">
        <v>774132171</v>
      </c>
      <c r="M221" s="417" t="s">
        <v>1816</v>
      </c>
      <c r="N221" s="15">
        <v>26</v>
      </c>
      <c r="O221" s="15">
        <v>12</v>
      </c>
      <c r="P221" s="15">
        <v>1989</v>
      </c>
      <c r="Q221" s="154">
        <f t="shared" si="145"/>
        <v>32868</v>
      </c>
      <c r="R221" s="155">
        <f t="shared" ca="1" si="146"/>
        <v>36.052054794520551</v>
      </c>
      <c r="S221" s="415" t="s">
        <v>50</v>
      </c>
      <c r="T221" s="15">
        <v>3</v>
      </c>
      <c r="U221" s="15">
        <v>1</v>
      </c>
      <c r="V221" s="15">
        <v>2022</v>
      </c>
      <c r="W221" s="156">
        <f t="shared" si="147"/>
        <v>44564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08"/>
      <c r="AL221" s="15"/>
      <c r="AM221" s="15"/>
      <c r="AN221" s="15"/>
      <c r="AO221" s="15"/>
      <c r="AP221" s="15"/>
      <c r="AQ221" s="15"/>
      <c r="AR221" s="5"/>
      <c r="AS221" s="5"/>
      <c r="AT221" s="5"/>
      <c r="AV221" s="411"/>
    </row>
    <row r="222" spans="1:48" s="407" customFormat="1" ht="31.5" customHeight="1" x14ac:dyDescent="0.25">
      <c r="A222" s="73">
        <v>1</v>
      </c>
      <c r="B222" s="497" t="s">
        <v>1406</v>
      </c>
      <c r="C222" s="497" t="s">
        <v>1382</v>
      </c>
      <c r="D222" s="213" t="s">
        <v>1912</v>
      </c>
      <c r="E222" s="211" t="str">
        <f t="shared" si="144"/>
        <v>1/054/020/0266</v>
      </c>
      <c r="F222" s="3"/>
      <c r="G222" s="408" t="s">
        <v>1865</v>
      </c>
      <c r="H222" s="409" t="s">
        <v>1832</v>
      </c>
      <c r="I222" s="408" t="s">
        <v>1866</v>
      </c>
      <c r="J222" s="295" t="s">
        <v>1817</v>
      </c>
      <c r="K222" s="409" t="s">
        <v>1873</v>
      </c>
      <c r="L222" s="10" t="s">
        <v>1818</v>
      </c>
      <c r="M222" s="331" t="s">
        <v>1819</v>
      </c>
      <c r="N222" s="3" t="s">
        <v>661</v>
      </c>
      <c r="O222" s="3" t="s">
        <v>70</v>
      </c>
      <c r="P222" s="3" t="s">
        <v>556</v>
      </c>
      <c r="Q222" s="154">
        <f t="shared" si="145"/>
        <v>29220</v>
      </c>
      <c r="R222" s="155">
        <f t="shared" ca="1" si="146"/>
        <v>46.046575342465751</v>
      </c>
      <c r="S222" s="410" t="s">
        <v>50</v>
      </c>
      <c r="T222" s="3" t="s">
        <v>80</v>
      </c>
      <c r="U222" s="3" t="s">
        <v>63</v>
      </c>
      <c r="V222" s="3" t="s">
        <v>64</v>
      </c>
      <c r="W222" s="156">
        <f t="shared" si="147"/>
        <v>44930</v>
      </c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08"/>
      <c r="AL222" s="15"/>
      <c r="AM222" s="15"/>
      <c r="AN222" s="15"/>
      <c r="AO222" s="15"/>
      <c r="AP222" s="15"/>
      <c r="AQ222" s="15"/>
      <c r="AR222" s="5"/>
      <c r="AS222" s="5"/>
      <c r="AT222" s="5"/>
      <c r="AV222" s="411"/>
    </row>
    <row r="223" spans="1:48" s="407" customFormat="1" ht="31.5" customHeight="1" x14ac:dyDescent="0.25">
      <c r="A223" s="73">
        <v>1</v>
      </c>
      <c r="B223" s="497" t="s">
        <v>1406</v>
      </c>
      <c r="C223" s="497" t="s">
        <v>1383</v>
      </c>
      <c r="D223" s="213" t="s">
        <v>1913</v>
      </c>
      <c r="E223" s="211" t="str">
        <f t="shared" si="144"/>
        <v>1/054/021/0267</v>
      </c>
      <c r="F223" s="3"/>
      <c r="G223" s="408" t="s">
        <v>1867</v>
      </c>
      <c r="H223" s="409" t="s">
        <v>1832</v>
      </c>
      <c r="I223" s="408" t="s">
        <v>1868</v>
      </c>
      <c r="J223" s="295">
        <v>200402013514</v>
      </c>
      <c r="K223" s="409" t="s">
        <v>1871</v>
      </c>
      <c r="L223" s="10" t="s">
        <v>1820</v>
      </c>
      <c r="M223" s="331" t="s">
        <v>1821</v>
      </c>
      <c r="N223" s="3" t="s">
        <v>205</v>
      </c>
      <c r="O223" s="3" t="s">
        <v>63</v>
      </c>
      <c r="P223" s="3" t="s">
        <v>413</v>
      </c>
      <c r="Q223" s="154">
        <f t="shared" si="145"/>
        <v>38006</v>
      </c>
      <c r="R223" s="155">
        <f t="shared" ca="1" si="146"/>
        <v>21.975342465753425</v>
      </c>
      <c r="S223" s="410" t="s">
        <v>1874</v>
      </c>
      <c r="T223" s="3" t="s">
        <v>288</v>
      </c>
      <c r="U223" s="3" t="s">
        <v>35</v>
      </c>
      <c r="V223" s="3" t="s">
        <v>64</v>
      </c>
      <c r="W223" s="156">
        <f t="shared" si="147"/>
        <v>44984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08"/>
      <c r="AL223" s="15"/>
      <c r="AM223" s="15"/>
      <c r="AN223" s="15"/>
      <c r="AO223" s="15"/>
      <c r="AP223" s="15"/>
      <c r="AQ223" s="15"/>
      <c r="AR223" s="5"/>
      <c r="AS223" s="5"/>
      <c r="AT223" s="5"/>
      <c r="AV223" s="411"/>
    </row>
    <row r="224" spans="1:48" s="407" customFormat="1" ht="31.5" customHeight="1" x14ac:dyDescent="0.25">
      <c r="A224" s="73">
        <v>1</v>
      </c>
      <c r="B224" s="497" t="s">
        <v>1406</v>
      </c>
      <c r="C224" s="497" t="s">
        <v>1384</v>
      </c>
      <c r="D224" s="213" t="s">
        <v>1914</v>
      </c>
      <c r="E224" s="211" t="str">
        <f t="shared" si="144"/>
        <v>1/054/022/0268</v>
      </c>
      <c r="F224" s="3"/>
      <c r="G224" s="408" t="s">
        <v>1869</v>
      </c>
      <c r="H224" s="409" t="s">
        <v>1832</v>
      </c>
      <c r="I224" s="408" t="s">
        <v>1870</v>
      </c>
      <c r="J224" s="296">
        <v>200156602455</v>
      </c>
      <c r="K224" s="409" t="s">
        <v>1871</v>
      </c>
      <c r="L224" s="10" t="s">
        <v>1822</v>
      </c>
      <c r="M224" s="331" t="s">
        <v>1823</v>
      </c>
      <c r="N224" s="3" t="s">
        <v>33</v>
      </c>
      <c r="O224" s="3" t="s">
        <v>62</v>
      </c>
      <c r="P224" s="3" t="s">
        <v>1814</v>
      </c>
      <c r="Q224" s="154">
        <f t="shared" si="145"/>
        <v>36956</v>
      </c>
      <c r="R224" s="155">
        <f t="shared" ca="1" si="146"/>
        <v>24.852054794520548</v>
      </c>
      <c r="S224" s="410" t="s">
        <v>50</v>
      </c>
      <c r="T224" s="3" t="s">
        <v>70</v>
      </c>
      <c r="U224" s="3" t="s">
        <v>33</v>
      </c>
      <c r="V224" s="3" t="s">
        <v>64</v>
      </c>
      <c r="W224" s="156">
        <f t="shared" si="147"/>
        <v>45089</v>
      </c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08"/>
      <c r="AL224" s="15"/>
      <c r="AM224" s="15"/>
      <c r="AN224" s="15"/>
      <c r="AO224" s="15"/>
      <c r="AP224" s="15"/>
      <c r="AQ224" s="15"/>
      <c r="AR224" s="5"/>
      <c r="AS224" s="5"/>
      <c r="AT224" s="5"/>
      <c r="AV224" s="411"/>
    </row>
    <row r="225" spans="1:47" ht="31.5" customHeight="1" x14ac:dyDescent="0.25">
      <c r="A225" s="5">
        <v>1</v>
      </c>
      <c r="B225" s="309" t="s">
        <v>306</v>
      </c>
      <c r="C225" s="489" t="s">
        <v>1915</v>
      </c>
      <c r="D225" s="489" t="s">
        <v>1925</v>
      </c>
      <c r="E225" s="490" t="str">
        <f t="shared" si="144"/>
        <v>1/052/116/0269</v>
      </c>
      <c r="F225" s="199" t="s">
        <v>2376</v>
      </c>
      <c r="G225" s="305" t="s">
        <v>1938</v>
      </c>
      <c r="H225" s="202" t="s">
        <v>1712</v>
      </c>
      <c r="I225" s="202" t="s">
        <v>1939</v>
      </c>
      <c r="J225" s="303" t="s">
        <v>1940</v>
      </c>
      <c r="K225" s="202" t="s">
        <v>96</v>
      </c>
      <c r="L225" s="204">
        <v>779387163</v>
      </c>
      <c r="M225" s="184" t="s">
        <v>1941</v>
      </c>
      <c r="N225" s="73">
        <v>1</v>
      </c>
      <c r="O225" s="73">
        <v>9</v>
      </c>
      <c r="P225" s="73">
        <v>1998</v>
      </c>
      <c r="Q225" s="201">
        <f t="shared" si="145"/>
        <v>36039</v>
      </c>
      <c r="R225" s="86">
        <f t="shared" ca="1" si="146"/>
        <v>27.364383561643837</v>
      </c>
      <c r="S225" s="73" t="s">
        <v>50</v>
      </c>
      <c r="T225" s="73">
        <v>1</v>
      </c>
      <c r="U225" s="73">
        <v>3</v>
      </c>
      <c r="V225" s="73">
        <v>2023</v>
      </c>
      <c r="W225" s="200">
        <f t="shared" si="147"/>
        <v>44986</v>
      </c>
      <c r="Z225" s="73">
        <f t="shared" ref="Z225:Z233" ca="1" si="148">DATEDIF(W225,TODAY(),"Y")</f>
        <v>2</v>
      </c>
      <c r="AA225" s="40">
        <f t="shared" ref="AA225:AA233" ca="1" si="149">DATEDIF(W225,TODAY(),"YM")</f>
        <v>10</v>
      </c>
      <c r="AB225" s="40">
        <f t="shared" ref="AB225:AB233" ca="1" si="150">DATEDIF(W225,TODAY(),"MD")</f>
        <v>4</v>
      </c>
      <c r="AC225" s="15" t="str">
        <f t="shared" ref="AC225:AC233" ca="1" si="151">CONCATENATE(Z225,"Years","/",,AA225,"Months","/",AB225,"Days")</f>
        <v>2Years/10Months/4Days</v>
      </c>
      <c r="AD225" s="108">
        <f t="shared" ref="AD225:AD233" si="152">(DATE(P225,O225,N225)+21915)</f>
        <v>57954</v>
      </c>
      <c r="AE225" s="15">
        <f t="shared" ref="AE225:AE233" ca="1" si="153">DATEDIF(TODAY(),AD225,"Y")</f>
        <v>32</v>
      </c>
      <c r="AF225" s="15">
        <f t="shared" ref="AF225:AF233" ca="1" si="154">DATEDIF(TODAY(),AD225,"YM")</f>
        <v>7</v>
      </c>
      <c r="AG225" s="15">
        <f t="shared" ref="AG225:AG233" ca="1" si="155">DATEDIF(TODAY(),AD225,"MD")</f>
        <v>27</v>
      </c>
      <c r="AH225" s="15" t="str">
        <f t="shared" ref="AH225:AH233" ca="1" si="156">CONCATENATE(AE225,"Years","/",AF225,"Months","/",AG225,"Days")</f>
        <v>32Years/7Months/27Days</v>
      </c>
      <c r="AI225" s="15" t="str">
        <f t="shared" ref="AI225:AI233" si="157">CONCATENATE(AJ225,"years", " ",",", " ",AK225,"months ","and"," ",AL225,"days")</f>
        <v>35years , 6months and 0days</v>
      </c>
      <c r="AJ225" s="5">
        <f t="shared" ref="AJ225:AJ233" si="158">DATEDIF(W225,AD225,"Y")</f>
        <v>35</v>
      </c>
      <c r="AK225" s="5">
        <f t="shared" ref="AK225:AK233" si="159">DATEDIF(W225,AD225,"YM")</f>
        <v>6</v>
      </c>
      <c r="AL225" s="5">
        <f t="shared" ref="AL225:AL233" si="160">DATEDIF(W225,AD225,"MD")</f>
        <v>0</v>
      </c>
      <c r="AO225" s="366" t="s">
        <v>2377</v>
      </c>
    </row>
    <row r="226" spans="1:47" ht="31.5" customHeight="1" x14ac:dyDescent="0.25">
      <c r="A226" s="5">
        <v>1</v>
      </c>
      <c r="B226" s="309" t="s">
        <v>306</v>
      </c>
      <c r="C226" s="489" t="s">
        <v>1916</v>
      </c>
      <c r="D226" s="489" t="s">
        <v>1926</v>
      </c>
      <c r="E226" s="490" t="str">
        <f t="shared" si="144"/>
        <v>1/052/117/0270</v>
      </c>
      <c r="F226" s="199" t="s">
        <v>2376</v>
      </c>
      <c r="G226" s="305" t="s">
        <v>1942</v>
      </c>
      <c r="H226" s="202" t="s">
        <v>1712</v>
      </c>
      <c r="I226" s="202" t="s">
        <v>1943</v>
      </c>
      <c r="J226" s="303" t="s">
        <v>1944</v>
      </c>
      <c r="K226" s="202" t="s">
        <v>311</v>
      </c>
      <c r="L226" s="204">
        <v>773241542</v>
      </c>
      <c r="M226" s="184" t="s">
        <v>1945</v>
      </c>
      <c r="N226" s="73">
        <v>8</v>
      </c>
      <c r="O226" s="73">
        <v>10</v>
      </c>
      <c r="P226" s="73">
        <v>1996</v>
      </c>
      <c r="Q226" s="201">
        <f t="shared" si="145"/>
        <v>35346</v>
      </c>
      <c r="R226" s="86">
        <f t="shared" ca="1" si="146"/>
        <v>29.263013698630136</v>
      </c>
      <c r="S226" s="73" t="s">
        <v>50</v>
      </c>
      <c r="T226" s="73">
        <v>14</v>
      </c>
      <c r="U226" s="73">
        <v>3</v>
      </c>
      <c r="V226" s="73">
        <v>2023</v>
      </c>
      <c r="W226" s="200">
        <f t="shared" si="147"/>
        <v>44999</v>
      </c>
      <c r="Z226" s="73">
        <f t="shared" ca="1" si="148"/>
        <v>2</v>
      </c>
      <c r="AA226" s="40">
        <f t="shared" ca="1" si="149"/>
        <v>9</v>
      </c>
      <c r="AB226" s="40">
        <f t="shared" ca="1" si="150"/>
        <v>22</v>
      </c>
      <c r="AC226" s="15" t="str">
        <f t="shared" ca="1" si="151"/>
        <v>2Years/9Months/22Days</v>
      </c>
      <c r="AD226" s="108">
        <f t="shared" si="152"/>
        <v>57261</v>
      </c>
      <c r="AE226" s="15">
        <f t="shared" ca="1" si="153"/>
        <v>30</v>
      </c>
      <c r="AF226" s="15">
        <f t="shared" ca="1" si="154"/>
        <v>9</v>
      </c>
      <c r="AG226" s="15">
        <f t="shared" ca="1" si="155"/>
        <v>3</v>
      </c>
      <c r="AH226" s="15" t="str">
        <f t="shared" ca="1" si="156"/>
        <v>30Years/9Months/3Days</v>
      </c>
      <c r="AI226" s="15" t="str">
        <f t="shared" si="157"/>
        <v>33years , 6months and 24days</v>
      </c>
      <c r="AJ226" s="5">
        <f t="shared" si="158"/>
        <v>33</v>
      </c>
      <c r="AK226" s="5">
        <f t="shared" si="159"/>
        <v>6</v>
      </c>
      <c r="AL226" s="5">
        <f t="shared" si="160"/>
        <v>24</v>
      </c>
      <c r="AO226" s="366" t="s">
        <v>2378</v>
      </c>
    </row>
    <row r="227" spans="1:47" ht="31.5" customHeight="1" x14ac:dyDescent="0.25">
      <c r="A227" s="5">
        <v>1</v>
      </c>
      <c r="B227" s="309" t="s">
        <v>306</v>
      </c>
      <c r="C227" s="489" t="s">
        <v>1917</v>
      </c>
      <c r="D227" s="489" t="s">
        <v>1927</v>
      </c>
      <c r="E227" s="490" t="str">
        <f t="shared" si="144"/>
        <v>1/052/118/0271</v>
      </c>
      <c r="F227" s="199" t="s">
        <v>2376</v>
      </c>
      <c r="G227" s="528" t="s">
        <v>1638</v>
      </c>
      <c r="H227" s="202" t="s">
        <v>42</v>
      </c>
      <c r="I227" s="202" t="s">
        <v>1934</v>
      </c>
      <c r="J227" s="304" t="s">
        <v>1935</v>
      </c>
      <c r="K227" s="202" t="s">
        <v>96</v>
      </c>
      <c r="L227" s="203" t="s">
        <v>1936</v>
      </c>
      <c r="M227" s="184" t="s">
        <v>1937</v>
      </c>
      <c r="N227" s="73">
        <v>14</v>
      </c>
      <c r="O227" s="73">
        <v>4</v>
      </c>
      <c r="P227" s="73">
        <v>1965</v>
      </c>
      <c r="Q227" s="201">
        <f t="shared" si="145"/>
        <v>23846</v>
      </c>
      <c r="R227" s="534">
        <f t="shared" ca="1" si="146"/>
        <v>60.769863013698632</v>
      </c>
      <c r="S227" s="73" t="s">
        <v>34</v>
      </c>
      <c r="T227" s="73">
        <v>2</v>
      </c>
      <c r="U227" s="73">
        <v>5</v>
      </c>
      <c r="V227" s="73">
        <v>2023</v>
      </c>
      <c r="W227" s="200">
        <f t="shared" si="147"/>
        <v>45048</v>
      </c>
      <c r="Z227" s="73">
        <f t="shared" ca="1" si="148"/>
        <v>2</v>
      </c>
      <c r="AA227" s="40">
        <f t="shared" ca="1" si="149"/>
        <v>8</v>
      </c>
      <c r="AB227" s="40">
        <f t="shared" ca="1" si="150"/>
        <v>3</v>
      </c>
      <c r="AC227" s="15" t="str">
        <f t="shared" ca="1" si="151"/>
        <v>2Years/8Months/3Days</v>
      </c>
      <c r="AD227" s="108">
        <f t="shared" si="152"/>
        <v>45761</v>
      </c>
      <c r="AE227" s="15" t="e">
        <f t="shared" ca="1" si="153"/>
        <v>#NUM!</v>
      </c>
      <c r="AF227" s="15" t="e">
        <f t="shared" ca="1" si="154"/>
        <v>#NUM!</v>
      </c>
      <c r="AG227" s="15" t="e">
        <f t="shared" ca="1" si="155"/>
        <v>#NUM!</v>
      </c>
      <c r="AH227" s="15" t="e">
        <f t="shared" ca="1" si="156"/>
        <v>#NUM!</v>
      </c>
      <c r="AI227" s="15" t="str">
        <f t="shared" si="157"/>
        <v>1years , 11months and 12days</v>
      </c>
      <c r="AJ227" s="5">
        <f t="shared" si="158"/>
        <v>1</v>
      </c>
      <c r="AK227" s="5">
        <f t="shared" si="159"/>
        <v>11</v>
      </c>
      <c r="AL227" s="5">
        <f t="shared" si="160"/>
        <v>12</v>
      </c>
      <c r="AO227" s="366" t="s">
        <v>2379</v>
      </c>
    </row>
    <row r="228" spans="1:47" ht="31.5" customHeight="1" x14ac:dyDescent="0.25">
      <c r="A228" s="5">
        <v>1</v>
      </c>
      <c r="B228" s="309" t="s">
        <v>306</v>
      </c>
      <c r="C228" s="489" t="s">
        <v>1918</v>
      </c>
      <c r="D228" s="489" t="s">
        <v>1928</v>
      </c>
      <c r="E228" s="490" t="str">
        <f t="shared" si="144"/>
        <v>1/052/119/0272</v>
      </c>
      <c r="F228" s="199" t="s">
        <v>2376</v>
      </c>
      <c r="G228" s="305" t="s">
        <v>1946</v>
      </c>
      <c r="H228" s="202" t="s">
        <v>42</v>
      </c>
      <c r="I228" s="202" t="s">
        <v>1947</v>
      </c>
      <c r="J228" s="304">
        <v>946643203</v>
      </c>
      <c r="K228" s="202" t="s">
        <v>311</v>
      </c>
      <c r="L228" s="203" t="s">
        <v>1948</v>
      </c>
      <c r="M228" s="184" t="s">
        <v>1949</v>
      </c>
      <c r="N228" s="73">
        <v>12</v>
      </c>
      <c r="O228" s="73">
        <v>6</v>
      </c>
      <c r="P228" s="73">
        <v>1994</v>
      </c>
      <c r="Q228" s="201">
        <f t="shared" si="145"/>
        <v>34497</v>
      </c>
      <c r="R228" s="86">
        <f t="shared" ca="1" si="146"/>
        <v>31.589041095890412</v>
      </c>
      <c r="S228" s="73" t="s">
        <v>50</v>
      </c>
      <c r="T228" s="73">
        <v>1</v>
      </c>
      <c r="U228" s="73">
        <v>6</v>
      </c>
      <c r="V228" s="73">
        <v>2023</v>
      </c>
      <c r="W228" s="200">
        <f t="shared" si="147"/>
        <v>45078</v>
      </c>
      <c r="Z228" s="73">
        <f t="shared" ca="1" si="148"/>
        <v>2</v>
      </c>
      <c r="AA228" s="40">
        <f t="shared" ca="1" si="149"/>
        <v>7</v>
      </c>
      <c r="AB228" s="40">
        <f t="shared" ca="1" si="150"/>
        <v>4</v>
      </c>
      <c r="AC228" s="15" t="str">
        <f t="shared" ca="1" si="151"/>
        <v>2Years/7Months/4Days</v>
      </c>
      <c r="AD228" s="108">
        <f t="shared" si="152"/>
        <v>56412</v>
      </c>
      <c r="AE228" s="15">
        <f t="shared" ca="1" si="153"/>
        <v>28</v>
      </c>
      <c r="AF228" s="15">
        <f t="shared" ca="1" si="154"/>
        <v>5</v>
      </c>
      <c r="AG228" s="15">
        <f t="shared" ca="1" si="155"/>
        <v>7</v>
      </c>
      <c r="AH228" s="15" t="str">
        <f t="shared" ca="1" si="156"/>
        <v>28Years/5Months/7Days</v>
      </c>
      <c r="AI228" s="15" t="str">
        <f t="shared" si="157"/>
        <v>31years , 0months and 11days</v>
      </c>
      <c r="AJ228" s="5">
        <f t="shared" si="158"/>
        <v>31</v>
      </c>
      <c r="AK228" s="5">
        <f t="shared" si="159"/>
        <v>0</v>
      </c>
      <c r="AL228" s="5">
        <f t="shared" si="160"/>
        <v>11</v>
      </c>
      <c r="AO228" s="366" t="s">
        <v>2380</v>
      </c>
    </row>
    <row r="229" spans="1:47" ht="31.5" customHeight="1" x14ac:dyDescent="0.25">
      <c r="A229" s="5">
        <v>1</v>
      </c>
      <c r="B229" s="309" t="s">
        <v>306</v>
      </c>
      <c r="C229" s="489" t="s">
        <v>1919</v>
      </c>
      <c r="D229" s="489" t="s">
        <v>1326</v>
      </c>
      <c r="E229" s="490" t="str">
        <f t="shared" si="144"/>
        <v>1/052/120/0273</v>
      </c>
      <c r="F229" s="199" t="s">
        <v>2382</v>
      </c>
      <c r="G229" s="312" t="s">
        <v>1961</v>
      </c>
      <c r="H229" s="202" t="s">
        <v>42</v>
      </c>
      <c r="I229" s="77" t="s">
        <v>1962</v>
      </c>
      <c r="J229" s="297" t="s">
        <v>1963</v>
      </c>
      <c r="K229" s="76" t="s">
        <v>311</v>
      </c>
      <c r="L229" s="199" t="s">
        <v>1964</v>
      </c>
      <c r="M229" s="320" t="s">
        <v>1965</v>
      </c>
      <c r="N229" s="73">
        <v>6</v>
      </c>
      <c r="O229" s="73">
        <v>8</v>
      </c>
      <c r="P229" s="73">
        <v>1996</v>
      </c>
      <c r="Q229" s="201">
        <f t="shared" si="145"/>
        <v>35283</v>
      </c>
      <c r="R229" s="86">
        <f t="shared" ca="1" si="146"/>
        <v>29.435616438356163</v>
      </c>
      <c r="S229" s="73" t="s">
        <v>50</v>
      </c>
      <c r="T229" s="73">
        <v>1</v>
      </c>
      <c r="U229" s="73">
        <v>9</v>
      </c>
      <c r="V229" s="73">
        <v>2023</v>
      </c>
      <c r="W229" s="200">
        <f t="shared" si="147"/>
        <v>45170</v>
      </c>
      <c r="Z229" s="73">
        <f t="shared" ca="1" si="148"/>
        <v>2</v>
      </c>
      <c r="AA229" s="40">
        <f t="shared" ca="1" si="149"/>
        <v>4</v>
      </c>
      <c r="AB229" s="40">
        <f t="shared" ca="1" si="150"/>
        <v>4</v>
      </c>
      <c r="AC229" s="15" t="str">
        <f t="shared" ca="1" si="151"/>
        <v>2Years/4Months/4Days</v>
      </c>
      <c r="AD229" s="108">
        <f t="shared" si="152"/>
        <v>57198</v>
      </c>
      <c r="AE229" s="15">
        <f t="shared" ca="1" si="153"/>
        <v>30</v>
      </c>
      <c r="AF229" s="15">
        <f t="shared" ca="1" si="154"/>
        <v>7</v>
      </c>
      <c r="AG229" s="15">
        <f t="shared" ca="1" si="155"/>
        <v>1</v>
      </c>
      <c r="AH229" s="15" t="str">
        <f t="shared" ca="1" si="156"/>
        <v>30Years/7Months/1Days</v>
      </c>
      <c r="AI229" s="15" t="str">
        <f t="shared" si="157"/>
        <v>32years , 11months and 5days</v>
      </c>
      <c r="AJ229" s="5">
        <f t="shared" si="158"/>
        <v>32</v>
      </c>
      <c r="AK229" s="5">
        <f t="shared" si="159"/>
        <v>11</v>
      </c>
      <c r="AL229" s="5">
        <f t="shared" si="160"/>
        <v>5</v>
      </c>
      <c r="AO229" s="366" t="s">
        <v>2381</v>
      </c>
    </row>
    <row r="230" spans="1:47" ht="31.5" customHeight="1" x14ac:dyDescent="0.25">
      <c r="A230" s="5">
        <v>1</v>
      </c>
      <c r="B230" s="309" t="s">
        <v>306</v>
      </c>
      <c r="C230" s="489" t="s">
        <v>1920</v>
      </c>
      <c r="D230" s="489" t="s">
        <v>1929</v>
      </c>
      <c r="E230" s="490" t="str">
        <f t="shared" si="144"/>
        <v>1/052/121/0274</v>
      </c>
      <c r="F230" s="199" t="s">
        <v>2382</v>
      </c>
      <c r="G230" s="312" t="s">
        <v>1966</v>
      </c>
      <c r="H230" s="202" t="s">
        <v>1712</v>
      </c>
      <c r="I230" s="77" t="s">
        <v>1967</v>
      </c>
      <c r="J230" s="297" t="s">
        <v>1968</v>
      </c>
      <c r="K230" s="76" t="s">
        <v>311</v>
      </c>
      <c r="L230" s="199" t="s">
        <v>1969</v>
      </c>
      <c r="M230" s="320" t="s">
        <v>1970</v>
      </c>
      <c r="N230" s="73">
        <v>13</v>
      </c>
      <c r="O230" s="73">
        <v>6</v>
      </c>
      <c r="P230" s="73">
        <v>2000</v>
      </c>
      <c r="Q230" s="201">
        <f t="shared" si="145"/>
        <v>36690</v>
      </c>
      <c r="R230" s="86">
        <f t="shared" ca="1" si="146"/>
        <v>25.580821917808219</v>
      </c>
      <c r="S230" s="73" t="s">
        <v>50</v>
      </c>
      <c r="T230" s="73">
        <v>4</v>
      </c>
      <c r="U230" s="73">
        <v>9</v>
      </c>
      <c r="V230" s="73">
        <v>2023</v>
      </c>
      <c r="W230" s="200">
        <f t="shared" si="147"/>
        <v>45173</v>
      </c>
      <c r="Z230" s="73">
        <f t="shared" ca="1" si="148"/>
        <v>2</v>
      </c>
      <c r="AA230" s="40">
        <f t="shared" ca="1" si="149"/>
        <v>4</v>
      </c>
      <c r="AB230" s="40">
        <f t="shared" ca="1" si="150"/>
        <v>1</v>
      </c>
      <c r="AC230" s="15" t="str">
        <f t="shared" ca="1" si="151"/>
        <v>2Years/4Months/1Days</v>
      </c>
      <c r="AD230" s="108">
        <f t="shared" si="152"/>
        <v>58605</v>
      </c>
      <c r="AE230" s="15">
        <f t="shared" ca="1" si="153"/>
        <v>34</v>
      </c>
      <c r="AF230" s="15">
        <f t="shared" ca="1" si="154"/>
        <v>5</v>
      </c>
      <c r="AG230" s="15">
        <f t="shared" ca="1" si="155"/>
        <v>8</v>
      </c>
      <c r="AH230" s="15" t="str">
        <f t="shared" ca="1" si="156"/>
        <v>34Years/5Months/8Days</v>
      </c>
      <c r="AI230" s="15" t="str">
        <f t="shared" si="157"/>
        <v>36years , 9months and 9days</v>
      </c>
      <c r="AJ230" s="5">
        <f t="shared" si="158"/>
        <v>36</v>
      </c>
      <c r="AK230" s="5">
        <f t="shared" si="159"/>
        <v>9</v>
      </c>
      <c r="AL230" s="5">
        <f t="shared" si="160"/>
        <v>9</v>
      </c>
      <c r="AO230" s="366" t="s">
        <v>2383</v>
      </c>
    </row>
    <row r="231" spans="1:47" ht="31.5" customHeight="1" x14ac:dyDescent="0.25">
      <c r="A231" s="5">
        <v>1</v>
      </c>
      <c r="B231" s="309" t="s">
        <v>306</v>
      </c>
      <c r="C231" s="489" t="s">
        <v>1922</v>
      </c>
      <c r="D231" s="489" t="s">
        <v>1931</v>
      </c>
      <c r="E231" s="490" t="str">
        <f t="shared" si="144"/>
        <v>1/052/123/0276</v>
      </c>
      <c r="F231" s="199" t="s">
        <v>2382</v>
      </c>
      <c r="G231" s="312" t="s">
        <v>1960</v>
      </c>
      <c r="H231" s="202" t="s">
        <v>42</v>
      </c>
      <c r="I231" s="77" t="s">
        <v>1976</v>
      </c>
      <c r="J231" s="297" t="s">
        <v>1977</v>
      </c>
      <c r="K231" s="76" t="s">
        <v>311</v>
      </c>
      <c r="L231" s="199" t="s">
        <v>1978</v>
      </c>
      <c r="M231" s="320" t="s">
        <v>1979</v>
      </c>
      <c r="N231" s="73">
        <v>29</v>
      </c>
      <c r="O231" s="73">
        <v>7</v>
      </c>
      <c r="P231" s="73">
        <v>2002</v>
      </c>
      <c r="Q231" s="201">
        <f t="shared" si="145"/>
        <v>37466</v>
      </c>
      <c r="R231" s="86">
        <f t="shared" ca="1" si="146"/>
        <v>23.454794520547946</v>
      </c>
      <c r="S231" s="73" t="s">
        <v>50</v>
      </c>
      <c r="T231" s="73">
        <v>4</v>
      </c>
      <c r="U231" s="73">
        <v>9</v>
      </c>
      <c r="V231" s="73">
        <v>2023</v>
      </c>
      <c r="W231" s="200">
        <f t="shared" si="147"/>
        <v>45173</v>
      </c>
      <c r="Z231" s="73">
        <f t="shared" ca="1" si="148"/>
        <v>2</v>
      </c>
      <c r="AA231" s="40">
        <f t="shared" ca="1" si="149"/>
        <v>4</v>
      </c>
      <c r="AB231" s="40">
        <f t="shared" ca="1" si="150"/>
        <v>1</v>
      </c>
      <c r="AC231" s="15" t="str">
        <f t="shared" ca="1" si="151"/>
        <v>2Years/4Months/1Days</v>
      </c>
      <c r="AD231" s="108">
        <f t="shared" si="152"/>
        <v>59381</v>
      </c>
      <c r="AE231" s="15">
        <f t="shared" ca="1" si="153"/>
        <v>36</v>
      </c>
      <c r="AF231" s="15">
        <f t="shared" ca="1" si="154"/>
        <v>6</v>
      </c>
      <c r="AG231" s="15">
        <f t="shared" ca="1" si="155"/>
        <v>24</v>
      </c>
      <c r="AH231" s="15" t="str">
        <f t="shared" ca="1" si="156"/>
        <v>36Years/6Months/24Days</v>
      </c>
      <c r="AI231" s="15" t="str">
        <f t="shared" si="157"/>
        <v>38years , 10months and 25days</v>
      </c>
      <c r="AJ231" s="5">
        <f t="shared" si="158"/>
        <v>38</v>
      </c>
      <c r="AK231" s="5">
        <f t="shared" si="159"/>
        <v>10</v>
      </c>
      <c r="AL231" s="5">
        <f t="shared" si="160"/>
        <v>25</v>
      </c>
      <c r="AO231" s="366" t="s">
        <v>2383</v>
      </c>
    </row>
    <row r="232" spans="1:47" ht="31.5" customHeight="1" x14ac:dyDescent="0.25">
      <c r="A232" s="5">
        <v>1</v>
      </c>
      <c r="B232" s="309" t="s">
        <v>306</v>
      </c>
      <c r="C232" s="489" t="s">
        <v>1923</v>
      </c>
      <c r="D232" s="489" t="s">
        <v>1932</v>
      </c>
      <c r="E232" s="490" t="str">
        <f t="shared" si="144"/>
        <v>1/052/124/0277</v>
      </c>
      <c r="F232" s="199" t="s">
        <v>2382</v>
      </c>
      <c r="G232" s="312" t="s">
        <v>1984</v>
      </c>
      <c r="H232" s="202" t="s">
        <v>42</v>
      </c>
      <c r="I232" s="77" t="s">
        <v>1980</v>
      </c>
      <c r="J232" s="297" t="s">
        <v>1981</v>
      </c>
      <c r="K232" s="76" t="s">
        <v>311</v>
      </c>
      <c r="L232" s="199" t="s">
        <v>1982</v>
      </c>
      <c r="M232" s="320" t="s">
        <v>1983</v>
      </c>
      <c r="N232" s="73">
        <v>7</v>
      </c>
      <c r="O232" s="73">
        <v>12</v>
      </c>
      <c r="P232" s="73">
        <v>2000</v>
      </c>
      <c r="Q232" s="201">
        <f t="shared" si="145"/>
        <v>36867</v>
      </c>
      <c r="R232" s="86">
        <f t="shared" ca="1" si="146"/>
        <v>25.095890410958905</v>
      </c>
      <c r="S232" s="73" t="s">
        <v>50</v>
      </c>
      <c r="T232" s="73">
        <v>4</v>
      </c>
      <c r="U232" s="73">
        <v>9</v>
      </c>
      <c r="V232" s="73">
        <v>2023</v>
      </c>
      <c r="W232" s="200">
        <f t="shared" si="147"/>
        <v>45173</v>
      </c>
      <c r="Z232" s="73">
        <f t="shared" ca="1" si="148"/>
        <v>2</v>
      </c>
      <c r="AA232" s="40">
        <f t="shared" ca="1" si="149"/>
        <v>4</v>
      </c>
      <c r="AB232" s="40">
        <f t="shared" ca="1" si="150"/>
        <v>1</v>
      </c>
      <c r="AC232" s="15" t="str">
        <f t="shared" ca="1" si="151"/>
        <v>2Years/4Months/1Days</v>
      </c>
      <c r="AD232" s="108">
        <f t="shared" si="152"/>
        <v>58782</v>
      </c>
      <c r="AE232" s="15">
        <f t="shared" ca="1" si="153"/>
        <v>34</v>
      </c>
      <c r="AF232" s="15">
        <f t="shared" ca="1" si="154"/>
        <v>11</v>
      </c>
      <c r="AG232" s="15">
        <f t="shared" ca="1" si="155"/>
        <v>2</v>
      </c>
      <c r="AH232" s="15" t="str">
        <f t="shared" ca="1" si="156"/>
        <v>34Years/11Months/2Days</v>
      </c>
      <c r="AI232" s="15" t="str">
        <f t="shared" si="157"/>
        <v>37years , 3months and 3days</v>
      </c>
      <c r="AJ232" s="5">
        <f t="shared" si="158"/>
        <v>37</v>
      </c>
      <c r="AK232" s="5">
        <f t="shared" si="159"/>
        <v>3</v>
      </c>
      <c r="AL232" s="5">
        <f t="shared" si="160"/>
        <v>3</v>
      </c>
      <c r="AO232" s="366" t="s">
        <v>2383</v>
      </c>
    </row>
    <row r="233" spans="1:47" ht="31.5" customHeight="1" x14ac:dyDescent="0.25">
      <c r="A233" s="5">
        <v>1</v>
      </c>
      <c r="B233" s="309" t="s">
        <v>306</v>
      </c>
      <c r="C233" s="489" t="s">
        <v>1924</v>
      </c>
      <c r="D233" s="489" t="s">
        <v>1933</v>
      </c>
      <c r="E233" s="490" t="str">
        <f t="shared" si="144"/>
        <v>1/052/125/0278</v>
      </c>
      <c r="F233" s="199" t="s">
        <v>2382</v>
      </c>
      <c r="G233" s="312" t="s">
        <v>1985</v>
      </c>
      <c r="H233" s="202" t="s">
        <v>1712</v>
      </c>
      <c r="I233" s="77" t="s">
        <v>1986</v>
      </c>
      <c r="J233" s="297" t="s">
        <v>1987</v>
      </c>
      <c r="K233" s="76" t="s">
        <v>311</v>
      </c>
      <c r="L233" s="199" t="s">
        <v>1988</v>
      </c>
      <c r="M233" s="320" t="s">
        <v>1989</v>
      </c>
      <c r="N233" s="73">
        <v>4</v>
      </c>
      <c r="O233" s="73">
        <v>10</v>
      </c>
      <c r="P233" s="73">
        <v>1986</v>
      </c>
      <c r="Q233" s="201">
        <f t="shared" si="145"/>
        <v>31689</v>
      </c>
      <c r="R233" s="86">
        <f t="shared" ca="1" si="146"/>
        <v>39.282191780821918</v>
      </c>
      <c r="S233" s="73" t="s">
        <v>50</v>
      </c>
      <c r="T233" s="73">
        <v>4</v>
      </c>
      <c r="U233" s="73">
        <v>9</v>
      </c>
      <c r="V233" s="73">
        <v>2023</v>
      </c>
      <c r="W233" s="200">
        <f t="shared" si="147"/>
        <v>45173</v>
      </c>
      <c r="Z233" s="73">
        <f t="shared" ca="1" si="148"/>
        <v>2</v>
      </c>
      <c r="AA233" s="40">
        <f t="shared" ca="1" si="149"/>
        <v>4</v>
      </c>
      <c r="AB233" s="40">
        <f t="shared" ca="1" si="150"/>
        <v>1</v>
      </c>
      <c r="AC233" s="15" t="str">
        <f t="shared" ca="1" si="151"/>
        <v>2Years/4Months/1Days</v>
      </c>
      <c r="AD233" s="108">
        <f t="shared" si="152"/>
        <v>53604</v>
      </c>
      <c r="AE233" s="15">
        <f t="shared" ca="1" si="153"/>
        <v>20</v>
      </c>
      <c r="AF233" s="15">
        <f t="shared" ca="1" si="154"/>
        <v>8</v>
      </c>
      <c r="AG233" s="15">
        <f t="shared" ca="1" si="155"/>
        <v>29</v>
      </c>
      <c r="AH233" s="15" t="str">
        <f t="shared" ca="1" si="156"/>
        <v>20Years/8Months/29Days</v>
      </c>
      <c r="AI233" s="15" t="str">
        <f t="shared" si="157"/>
        <v>23years , 1months and 0days</v>
      </c>
      <c r="AJ233" s="5">
        <f t="shared" si="158"/>
        <v>23</v>
      </c>
      <c r="AK233" s="5">
        <f t="shared" si="159"/>
        <v>1</v>
      </c>
      <c r="AL233" s="5">
        <f t="shared" si="160"/>
        <v>0</v>
      </c>
      <c r="AO233" s="366" t="s">
        <v>2383</v>
      </c>
    </row>
    <row r="234" spans="1:47" ht="31.5" customHeight="1" x14ac:dyDescent="0.25">
      <c r="A234" s="5">
        <v>1</v>
      </c>
      <c r="B234" s="309" t="s">
        <v>306</v>
      </c>
      <c r="C234" s="489" t="s">
        <v>1950</v>
      </c>
      <c r="D234" s="489" t="s">
        <v>1955</v>
      </c>
      <c r="E234" s="490" t="str">
        <f t="shared" si="144"/>
        <v>1/052/126/0279</v>
      </c>
      <c r="F234" s="199" t="s">
        <v>2382</v>
      </c>
      <c r="G234" s="312" t="s">
        <v>1998</v>
      </c>
      <c r="H234" s="202" t="s">
        <v>1712</v>
      </c>
      <c r="I234" s="77" t="s">
        <v>1999</v>
      </c>
      <c r="J234" s="297" t="s">
        <v>2000</v>
      </c>
      <c r="K234" s="76" t="s">
        <v>311</v>
      </c>
      <c r="L234" s="199" t="s">
        <v>2001</v>
      </c>
      <c r="M234" s="320" t="s">
        <v>2002</v>
      </c>
      <c r="N234" s="73">
        <v>1</v>
      </c>
      <c r="O234" s="73">
        <v>8</v>
      </c>
      <c r="P234" s="73">
        <v>2003</v>
      </c>
      <c r="Q234" s="201">
        <f t="shared" ref="Q234:Q298" si="161">DATE(P234,O234,N234)</f>
        <v>37834</v>
      </c>
      <c r="R234" s="86">
        <f t="shared" ref="R234:R298" ca="1" si="162">($G$7-Q234)/365</f>
        <v>22.446575342465753</v>
      </c>
      <c r="S234" s="73" t="s">
        <v>50</v>
      </c>
      <c r="T234" s="73">
        <v>4</v>
      </c>
      <c r="U234" s="73">
        <v>9</v>
      </c>
      <c r="V234" s="73">
        <v>2023</v>
      </c>
      <c r="W234" s="200">
        <f t="shared" ref="W234:W261" si="163">DATE(V234,U234,T234)</f>
        <v>45173</v>
      </c>
      <c r="Z234" s="73">
        <f t="shared" ref="Z234:Z247" ca="1" si="164">DATEDIF(W234,TODAY(),"Y")</f>
        <v>2</v>
      </c>
      <c r="AA234" s="40">
        <f t="shared" ref="AA234:AA247" ca="1" si="165">DATEDIF(W234,TODAY(),"YM")</f>
        <v>4</v>
      </c>
      <c r="AB234" s="40">
        <f t="shared" ref="AB234:AB247" ca="1" si="166">DATEDIF(W234,TODAY(),"MD")</f>
        <v>1</v>
      </c>
      <c r="AC234" s="15" t="str">
        <f t="shared" ref="AC234:AC247" ca="1" si="167">CONCATENATE(Z234,"Years","/",,AA234,"Months","/",AB234,"Days")</f>
        <v>2Years/4Months/1Days</v>
      </c>
      <c r="AD234" s="108">
        <f t="shared" ref="AD234:AD269" si="168">(DATE(P234,O234,N234)+21915)</f>
        <v>59749</v>
      </c>
      <c r="AE234" s="15">
        <f t="shared" ref="AE234:AE252" ca="1" si="169">DATEDIF(TODAY(),AD234,"Y")</f>
        <v>37</v>
      </c>
      <c r="AF234" s="15">
        <f t="shared" ref="AF234:AF252" ca="1" si="170">DATEDIF(TODAY(),AD234,"YM")</f>
        <v>6</v>
      </c>
      <c r="AG234" s="15">
        <f t="shared" ref="AG234:AG252" ca="1" si="171">DATEDIF(TODAY(),AD234,"MD")</f>
        <v>27</v>
      </c>
      <c r="AH234" s="15" t="str">
        <f t="shared" ref="AH234:AH252" ca="1" si="172">CONCATENATE(AE234,"Years","/",AF234,"Months","/",AG234,"Days")</f>
        <v>37Years/6Months/27Days</v>
      </c>
      <c r="AI234" s="15" t="str">
        <f t="shared" ref="AI234:AI247" si="173">CONCATENATE(AJ234,"years", " ",",", " ",AK234,"months ","and"," ",AL234,"days")</f>
        <v>39years , 10months and 28days</v>
      </c>
      <c r="AJ234" s="5">
        <f t="shared" ref="AJ234:AJ247" si="174">DATEDIF(W234,AD234,"Y")</f>
        <v>39</v>
      </c>
      <c r="AK234" s="5">
        <f t="shared" ref="AK234:AK247" si="175">DATEDIF(W234,AD234,"YM")</f>
        <v>10</v>
      </c>
      <c r="AL234" s="5">
        <f t="shared" ref="AL234:AL247" si="176">DATEDIF(W234,AD234,"MD")</f>
        <v>28</v>
      </c>
      <c r="AO234" s="366" t="s">
        <v>2383</v>
      </c>
    </row>
    <row r="235" spans="1:47" ht="31.5" customHeight="1" x14ac:dyDescent="0.25">
      <c r="A235" s="5">
        <v>1</v>
      </c>
      <c r="B235" s="309" t="s">
        <v>306</v>
      </c>
      <c r="C235" s="489" t="s">
        <v>1951</v>
      </c>
      <c r="D235" s="489" t="s">
        <v>1956</v>
      </c>
      <c r="E235" s="490" t="str">
        <f t="shared" si="144"/>
        <v>1/052/127/0280</v>
      </c>
      <c r="F235" s="199" t="s">
        <v>2382</v>
      </c>
      <c r="G235" s="418" t="s">
        <v>2006</v>
      </c>
      <c r="H235" s="202" t="s">
        <v>1712</v>
      </c>
      <c r="I235" s="77" t="s">
        <v>2003</v>
      </c>
      <c r="J235" s="297" t="s">
        <v>2004</v>
      </c>
      <c r="K235" s="76" t="s">
        <v>96</v>
      </c>
      <c r="L235" s="199" t="s">
        <v>2005</v>
      </c>
      <c r="M235" s="320" t="s">
        <v>2007</v>
      </c>
      <c r="N235" s="73">
        <v>25</v>
      </c>
      <c r="O235" s="73">
        <v>11</v>
      </c>
      <c r="P235" s="73">
        <v>2001</v>
      </c>
      <c r="Q235" s="201">
        <f t="shared" si="161"/>
        <v>37220</v>
      </c>
      <c r="R235" s="86">
        <f t="shared" ca="1" si="162"/>
        <v>24.12876712328767</v>
      </c>
      <c r="S235" s="73" t="s">
        <v>50</v>
      </c>
      <c r="T235" s="73">
        <v>4</v>
      </c>
      <c r="U235" s="73">
        <v>9</v>
      </c>
      <c r="V235" s="73">
        <v>2023</v>
      </c>
      <c r="W235" s="200">
        <f t="shared" si="163"/>
        <v>45173</v>
      </c>
      <c r="Z235" s="73">
        <f t="shared" ca="1" si="164"/>
        <v>2</v>
      </c>
      <c r="AA235" s="40">
        <f t="shared" ca="1" si="165"/>
        <v>4</v>
      </c>
      <c r="AB235" s="40">
        <f t="shared" ca="1" si="166"/>
        <v>1</v>
      </c>
      <c r="AC235" s="15" t="str">
        <f t="shared" ca="1" si="167"/>
        <v>2Years/4Months/1Days</v>
      </c>
      <c r="AD235" s="108">
        <f t="shared" si="168"/>
        <v>59135</v>
      </c>
      <c r="AE235" s="15">
        <f t="shared" ca="1" si="169"/>
        <v>35</v>
      </c>
      <c r="AF235" s="15">
        <f t="shared" ca="1" si="170"/>
        <v>10</v>
      </c>
      <c r="AG235" s="15">
        <f t="shared" ca="1" si="171"/>
        <v>20</v>
      </c>
      <c r="AH235" s="15" t="str">
        <f t="shared" ca="1" si="172"/>
        <v>35Years/10Months/20Days</v>
      </c>
      <c r="AI235" s="15" t="str">
        <f t="shared" si="173"/>
        <v>38years , 2months and 21days</v>
      </c>
      <c r="AJ235" s="5">
        <f t="shared" si="174"/>
        <v>38</v>
      </c>
      <c r="AK235" s="5">
        <f t="shared" si="175"/>
        <v>2</v>
      </c>
      <c r="AL235" s="5">
        <f t="shared" si="176"/>
        <v>21</v>
      </c>
      <c r="AO235" s="366" t="s">
        <v>2383</v>
      </c>
    </row>
    <row r="236" spans="1:47" ht="31.5" customHeight="1" x14ac:dyDescent="0.25">
      <c r="A236" s="186">
        <v>1</v>
      </c>
      <c r="B236" s="332" t="s">
        <v>306</v>
      </c>
      <c r="C236" s="496" t="s">
        <v>1952</v>
      </c>
      <c r="D236" s="496" t="s">
        <v>1957</v>
      </c>
      <c r="E236" s="496" t="str">
        <f t="shared" si="144"/>
        <v>1/052/128/0281</v>
      </c>
      <c r="F236" s="199" t="s">
        <v>2382</v>
      </c>
      <c r="G236" s="312" t="s">
        <v>2008</v>
      </c>
      <c r="H236" s="202" t="s">
        <v>42</v>
      </c>
      <c r="I236" s="77" t="s">
        <v>1972</v>
      </c>
      <c r="J236" s="297" t="s">
        <v>2009</v>
      </c>
      <c r="K236" s="76" t="s">
        <v>96</v>
      </c>
      <c r="L236" s="199" t="s">
        <v>2010</v>
      </c>
      <c r="M236" s="320" t="s">
        <v>2011</v>
      </c>
      <c r="N236" s="73">
        <v>25</v>
      </c>
      <c r="O236" s="73">
        <v>5</v>
      </c>
      <c r="P236" s="73">
        <v>85</v>
      </c>
      <c r="Q236" s="201">
        <f t="shared" si="161"/>
        <v>31192</v>
      </c>
      <c r="R236" s="86">
        <f t="shared" ca="1" si="162"/>
        <v>40.643835616438359</v>
      </c>
      <c r="S236" s="73" t="s">
        <v>50</v>
      </c>
      <c r="T236" s="73">
        <v>4</v>
      </c>
      <c r="U236" s="73">
        <v>9</v>
      </c>
      <c r="V236" s="73">
        <v>2023</v>
      </c>
      <c r="W236" s="200">
        <f t="shared" si="163"/>
        <v>45173</v>
      </c>
      <c r="Z236" s="73">
        <f t="shared" ca="1" si="164"/>
        <v>2</v>
      </c>
      <c r="AA236" s="40">
        <f t="shared" ca="1" si="165"/>
        <v>4</v>
      </c>
      <c r="AB236" s="40">
        <f t="shared" ca="1" si="166"/>
        <v>1</v>
      </c>
      <c r="AC236" s="15" t="str">
        <f t="shared" ca="1" si="167"/>
        <v>2Years/4Months/1Days</v>
      </c>
      <c r="AD236" s="108">
        <f t="shared" si="168"/>
        <v>53107</v>
      </c>
      <c r="AE236" s="15">
        <f t="shared" ca="1" si="169"/>
        <v>19</v>
      </c>
      <c r="AF236" s="15">
        <f t="shared" ca="1" si="170"/>
        <v>4</v>
      </c>
      <c r="AG236" s="15">
        <f t="shared" ca="1" si="171"/>
        <v>20</v>
      </c>
      <c r="AH236" s="15" t="str">
        <f t="shared" ca="1" si="172"/>
        <v>19Years/4Months/20Days</v>
      </c>
      <c r="AI236" s="15" t="str">
        <f t="shared" si="173"/>
        <v>21years , 8months and 21days</v>
      </c>
      <c r="AJ236" s="5">
        <f t="shared" si="174"/>
        <v>21</v>
      </c>
      <c r="AK236" s="5">
        <f t="shared" si="175"/>
        <v>8</v>
      </c>
      <c r="AL236" s="5">
        <f t="shared" si="176"/>
        <v>21</v>
      </c>
      <c r="AO236" s="366" t="s">
        <v>2383</v>
      </c>
    </row>
    <row r="237" spans="1:47" ht="31.5" customHeight="1" x14ac:dyDescent="0.25">
      <c r="A237" s="186">
        <v>1</v>
      </c>
      <c r="B237" s="332" t="s">
        <v>306</v>
      </c>
      <c r="C237" s="496" t="s">
        <v>1953</v>
      </c>
      <c r="D237" s="489" t="s">
        <v>1958</v>
      </c>
      <c r="E237" s="496" t="str">
        <f t="shared" si="144"/>
        <v>1/052/129/0282</v>
      </c>
      <c r="F237" s="199" t="s">
        <v>2382</v>
      </c>
      <c r="G237" s="312" t="s">
        <v>2012</v>
      </c>
      <c r="H237" s="202" t="s">
        <v>42</v>
      </c>
      <c r="I237" s="77" t="s">
        <v>2013</v>
      </c>
      <c r="J237" s="297" t="s">
        <v>2014</v>
      </c>
      <c r="K237" s="76" t="s">
        <v>311</v>
      </c>
      <c r="L237" s="199" t="s">
        <v>2015</v>
      </c>
      <c r="M237" s="320" t="s">
        <v>2016</v>
      </c>
      <c r="N237" s="73">
        <v>24</v>
      </c>
      <c r="O237" s="73">
        <v>6</v>
      </c>
      <c r="P237" s="73">
        <v>1985</v>
      </c>
      <c r="Q237" s="201">
        <f t="shared" si="161"/>
        <v>31222</v>
      </c>
      <c r="R237" s="86">
        <f t="shared" ca="1" si="162"/>
        <v>40.561643835616437</v>
      </c>
      <c r="S237" s="73" t="s">
        <v>50</v>
      </c>
      <c r="T237" s="73">
        <v>4</v>
      </c>
      <c r="U237" s="73">
        <v>9</v>
      </c>
      <c r="V237" s="73">
        <v>2023</v>
      </c>
      <c r="W237" s="200">
        <f t="shared" si="163"/>
        <v>45173</v>
      </c>
      <c r="Z237" s="73">
        <f t="shared" ca="1" si="164"/>
        <v>2</v>
      </c>
      <c r="AA237" s="40">
        <f t="shared" ca="1" si="165"/>
        <v>4</v>
      </c>
      <c r="AB237" s="40">
        <f t="shared" ca="1" si="166"/>
        <v>1</v>
      </c>
      <c r="AC237" s="15" t="str">
        <f t="shared" ca="1" si="167"/>
        <v>2Years/4Months/1Days</v>
      </c>
      <c r="AD237" s="108">
        <f t="shared" si="168"/>
        <v>53137</v>
      </c>
      <c r="AE237" s="15">
        <f t="shared" ca="1" si="169"/>
        <v>19</v>
      </c>
      <c r="AF237" s="15">
        <f t="shared" ca="1" si="170"/>
        <v>5</v>
      </c>
      <c r="AG237" s="15">
        <f t="shared" ca="1" si="171"/>
        <v>19</v>
      </c>
      <c r="AH237" s="15" t="str">
        <f t="shared" ca="1" si="172"/>
        <v>19Years/5Months/19Days</v>
      </c>
      <c r="AI237" s="15" t="str">
        <f t="shared" si="173"/>
        <v>21years , 9months and 20days</v>
      </c>
      <c r="AJ237" s="5">
        <f t="shared" si="174"/>
        <v>21</v>
      </c>
      <c r="AK237" s="5">
        <f t="shared" si="175"/>
        <v>9</v>
      </c>
      <c r="AL237" s="5">
        <f t="shared" si="176"/>
        <v>20</v>
      </c>
      <c r="AO237" s="366" t="s">
        <v>2383</v>
      </c>
    </row>
    <row r="238" spans="1:47" ht="31.5" customHeight="1" x14ac:dyDescent="0.25">
      <c r="A238" s="186">
        <v>1</v>
      </c>
      <c r="B238" s="332" t="s">
        <v>306</v>
      </c>
      <c r="C238" s="496" t="s">
        <v>1954</v>
      </c>
      <c r="D238" s="496" t="s">
        <v>1959</v>
      </c>
      <c r="E238" s="496" t="str">
        <f t="shared" si="144"/>
        <v>1/052/130/0283</v>
      </c>
      <c r="F238" s="199" t="s">
        <v>2382</v>
      </c>
      <c r="G238" s="81" t="s">
        <v>2017</v>
      </c>
      <c r="H238" s="202" t="s">
        <v>42</v>
      </c>
      <c r="I238" s="77" t="s">
        <v>2018</v>
      </c>
      <c r="J238" s="297" t="s">
        <v>2019</v>
      </c>
      <c r="K238" s="76" t="s">
        <v>96</v>
      </c>
      <c r="L238" s="199" t="s">
        <v>2020</v>
      </c>
      <c r="M238" s="320" t="s">
        <v>2021</v>
      </c>
      <c r="N238" s="73">
        <v>30</v>
      </c>
      <c r="O238" s="73">
        <v>11</v>
      </c>
      <c r="P238" s="73">
        <v>1995</v>
      </c>
      <c r="Q238" s="201">
        <f t="shared" si="161"/>
        <v>35033</v>
      </c>
      <c r="R238" s="86">
        <f t="shared" ca="1" si="162"/>
        <v>30.12054794520548</v>
      </c>
      <c r="S238" s="73" t="s">
        <v>50</v>
      </c>
      <c r="T238" s="73">
        <v>11</v>
      </c>
      <c r="U238" s="73">
        <v>9</v>
      </c>
      <c r="V238" s="73">
        <v>2023</v>
      </c>
      <c r="W238" s="200">
        <f t="shared" si="163"/>
        <v>45180</v>
      </c>
      <c r="Z238" s="73">
        <f t="shared" ca="1" si="164"/>
        <v>2</v>
      </c>
      <c r="AA238" s="40">
        <f t="shared" ca="1" si="165"/>
        <v>3</v>
      </c>
      <c r="AB238" s="40">
        <f t="shared" ca="1" si="166"/>
        <v>25</v>
      </c>
      <c r="AC238" s="15" t="str">
        <f t="shared" ca="1" si="167"/>
        <v>2Years/3Months/25Days</v>
      </c>
      <c r="AD238" s="108">
        <f t="shared" si="168"/>
        <v>56948</v>
      </c>
      <c r="AE238" s="15">
        <f t="shared" ca="1" si="169"/>
        <v>29</v>
      </c>
      <c r="AF238" s="15">
        <f t="shared" ca="1" si="170"/>
        <v>10</v>
      </c>
      <c r="AG238" s="15">
        <f t="shared" ca="1" si="171"/>
        <v>25</v>
      </c>
      <c r="AH238" s="15" t="str">
        <f t="shared" ca="1" si="172"/>
        <v>29Years/10Months/25Days</v>
      </c>
      <c r="AI238" s="15" t="str">
        <f t="shared" si="173"/>
        <v>32years , 2months and 19days</v>
      </c>
      <c r="AJ238" s="5">
        <f t="shared" si="174"/>
        <v>32</v>
      </c>
      <c r="AK238" s="5">
        <f t="shared" si="175"/>
        <v>2</v>
      </c>
      <c r="AL238" s="5">
        <f t="shared" si="176"/>
        <v>19</v>
      </c>
      <c r="AO238" s="366" t="s">
        <v>2384</v>
      </c>
    </row>
    <row r="239" spans="1:47" ht="31.5" customHeight="1" x14ac:dyDescent="0.25">
      <c r="A239" s="186">
        <v>1</v>
      </c>
      <c r="B239" s="332" t="s">
        <v>306</v>
      </c>
      <c r="C239" s="496">
        <v>131</v>
      </c>
      <c r="D239" s="489" t="s">
        <v>1992</v>
      </c>
      <c r="E239" s="496" t="str">
        <f t="shared" si="144"/>
        <v>1/052/131/0284</v>
      </c>
      <c r="F239" s="199" t="s">
        <v>2382</v>
      </c>
      <c r="G239" s="312" t="s">
        <v>2022</v>
      </c>
      <c r="H239" s="202" t="s">
        <v>42</v>
      </c>
      <c r="I239" s="77" t="s">
        <v>2023</v>
      </c>
      <c r="J239" s="297" t="s">
        <v>2024</v>
      </c>
      <c r="K239" s="76" t="s">
        <v>68</v>
      </c>
      <c r="L239" s="199" t="s">
        <v>2025</v>
      </c>
      <c r="M239" s="320" t="s">
        <v>2026</v>
      </c>
      <c r="N239" s="73">
        <v>9</v>
      </c>
      <c r="O239" s="73">
        <v>7</v>
      </c>
      <c r="P239" s="73">
        <v>1992</v>
      </c>
      <c r="Q239" s="201">
        <f t="shared" si="161"/>
        <v>33794</v>
      </c>
      <c r="R239" s="86">
        <f t="shared" ca="1" si="162"/>
        <v>33.515068493150686</v>
      </c>
      <c r="S239" s="73" t="s">
        <v>50</v>
      </c>
      <c r="T239" s="73">
        <v>14</v>
      </c>
      <c r="U239" s="73">
        <v>9</v>
      </c>
      <c r="V239" s="73">
        <v>2023</v>
      </c>
      <c r="W239" s="200">
        <f t="shared" si="163"/>
        <v>45183</v>
      </c>
      <c r="Z239" s="73">
        <f t="shared" ca="1" si="164"/>
        <v>2</v>
      </c>
      <c r="AA239" s="40">
        <f t="shared" ca="1" si="165"/>
        <v>3</v>
      </c>
      <c r="AB239" s="40">
        <f t="shared" ca="1" si="166"/>
        <v>22</v>
      </c>
      <c r="AC239" s="15" t="str">
        <f t="shared" ca="1" si="167"/>
        <v>2Years/3Months/22Days</v>
      </c>
      <c r="AD239" s="108">
        <f t="shared" si="168"/>
        <v>55709</v>
      </c>
      <c r="AE239" s="15">
        <f t="shared" ca="1" si="169"/>
        <v>26</v>
      </c>
      <c r="AF239" s="15">
        <f t="shared" ca="1" si="170"/>
        <v>6</v>
      </c>
      <c r="AG239" s="15">
        <f t="shared" ca="1" si="171"/>
        <v>4</v>
      </c>
      <c r="AH239" s="15" t="str">
        <f t="shared" ca="1" si="172"/>
        <v>26Years/6Months/4Days</v>
      </c>
      <c r="AI239" s="15" t="str">
        <f t="shared" si="173"/>
        <v>28years , 9months and 25days</v>
      </c>
      <c r="AJ239" s="5">
        <f t="shared" si="174"/>
        <v>28</v>
      </c>
      <c r="AK239" s="5">
        <f t="shared" si="175"/>
        <v>9</v>
      </c>
      <c r="AL239" s="5">
        <f t="shared" si="176"/>
        <v>25</v>
      </c>
      <c r="AO239" s="366" t="s">
        <v>2385</v>
      </c>
    </row>
    <row r="240" spans="1:47" ht="31.5" customHeight="1" x14ac:dyDescent="0.25">
      <c r="A240" s="186">
        <v>1</v>
      </c>
      <c r="B240" s="332" t="s">
        <v>306</v>
      </c>
      <c r="C240" s="496">
        <v>132</v>
      </c>
      <c r="D240" s="489" t="s">
        <v>1993</v>
      </c>
      <c r="E240" s="496" t="str">
        <f t="shared" si="144"/>
        <v>1/052/132/0285</v>
      </c>
      <c r="F240" s="75"/>
      <c r="G240" s="312" t="s">
        <v>2027</v>
      </c>
      <c r="H240" s="202" t="s">
        <v>42</v>
      </c>
      <c r="I240" s="77" t="s">
        <v>2028</v>
      </c>
      <c r="J240" s="297" t="s">
        <v>2029</v>
      </c>
      <c r="K240" s="76" t="s">
        <v>311</v>
      </c>
      <c r="L240" s="199" t="s">
        <v>2030</v>
      </c>
      <c r="M240" s="320" t="s">
        <v>2031</v>
      </c>
      <c r="N240" s="73">
        <v>2</v>
      </c>
      <c r="O240" s="73">
        <v>1</v>
      </c>
      <c r="P240" s="73">
        <v>1976</v>
      </c>
      <c r="Q240" s="201">
        <f t="shared" si="161"/>
        <v>27761</v>
      </c>
      <c r="R240" s="86">
        <f t="shared" ca="1" si="162"/>
        <v>50.043835616438358</v>
      </c>
      <c r="S240" s="73" t="s">
        <v>50</v>
      </c>
      <c r="T240" s="73">
        <v>23</v>
      </c>
      <c r="U240" s="73">
        <v>10</v>
      </c>
      <c r="V240" s="73">
        <v>2023</v>
      </c>
      <c r="W240" s="200">
        <f t="shared" si="163"/>
        <v>45222</v>
      </c>
      <c r="Z240" s="73">
        <f t="shared" ca="1" si="164"/>
        <v>2</v>
      </c>
      <c r="AA240" s="40">
        <f t="shared" ca="1" si="165"/>
        <v>2</v>
      </c>
      <c r="AB240" s="40">
        <f t="shared" ca="1" si="166"/>
        <v>13</v>
      </c>
      <c r="AC240" s="15" t="str">
        <f t="shared" ca="1" si="167"/>
        <v>2Years/2Months/13Days</v>
      </c>
      <c r="AD240" s="108">
        <f t="shared" si="168"/>
        <v>49676</v>
      </c>
      <c r="AE240" s="15">
        <f t="shared" ca="1" si="169"/>
        <v>9</v>
      </c>
      <c r="AF240" s="15">
        <f t="shared" ca="1" si="170"/>
        <v>11</v>
      </c>
      <c r="AG240" s="15">
        <f t="shared" ca="1" si="171"/>
        <v>28</v>
      </c>
      <c r="AH240" s="15" t="str">
        <f t="shared" ca="1" si="172"/>
        <v>9Years/11Months/28Days</v>
      </c>
      <c r="AI240" s="15" t="str">
        <f t="shared" si="173"/>
        <v>12years , 2months and 10days</v>
      </c>
      <c r="AJ240" s="5">
        <f t="shared" si="174"/>
        <v>12</v>
      </c>
      <c r="AK240" s="5">
        <f t="shared" si="175"/>
        <v>2</v>
      </c>
      <c r="AL240" s="5">
        <f t="shared" si="176"/>
        <v>10</v>
      </c>
      <c r="AU240" s="336" t="s">
        <v>2386</v>
      </c>
    </row>
    <row r="241" spans="1:45" ht="31.5" customHeight="1" x14ac:dyDescent="0.25">
      <c r="A241" s="186">
        <v>1</v>
      </c>
      <c r="B241" s="332" t="s">
        <v>306</v>
      </c>
      <c r="C241" s="496">
        <v>133</v>
      </c>
      <c r="D241" s="489" t="s">
        <v>1994</v>
      </c>
      <c r="E241" s="496" t="str">
        <f t="shared" si="144"/>
        <v>1/052/133/0286</v>
      </c>
      <c r="F241" s="75"/>
      <c r="G241" s="312" t="s">
        <v>2042</v>
      </c>
      <c r="H241" s="202" t="s">
        <v>42</v>
      </c>
      <c r="I241" s="77" t="s">
        <v>2043</v>
      </c>
      <c r="J241" s="297" t="s">
        <v>2044</v>
      </c>
      <c r="K241" s="76" t="s">
        <v>311</v>
      </c>
      <c r="L241" s="199" t="s">
        <v>2045</v>
      </c>
      <c r="M241" s="320" t="s">
        <v>2046</v>
      </c>
      <c r="N241" s="73">
        <v>18</v>
      </c>
      <c r="O241" s="73">
        <v>6</v>
      </c>
      <c r="P241" s="73">
        <v>1999</v>
      </c>
      <c r="Q241" s="201">
        <f t="shared" si="161"/>
        <v>36329</v>
      </c>
      <c r="R241" s="86">
        <f t="shared" ca="1" si="162"/>
        <v>26.56986301369863</v>
      </c>
      <c r="S241" s="73" t="s">
        <v>50</v>
      </c>
      <c r="T241" s="73">
        <v>1</v>
      </c>
      <c r="U241" s="73">
        <v>1</v>
      </c>
      <c r="V241" s="73">
        <v>2024</v>
      </c>
      <c r="W241" s="200">
        <f t="shared" si="163"/>
        <v>45292</v>
      </c>
      <c r="Z241" s="73">
        <f t="shared" ca="1" si="164"/>
        <v>2</v>
      </c>
      <c r="AA241" s="40">
        <f t="shared" ca="1" si="165"/>
        <v>0</v>
      </c>
      <c r="AB241" s="40">
        <f t="shared" ca="1" si="166"/>
        <v>4</v>
      </c>
      <c r="AC241" s="15" t="str">
        <f t="shared" ca="1" si="167"/>
        <v>2Years/0Months/4Days</v>
      </c>
      <c r="AD241" s="108">
        <f t="shared" si="168"/>
        <v>58244</v>
      </c>
      <c r="AE241" s="15">
        <f t="shared" ca="1" si="169"/>
        <v>33</v>
      </c>
      <c r="AF241" s="15">
        <f t="shared" ca="1" si="170"/>
        <v>5</v>
      </c>
      <c r="AG241" s="15">
        <f t="shared" ca="1" si="171"/>
        <v>13</v>
      </c>
      <c r="AH241" s="15" t="str">
        <f t="shared" ca="1" si="172"/>
        <v>33Years/5Months/13Days</v>
      </c>
      <c r="AI241" s="15" t="str">
        <f t="shared" si="173"/>
        <v>35years , 5months and 17days</v>
      </c>
      <c r="AJ241" s="5">
        <f t="shared" si="174"/>
        <v>35</v>
      </c>
      <c r="AK241" s="5">
        <f t="shared" si="175"/>
        <v>5</v>
      </c>
      <c r="AL241" s="5">
        <f t="shared" si="176"/>
        <v>17</v>
      </c>
      <c r="AP241" s="387" t="s">
        <v>2372</v>
      </c>
    </row>
    <row r="242" spans="1:45" ht="31.5" customHeight="1" x14ac:dyDescent="0.25">
      <c r="A242" s="186">
        <v>1</v>
      </c>
      <c r="B242" s="332" t="s">
        <v>306</v>
      </c>
      <c r="C242" s="496">
        <v>134</v>
      </c>
      <c r="D242" s="489" t="s">
        <v>1995</v>
      </c>
      <c r="E242" s="496" t="str">
        <f t="shared" si="144"/>
        <v>1/052/134/0287</v>
      </c>
      <c r="F242" s="75"/>
      <c r="G242" s="312" t="s">
        <v>2047</v>
      </c>
      <c r="H242" s="202" t="s">
        <v>42</v>
      </c>
      <c r="I242" s="77" t="s">
        <v>2048</v>
      </c>
      <c r="J242" s="297" t="s">
        <v>2049</v>
      </c>
      <c r="K242" s="76" t="s">
        <v>311</v>
      </c>
      <c r="L242" s="199" t="s">
        <v>2050</v>
      </c>
      <c r="M242" s="320" t="s">
        <v>2051</v>
      </c>
      <c r="N242" s="73">
        <v>19</v>
      </c>
      <c r="O242" s="73">
        <v>4</v>
      </c>
      <c r="P242" s="73">
        <v>2004</v>
      </c>
      <c r="Q242" s="201">
        <f t="shared" si="161"/>
        <v>38096</v>
      </c>
      <c r="R242" s="86">
        <f t="shared" ca="1" si="162"/>
        <v>21.728767123287671</v>
      </c>
      <c r="S242" s="73" t="s">
        <v>50</v>
      </c>
      <c r="T242" s="73">
        <v>1</v>
      </c>
      <c r="U242" s="73">
        <v>1</v>
      </c>
      <c r="V242" s="73">
        <v>2024</v>
      </c>
      <c r="W242" s="200">
        <f t="shared" si="163"/>
        <v>45292</v>
      </c>
      <c r="Z242" s="73">
        <f t="shared" ca="1" si="164"/>
        <v>2</v>
      </c>
      <c r="AA242" s="40">
        <f t="shared" ca="1" si="165"/>
        <v>0</v>
      </c>
      <c r="AB242" s="40">
        <f t="shared" ca="1" si="166"/>
        <v>4</v>
      </c>
      <c r="AC242" s="15" t="str">
        <f t="shared" ca="1" si="167"/>
        <v>2Years/0Months/4Days</v>
      </c>
      <c r="AD242" s="108">
        <f t="shared" si="168"/>
        <v>60011</v>
      </c>
      <c r="AE242" s="15">
        <f t="shared" ca="1" si="169"/>
        <v>38</v>
      </c>
      <c r="AF242" s="15">
        <f t="shared" ca="1" si="170"/>
        <v>3</v>
      </c>
      <c r="AG242" s="15">
        <f t="shared" ca="1" si="171"/>
        <v>14</v>
      </c>
      <c r="AH242" s="15" t="str">
        <f t="shared" ca="1" si="172"/>
        <v>38Years/3Months/14Days</v>
      </c>
      <c r="AI242" s="15" t="str">
        <f t="shared" si="173"/>
        <v>40years , 3months and 18days</v>
      </c>
      <c r="AJ242" s="5">
        <f t="shared" si="174"/>
        <v>40</v>
      </c>
      <c r="AK242" s="5">
        <f t="shared" si="175"/>
        <v>3</v>
      </c>
      <c r="AL242" s="5">
        <f t="shared" si="176"/>
        <v>18</v>
      </c>
    </row>
    <row r="243" spans="1:45" ht="31.5" customHeight="1" x14ac:dyDescent="0.25">
      <c r="A243" s="186">
        <v>1</v>
      </c>
      <c r="B243" s="332" t="s">
        <v>306</v>
      </c>
      <c r="C243" s="496">
        <v>135</v>
      </c>
      <c r="D243" s="489" t="s">
        <v>1996</v>
      </c>
      <c r="E243" s="496" t="str">
        <f t="shared" si="144"/>
        <v>1/052/135/0288</v>
      </c>
      <c r="F243" s="75" t="s">
        <v>40</v>
      </c>
      <c r="G243" s="526" t="s">
        <v>2052</v>
      </c>
      <c r="H243" s="76"/>
      <c r="I243" s="77" t="s">
        <v>2053</v>
      </c>
      <c r="J243" s="297" t="s">
        <v>2054</v>
      </c>
      <c r="K243" s="76" t="s">
        <v>96</v>
      </c>
      <c r="L243" s="199" t="s">
        <v>2055</v>
      </c>
      <c r="M243" s="320" t="s">
        <v>2056</v>
      </c>
      <c r="N243" s="73">
        <v>10</v>
      </c>
      <c r="O243" s="73">
        <v>4</v>
      </c>
      <c r="P243" s="73">
        <v>1957</v>
      </c>
      <c r="Q243" s="201">
        <f t="shared" si="161"/>
        <v>20920</v>
      </c>
      <c r="R243" s="534">
        <f t="shared" ca="1" si="162"/>
        <v>68.786301369863011</v>
      </c>
      <c r="S243" s="73" t="s">
        <v>34</v>
      </c>
      <c r="T243" s="73">
        <v>3</v>
      </c>
      <c r="U243" s="73">
        <v>1</v>
      </c>
      <c r="V243" s="73">
        <v>2024</v>
      </c>
      <c r="W243" s="200">
        <f t="shared" si="163"/>
        <v>45294</v>
      </c>
      <c r="Z243" s="73">
        <f t="shared" ca="1" si="164"/>
        <v>2</v>
      </c>
      <c r="AA243" s="40">
        <f t="shared" ca="1" si="165"/>
        <v>0</v>
      </c>
      <c r="AB243" s="40">
        <f t="shared" ca="1" si="166"/>
        <v>2</v>
      </c>
      <c r="AC243" s="15" t="str">
        <f t="shared" ca="1" si="167"/>
        <v>2Years/0Months/2Days</v>
      </c>
      <c r="AD243" s="108">
        <f t="shared" si="168"/>
        <v>42835</v>
      </c>
      <c r="AE243" s="15" t="e">
        <f t="shared" ca="1" si="169"/>
        <v>#NUM!</v>
      </c>
      <c r="AF243" s="15" t="e">
        <f t="shared" ca="1" si="170"/>
        <v>#NUM!</v>
      </c>
      <c r="AG243" s="15" t="e">
        <f t="shared" ca="1" si="171"/>
        <v>#NUM!</v>
      </c>
      <c r="AH243" s="15" t="e">
        <f t="shared" ca="1" si="172"/>
        <v>#NUM!</v>
      </c>
      <c r="AI243" s="15" t="e">
        <f t="shared" si="173"/>
        <v>#NUM!</v>
      </c>
      <c r="AJ243" s="5" t="e">
        <f t="shared" si="174"/>
        <v>#NUM!</v>
      </c>
      <c r="AK243" s="5" t="e">
        <f t="shared" si="175"/>
        <v>#NUM!</v>
      </c>
      <c r="AL243" s="5" t="e">
        <f t="shared" si="176"/>
        <v>#NUM!</v>
      </c>
      <c r="AQ243" s="387" t="s">
        <v>2375</v>
      </c>
    </row>
    <row r="244" spans="1:45" ht="31.5" customHeight="1" x14ac:dyDescent="0.25">
      <c r="A244" s="186">
        <v>1</v>
      </c>
      <c r="B244" s="332" t="s">
        <v>306</v>
      </c>
      <c r="C244" s="496">
        <v>136</v>
      </c>
      <c r="D244" s="489" t="s">
        <v>1997</v>
      </c>
      <c r="E244" s="496" t="str">
        <f t="shared" si="144"/>
        <v>1/052/136/0289</v>
      </c>
      <c r="F244" s="75"/>
      <c r="G244" s="312" t="s">
        <v>2057</v>
      </c>
      <c r="H244" s="76"/>
      <c r="I244" s="77" t="s">
        <v>2058</v>
      </c>
      <c r="J244" s="297" t="s">
        <v>2059</v>
      </c>
      <c r="K244" s="76" t="s">
        <v>96</v>
      </c>
      <c r="L244" s="199" t="s">
        <v>2060</v>
      </c>
      <c r="M244" s="320" t="s">
        <v>2061</v>
      </c>
      <c r="N244" s="73">
        <v>12</v>
      </c>
      <c r="O244" s="73">
        <v>9</v>
      </c>
      <c r="P244" s="73">
        <v>1993</v>
      </c>
      <c r="Q244" s="201">
        <f t="shared" si="161"/>
        <v>34224</v>
      </c>
      <c r="R244" s="86">
        <f t="shared" ca="1" si="162"/>
        <v>32.336986301369862</v>
      </c>
      <c r="S244" s="73" t="s">
        <v>34</v>
      </c>
      <c r="T244" s="73">
        <v>3</v>
      </c>
      <c r="U244" s="73">
        <v>1</v>
      </c>
      <c r="V244" s="73">
        <v>2024</v>
      </c>
      <c r="W244" s="200">
        <f t="shared" si="163"/>
        <v>45294</v>
      </c>
      <c r="Z244" s="73">
        <f t="shared" ca="1" si="164"/>
        <v>2</v>
      </c>
      <c r="AA244" s="40">
        <f t="shared" ca="1" si="165"/>
        <v>0</v>
      </c>
      <c r="AB244" s="40">
        <f t="shared" ca="1" si="166"/>
        <v>2</v>
      </c>
      <c r="AC244" s="15" t="str">
        <f t="shared" ca="1" si="167"/>
        <v>2Years/0Months/2Days</v>
      </c>
      <c r="AD244" s="108">
        <f t="shared" si="168"/>
        <v>56139</v>
      </c>
      <c r="AE244" s="15">
        <f t="shared" ca="1" si="169"/>
        <v>27</v>
      </c>
      <c r="AF244" s="15">
        <f t="shared" ca="1" si="170"/>
        <v>8</v>
      </c>
      <c r="AG244" s="15">
        <f t="shared" ca="1" si="171"/>
        <v>7</v>
      </c>
      <c r="AH244" s="15" t="str">
        <f t="shared" ca="1" si="172"/>
        <v>27Years/8Months/7Days</v>
      </c>
      <c r="AI244" s="15" t="str">
        <f t="shared" si="173"/>
        <v>29years , 8months and 9days</v>
      </c>
      <c r="AJ244" s="5">
        <f t="shared" si="174"/>
        <v>29</v>
      </c>
      <c r="AK244" s="5">
        <f t="shared" si="175"/>
        <v>8</v>
      </c>
      <c r="AL244" s="5">
        <f t="shared" si="176"/>
        <v>9</v>
      </c>
    </row>
    <row r="245" spans="1:45" ht="31.5" customHeight="1" x14ac:dyDescent="0.25">
      <c r="A245" s="186">
        <v>1</v>
      </c>
      <c r="B245" s="332" t="s">
        <v>306</v>
      </c>
      <c r="C245" s="496">
        <v>137</v>
      </c>
      <c r="D245" s="489" t="s">
        <v>2033</v>
      </c>
      <c r="E245" s="496" t="str">
        <f t="shared" ref="E245:E253" si="177">CONCATENATE(A245,"/",B245,"/",C245,"/",D245)</f>
        <v>1/052/137/0290</v>
      </c>
      <c r="F245" s="75"/>
      <c r="G245" s="312" t="s">
        <v>2062</v>
      </c>
      <c r="H245" s="76"/>
      <c r="I245" s="77" t="s">
        <v>2063</v>
      </c>
      <c r="J245" s="297" t="s">
        <v>2064</v>
      </c>
      <c r="K245" s="76" t="s">
        <v>96</v>
      </c>
      <c r="L245" s="199" t="s">
        <v>2065</v>
      </c>
      <c r="M245" s="320" t="s">
        <v>2066</v>
      </c>
      <c r="N245" s="73">
        <v>25</v>
      </c>
      <c r="O245" s="73">
        <v>10</v>
      </c>
      <c r="P245" s="73">
        <v>2003</v>
      </c>
      <c r="Q245" s="201">
        <f t="shared" si="161"/>
        <v>37919</v>
      </c>
      <c r="R245" s="86">
        <f t="shared" ca="1" si="162"/>
        <v>22.213698630136985</v>
      </c>
      <c r="S245" s="73" t="s">
        <v>50</v>
      </c>
      <c r="T245" s="73">
        <v>3</v>
      </c>
      <c r="U245" s="73">
        <v>1</v>
      </c>
      <c r="V245" s="73">
        <v>2024</v>
      </c>
      <c r="W245" s="200">
        <f t="shared" si="163"/>
        <v>45294</v>
      </c>
      <c r="Z245" s="73">
        <f t="shared" ca="1" si="164"/>
        <v>2</v>
      </c>
      <c r="AA245" s="40">
        <f t="shared" ca="1" si="165"/>
        <v>0</v>
      </c>
      <c r="AB245" s="40">
        <f t="shared" ca="1" si="166"/>
        <v>2</v>
      </c>
      <c r="AC245" s="15" t="str">
        <f t="shared" ca="1" si="167"/>
        <v>2Years/0Months/2Days</v>
      </c>
      <c r="AD245" s="108">
        <f t="shared" si="168"/>
        <v>59834</v>
      </c>
      <c r="AE245" s="15">
        <f t="shared" ca="1" si="169"/>
        <v>37</v>
      </c>
      <c r="AF245" s="15">
        <f t="shared" ca="1" si="170"/>
        <v>9</v>
      </c>
      <c r="AG245" s="15">
        <f t="shared" ca="1" si="171"/>
        <v>20</v>
      </c>
      <c r="AH245" s="15" t="str">
        <f t="shared" ca="1" si="172"/>
        <v>37Years/9Months/20Days</v>
      </c>
      <c r="AI245" s="15" t="str">
        <f t="shared" si="173"/>
        <v>39years , 9months and 22days</v>
      </c>
      <c r="AJ245" s="5">
        <f t="shared" si="174"/>
        <v>39</v>
      </c>
      <c r="AK245" s="5">
        <f t="shared" si="175"/>
        <v>9</v>
      </c>
      <c r="AL245" s="5">
        <f t="shared" si="176"/>
        <v>22</v>
      </c>
    </row>
    <row r="246" spans="1:45" ht="31.5" customHeight="1" x14ac:dyDescent="0.25">
      <c r="A246" s="186">
        <v>1</v>
      </c>
      <c r="B246" s="332" t="s">
        <v>306</v>
      </c>
      <c r="C246" s="496">
        <v>138</v>
      </c>
      <c r="D246" s="489" t="s">
        <v>2034</v>
      </c>
      <c r="E246" s="496" t="str">
        <f t="shared" si="177"/>
        <v>1/052/138/0291</v>
      </c>
      <c r="F246" s="75"/>
      <c r="G246" s="312" t="s">
        <v>2067</v>
      </c>
      <c r="H246" s="76"/>
      <c r="I246" s="77" t="s">
        <v>2068</v>
      </c>
      <c r="J246" s="297" t="s">
        <v>2069</v>
      </c>
      <c r="K246" s="76" t="s">
        <v>311</v>
      </c>
      <c r="L246" s="199" t="s">
        <v>2070</v>
      </c>
      <c r="M246" s="320" t="s">
        <v>2071</v>
      </c>
      <c r="N246" s="73">
        <v>26</v>
      </c>
      <c r="O246" s="73">
        <v>6</v>
      </c>
      <c r="P246" s="73">
        <v>2001</v>
      </c>
      <c r="Q246" s="201">
        <f t="shared" si="161"/>
        <v>37068</v>
      </c>
      <c r="R246" s="86">
        <f t="shared" ca="1" si="162"/>
        <v>24.545205479452054</v>
      </c>
      <c r="S246" s="73" t="s">
        <v>50</v>
      </c>
      <c r="T246" s="73">
        <v>3</v>
      </c>
      <c r="U246" s="73">
        <v>1</v>
      </c>
      <c r="V246" s="73">
        <v>2024</v>
      </c>
      <c r="W246" s="200">
        <f t="shared" si="163"/>
        <v>45294</v>
      </c>
      <c r="Z246" s="73">
        <f t="shared" ca="1" si="164"/>
        <v>2</v>
      </c>
      <c r="AA246" s="40">
        <f t="shared" ca="1" si="165"/>
        <v>0</v>
      </c>
      <c r="AB246" s="40">
        <f t="shared" ca="1" si="166"/>
        <v>2</v>
      </c>
      <c r="AC246" s="15" t="str">
        <f t="shared" ca="1" si="167"/>
        <v>2Years/0Months/2Days</v>
      </c>
      <c r="AD246" s="108">
        <f t="shared" si="168"/>
        <v>58983</v>
      </c>
      <c r="AE246" s="15">
        <f t="shared" ca="1" si="169"/>
        <v>35</v>
      </c>
      <c r="AF246" s="15">
        <f t="shared" ca="1" si="170"/>
        <v>5</v>
      </c>
      <c r="AG246" s="15">
        <f t="shared" ca="1" si="171"/>
        <v>21</v>
      </c>
      <c r="AH246" s="15" t="str">
        <f t="shared" ca="1" si="172"/>
        <v>35Years/5Months/21Days</v>
      </c>
      <c r="AI246" s="15" t="str">
        <f t="shared" si="173"/>
        <v>37years , 5months and 23days</v>
      </c>
      <c r="AJ246" s="5">
        <f t="shared" si="174"/>
        <v>37</v>
      </c>
      <c r="AK246" s="5">
        <f t="shared" si="175"/>
        <v>5</v>
      </c>
      <c r="AL246" s="5">
        <f t="shared" si="176"/>
        <v>23</v>
      </c>
      <c r="AP246" s="387" t="s">
        <v>2372</v>
      </c>
    </row>
    <row r="247" spans="1:45" ht="31.5" customHeight="1" x14ac:dyDescent="0.25">
      <c r="A247" s="186">
        <v>1</v>
      </c>
      <c r="B247" s="332" t="s">
        <v>306</v>
      </c>
      <c r="C247" s="496">
        <v>139</v>
      </c>
      <c r="D247" s="489" t="s">
        <v>2035</v>
      </c>
      <c r="E247" s="496" t="str">
        <f t="shared" si="177"/>
        <v>1/052/139/0292</v>
      </c>
      <c r="F247" s="75" t="s">
        <v>28</v>
      </c>
      <c r="G247" s="312" t="s">
        <v>2072</v>
      </c>
      <c r="H247" s="76"/>
      <c r="I247" s="77" t="s">
        <v>2073</v>
      </c>
      <c r="J247" s="297" t="s">
        <v>2074</v>
      </c>
      <c r="K247" s="76" t="s">
        <v>311</v>
      </c>
      <c r="L247" s="199" t="s">
        <v>2075</v>
      </c>
      <c r="M247" s="320" t="s">
        <v>2076</v>
      </c>
      <c r="N247" s="73">
        <v>13</v>
      </c>
      <c r="O247" s="73">
        <v>9</v>
      </c>
      <c r="P247" s="73">
        <v>1979</v>
      </c>
      <c r="Q247" s="201">
        <f t="shared" si="161"/>
        <v>29111</v>
      </c>
      <c r="R247" s="86">
        <f t="shared" ca="1" si="162"/>
        <v>46.345205479452055</v>
      </c>
      <c r="S247" s="73" t="s">
        <v>34</v>
      </c>
      <c r="T247" s="73">
        <v>3</v>
      </c>
      <c r="U247" s="73">
        <v>1</v>
      </c>
      <c r="V247" s="73">
        <v>2024</v>
      </c>
      <c r="W247" s="200">
        <f t="shared" si="163"/>
        <v>45294</v>
      </c>
      <c r="Z247" s="73">
        <f t="shared" ca="1" si="164"/>
        <v>2</v>
      </c>
      <c r="AA247" s="40">
        <f t="shared" ca="1" si="165"/>
        <v>0</v>
      </c>
      <c r="AB247" s="40">
        <f t="shared" ca="1" si="166"/>
        <v>2</v>
      </c>
      <c r="AC247" s="15" t="str">
        <f t="shared" ca="1" si="167"/>
        <v>2Years/0Months/2Days</v>
      </c>
      <c r="AD247" s="108">
        <f t="shared" si="168"/>
        <v>51026</v>
      </c>
      <c r="AE247" s="15">
        <f t="shared" ca="1" si="169"/>
        <v>13</v>
      </c>
      <c r="AF247" s="15">
        <f t="shared" ca="1" si="170"/>
        <v>8</v>
      </c>
      <c r="AG247" s="15">
        <f t="shared" ca="1" si="171"/>
        <v>8</v>
      </c>
      <c r="AH247" s="15" t="str">
        <f t="shared" ca="1" si="172"/>
        <v>13Years/8Months/8Days</v>
      </c>
      <c r="AI247" s="15" t="str">
        <f t="shared" si="173"/>
        <v>15years , 8months and 10days</v>
      </c>
      <c r="AJ247" s="5">
        <f t="shared" si="174"/>
        <v>15</v>
      </c>
      <c r="AK247" s="5">
        <f t="shared" si="175"/>
        <v>8</v>
      </c>
      <c r="AL247" s="5">
        <f t="shared" si="176"/>
        <v>10</v>
      </c>
      <c r="AO247" s="366" t="s">
        <v>2387</v>
      </c>
    </row>
    <row r="248" spans="1:45" ht="31.5" customHeight="1" x14ac:dyDescent="0.25">
      <c r="A248" s="186">
        <v>1</v>
      </c>
      <c r="B248" s="332" t="s">
        <v>306</v>
      </c>
      <c r="C248" s="496">
        <v>140</v>
      </c>
      <c r="D248" s="489" t="s">
        <v>2036</v>
      </c>
      <c r="E248" s="496" t="str">
        <f t="shared" si="177"/>
        <v>1/052/140/0293</v>
      </c>
      <c r="F248" s="75"/>
      <c r="G248" s="312" t="s">
        <v>2077</v>
      </c>
      <c r="H248" s="76"/>
      <c r="I248" s="77" t="s">
        <v>2078</v>
      </c>
      <c r="J248" s="297" t="s">
        <v>2079</v>
      </c>
      <c r="K248" s="76" t="s">
        <v>311</v>
      </c>
      <c r="L248" s="199" t="s">
        <v>962</v>
      </c>
      <c r="M248" s="320" t="s">
        <v>2080</v>
      </c>
      <c r="N248" s="73">
        <v>3</v>
      </c>
      <c r="O248" s="73">
        <v>1</v>
      </c>
      <c r="P248" s="73">
        <v>2024</v>
      </c>
      <c r="Q248" s="201">
        <f t="shared" si="161"/>
        <v>45294</v>
      </c>
      <c r="R248" s="86">
        <f t="shared" ca="1" si="162"/>
        <v>2.0082191780821916</v>
      </c>
      <c r="S248" s="73" t="s">
        <v>50</v>
      </c>
      <c r="T248" s="73"/>
      <c r="U248" s="73"/>
      <c r="V248" s="73"/>
      <c r="W248" s="200"/>
      <c r="Z248" s="73">
        <f t="shared" ref="Z248:Z261" ca="1" si="178">DATEDIF(W248,TODAY(),"Y")</f>
        <v>126</v>
      </c>
      <c r="AA248" s="40">
        <f t="shared" ref="AA248:AA261" ca="1" si="179">DATEDIF(W248,TODAY(),"YM")</f>
        <v>0</v>
      </c>
      <c r="AB248" s="40">
        <f t="shared" ref="AB248:AB261" ca="1" si="180">DATEDIF(W248,TODAY(),"MD")</f>
        <v>5</v>
      </c>
      <c r="AC248" s="15" t="str">
        <f t="shared" ref="AC248:AC261" ca="1" si="181">CONCATENATE(Z248,"Years","/",,AA248,"Months","/",AB248,"Days")</f>
        <v>126Years/0Months/5Days</v>
      </c>
      <c r="AD248" s="108">
        <f t="shared" si="168"/>
        <v>67209</v>
      </c>
      <c r="AE248" s="15">
        <f t="shared" ca="1" si="169"/>
        <v>57</v>
      </c>
      <c r="AF248" s="15">
        <f t="shared" ca="1" si="170"/>
        <v>11</v>
      </c>
      <c r="AG248" s="15">
        <f t="shared" ca="1" si="171"/>
        <v>29</v>
      </c>
      <c r="AH248" s="15" t="str">
        <f t="shared" ca="1" si="172"/>
        <v>57Years/11Months/29Days</v>
      </c>
      <c r="AI248" s="15" t="str">
        <f t="shared" ref="AI248:AI252" si="182">CONCATENATE(AJ248,"years", " ",",", " ",AK248,"months ","and"," ",AL248,"days")</f>
        <v>184years , 0months and 3days</v>
      </c>
      <c r="AJ248" s="5">
        <f t="shared" ref="AJ248:AJ252" si="183">DATEDIF(W248,AD248,"Y")</f>
        <v>184</v>
      </c>
      <c r="AK248" s="5">
        <f t="shared" ref="AK248:AK252" si="184">DATEDIF(W248,AD248,"YM")</f>
        <v>0</v>
      </c>
      <c r="AL248" s="5">
        <f t="shared" ref="AL248:AL252" si="185">DATEDIF(W248,AD248,"MD")</f>
        <v>3</v>
      </c>
      <c r="AP248" s="387" t="s">
        <v>2372</v>
      </c>
    </row>
    <row r="249" spans="1:45" ht="31.5" customHeight="1" x14ac:dyDescent="0.25">
      <c r="A249" s="186">
        <v>1</v>
      </c>
      <c r="B249" s="332" t="s">
        <v>306</v>
      </c>
      <c r="C249" s="496">
        <v>141</v>
      </c>
      <c r="D249" s="489" t="s">
        <v>2037</v>
      </c>
      <c r="E249" s="496" t="str">
        <f t="shared" si="177"/>
        <v>1/052/141/0294</v>
      </c>
      <c r="F249" s="75"/>
      <c r="G249" s="312" t="s">
        <v>2081</v>
      </c>
      <c r="H249" s="76"/>
      <c r="I249" s="77" t="s">
        <v>2082</v>
      </c>
      <c r="J249" s="297" t="s">
        <v>2083</v>
      </c>
      <c r="K249" s="76" t="s">
        <v>311</v>
      </c>
      <c r="L249" s="199" t="s">
        <v>2084</v>
      </c>
      <c r="M249" s="320" t="s">
        <v>2085</v>
      </c>
      <c r="N249" s="73">
        <v>1</v>
      </c>
      <c r="O249" s="73">
        <v>2</v>
      </c>
      <c r="P249" s="73">
        <v>2024</v>
      </c>
      <c r="Q249" s="201">
        <f t="shared" si="161"/>
        <v>45323</v>
      </c>
      <c r="R249" s="86">
        <f t="shared" ca="1" si="162"/>
        <v>1.9287671232876713</v>
      </c>
      <c r="S249" s="73" t="s">
        <v>50</v>
      </c>
      <c r="T249" s="73"/>
      <c r="U249" s="73"/>
      <c r="V249" s="73"/>
      <c r="W249" s="200"/>
      <c r="Z249" s="73">
        <f t="shared" ca="1" si="178"/>
        <v>126</v>
      </c>
      <c r="AA249" s="40">
        <f t="shared" ca="1" si="179"/>
        <v>0</v>
      </c>
      <c r="AB249" s="40">
        <f t="shared" ca="1" si="180"/>
        <v>5</v>
      </c>
      <c r="AC249" s="15" t="str">
        <f t="shared" ca="1" si="181"/>
        <v>126Years/0Months/5Days</v>
      </c>
      <c r="AD249" s="108">
        <f t="shared" si="168"/>
        <v>67238</v>
      </c>
      <c r="AE249" s="15">
        <f t="shared" ca="1" si="169"/>
        <v>58</v>
      </c>
      <c r="AF249" s="15">
        <f t="shared" ca="1" si="170"/>
        <v>0</v>
      </c>
      <c r="AG249" s="15">
        <f t="shared" ca="1" si="171"/>
        <v>27</v>
      </c>
      <c r="AH249" s="15" t="str">
        <f t="shared" ca="1" si="172"/>
        <v>58Years/0Months/27Days</v>
      </c>
      <c r="AI249" s="15" t="str">
        <f t="shared" si="182"/>
        <v>184years , 1months and 1days</v>
      </c>
      <c r="AJ249" s="5">
        <f t="shared" si="183"/>
        <v>184</v>
      </c>
      <c r="AK249" s="5">
        <f t="shared" si="184"/>
        <v>1</v>
      </c>
      <c r="AL249" s="5">
        <f t="shared" si="185"/>
        <v>1</v>
      </c>
    </row>
    <row r="250" spans="1:45" ht="31.5" customHeight="1" x14ac:dyDescent="0.25">
      <c r="A250" s="186">
        <v>1</v>
      </c>
      <c r="B250" s="332" t="s">
        <v>306</v>
      </c>
      <c r="C250" s="496">
        <v>142</v>
      </c>
      <c r="D250" s="496" t="s">
        <v>2038</v>
      </c>
      <c r="E250" s="496" t="str">
        <f t="shared" si="177"/>
        <v>1/052/142/0295</v>
      </c>
      <c r="F250" s="75"/>
      <c r="G250" s="312" t="s">
        <v>2086</v>
      </c>
      <c r="H250" s="76"/>
      <c r="I250" s="77" t="s">
        <v>2087</v>
      </c>
      <c r="J250" s="297" t="s">
        <v>2088</v>
      </c>
      <c r="K250" s="76" t="s">
        <v>311</v>
      </c>
      <c r="L250" s="199" t="s">
        <v>2089</v>
      </c>
      <c r="M250" s="320" t="s">
        <v>2090</v>
      </c>
      <c r="N250" s="73">
        <v>19</v>
      </c>
      <c r="O250" s="73">
        <v>2</v>
      </c>
      <c r="P250" s="73">
        <v>2024</v>
      </c>
      <c r="Q250" s="201">
        <f t="shared" si="161"/>
        <v>45341</v>
      </c>
      <c r="R250" s="86">
        <f t="shared" ca="1" si="162"/>
        <v>1.8794520547945206</v>
      </c>
      <c r="S250" s="73" t="s">
        <v>50</v>
      </c>
      <c r="T250" s="73"/>
      <c r="U250" s="73"/>
      <c r="V250" s="73"/>
      <c r="W250" s="200"/>
      <c r="Z250" s="73">
        <f t="shared" ca="1" si="178"/>
        <v>126</v>
      </c>
      <c r="AA250" s="40">
        <f t="shared" ca="1" si="179"/>
        <v>0</v>
      </c>
      <c r="AB250" s="40">
        <f t="shared" ca="1" si="180"/>
        <v>5</v>
      </c>
      <c r="AC250" s="15" t="str">
        <f t="shared" ca="1" si="181"/>
        <v>126Years/0Months/5Days</v>
      </c>
      <c r="AD250" s="108">
        <f t="shared" si="168"/>
        <v>67256</v>
      </c>
      <c r="AE250" s="15">
        <f t="shared" ca="1" si="169"/>
        <v>58</v>
      </c>
      <c r="AF250" s="15">
        <f t="shared" ca="1" si="170"/>
        <v>1</v>
      </c>
      <c r="AG250" s="15">
        <f t="shared" ca="1" si="171"/>
        <v>14</v>
      </c>
      <c r="AH250" s="15" t="str">
        <f t="shared" ca="1" si="172"/>
        <v>58Years/1Months/14Days</v>
      </c>
      <c r="AI250" s="15" t="str">
        <f t="shared" si="182"/>
        <v>184years , 1months and 19days</v>
      </c>
      <c r="AJ250" s="5">
        <f t="shared" si="183"/>
        <v>184</v>
      </c>
      <c r="AK250" s="5">
        <f t="shared" si="184"/>
        <v>1</v>
      </c>
      <c r="AL250" s="5">
        <f t="shared" si="185"/>
        <v>19</v>
      </c>
    </row>
    <row r="251" spans="1:45" ht="31.5" customHeight="1" x14ac:dyDescent="0.25">
      <c r="A251" s="73">
        <v>1</v>
      </c>
      <c r="B251" s="74" t="s">
        <v>1014</v>
      </c>
      <c r="C251" s="74" t="s">
        <v>1447</v>
      </c>
      <c r="D251" s="74" t="s">
        <v>2039</v>
      </c>
      <c r="E251" s="494" t="str">
        <f t="shared" si="177"/>
        <v>1/053/104/0296</v>
      </c>
      <c r="F251" s="75"/>
      <c r="G251" s="312"/>
      <c r="H251" s="398"/>
      <c r="I251" s="398"/>
      <c r="J251" s="399"/>
      <c r="K251" s="398"/>
      <c r="L251" s="400"/>
      <c r="M251" s="398"/>
      <c r="N251" s="111"/>
      <c r="O251" s="111"/>
      <c r="P251" s="111"/>
      <c r="Q251" s="147"/>
      <c r="R251" s="92"/>
      <c r="S251" s="67"/>
      <c r="T251" s="5"/>
      <c r="U251" s="5"/>
      <c r="V251" s="5"/>
      <c r="W251" s="148"/>
      <c r="Z251" s="124"/>
      <c r="AA251" s="109"/>
      <c r="AB251" s="150"/>
      <c r="AC251" s="15"/>
      <c r="AD251" s="108"/>
      <c r="AE251" s="15"/>
      <c r="AF251" s="15"/>
      <c r="AG251" s="15"/>
      <c r="AH251" s="15"/>
      <c r="AI251" s="15"/>
      <c r="AJ251" s="5"/>
      <c r="AK251" s="5"/>
      <c r="AL251" s="5"/>
      <c r="AO251" s="336" t="s">
        <v>2400</v>
      </c>
      <c r="AS251" s="336" t="s">
        <v>2401</v>
      </c>
    </row>
    <row r="252" spans="1:45" ht="31.5" customHeight="1" x14ac:dyDescent="0.25">
      <c r="A252" s="73">
        <v>1</v>
      </c>
      <c r="B252" s="74" t="s">
        <v>1014</v>
      </c>
      <c r="C252" s="74" t="s">
        <v>1448</v>
      </c>
      <c r="D252" s="74" t="s">
        <v>2040</v>
      </c>
      <c r="E252" s="494" t="str">
        <f t="shared" si="177"/>
        <v>1/053/105/0297</v>
      </c>
      <c r="F252" s="75" t="s">
        <v>28</v>
      </c>
      <c r="G252" s="312" t="s">
        <v>2102</v>
      </c>
      <c r="H252" s="398" t="s">
        <v>42</v>
      </c>
      <c r="I252" s="398" t="s">
        <v>2103</v>
      </c>
      <c r="J252" s="399" t="s">
        <v>2104</v>
      </c>
      <c r="K252" s="398" t="s">
        <v>31</v>
      </c>
      <c r="L252" s="400">
        <v>719663960</v>
      </c>
      <c r="M252" s="420" t="s">
        <v>2105</v>
      </c>
      <c r="N252" s="111">
        <v>24</v>
      </c>
      <c r="O252" s="111">
        <v>3</v>
      </c>
      <c r="P252" s="111">
        <v>1983</v>
      </c>
      <c r="Q252" s="147">
        <f t="shared" si="161"/>
        <v>30399</v>
      </c>
      <c r="R252" s="92">
        <f t="shared" ca="1" si="162"/>
        <v>42.816438356164383</v>
      </c>
      <c r="S252" s="67" t="s">
        <v>50</v>
      </c>
      <c r="T252" s="5">
        <v>25</v>
      </c>
      <c r="U252" s="5">
        <v>8</v>
      </c>
      <c r="V252" s="5">
        <v>2023</v>
      </c>
      <c r="W252" s="148">
        <f t="shared" si="163"/>
        <v>45163</v>
      </c>
      <c r="Z252" s="124">
        <f t="shared" ca="1" si="178"/>
        <v>2</v>
      </c>
      <c r="AA252" s="109">
        <f t="shared" ca="1" si="179"/>
        <v>4</v>
      </c>
      <c r="AB252" s="150">
        <f t="shared" ca="1" si="180"/>
        <v>11</v>
      </c>
      <c r="AC252" s="15" t="str">
        <f t="shared" ca="1" si="181"/>
        <v>2Years/4Months/11Days</v>
      </c>
      <c r="AD252" s="108">
        <f t="shared" si="168"/>
        <v>52314</v>
      </c>
      <c r="AE252" s="15">
        <f t="shared" ca="1" si="169"/>
        <v>17</v>
      </c>
      <c r="AF252" s="15">
        <f t="shared" ca="1" si="170"/>
        <v>2</v>
      </c>
      <c r="AG252" s="15">
        <f t="shared" ca="1" si="171"/>
        <v>19</v>
      </c>
      <c r="AH252" s="15" t="str">
        <f t="shared" ca="1" si="172"/>
        <v>17Years/2Months/19Days</v>
      </c>
      <c r="AI252" s="15" t="str">
        <f t="shared" si="182"/>
        <v>19years , 6months and 27days</v>
      </c>
      <c r="AJ252" s="5">
        <f t="shared" si="183"/>
        <v>19</v>
      </c>
      <c r="AK252" s="5">
        <f t="shared" si="184"/>
        <v>6</v>
      </c>
      <c r="AL252" s="5">
        <f t="shared" si="185"/>
        <v>27</v>
      </c>
      <c r="AO252" s="336" t="s">
        <v>2402</v>
      </c>
    </row>
    <row r="253" spans="1:45" ht="31.5" customHeight="1" x14ac:dyDescent="0.25">
      <c r="A253" s="73">
        <v>1</v>
      </c>
      <c r="B253" s="74" t="s">
        <v>1014</v>
      </c>
      <c r="C253" s="74" t="s">
        <v>1449</v>
      </c>
      <c r="D253" s="74" t="s">
        <v>2041</v>
      </c>
      <c r="E253" s="495" t="str">
        <f t="shared" si="177"/>
        <v>1/053/106/0298</v>
      </c>
      <c r="F253" s="421"/>
      <c r="G253" s="404" t="s">
        <v>2107</v>
      </c>
      <c r="H253" s="422" t="s">
        <v>42</v>
      </c>
      <c r="I253" s="414" t="s">
        <v>2108</v>
      </c>
      <c r="J253" s="423">
        <v>200184101020</v>
      </c>
      <c r="K253" s="424" t="s">
        <v>31</v>
      </c>
      <c r="L253" s="337">
        <v>773172525</v>
      </c>
      <c r="M253" s="334" t="s">
        <v>2109</v>
      </c>
      <c r="N253" s="335">
        <v>6</v>
      </c>
      <c r="O253" s="335">
        <v>12</v>
      </c>
      <c r="P253" s="335">
        <v>2001</v>
      </c>
      <c r="Q253" s="147">
        <f t="shared" si="161"/>
        <v>37231</v>
      </c>
      <c r="R253" s="92">
        <f t="shared" ca="1" si="162"/>
        <v>24.098630136986301</v>
      </c>
      <c r="S253" s="425" t="s">
        <v>50</v>
      </c>
      <c r="T253" s="335">
        <v>30</v>
      </c>
      <c r="U253" s="335">
        <v>1</v>
      </c>
      <c r="V253" s="335">
        <v>2023</v>
      </c>
      <c r="W253" s="148">
        <f t="shared" si="163"/>
        <v>44956</v>
      </c>
      <c r="Z253" s="124">
        <f t="shared" ca="1" si="178"/>
        <v>2</v>
      </c>
      <c r="AA253" s="109">
        <f t="shared" ca="1" si="179"/>
        <v>11</v>
      </c>
      <c r="AB253" s="150">
        <f t="shared" ca="1" si="180"/>
        <v>6</v>
      </c>
      <c r="AC253" s="15" t="str">
        <f t="shared" ca="1" si="181"/>
        <v>2Years/11Months/6Days</v>
      </c>
      <c r="AD253" s="108">
        <f t="shared" si="168"/>
        <v>59146</v>
      </c>
      <c r="AE253" s="15">
        <f t="shared" ref="AE253:AE265" ca="1" si="186">DATEDIF(TODAY(),AD253,"Y")</f>
        <v>35</v>
      </c>
      <c r="AF253" s="15">
        <f t="shared" ref="AF253:AF265" ca="1" si="187">DATEDIF(TODAY(),AD253,"YM")</f>
        <v>11</v>
      </c>
      <c r="AG253" s="15">
        <f t="shared" ref="AG253:AG265" ca="1" si="188">DATEDIF(TODAY(),AD253,"MD")</f>
        <v>1</v>
      </c>
      <c r="AH253" s="15" t="str">
        <f t="shared" ref="AH253:AH265" ca="1" si="189">CONCATENATE(AE253,"Years","/",AF253,"Months","/",AG253,"Days")</f>
        <v>35Years/11Months/1Days</v>
      </c>
      <c r="AI253" s="15" t="str">
        <f t="shared" ref="AI253:AI261" si="190">CONCATENATE(AJ253,"years", " ",",", " ",AK253,"months ","and"," ",AL253,"days")</f>
        <v>38years , 10months and 6days</v>
      </c>
      <c r="AJ253" s="5">
        <f t="shared" ref="AJ253:AJ261" si="191">DATEDIF(W253,AD253,"Y")</f>
        <v>38</v>
      </c>
      <c r="AK253" s="5">
        <f t="shared" ref="AK253:AK261" si="192">DATEDIF(W253,AD253,"YM")</f>
        <v>10</v>
      </c>
      <c r="AL253" s="5">
        <f t="shared" ref="AL253:AL261" si="193">DATEDIF(W253,AD253,"MD")</f>
        <v>6</v>
      </c>
      <c r="AO253" s="336" t="s">
        <v>2398</v>
      </c>
    </row>
    <row r="254" spans="1:45" ht="31.5" customHeight="1" x14ac:dyDescent="0.25">
      <c r="A254" s="73">
        <v>1</v>
      </c>
      <c r="B254" s="74" t="s">
        <v>1014</v>
      </c>
      <c r="C254" s="74" t="s">
        <v>1450</v>
      </c>
      <c r="D254" s="74" t="s">
        <v>2134</v>
      </c>
      <c r="E254" s="495" t="str">
        <f t="shared" ref="E254:E276" si="194">CONCATENATE(A254,"/",B254,"/",C254,"/",D254)</f>
        <v>1/053/107/0299</v>
      </c>
      <c r="F254" s="421"/>
      <c r="G254" s="404" t="s">
        <v>2110</v>
      </c>
      <c r="H254" s="422" t="s">
        <v>42</v>
      </c>
      <c r="I254" s="414" t="s">
        <v>2111</v>
      </c>
      <c r="J254" s="426">
        <v>198775602719</v>
      </c>
      <c r="K254" s="414" t="s">
        <v>2112</v>
      </c>
      <c r="L254" s="333">
        <v>775401814</v>
      </c>
      <c r="M254" s="334" t="s">
        <v>2113</v>
      </c>
      <c r="N254" s="335">
        <v>12</v>
      </c>
      <c r="O254" s="335">
        <v>9</v>
      </c>
      <c r="P254" s="335">
        <v>1987</v>
      </c>
      <c r="Q254" s="147">
        <f t="shared" si="161"/>
        <v>32032</v>
      </c>
      <c r="R254" s="92">
        <f t="shared" ca="1" si="162"/>
        <v>38.342465753424655</v>
      </c>
      <c r="S254" s="336" t="s">
        <v>50</v>
      </c>
      <c r="T254" s="335">
        <v>30</v>
      </c>
      <c r="U254" s="335">
        <v>1</v>
      </c>
      <c r="V254" s="335">
        <v>2023</v>
      </c>
      <c r="W254" s="148">
        <f t="shared" si="163"/>
        <v>44956</v>
      </c>
      <c r="Z254" s="124">
        <f t="shared" ca="1" si="178"/>
        <v>2</v>
      </c>
      <c r="AA254" s="109">
        <f t="shared" ca="1" si="179"/>
        <v>11</v>
      </c>
      <c r="AB254" s="150">
        <f t="shared" ca="1" si="180"/>
        <v>6</v>
      </c>
      <c r="AC254" s="15" t="str">
        <f t="shared" ca="1" si="181"/>
        <v>2Years/11Months/6Days</v>
      </c>
      <c r="AD254" s="108">
        <f t="shared" si="168"/>
        <v>53947</v>
      </c>
      <c r="AE254" s="15">
        <f t="shared" ca="1" si="186"/>
        <v>21</v>
      </c>
      <c r="AF254" s="15">
        <f t="shared" ca="1" si="187"/>
        <v>8</v>
      </c>
      <c r="AG254" s="15">
        <f t="shared" ca="1" si="188"/>
        <v>7</v>
      </c>
      <c r="AH254" s="15" t="str">
        <f t="shared" ca="1" si="189"/>
        <v>21Years/8Months/7Days</v>
      </c>
      <c r="AI254" s="15" t="str">
        <f t="shared" si="190"/>
        <v>24years , 7months and 13days</v>
      </c>
      <c r="AJ254" s="5">
        <f t="shared" si="191"/>
        <v>24</v>
      </c>
      <c r="AK254" s="5">
        <f t="shared" si="192"/>
        <v>7</v>
      </c>
      <c r="AL254" s="5">
        <f t="shared" si="193"/>
        <v>13</v>
      </c>
      <c r="AO254" s="336" t="s">
        <v>2398</v>
      </c>
    </row>
    <row r="255" spans="1:45" ht="31.5" customHeight="1" x14ac:dyDescent="0.25">
      <c r="A255" s="73">
        <v>1</v>
      </c>
      <c r="B255" s="74" t="s">
        <v>1014</v>
      </c>
      <c r="C255" s="74" t="s">
        <v>2106</v>
      </c>
      <c r="D255" s="74" t="s">
        <v>2135</v>
      </c>
      <c r="E255" s="495" t="str">
        <f t="shared" si="194"/>
        <v>1/053/108/0300</v>
      </c>
      <c r="F255" s="421"/>
      <c r="G255" s="404" t="s">
        <v>2114</v>
      </c>
      <c r="H255" s="422" t="s">
        <v>42</v>
      </c>
      <c r="I255" s="414" t="s">
        <v>2115</v>
      </c>
      <c r="J255" s="423" t="s">
        <v>2142</v>
      </c>
      <c r="K255" s="427" t="s">
        <v>2116</v>
      </c>
      <c r="L255" s="337">
        <v>772884211</v>
      </c>
      <c r="M255" s="334" t="s">
        <v>2117</v>
      </c>
      <c r="N255" s="335">
        <v>14</v>
      </c>
      <c r="O255" s="335">
        <v>8</v>
      </c>
      <c r="P255" s="335">
        <v>1993</v>
      </c>
      <c r="Q255" s="147">
        <f t="shared" si="161"/>
        <v>34195</v>
      </c>
      <c r="R255" s="92">
        <f t="shared" ca="1" si="162"/>
        <v>32.416438356164385</v>
      </c>
      <c r="S255" s="336" t="s">
        <v>50</v>
      </c>
      <c r="T255" s="335">
        <v>25</v>
      </c>
      <c r="U255" s="335">
        <v>8</v>
      </c>
      <c r="V255" s="335">
        <v>2023</v>
      </c>
      <c r="W255" s="148">
        <f t="shared" si="163"/>
        <v>45163</v>
      </c>
      <c r="Z255" s="124">
        <f t="shared" ca="1" si="178"/>
        <v>2</v>
      </c>
      <c r="AA255" s="109">
        <f t="shared" ca="1" si="179"/>
        <v>4</v>
      </c>
      <c r="AB255" s="150">
        <f t="shared" ca="1" si="180"/>
        <v>11</v>
      </c>
      <c r="AC255" s="15" t="str">
        <f t="shared" ca="1" si="181"/>
        <v>2Years/4Months/11Days</v>
      </c>
      <c r="AD255" s="108">
        <f t="shared" si="168"/>
        <v>56110</v>
      </c>
      <c r="AE255" s="15">
        <f t="shared" ca="1" si="186"/>
        <v>27</v>
      </c>
      <c r="AF255" s="15">
        <f t="shared" ca="1" si="187"/>
        <v>7</v>
      </c>
      <c r="AG255" s="15">
        <f t="shared" ca="1" si="188"/>
        <v>9</v>
      </c>
      <c r="AH255" s="15" t="str">
        <f t="shared" ca="1" si="189"/>
        <v>27Years/7Months/9Days</v>
      </c>
      <c r="AI255" s="15" t="str">
        <f t="shared" si="190"/>
        <v>29years , 11months and 20days</v>
      </c>
      <c r="AJ255" s="5">
        <f t="shared" si="191"/>
        <v>29</v>
      </c>
      <c r="AK255" s="5">
        <f t="shared" si="192"/>
        <v>11</v>
      </c>
      <c r="AL255" s="5">
        <f t="shared" si="193"/>
        <v>20</v>
      </c>
      <c r="AO255" s="336" t="s">
        <v>2402</v>
      </c>
    </row>
    <row r="256" spans="1:45" ht="31.5" customHeight="1" x14ac:dyDescent="0.25">
      <c r="A256" s="73">
        <v>1</v>
      </c>
      <c r="B256" s="74" t="s">
        <v>1014</v>
      </c>
      <c r="C256" s="74" t="s">
        <v>1451</v>
      </c>
      <c r="D256" s="74" t="s">
        <v>2136</v>
      </c>
      <c r="E256" s="495" t="str">
        <f t="shared" si="194"/>
        <v>1/053/109/0301</v>
      </c>
      <c r="F256" s="421"/>
      <c r="G256" s="404" t="s">
        <v>2118</v>
      </c>
      <c r="H256" s="427" t="s">
        <v>1712</v>
      </c>
      <c r="I256" s="414" t="s">
        <v>2119</v>
      </c>
      <c r="J256" s="423">
        <v>199962310026</v>
      </c>
      <c r="K256" s="424" t="s">
        <v>31</v>
      </c>
      <c r="L256" s="337">
        <v>765369601</v>
      </c>
      <c r="M256" s="338" t="s">
        <v>2120</v>
      </c>
      <c r="N256" s="335">
        <v>2</v>
      </c>
      <c r="O256" s="335">
        <v>5</v>
      </c>
      <c r="P256" s="335">
        <v>1999</v>
      </c>
      <c r="Q256" s="147">
        <f t="shared" si="161"/>
        <v>36282</v>
      </c>
      <c r="R256" s="92">
        <f t="shared" ca="1" si="162"/>
        <v>26.698630136986303</v>
      </c>
      <c r="S256" s="336" t="s">
        <v>50</v>
      </c>
      <c r="T256" s="335">
        <v>25</v>
      </c>
      <c r="U256" s="335">
        <v>8</v>
      </c>
      <c r="V256" s="335">
        <v>2023</v>
      </c>
      <c r="W256" s="148">
        <f t="shared" si="163"/>
        <v>45163</v>
      </c>
      <c r="Z256" s="124">
        <f t="shared" ca="1" si="178"/>
        <v>2</v>
      </c>
      <c r="AA256" s="109">
        <f t="shared" ca="1" si="179"/>
        <v>4</v>
      </c>
      <c r="AB256" s="150">
        <f t="shared" ca="1" si="180"/>
        <v>11</v>
      </c>
      <c r="AC256" s="15" t="str">
        <f t="shared" ca="1" si="181"/>
        <v>2Years/4Months/11Days</v>
      </c>
      <c r="AD256" s="108">
        <f t="shared" si="168"/>
        <v>58197</v>
      </c>
      <c r="AE256" s="15">
        <f t="shared" ca="1" si="186"/>
        <v>33</v>
      </c>
      <c r="AF256" s="15">
        <f t="shared" ca="1" si="187"/>
        <v>3</v>
      </c>
      <c r="AG256" s="15">
        <f t="shared" ca="1" si="188"/>
        <v>27</v>
      </c>
      <c r="AH256" s="15" t="str">
        <f t="shared" ca="1" si="189"/>
        <v>33Years/3Months/27Days</v>
      </c>
      <c r="AI256" s="15" t="str">
        <f t="shared" si="190"/>
        <v>35years , 8months and 7days</v>
      </c>
      <c r="AJ256" s="5">
        <f t="shared" si="191"/>
        <v>35</v>
      </c>
      <c r="AK256" s="5">
        <f t="shared" si="192"/>
        <v>8</v>
      </c>
      <c r="AL256" s="5">
        <f t="shared" si="193"/>
        <v>7</v>
      </c>
      <c r="AO256" s="336" t="s">
        <v>2402</v>
      </c>
    </row>
    <row r="257" spans="1:45" ht="31.5" customHeight="1" x14ac:dyDescent="0.25">
      <c r="A257" s="73">
        <v>1</v>
      </c>
      <c r="B257" s="74" t="s">
        <v>1014</v>
      </c>
      <c r="C257" s="74" t="s">
        <v>1452</v>
      </c>
      <c r="D257" s="74" t="s">
        <v>2137</v>
      </c>
      <c r="E257" s="495" t="str">
        <f t="shared" si="194"/>
        <v>1/053/110/0302</v>
      </c>
      <c r="F257" s="421"/>
      <c r="G257" s="404" t="s">
        <v>2121</v>
      </c>
      <c r="H257" s="422" t="s">
        <v>42</v>
      </c>
      <c r="I257" s="414" t="s">
        <v>2122</v>
      </c>
      <c r="J257" s="423" t="s">
        <v>2123</v>
      </c>
      <c r="K257" s="424" t="s">
        <v>31</v>
      </c>
      <c r="L257" s="337">
        <v>701184186</v>
      </c>
      <c r="M257" s="334" t="s">
        <v>2124</v>
      </c>
      <c r="N257" s="335">
        <v>24</v>
      </c>
      <c r="O257" s="335">
        <v>10</v>
      </c>
      <c r="P257" s="335">
        <v>1996</v>
      </c>
      <c r="Q257" s="147">
        <f t="shared" si="161"/>
        <v>35362</v>
      </c>
      <c r="R257" s="92">
        <f t="shared" ca="1" si="162"/>
        <v>29.219178082191782</v>
      </c>
      <c r="S257" s="336" t="s">
        <v>50</v>
      </c>
      <c r="T257" s="335">
        <v>25</v>
      </c>
      <c r="U257" s="335">
        <v>8</v>
      </c>
      <c r="V257" s="335">
        <v>2023</v>
      </c>
      <c r="W257" s="148">
        <f t="shared" si="163"/>
        <v>45163</v>
      </c>
      <c r="Z257" s="124">
        <f t="shared" ca="1" si="178"/>
        <v>2</v>
      </c>
      <c r="AA257" s="109">
        <f t="shared" ca="1" si="179"/>
        <v>4</v>
      </c>
      <c r="AB257" s="150">
        <f t="shared" ca="1" si="180"/>
        <v>11</v>
      </c>
      <c r="AC257" s="15" t="str">
        <f t="shared" ca="1" si="181"/>
        <v>2Years/4Months/11Days</v>
      </c>
      <c r="AD257" s="108">
        <f t="shared" si="168"/>
        <v>57277</v>
      </c>
      <c r="AE257" s="15">
        <f t="shared" ca="1" si="186"/>
        <v>30</v>
      </c>
      <c r="AF257" s="15">
        <f t="shared" ca="1" si="187"/>
        <v>9</v>
      </c>
      <c r="AG257" s="15">
        <f t="shared" ca="1" si="188"/>
        <v>19</v>
      </c>
      <c r="AH257" s="15" t="str">
        <f t="shared" ca="1" si="189"/>
        <v>30Years/9Months/19Days</v>
      </c>
      <c r="AI257" s="15" t="str">
        <f t="shared" si="190"/>
        <v>33years , 1months and 29days</v>
      </c>
      <c r="AJ257" s="5">
        <f t="shared" si="191"/>
        <v>33</v>
      </c>
      <c r="AK257" s="5">
        <f t="shared" si="192"/>
        <v>1</v>
      </c>
      <c r="AL257" s="5">
        <f t="shared" si="193"/>
        <v>29</v>
      </c>
      <c r="AO257" s="336" t="s">
        <v>2402</v>
      </c>
    </row>
    <row r="258" spans="1:45" ht="31.5" customHeight="1" x14ac:dyDescent="0.25">
      <c r="A258" s="73">
        <v>1</v>
      </c>
      <c r="B258" s="74" t="s">
        <v>1014</v>
      </c>
      <c r="C258" s="74" t="s">
        <v>1453</v>
      </c>
      <c r="D258" s="74" t="s">
        <v>2138</v>
      </c>
      <c r="E258" s="495" t="str">
        <f t="shared" si="194"/>
        <v>1/053/111/0303</v>
      </c>
      <c r="F258" s="421"/>
      <c r="G258" s="404" t="s">
        <v>2125</v>
      </c>
      <c r="H258" s="422" t="s">
        <v>2126</v>
      </c>
      <c r="I258" s="414" t="s">
        <v>2127</v>
      </c>
      <c r="J258" s="423" t="s">
        <v>2128</v>
      </c>
      <c r="K258" s="427" t="s">
        <v>31</v>
      </c>
      <c r="L258" s="339">
        <v>773357065</v>
      </c>
      <c r="M258" s="340" t="s">
        <v>2129</v>
      </c>
      <c r="N258" s="341">
        <v>19</v>
      </c>
      <c r="O258" s="341">
        <v>9</v>
      </c>
      <c r="P258" s="341">
        <v>1995</v>
      </c>
      <c r="Q258" s="147">
        <f t="shared" si="161"/>
        <v>34961</v>
      </c>
      <c r="R258" s="92">
        <f t="shared" ca="1" si="162"/>
        <v>30.317808219178083</v>
      </c>
      <c r="S258" s="336" t="s">
        <v>34</v>
      </c>
      <c r="T258" s="341">
        <v>11</v>
      </c>
      <c r="U258" s="341">
        <v>9</v>
      </c>
      <c r="V258" s="341">
        <v>2023</v>
      </c>
      <c r="W258" s="148">
        <f t="shared" si="163"/>
        <v>45180</v>
      </c>
      <c r="Z258" s="124">
        <f t="shared" ca="1" si="178"/>
        <v>2</v>
      </c>
      <c r="AA258" s="109">
        <f t="shared" ca="1" si="179"/>
        <v>3</v>
      </c>
      <c r="AB258" s="150">
        <f t="shared" ca="1" si="180"/>
        <v>25</v>
      </c>
      <c r="AC258" s="15" t="str">
        <f t="shared" ca="1" si="181"/>
        <v>2Years/3Months/25Days</v>
      </c>
      <c r="AD258" s="108">
        <f t="shared" si="168"/>
        <v>56876</v>
      </c>
      <c r="AE258" s="15">
        <f t="shared" ca="1" si="186"/>
        <v>29</v>
      </c>
      <c r="AF258" s="15">
        <f t="shared" ca="1" si="187"/>
        <v>8</v>
      </c>
      <c r="AG258" s="15">
        <f t="shared" ca="1" si="188"/>
        <v>14</v>
      </c>
      <c r="AH258" s="15" t="str">
        <f t="shared" ca="1" si="189"/>
        <v>29Years/8Months/14Days</v>
      </c>
      <c r="AI258" s="15" t="str">
        <f t="shared" si="190"/>
        <v>32years , 0months and 8days</v>
      </c>
      <c r="AJ258" s="5">
        <f t="shared" si="191"/>
        <v>32</v>
      </c>
      <c r="AK258" s="5">
        <f t="shared" si="192"/>
        <v>0</v>
      </c>
      <c r="AL258" s="5">
        <f t="shared" si="193"/>
        <v>8</v>
      </c>
      <c r="AO258" s="336"/>
      <c r="AS258" s="336" t="s">
        <v>2413</v>
      </c>
    </row>
    <row r="259" spans="1:45" ht="31.5" customHeight="1" x14ac:dyDescent="0.25">
      <c r="A259" s="73">
        <v>1</v>
      </c>
      <c r="B259" s="74" t="s">
        <v>1014</v>
      </c>
      <c r="C259" s="74" t="s">
        <v>1454</v>
      </c>
      <c r="D259" s="74" t="s">
        <v>2139</v>
      </c>
      <c r="E259" s="495" t="str">
        <f t="shared" si="194"/>
        <v>1/053/112/0304</v>
      </c>
      <c r="F259" s="421"/>
      <c r="G259" s="404" t="s">
        <v>2130</v>
      </c>
      <c r="H259" s="422" t="s">
        <v>42</v>
      </c>
      <c r="I259" s="414" t="s">
        <v>2131</v>
      </c>
      <c r="J259" s="423" t="s">
        <v>2132</v>
      </c>
      <c r="K259" s="424" t="s">
        <v>31</v>
      </c>
      <c r="L259" s="337">
        <v>777610158</v>
      </c>
      <c r="M259" s="334" t="s">
        <v>2133</v>
      </c>
      <c r="N259" s="335">
        <v>11</v>
      </c>
      <c r="O259" s="335">
        <v>3</v>
      </c>
      <c r="P259" s="335">
        <v>1994</v>
      </c>
      <c r="Q259" s="147">
        <f t="shared" si="161"/>
        <v>34404</v>
      </c>
      <c r="R259" s="92">
        <f t="shared" ca="1" si="162"/>
        <v>31.843835616438355</v>
      </c>
      <c r="S259" s="336" t="s">
        <v>50</v>
      </c>
      <c r="T259" s="335">
        <v>18</v>
      </c>
      <c r="U259" s="335">
        <v>9</v>
      </c>
      <c r="V259" s="335">
        <v>2023</v>
      </c>
      <c r="W259" s="148">
        <f t="shared" si="163"/>
        <v>45187</v>
      </c>
      <c r="Z259" s="124">
        <f t="shared" ca="1" si="178"/>
        <v>2</v>
      </c>
      <c r="AA259" s="109">
        <f t="shared" ca="1" si="179"/>
        <v>3</v>
      </c>
      <c r="AB259" s="150">
        <f t="shared" ca="1" si="180"/>
        <v>18</v>
      </c>
      <c r="AC259" s="15" t="str">
        <f t="shared" ca="1" si="181"/>
        <v>2Years/3Months/18Days</v>
      </c>
      <c r="AD259" s="108">
        <f t="shared" si="168"/>
        <v>56319</v>
      </c>
      <c r="AE259" s="15">
        <f t="shared" ca="1" si="186"/>
        <v>28</v>
      </c>
      <c r="AF259" s="15">
        <f t="shared" ca="1" si="187"/>
        <v>2</v>
      </c>
      <c r="AG259" s="15">
        <f t="shared" ca="1" si="188"/>
        <v>6</v>
      </c>
      <c r="AH259" s="15" t="str">
        <f t="shared" ca="1" si="189"/>
        <v>28Years/2Months/6Days</v>
      </c>
      <c r="AI259" s="15" t="str">
        <f t="shared" si="190"/>
        <v>30years , 5months and 21days</v>
      </c>
      <c r="AJ259" s="5">
        <f t="shared" si="191"/>
        <v>30</v>
      </c>
      <c r="AK259" s="5">
        <f t="shared" si="192"/>
        <v>5</v>
      </c>
      <c r="AL259" s="5">
        <f t="shared" si="193"/>
        <v>21</v>
      </c>
      <c r="AO259" s="336" t="s">
        <v>2403</v>
      </c>
    </row>
    <row r="260" spans="1:45" ht="31.5" customHeight="1" x14ac:dyDescent="0.25">
      <c r="A260" s="186">
        <v>1</v>
      </c>
      <c r="B260" s="332" t="s">
        <v>306</v>
      </c>
      <c r="C260" s="496">
        <v>143</v>
      </c>
      <c r="D260" s="496" t="s">
        <v>2143</v>
      </c>
      <c r="E260" s="496" t="str">
        <f t="shared" si="194"/>
        <v>1/052/143/0305</v>
      </c>
      <c r="F260" s="313" t="s">
        <v>40</v>
      </c>
      <c r="G260" s="529" t="s">
        <v>2144</v>
      </c>
      <c r="H260" s="313" t="s">
        <v>393</v>
      </c>
      <c r="I260" s="363" t="s">
        <v>2145</v>
      </c>
      <c r="J260" s="364" t="s">
        <v>2146</v>
      </c>
      <c r="K260" s="363" t="s">
        <v>96</v>
      </c>
      <c r="L260" s="342">
        <v>718069013</v>
      </c>
      <c r="M260" s="343" t="s">
        <v>2147</v>
      </c>
      <c r="N260" s="344">
        <v>2</v>
      </c>
      <c r="O260" s="344">
        <v>9</v>
      </c>
      <c r="P260" s="344">
        <v>1963</v>
      </c>
      <c r="Q260" s="201">
        <f t="shared" si="161"/>
        <v>23256</v>
      </c>
      <c r="R260" s="534">
        <f t="shared" ca="1" si="162"/>
        <v>62.386301369863013</v>
      </c>
      <c r="S260" s="73" t="s">
        <v>50</v>
      </c>
      <c r="T260" s="344">
        <v>3</v>
      </c>
      <c r="U260" s="344">
        <v>1</v>
      </c>
      <c r="V260" s="344">
        <v>2024</v>
      </c>
      <c r="W260" s="200">
        <f t="shared" si="163"/>
        <v>45294</v>
      </c>
      <c r="Z260" s="73">
        <f t="shared" ca="1" si="178"/>
        <v>2</v>
      </c>
      <c r="AA260" s="40">
        <f t="shared" ca="1" si="179"/>
        <v>0</v>
      </c>
      <c r="AB260" s="40">
        <f t="shared" ca="1" si="180"/>
        <v>2</v>
      </c>
      <c r="AC260" s="15" t="str">
        <f t="shared" ca="1" si="181"/>
        <v>2Years/0Months/2Days</v>
      </c>
      <c r="AD260" s="108">
        <f t="shared" si="168"/>
        <v>45171</v>
      </c>
      <c r="AE260" s="15" t="e">
        <f t="shared" ca="1" si="186"/>
        <v>#NUM!</v>
      </c>
      <c r="AF260" s="15" t="e">
        <f t="shared" ca="1" si="187"/>
        <v>#NUM!</v>
      </c>
      <c r="AG260" s="15" t="e">
        <f t="shared" ca="1" si="188"/>
        <v>#NUM!</v>
      </c>
      <c r="AH260" s="15" t="e">
        <f t="shared" ca="1" si="189"/>
        <v>#NUM!</v>
      </c>
      <c r="AI260" s="15" t="e">
        <f t="shared" si="190"/>
        <v>#NUM!</v>
      </c>
      <c r="AJ260" s="5" t="e">
        <f t="shared" si="191"/>
        <v>#NUM!</v>
      </c>
      <c r="AK260" s="5" t="e">
        <f t="shared" si="192"/>
        <v>#NUM!</v>
      </c>
      <c r="AL260" s="5" t="e">
        <f t="shared" si="193"/>
        <v>#NUM!</v>
      </c>
      <c r="AQ260" s="387" t="s">
        <v>2375</v>
      </c>
    </row>
    <row r="261" spans="1:45" ht="31.5" customHeight="1" x14ac:dyDescent="0.25">
      <c r="A261" s="73">
        <v>1</v>
      </c>
      <c r="B261" s="487" t="s">
        <v>25</v>
      </c>
      <c r="C261" s="487" t="s">
        <v>1390</v>
      </c>
      <c r="D261" s="487" t="s">
        <v>2148</v>
      </c>
      <c r="E261" s="488" t="str">
        <f t="shared" si="194"/>
        <v>1/051/029/0306</v>
      </c>
      <c r="F261" s="421"/>
      <c r="G261" s="404" t="s">
        <v>2255</v>
      </c>
      <c r="H261" s="422" t="s">
        <v>42</v>
      </c>
      <c r="I261" s="414" t="s">
        <v>2256</v>
      </c>
      <c r="J261" s="423" t="s">
        <v>2257</v>
      </c>
      <c r="K261" s="363" t="s">
        <v>96</v>
      </c>
      <c r="L261" s="337">
        <v>715463673</v>
      </c>
      <c r="M261" s="338" t="s">
        <v>2258</v>
      </c>
      <c r="N261" s="335">
        <v>6</v>
      </c>
      <c r="O261" s="335">
        <v>9</v>
      </c>
      <c r="P261" s="335">
        <v>1994</v>
      </c>
      <c r="Q261" s="147">
        <f t="shared" si="161"/>
        <v>34583</v>
      </c>
      <c r="R261" s="92">
        <f t="shared" ca="1" si="162"/>
        <v>31.353424657534248</v>
      </c>
      <c r="S261" s="336" t="s">
        <v>50</v>
      </c>
      <c r="T261" s="335">
        <v>30</v>
      </c>
      <c r="U261" s="335">
        <v>8</v>
      </c>
      <c r="V261" s="335">
        <v>2024</v>
      </c>
      <c r="W261" s="148">
        <f t="shared" si="163"/>
        <v>45534</v>
      </c>
      <c r="Z261" s="124">
        <f t="shared" ca="1" si="178"/>
        <v>1</v>
      </c>
      <c r="AA261" s="109">
        <f t="shared" ca="1" si="179"/>
        <v>4</v>
      </c>
      <c r="AB261" s="150">
        <f t="shared" ca="1" si="180"/>
        <v>6</v>
      </c>
      <c r="AC261" s="15" t="str">
        <f t="shared" ca="1" si="181"/>
        <v>1Years/4Months/6Days</v>
      </c>
      <c r="AD261" s="108">
        <f t="shared" si="168"/>
        <v>56498</v>
      </c>
      <c r="AE261" s="15">
        <f t="shared" ca="1" si="186"/>
        <v>28</v>
      </c>
      <c r="AF261" s="15">
        <f t="shared" ca="1" si="187"/>
        <v>8</v>
      </c>
      <c r="AG261" s="15">
        <f t="shared" ca="1" si="188"/>
        <v>1</v>
      </c>
      <c r="AH261" s="15" t="str">
        <f t="shared" ca="1" si="189"/>
        <v>28Years/8Months/1Days</v>
      </c>
      <c r="AI261" s="15" t="str">
        <f t="shared" si="190"/>
        <v>30years , 0months and 7days</v>
      </c>
      <c r="AJ261" s="5">
        <f t="shared" si="191"/>
        <v>30</v>
      </c>
      <c r="AK261" s="5">
        <f t="shared" si="192"/>
        <v>0</v>
      </c>
      <c r="AL261" s="5">
        <f t="shared" si="193"/>
        <v>7</v>
      </c>
      <c r="AO261" s="336"/>
      <c r="AP261" s="387" t="s">
        <v>2372</v>
      </c>
      <c r="AQ261" s="387"/>
    </row>
    <row r="262" spans="1:45" ht="31.5" customHeight="1" x14ac:dyDescent="0.25">
      <c r="A262" s="73">
        <v>1</v>
      </c>
      <c r="B262" s="487" t="s">
        <v>25</v>
      </c>
      <c r="C262" s="487" t="s">
        <v>1391</v>
      </c>
      <c r="D262" s="487" t="s">
        <v>2149</v>
      </c>
      <c r="E262" s="488" t="str">
        <f t="shared" si="194"/>
        <v>1/051/030/0307</v>
      </c>
      <c r="F262" s="421"/>
      <c r="G262" s="404" t="s">
        <v>2259</v>
      </c>
      <c r="H262" s="422" t="s">
        <v>42</v>
      </c>
      <c r="I262" s="414" t="s">
        <v>2260</v>
      </c>
      <c r="J262" s="423" t="s">
        <v>2261</v>
      </c>
      <c r="K262" s="363" t="s">
        <v>96</v>
      </c>
      <c r="L262" s="337">
        <v>710120685</v>
      </c>
      <c r="M262" s="338" t="s">
        <v>2262</v>
      </c>
      <c r="N262" s="335">
        <v>2</v>
      </c>
      <c r="O262" s="335">
        <v>2</v>
      </c>
      <c r="P262" s="335">
        <v>1984</v>
      </c>
      <c r="Q262" s="147">
        <f t="shared" si="161"/>
        <v>30714</v>
      </c>
      <c r="R262" s="92">
        <f t="shared" ca="1" si="162"/>
        <v>41.953424657534249</v>
      </c>
      <c r="S262" s="336" t="s">
        <v>34</v>
      </c>
      <c r="T262" s="335">
        <v>30</v>
      </c>
      <c r="U262" s="335">
        <v>8</v>
      </c>
      <c r="V262" s="335">
        <v>2024</v>
      </c>
      <c r="W262" s="148">
        <f t="shared" ref="W262:W298" si="195">DATE(V262,U262,T262)</f>
        <v>45534</v>
      </c>
      <c r="Z262" s="124">
        <f t="shared" ref="Z262:Z264" ca="1" si="196">DATEDIF(W262,TODAY(),"Y")</f>
        <v>1</v>
      </c>
      <c r="AA262" s="109">
        <f t="shared" ref="AA262:AA264" ca="1" si="197">DATEDIF(W262,TODAY(),"YM")</f>
        <v>4</v>
      </c>
      <c r="AB262" s="150">
        <f t="shared" ref="AB262:AB264" ca="1" si="198">DATEDIF(W262,TODAY(),"MD")</f>
        <v>6</v>
      </c>
      <c r="AC262" s="15" t="str">
        <f t="shared" ref="AC262:AC264" ca="1" si="199">CONCATENATE(Z262,"Years","/",,AA262,"Months","/",AB262,"Days")</f>
        <v>1Years/4Months/6Days</v>
      </c>
      <c r="AD262" s="108">
        <f t="shared" si="168"/>
        <v>52629</v>
      </c>
      <c r="AE262" s="15">
        <f t="shared" ca="1" si="186"/>
        <v>18</v>
      </c>
      <c r="AF262" s="15">
        <f t="shared" ca="1" si="187"/>
        <v>0</v>
      </c>
      <c r="AG262" s="15">
        <f t="shared" ca="1" si="188"/>
        <v>28</v>
      </c>
      <c r="AH262" s="15" t="str">
        <f t="shared" ca="1" si="189"/>
        <v>18Years/0Months/28Days</v>
      </c>
      <c r="AI262" s="15"/>
      <c r="AJ262" s="5"/>
      <c r="AK262" s="5"/>
      <c r="AL262" s="5"/>
      <c r="AO262" s="336"/>
      <c r="AP262" s="387" t="s">
        <v>2372</v>
      </c>
      <c r="AQ262" s="387"/>
    </row>
    <row r="263" spans="1:45" ht="31.5" customHeight="1" x14ac:dyDescent="0.25">
      <c r="A263" s="73">
        <v>1</v>
      </c>
      <c r="B263" s="487" t="s">
        <v>25</v>
      </c>
      <c r="C263" s="487" t="s">
        <v>1392</v>
      </c>
      <c r="D263" s="487" t="s">
        <v>2150</v>
      </c>
      <c r="E263" s="488" t="str">
        <f t="shared" si="194"/>
        <v>1/051/031/0308</v>
      </c>
      <c r="F263" s="421"/>
      <c r="G263" s="404" t="s">
        <v>2263</v>
      </c>
      <c r="H263" s="422" t="s">
        <v>42</v>
      </c>
      <c r="I263" s="414" t="s">
        <v>2264</v>
      </c>
      <c r="J263" s="423" t="s">
        <v>2265</v>
      </c>
      <c r="K263" s="424" t="s">
        <v>311</v>
      </c>
      <c r="L263" s="337">
        <v>774544731</v>
      </c>
      <c r="M263" s="338" t="s">
        <v>2266</v>
      </c>
      <c r="N263" s="335">
        <v>13</v>
      </c>
      <c r="O263" s="335">
        <v>1</v>
      </c>
      <c r="P263" s="335">
        <v>1984</v>
      </c>
      <c r="Q263" s="147">
        <f t="shared" si="161"/>
        <v>30694</v>
      </c>
      <c r="R263" s="92">
        <f t="shared" ca="1" si="162"/>
        <v>42.008219178082193</v>
      </c>
      <c r="S263" s="336" t="s">
        <v>50</v>
      </c>
      <c r="T263" s="335">
        <v>30</v>
      </c>
      <c r="U263" s="335">
        <v>8</v>
      </c>
      <c r="V263" s="335">
        <v>2024</v>
      </c>
      <c r="W263" s="148">
        <f t="shared" si="195"/>
        <v>45534</v>
      </c>
      <c r="Z263" s="124">
        <f t="shared" ca="1" si="196"/>
        <v>1</v>
      </c>
      <c r="AA263" s="109">
        <f t="shared" ca="1" si="197"/>
        <v>4</v>
      </c>
      <c r="AB263" s="150">
        <f t="shared" ca="1" si="198"/>
        <v>6</v>
      </c>
      <c r="AC263" s="15" t="str">
        <f t="shared" ca="1" si="199"/>
        <v>1Years/4Months/6Days</v>
      </c>
      <c r="AD263" s="108">
        <f t="shared" si="168"/>
        <v>52609</v>
      </c>
      <c r="AE263" s="15">
        <f t="shared" ca="1" si="186"/>
        <v>18</v>
      </c>
      <c r="AF263" s="15">
        <f t="shared" ca="1" si="187"/>
        <v>0</v>
      </c>
      <c r="AG263" s="15">
        <f t="shared" ca="1" si="188"/>
        <v>8</v>
      </c>
      <c r="AH263" s="15" t="str">
        <f t="shared" ca="1" si="189"/>
        <v>18Years/0Months/8Days</v>
      </c>
      <c r="AI263" s="15"/>
      <c r="AJ263" s="5"/>
      <c r="AK263" s="5"/>
      <c r="AL263" s="5"/>
      <c r="AO263" s="336"/>
      <c r="AP263" s="387" t="s">
        <v>2372</v>
      </c>
      <c r="AQ263" s="387"/>
    </row>
    <row r="264" spans="1:45" ht="31.5" customHeight="1" x14ac:dyDescent="0.25">
      <c r="A264" s="73">
        <v>1</v>
      </c>
      <c r="B264" s="487" t="s">
        <v>25</v>
      </c>
      <c r="C264" s="487" t="s">
        <v>1393</v>
      </c>
      <c r="D264" s="487" t="s">
        <v>2151</v>
      </c>
      <c r="E264" s="488" t="str">
        <f t="shared" si="194"/>
        <v>1/051/032/0309</v>
      </c>
      <c r="F264" s="387" t="s">
        <v>2373</v>
      </c>
      <c r="G264" s="404" t="s">
        <v>2267</v>
      </c>
      <c r="H264" s="422" t="s">
        <v>2268</v>
      </c>
      <c r="I264" s="414" t="s">
        <v>2256</v>
      </c>
      <c r="J264" s="423">
        <v>200300700114</v>
      </c>
      <c r="K264" s="363" t="s">
        <v>96</v>
      </c>
      <c r="L264" s="337">
        <v>768358367</v>
      </c>
      <c r="M264" s="338" t="s">
        <v>2269</v>
      </c>
      <c r="N264" s="335">
        <v>7</v>
      </c>
      <c r="O264" s="335">
        <v>1</v>
      </c>
      <c r="P264" s="335">
        <v>2003</v>
      </c>
      <c r="Q264" s="147">
        <f t="shared" si="161"/>
        <v>37628</v>
      </c>
      <c r="R264" s="92">
        <f t="shared" ca="1" si="162"/>
        <v>23.010958904109589</v>
      </c>
      <c r="S264" s="336" t="s">
        <v>34</v>
      </c>
      <c r="T264" s="335">
        <v>30</v>
      </c>
      <c r="U264" s="335">
        <v>8</v>
      </c>
      <c r="V264" s="335">
        <v>2024</v>
      </c>
      <c r="W264" s="148">
        <f t="shared" si="195"/>
        <v>45534</v>
      </c>
      <c r="Z264" s="124">
        <f t="shared" ca="1" si="196"/>
        <v>1</v>
      </c>
      <c r="AA264" s="109">
        <f t="shared" ca="1" si="197"/>
        <v>4</v>
      </c>
      <c r="AB264" s="150">
        <f t="shared" ca="1" si="198"/>
        <v>6</v>
      </c>
      <c r="AC264" s="15" t="str">
        <f t="shared" ca="1" si="199"/>
        <v>1Years/4Months/6Days</v>
      </c>
      <c r="AD264" s="108">
        <f t="shared" si="168"/>
        <v>59543</v>
      </c>
      <c r="AE264" s="15">
        <f t="shared" ca="1" si="186"/>
        <v>37</v>
      </c>
      <c r="AF264" s="15">
        <f t="shared" ca="1" si="187"/>
        <v>0</v>
      </c>
      <c r="AG264" s="15">
        <f t="shared" ca="1" si="188"/>
        <v>2</v>
      </c>
      <c r="AH264" s="15" t="str">
        <f t="shared" ca="1" si="189"/>
        <v>37Years/0Months/2Days</v>
      </c>
      <c r="AI264" s="15"/>
      <c r="AJ264" s="5"/>
      <c r="AK264" s="5"/>
      <c r="AL264" s="5"/>
      <c r="AO264" s="336"/>
      <c r="AP264" s="387"/>
      <c r="AQ264" s="387"/>
      <c r="AR264" s="387" t="s">
        <v>2373</v>
      </c>
    </row>
    <row r="265" spans="1:45" ht="31.5" customHeight="1" x14ac:dyDescent="0.25">
      <c r="A265" s="73">
        <v>1</v>
      </c>
      <c r="B265" s="487" t="s">
        <v>25</v>
      </c>
      <c r="C265" s="487" t="s">
        <v>1394</v>
      </c>
      <c r="D265" s="487" t="s">
        <v>2152</v>
      </c>
      <c r="E265" s="488" t="str">
        <f t="shared" si="194"/>
        <v>1/051/033/0310</v>
      </c>
      <c r="F265" s="387" t="s">
        <v>2373</v>
      </c>
      <c r="G265" s="404" t="s">
        <v>2271</v>
      </c>
      <c r="H265" s="422" t="s">
        <v>2268</v>
      </c>
      <c r="I265" s="414" t="s">
        <v>2272</v>
      </c>
      <c r="J265" s="423">
        <v>200566501476</v>
      </c>
      <c r="K265" s="424" t="s">
        <v>311</v>
      </c>
      <c r="L265" s="337">
        <v>761339477</v>
      </c>
      <c r="M265" s="338" t="s">
        <v>2273</v>
      </c>
      <c r="N265" s="335">
        <v>13</v>
      </c>
      <c r="O265" s="335">
        <v>6</v>
      </c>
      <c r="P265" s="335">
        <v>2005</v>
      </c>
      <c r="Q265" s="147">
        <f t="shared" si="161"/>
        <v>38516</v>
      </c>
      <c r="R265" s="92">
        <f t="shared" ca="1" si="162"/>
        <v>20.578082191780823</v>
      </c>
      <c r="S265" s="336" t="s">
        <v>50</v>
      </c>
      <c r="T265" s="335">
        <v>30</v>
      </c>
      <c r="U265" s="335">
        <v>8</v>
      </c>
      <c r="V265" s="335">
        <v>2024</v>
      </c>
      <c r="W265" s="148">
        <f t="shared" si="195"/>
        <v>45534</v>
      </c>
      <c r="Z265" s="124">
        <f t="shared" ref="Z265:Z269" ca="1" si="200">DATEDIF(W265,TODAY(),"Y")</f>
        <v>1</v>
      </c>
      <c r="AA265" s="109">
        <f t="shared" ref="AA265:AA269" ca="1" si="201">DATEDIF(W265,TODAY(),"YM")</f>
        <v>4</v>
      </c>
      <c r="AB265" s="150">
        <f t="shared" ref="AB265:AB269" ca="1" si="202">DATEDIF(W265,TODAY(),"MD")</f>
        <v>6</v>
      </c>
      <c r="AC265" s="15" t="str">
        <f t="shared" ref="AC265:AC269" ca="1" si="203">CONCATENATE(Z265,"Years","/",,AA265,"Months","/",AB265,"Days")</f>
        <v>1Years/4Months/6Days</v>
      </c>
      <c r="AD265" s="108">
        <f t="shared" si="168"/>
        <v>60431</v>
      </c>
      <c r="AE265" s="15">
        <f t="shared" ca="1" si="186"/>
        <v>39</v>
      </c>
      <c r="AF265" s="15">
        <f t="shared" ca="1" si="187"/>
        <v>5</v>
      </c>
      <c r="AG265" s="15">
        <f t="shared" ca="1" si="188"/>
        <v>8</v>
      </c>
      <c r="AH265" s="15" t="str">
        <f t="shared" ca="1" si="189"/>
        <v>39Years/5Months/8Days</v>
      </c>
      <c r="AI265" s="15"/>
      <c r="AJ265" s="5"/>
      <c r="AK265" s="5"/>
      <c r="AL265" s="5"/>
      <c r="AO265" s="336"/>
      <c r="AR265" s="387" t="s">
        <v>2373</v>
      </c>
    </row>
    <row r="266" spans="1:45" ht="31.5" customHeight="1" x14ac:dyDescent="0.25">
      <c r="A266" s="73">
        <v>1</v>
      </c>
      <c r="B266" s="487" t="s">
        <v>25</v>
      </c>
      <c r="C266" s="487" t="s">
        <v>1049</v>
      </c>
      <c r="D266" s="487" t="s">
        <v>2153</v>
      </c>
      <c r="E266" s="488" t="str">
        <f t="shared" si="194"/>
        <v>1/051/034/0311</v>
      </c>
      <c r="F266" s="421" t="s">
        <v>2270</v>
      </c>
      <c r="G266" s="404" t="s">
        <v>2274</v>
      </c>
      <c r="H266" s="422" t="s">
        <v>2268</v>
      </c>
      <c r="I266" s="414" t="s">
        <v>2275</v>
      </c>
      <c r="J266" s="423" t="s">
        <v>2276</v>
      </c>
      <c r="K266" s="424" t="s">
        <v>68</v>
      </c>
      <c r="L266" s="337">
        <v>763498404</v>
      </c>
      <c r="M266" s="338" t="s">
        <v>2277</v>
      </c>
      <c r="N266" s="335">
        <v>5</v>
      </c>
      <c r="O266" s="335">
        <v>7</v>
      </c>
      <c r="P266" s="335">
        <v>1991</v>
      </c>
      <c r="Q266" s="147">
        <f t="shared" si="161"/>
        <v>33424</v>
      </c>
      <c r="R266" s="92">
        <f t="shared" ca="1" si="162"/>
        <v>34.528767123287672</v>
      </c>
      <c r="S266" s="336" t="s">
        <v>34</v>
      </c>
      <c r="T266" s="335">
        <v>30</v>
      </c>
      <c r="U266" s="335">
        <v>8</v>
      </c>
      <c r="V266" s="335">
        <v>2024</v>
      </c>
      <c r="W266" s="148">
        <f t="shared" si="195"/>
        <v>45534</v>
      </c>
      <c r="Z266" s="124">
        <f t="shared" ca="1" si="200"/>
        <v>1</v>
      </c>
      <c r="AA266" s="109">
        <f t="shared" ca="1" si="201"/>
        <v>4</v>
      </c>
      <c r="AB266" s="150">
        <f t="shared" ca="1" si="202"/>
        <v>6</v>
      </c>
      <c r="AC266" s="15" t="str">
        <f t="shared" ca="1" si="203"/>
        <v>1Years/4Months/6Days</v>
      </c>
      <c r="AD266" s="108">
        <f t="shared" si="168"/>
        <v>55339</v>
      </c>
      <c r="AE266" s="15"/>
      <c r="AF266" s="15"/>
      <c r="AG266" s="15"/>
      <c r="AH266" s="15"/>
      <c r="AI266" s="15"/>
      <c r="AJ266" s="5"/>
      <c r="AK266" s="5"/>
      <c r="AL266" s="5"/>
      <c r="AO266" s="336"/>
    </row>
    <row r="267" spans="1:45" ht="31.5" customHeight="1" x14ac:dyDescent="0.25">
      <c r="A267" s="73">
        <v>1</v>
      </c>
      <c r="B267" s="487" t="s">
        <v>25</v>
      </c>
      <c r="C267" s="487" t="s">
        <v>1395</v>
      </c>
      <c r="D267" s="487" t="s">
        <v>2154</v>
      </c>
      <c r="E267" s="488" t="str">
        <f t="shared" si="194"/>
        <v>1/051/035/0312</v>
      </c>
      <c r="F267" s="387" t="s">
        <v>2373</v>
      </c>
      <c r="G267" s="532" t="s">
        <v>2278</v>
      </c>
      <c r="H267" s="422" t="s">
        <v>2268</v>
      </c>
      <c r="I267" s="414" t="s">
        <v>2279</v>
      </c>
      <c r="J267" s="423">
        <v>196629600756</v>
      </c>
      <c r="K267" s="424" t="s">
        <v>311</v>
      </c>
      <c r="L267" s="337">
        <v>705188669</v>
      </c>
      <c r="M267" s="338" t="s">
        <v>2280</v>
      </c>
      <c r="N267" s="335">
        <v>22</v>
      </c>
      <c r="O267" s="335">
        <v>10</v>
      </c>
      <c r="P267" s="335">
        <v>1966</v>
      </c>
      <c r="Q267" s="147">
        <f t="shared" si="161"/>
        <v>24402</v>
      </c>
      <c r="R267" s="537">
        <f t="shared" ca="1" si="162"/>
        <v>59.246575342465754</v>
      </c>
      <c r="S267" s="336" t="s">
        <v>34</v>
      </c>
      <c r="T267" s="335">
        <v>30</v>
      </c>
      <c r="U267" s="335">
        <v>8</v>
      </c>
      <c r="V267" s="335">
        <v>2024</v>
      </c>
      <c r="W267" s="148">
        <f t="shared" si="195"/>
        <v>45534</v>
      </c>
      <c r="Z267" s="124">
        <f t="shared" ca="1" si="200"/>
        <v>1</v>
      </c>
      <c r="AA267" s="109">
        <f t="shared" ca="1" si="201"/>
        <v>4</v>
      </c>
      <c r="AB267" s="150">
        <f t="shared" ca="1" si="202"/>
        <v>6</v>
      </c>
      <c r="AC267" s="15" t="str">
        <f t="shared" ca="1" si="203"/>
        <v>1Years/4Months/6Days</v>
      </c>
      <c r="AD267" s="108">
        <f t="shared" si="168"/>
        <v>46317</v>
      </c>
      <c r="AE267" s="15"/>
      <c r="AF267" s="15"/>
      <c r="AG267" s="15"/>
      <c r="AH267" s="15"/>
      <c r="AI267" s="15"/>
      <c r="AJ267" s="5"/>
      <c r="AK267" s="5"/>
      <c r="AL267" s="5"/>
      <c r="AO267" s="336"/>
      <c r="AR267" s="387" t="s">
        <v>2373</v>
      </c>
    </row>
    <row r="268" spans="1:45" ht="31.5" customHeight="1" x14ac:dyDescent="0.25">
      <c r="A268" s="73">
        <v>1</v>
      </c>
      <c r="B268" s="487" t="s">
        <v>25</v>
      </c>
      <c r="C268" s="487" t="s">
        <v>1396</v>
      </c>
      <c r="D268" s="487" t="s">
        <v>2155</v>
      </c>
      <c r="E268" s="488" t="str">
        <f t="shared" si="194"/>
        <v>1/051/036/0313</v>
      </c>
      <c r="F268" s="387" t="s">
        <v>2375</v>
      </c>
      <c r="G268" s="428" t="s">
        <v>2281</v>
      </c>
      <c r="H268" s="398" t="s">
        <v>2282</v>
      </c>
      <c r="I268" s="414" t="s">
        <v>2283</v>
      </c>
      <c r="J268" s="423" t="s">
        <v>2284</v>
      </c>
      <c r="K268" s="424" t="s">
        <v>311</v>
      </c>
      <c r="L268" s="337">
        <v>761925141</v>
      </c>
      <c r="M268" s="338" t="s">
        <v>2285</v>
      </c>
      <c r="N268" s="335">
        <v>24</v>
      </c>
      <c r="O268" s="335">
        <v>5</v>
      </c>
      <c r="P268" s="335">
        <v>1978</v>
      </c>
      <c r="Q268" s="147">
        <f t="shared" si="161"/>
        <v>28634</v>
      </c>
      <c r="R268" s="92">
        <f t="shared" ca="1" si="162"/>
        <v>47.652054794520545</v>
      </c>
      <c r="S268" s="336" t="s">
        <v>34</v>
      </c>
      <c r="T268" s="335">
        <v>30</v>
      </c>
      <c r="U268" s="335">
        <v>8</v>
      </c>
      <c r="V268" s="335">
        <v>2024</v>
      </c>
      <c r="W268" s="148">
        <f t="shared" si="195"/>
        <v>45534</v>
      </c>
      <c r="Z268" s="124">
        <f t="shared" ca="1" si="200"/>
        <v>1</v>
      </c>
      <c r="AA268" s="109">
        <f t="shared" ca="1" si="201"/>
        <v>4</v>
      </c>
      <c r="AB268" s="150">
        <f t="shared" ca="1" si="202"/>
        <v>6</v>
      </c>
      <c r="AC268" s="15" t="str">
        <f t="shared" ca="1" si="203"/>
        <v>1Years/4Months/6Days</v>
      </c>
      <c r="AD268" s="108">
        <f t="shared" si="168"/>
        <v>50549</v>
      </c>
      <c r="AE268" s="15"/>
      <c r="AF268" s="15"/>
      <c r="AG268" s="15"/>
      <c r="AH268" s="15"/>
      <c r="AI268" s="15"/>
      <c r="AJ268" s="5"/>
      <c r="AK268" s="5"/>
      <c r="AL268" s="5"/>
      <c r="AO268" s="336"/>
      <c r="AQ268" s="387" t="s">
        <v>2375</v>
      </c>
    </row>
    <row r="269" spans="1:45" ht="31.5" customHeight="1" x14ac:dyDescent="0.25">
      <c r="A269" s="73">
        <v>1</v>
      </c>
      <c r="B269" s="487" t="s">
        <v>25</v>
      </c>
      <c r="C269" s="487" t="s">
        <v>1053</v>
      </c>
      <c r="D269" s="487" t="s">
        <v>2156</v>
      </c>
      <c r="E269" s="488" t="str">
        <f t="shared" si="194"/>
        <v>1/051/037/0314</v>
      </c>
      <c r="F269" s="387" t="s">
        <v>2375</v>
      </c>
      <c r="G269" s="428" t="s">
        <v>2286</v>
      </c>
      <c r="H269" s="422" t="s">
        <v>2287</v>
      </c>
      <c r="I269" s="414" t="s">
        <v>2288</v>
      </c>
      <c r="J269" s="423" t="s">
        <v>2289</v>
      </c>
      <c r="K269" s="424" t="s">
        <v>311</v>
      </c>
      <c r="L269" s="337">
        <v>741952929</v>
      </c>
      <c r="M269" s="338" t="s">
        <v>2290</v>
      </c>
      <c r="N269" s="335">
        <v>6</v>
      </c>
      <c r="O269" s="335">
        <v>1</v>
      </c>
      <c r="P269" s="335">
        <v>1998</v>
      </c>
      <c r="Q269" s="147">
        <f t="shared" si="161"/>
        <v>35801</v>
      </c>
      <c r="R269" s="92">
        <f t="shared" ca="1" si="162"/>
        <v>28.016438356164382</v>
      </c>
      <c r="S269" s="336" t="s">
        <v>50</v>
      </c>
      <c r="T269" s="335">
        <v>30</v>
      </c>
      <c r="U269" s="335">
        <v>8</v>
      </c>
      <c r="V269" s="335">
        <v>2024</v>
      </c>
      <c r="W269" s="148">
        <f t="shared" si="195"/>
        <v>45534</v>
      </c>
      <c r="Z269" s="124">
        <f t="shared" ca="1" si="200"/>
        <v>1</v>
      </c>
      <c r="AA269" s="109">
        <f t="shared" ca="1" si="201"/>
        <v>4</v>
      </c>
      <c r="AB269" s="150">
        <f t="shared" ca="1" si="202"/>
        <v>6</v>
      </c>
      <c r="AC269" s="15" t="str">
        <f t="shared" ca="1" si="203"/>
        <v>1Years/4Months/6Days</v>
      </c>
      <c r="AD269" s="108">
        <f t="shared" si="168"/>
        <v>57716</v>
      </c>
      <c r="AE269" s="15"/>
      <c r="AF269" s="15"/>
      <c r="AG269" s="15"/>
      <c r="AH269" s="15"/>
      <c r="AI269" s="15"/>
      <c r="AJ269" s="5"/>
      <c r="AK269" s="5"/>
      <c r="AL269" s="5"/>
      <c r="AO269" s="336"/>
      <c r="AQ269" s="387" t="s">
        <v>2375</v>
      </c>
    </row>
    <row r="270" spans="1:45" ht="31.5" customHeight="1" x14ac:dyDescent="0.25">
      <c r="A270" s="73">
        <v>1</v>
      </c>
      <c r="B270" s="487" t="s">
        <v>25</v>
      </c>
      <c r="C270" s="487" t="s">
        <v>1397</v>
      </c>
      <c r="D270" s="487" t="s">
        <v>2157</v>
      </c>
      <c r="E270" s="488" t="str">
        <f t="shared" si="194"/>
        <v>1/051/038/0315</v>
      </c>
      <c r="F270" s="387" t="s">
        <v>2373</v>
      </c>
      <c r="G270" s="404" t="s">
        <v>2291</v>
      </c>
      <c r="H270" s="398" t="s">
        <v>2294</v>
      </c>
      <c r="I270" s="414" t="s">
        <v>2292</v>
      </c>
      <c r="J270" s="423">
        <v>200555303445</v>
      </c>
      <c r="K270" s="424" t="s">
        <v>311</v>
      </c>
      <c r="L270" s="337">
        <v>777441616</v>
      </c>
      <c r="M270" s="338" t="s">
        <v>2293</v>
      </c>
      <c r="N270" s="335">
        <v>22</v>
      </c>
      <c r="O270" s="335">
        <v>2</v>
      </c>
      <c r="P270" s="335">
        <v>2005</v>
      </c>
      <c r="Q270" s="147">
        <f t="shared" si="161"/>
        <v>38405</v>
      </c>
      <c r="R270" s="92">
        <f t="shared" ca="1" si="162"/>
        <v>20.882191780821916</v>
      </c>
      <c r="S270" s="336" t="s">
        <v>50</v>
      </c>
      <c r="T270" s="335">
        <v>30</v>
      </c>
      <c r="U270" s="335">
        <v>8</v>
      </c>
      <c r="V270" s="335">
        <v>2024</v>
      </c>
      <c r="W270" s="148">
        <f t="shared" si="195"/>
        <v>45534</v>
      </c>
      <c r="Z270" s="124">
        <f t="shared" ref="Z270:Z298" ca="1" si="204">DATEDIF(W270,TODAY(),"Y")</f>
        <v>1</v>
      </c>
      <c r="AA270" s="109">
        <f t="shared" ref="AA270:AA298" ca="1" si="205">DATEDIF(W270,TODAY(),"YM")</f>
        <v>4</v>
      </c>
      <c r="AB270" s="150">
        <f t="shared" ref="AB270:AB298" ca="1" si="206">DATEDIF(W270,TODAY(),"MD")</f>
        <v>6</v>
      </c>
      <c r="AC270" s="15" t="str">
        <f t="shared" ref="AC270:AC299" ca="1" si="207">CONCATENATE(Z270,"Years","/",,AA270,"Months","/",AB270,"Days")</f>
        <v>1Years/4Months/6Days</v>
      </c>
      <c r="AD270" s="108">
        <f t="shared" ref="AD270:AD298" si="208">(DATE(P270,O270,N270)+21915)</f>
        <v>60320</v>
      </c>
      <c r="AE270" s="15"/>
      <c r="AF270" s="15"/>
      <c r="AG270" s="15"/>
      <c r="AH270" s="15"/>
      <c r="AI270" s="15"/>
      <c r="AJ270" s="5"/>
      <c r="AK270" s="5"/>
      <c r="AL270" s="5"/>
      <c r="AO270" s="336"/>
      <c r="AR270" s="387" t="s">
        <v>2373</v>
      </c>
    </row>
    <row r="271" spans="1:45" s="328" customFormat="1" ht="31.5" customHeight="1" x14ac:dyDescent="0.25">
      <c r="A271" s="73">
        <v>1</v>
      </c>
      <c r="B271" s="74" t="s">
        <v>1014</v>
      </c>
      <c r="C271" s="74" t="s">
        <v>1455</v>
      </c>
      <c r="D271" s="74" t="s">
        <v>2295</v>
      </c>
      <c r="E271" s="494" t="str">
        <f t="shared" si="194"/>
        <v>1/053/113/0316</v>
      </c>
      <c r="F271" s="75"/>
      <c r="G271" s="429" t="s">
        <v>2301</v>
      </c>
      <c r="H271" s="430" t="s">
        <v>42</v>
      </c>
      <c r="I271" s="429" t="s">
        <v>2306</v>
      </c>
      <c r="J271" s="364">
        <v>200526804582</v>
      </c>
      <c r="K271" s="363" t="s">
        <v>31</v>
      </c>
      <c r="L271" s="342">
        <v>776502833</v>
      </c>
      <c r="M271" s="431" t="s">
        <v>2315</v>
      </c>
      <c r="N271" s="344">
        <v>24</v>
      </c>
      <c r="O271" s="344">
        <v>9</v>
      </c>
      <c r="P271" s="344">
        <v>2005</v>
      </c>
      <c r="Q271" s="201">
        <f t="shared" si="161"/>
        <v>38619</v>
      </c>
      <c r="R271" s="86">
        <f t="shared" ca="1" si="162"/>
        <v>20.295890410958904</v>
      </c>
      <c r="S271" s="345" t="s">
        <v>34</v>
      </c>
      <c r="T271" s="344">
        <v>11</v>
      </c>
      <c r="U271" s="344">
        <v>5</v>
      </c>
      <c r="V271" s="344">
        <v>2023</v>
      </c>
      <c r="W271" s="200">
        <f t="shared" si="195"/>
        <v>45057</v>
      </c>
      <c r="Z271" s="73">
        <f t="shared" ca="1" si="204"/>
        <v>2</v>
      </c>
      <c r="AA271" s="40">
        <f t="shared" ca="1" si="205"/>
        <v>7</v>
      </c>
      <c r="AB271" s="40">
        <f t="shared" ca="1" si="206"/>
        <v>25</v>
      </c>
      <c r="AC271" s="47" t="str">
        <f t="shared" ca="1" si="207"/>
        <v>2Years/7Months/25Days</v>
      </c>
      <c r="AD271" s="120">
        <f t="shared" si="208"/>
        <v>60534</v>
      </c>
      <c r="AE271" s="47"/>
      <c r="AF271" s="47"/>
      <c r="AG271" s="47"/>
      <c r="AH271" s="47"/>
      <c r="AI271" s="47"/>
      <c r="AJ271" s="48"/>
      <c r="AK271" s="48"/>
      <c r="AL271" s="48"/>
      <c r="AM271" s="48"/>
      <c r="AN271" s="48"/>
      <c r="AO271" s="328" t="s">
        <v>2404</v>
      </c>
    </row>
    <row r="272" spans="1:45" s="328" customFormat="1" ht="31.5" customHeight="1" x14ac:dyDescent="0.25">
      <c r="A272" s="73">
        <v>1</v>
      </c>
      <c r="B272" s="74" t="s">
        <v>1014</v>
      </c>
      <c r="C272" s="74" t="s">
        <v>1456</v>
      </c>
      <c r="D272" s="74" t="s">
        <v>2296</v>
      </c>
      <c r="E272" s="494" t="str">
        <f t="shared" si="194"/>
        <v>1/053/114/0317</v>
      </c>
      <c r="F272" s="75"/>
      <c r="G272" s="429" t="s">
        <v>2305</v>
      </c>
      <c r="H272" s="430" t="s">
        <v>42</v>
      </c>
      <c r="I272" s="429" t="s">
        <v>2310</v>
      </c>
      <c r="J272" s="364">
        <v>200253004123</v>
      </c>
      <c r="K272" s="363" t="s">
        <v>31</v>
      </c>
      <c r="L272" s="342">
        <v>770812917</v>
      </c>
      <c r="M272" s="431" t="s">
        <v>2316</v>
      </c>
      <c r="N272" s="344">
        <v>30</v>
      </c>
      <c r="O272" s="344">
        <v>1</v>
      </c>
      <c r="P272" s="344">
        <v>2002</v>
      </c>
      <c r="Q272" s="201">
        <f t="shared" si="161"/>
        <v>37286</v>
      </c>
      <c r="R272" s="86">
        <f t="shared" ca="1" si="162"/>
        <v>23.947945205479453</v>
      </c>
      <c r="S272" s="345" t="s">
        <v>50</v>
      </c>
      <c r="T272" s="344">
        <v>26</v>
      </c>
      <c r="U272" s="344">
        <v>6</v>
      </c>
      <c r="V272" s="344">
        <v>2023</v>
      </c>
      <c r="W272" s="200">
        <f t="shared" si="195"/>
        <v>45103</v>
      </c>
      <c r="Z272" s="73">
        <f t="shared" ca="1" si="204"/>
        <v>2</v>
      </c>
      <c r="AA272" s="40">
        <f t="shared" ca="1" si="205"/>
        <v>6</v>
      </c>
      <c r="AB272" s="40">
        <f t="shared" ca="1" si="206"/>
        <v>10</v>
      </c>
      <c r="AC272" s="47" t="str">
        <f t="shared" ca="1" si="207"/>
        <v>2Years/6Months/10Days</v>
      </c>
      <c r="AD272" s="120">
        <f t="shared" si="208"/>
        <v>59201</v>
      </c>
      <c r="AE272" s="47"/>
      <c r="AF272" s="47"/>
      <c r="AG272" s="47"/>
      <c r="AH272" s="47"/>
      <c r="AI272" s="47"/>
      <c r="AJ272" s="48"/>
      <c r="AK272" s="48"/>
      <c r="AL272" s="48"/>
      <c r="AM272" s="48"/>
      <c r="AN272" s="48"/>
      <c r="AO272" s="328" t="s">
        <v>2405</v>
      </c>
    </row>
    <row r="273" spans="1:41" s="328" customFormat="1" ht="31.5" customHeight="1" x14ac:dyDescent="0.25">
      <c r="A273" s="73">
        <v>1</v>
      </c>
      <c r="B273" s="74" t="s">
        <v>1014</v>
      </c>
      <c r="C273" s="74" t="s">
        <v>1457</v>
      </c>
      <c r="D273" s="74" t="s">
        <v>2297</v>
      </c>
      <c r="E273" s="494" t="str">
        <f t="shared" si="194"/>
        <v>1/053/115/0318</v>
      </c>
      <c r="F273" s="75"/>
      <c r="G273" s="429" t="s">
        <v>2303</v>
      </c>
      <c r="H273" s="430" t="s">
        <v>42</v>
      </c>
      <c r="I273" s="429" t="s">
        <v>2308</v>
      </c>
      <c r="J273" s="364" t="s">
        <v>2312</v>
      </c>
      <c r="K273" s="363" t="s">
        <v>31</v>
      </c>
      <c r="L273" s="342">
        <v>763178442</v>
      </c>
      <c r="M273" s="431" t="s">
        <v>2317</v>
      </c>
      <c r="N273" s="344">
        <v>24</v>
      </c>
      <c r="O273" s="344">
        <v>10</v>
      </c>
      <c r="P273" s="344">
        <v>1997</v>
      </c>
      <c r="Q273" s="201">
        <f t="shared" si="161"/>
        <v>35727</v>
      </c>
      <c r="R273" s="86">
        <f t="shared" ca="1" si="162"/>
        <v>28.219178082191782</v>
      </c>
      <c r="S273" s="345" t="s">
        <v>50</v>
      </c>
      <c r="T273" s="344">
        <v>2</v>
      </c>
      <c r="U273" s="344">
        <v>10</v>
      </c>
      <c r="V273" s="344">
        <v>2023</v>
      </c>
      <c r="W273" s="200">
        <f t="shared" si="195"/>
        <v>45201</v>
      </c>
      <c r="Z273" s="73">
        <f t="shared" ca="1" si="204"/>
        <v>2</v>
      </c>
      <c r="AA273" s="40">
        <f t="shared" ca="1" si="205"/>
        <v>3</v>
      </c>
      <c r="AB273" s="40">
        <f t="shared" ca="1" si="206"/>
        <v>3</v>
      </c>
      <c r="AC273" s="47" t="str">
        <f t="shared" ca="1" si="207"/>
        <v>2Years/3Months/3Days</v>
      </c>
      <c r="AD273" s="120">
        <f t="shared" si="208"/>
        <v>57642</v>
      </c>
      <c r="AE273" s="47"/>
      <c r="AF273" s="47"/>
      <c r="AG273" s="47"/>
      <c r="AH273" s="47"/>
      <c r="AI273" s="47"/>
      <c r="AJ273" s="48"/>
      <c r="AK273" s="48"/>
      <c r="AL273" s="48"/>
      <c r="AM273" s="48"/>
      <c r="AN273" s="48"/>
      <c r="AO273" s="328" t="s">
        <v>2406</v>
      </c>
    </row>
    <row r="274" spans="1:41" s="328" customFormat="1" ht="31.5" customHeight="1" x14ac:dyDescent="0.25">
      <c r="A274" s="73">
        <v>1</v>
      </c>
      <c r="B274" s="74" t="s">
        <v>1014</v>
      </c>
      <c r="C274" s="74" t="s">
        <v>1915</v>
      </c>
      <c r="D274" s="74" t="s">
        <v>2298</v>
      </c>
      <c r="E274" s="494" t="str">
        <f t="shared" si="194"/>
        <v>1/053/116/0319</v>
      </c>
      <c r="F274" s="75"/>
      <c r="G274" s="429" t="s">
        <v>2304</v>
      </c>
      <c r="H274" s="430" t="s">
        <v>42</v>
      </c>
      <c r="I274" s="429" t="s">
        <v>2309</v>
      </c>
      <c r="J274" s="364" t="s">
        <v>2313</v>
      </c>
      <c r="K274" s="363" t="s">
        <v>96</v>
      </c>
      <c r="L274" s="342">
        <v>711430435</v>
      </c>
      <c r="M274" s="431" t="s">
        <v>2318</v>
      </c>
      <c r="N274" s="344">
        <v>22</v>
      </c>
      <c r="O274" s="344">
        <v>11</v>
      </c>
      <c r="P274" s="344">
        <v>1992</v>
      </c>
      <c r="Q274" s="201">
        <f t="shared" si="161"/>
        <v>33930</v>
      </c>
      <c r="R274" s="86">
        <f t="shared" ca="1" si="162"/>
        <v>33.142465753424659</v>
      </c>
      <c r="S274" s="345" t="s">
        <v>50</v>
      </c>
      <c r="T274" s="344">
        <v>5</v>
      </c>
      <c r="U274" s="344">
        <v>2</v>
      </c>
      <c r="V274" s="344">
        <v>2024</v>
      </c>
      <c r="W274" s="200">
        <f t="shared" si="195"/>
        <v>45327</v>
      </c>
      <c r="Z274" s="73">
        <f t="shared" ca="1" si="204"/>
        <v>1</v>
      </c>
      <c r="AA274" s="40">
        <f t="shared" ca="1" si="205"/>
        <v>11</v>
      </c>
      <c r="AB274" s="40">
        <f t="shared" ca="1" si="206"/>
        <v>0</v>
      </c>
      <c r="AC274" s="47" t="str">
        <f t="shared" ca="1" si="207"/>
        <v>1Years/11Months/0Days</v>
      </c>
      <c r="AD274" s="120">
        <f t="shared" si="208"/>
        <v>55845</v>
      </c>
      <c r="AE274" s="47"/>
      <c r="AF274" s="47"/>
      <c r="AG274" s="47"/>
      <c r="AH274" s="47"/>
      <c r="AI274" s="47"/>
      <c r="AJ274" s="48"/>
      <c r="AK274" s="48"/>
      <c r="AL274" s="48"/>
      <c r="AM274" s="48"/>
      <c r="AN274" s="48"/>
      <c r="AO274" s="328" t="s">
        <v>2407</v>
      </c>
    </row>
    <row r="275" spans="1:41" s="328" customFormat="1" ht="31.5" customHeight="1" x14ac:dyDescent="0.25">
      <c r="A275" s="73">
        <v>1</v>
      </c>
      <c r="B275" s="74" t="s">
        <v>1014</v>
      </c>
      <c r="C275" s="74" t="s">
        <v>1916</v>
      </c>
      <c r="D275" s="74" t="s">
        <v>2299</v>
      </c>
      <c r="E275" s="494" t="str">
        <f t="shared" si="194"/>
        <v>1/053/117/0320</v>
      </c>
      <c r="F275" s="75"/>
      <c r="G275" s="429" t="s">
        <v>2302</v>
      </c>
      <c r="H275" s="430" t="s">
        <v>42</v>
      </c>
      <c r="I275" s="429" t="s">
        <v>2307</v>
      </c>
      <c r="J275" s="364" t="s">
        <v>2314</v>
      </c>
      <c r="K275" s="363" t="s">
        <v>31</v>
      </c>
      <c r="L275" s="342">
        <v>716586443</v>
      </c>
      <c r="M275" s="431" t="s">
        <v>2319</v>
      </c>
      <c r="N275" s="344">
        <v>22</v>
      </c>
      <c r="O275" s="344">
        <v>1</v>
      </c>
      <c r="P275" s="344">
        <v>1988</v>
      </c>
      <c r="Q275" s="201">
        <f t="shared" si="161"/>
        <v>32164</v>
      </c>
      <c r="R275" s="86">
        <f t="shared" ca="1" si="162"/>
        <v>37.980821917808221</v>
      </c>
      <c r="S275" s="345" t="s">
        <v>50</v>
      </c>
      <c r="T275" s="344">
        <v>20</v>
      </c>
      <c r="U275" s="344">
        <v>5</v>
      </c>
      <c r="V275" s="344">
        <v>2024</v>
      </c>
      <c r="W275" s="200">
        <f t="shared" si="195"/>
        <v>45432</v>
      </c>
      <c r="Z275" s="73">
        <f t="shared" ca="1" si="204"/>
        <v>1</v>
      </c>
      <c r="AA275" s="40">
        <f t="shared" ca="1" si="205"/>
        <v>7</v>
      </c>
      <c r="AB275" s="40">
        <f t="shared" ca="1" si="206"/>
        <v>16</v>
      </c>
      <c r="AC275" s="47" t="str">
        <f t="shared" ca="1" si="207"/>
        <v>1Years/7Months/16Days</v>
      </c>
      <c r="AD275" s="120">
        <f t="shared" si="208"/>
        <v>54079</v>
      </c>
      <c r="AE275" s="47"/>
      <c r="AF275" s="47"/>
      <c r="AG275" s="47"/>
      <c r="AH275" s="47"/>
      <c r="AI275" s="47"/>
      <c r="AJ275" s="48"/>
      <c r="AK275" s="48"/>
      <c r="AL275" s="48"/>
      <c r="AM275" s="48"/>
      <c r="AN275" s="48"/>
      <c r="AO275" s="328" t="s">
        <v>2408</v>
      </c>
    </row>
    <row r="276" spans="1:41" ht="31.5" customHeight="1" x14ac:dyDescent="0.25">
      <c r="A276" s="73">
        <v>1</v>
      </c>
      <c r="B276" s="74" t="s">
        <v>1014</v>
      </c>
      <c r="C276" s="74" t="s">
        <v>1917</v>
      </c>
      <c r="D276" s="74" t="s">
        <v>2300</v>
      </c>
      <c r="E276" s="494" t="str">
        <f t="shared" si="194"/>
        <v>1/053/118/0321</v>
      </c>
      <c r="F276" s="75" t="s">
        <v>28</v>
      </c>
      <c r="G276" s="358" t="s">
        <v>2324</v>
      </c>
      <c r="H276" s="430" t="s">
        <v>42</v>
      </c>
      <c r="I276" s="358" t="s">
        <v>2328</v>
      </c>
      <c r="J276" s="359" t="s">
        <v>2332</v>
      </c>
      <c r="K276" s="358" t="s">
        <v>96</v>
      </c>
      <c r="L276" s="359" t="s">
        <v>2336</v>
      </c>
      <c r="M276" s="360" t="s">
        <v>2340</v>
      </c>
      <c r="N276" s="344">
        <v>19</v>
      </c>
      <c r="O276" s="344">
        <v>1</v>
      </c>
      <c r="P276" s="344">
        <v>1996</v>
      </c>
      <c r="Q276" s="201">
        <f t="shared" si="161"/>
        <v>35083</v>
      </c>
      <c r="R276" s="86">
        <f t="shared" ca="1" si="162"/>
        <v>29.983561643835618</v>
      </c>
      <c r="S276" s="359" t="s">
        <v>50</v>
      </c>
      <c r="T276" s="344">
        <v>25</v>
      </c>
      <c r="U276" s="344">
        <v>8</v>
      </c>
      <c r="V276" s="344">
        <v>2023</v>
      </c>
      <c r="W276" s="200">
        <f t="shared" si="195"/>
        <v>45163</v>
      </c>
      <c r="Z276" s="73">
        <f t="shared" ca="1" si="204"/>
        <v>2</v>
      </c>
      <c r="AA276" s="40">
        <f t="shared" ca="1" si="205"/>
        <v>4</v>
      </c>
      <c r="AB276" s="40">
        <f t="shared" ca="1" si="206"/>
        <v>11</v>
      </c>
      <c r="AC276" s="47" t="str">
        <f t="shared" ca="1" si="207"/>
        <v>2Years/4Months/11Days</v>
      </c>
      <c r="AD276" s="108">
        <f t="shared" si="208"/>
        <v>56998</v>
      </c>
      <c r="AE276" s="15"/>
      <c r="AF276" s="15"/>
      <c r="AG276" s="15"/>
      <c r="AH276" s="15"/>
      <c r="AI276" s="15"/>
      <c r="AJ276" s="5"/>
      <c r="AK276" s="5"/>
      <c r="AL276" s="5"/>
      <c r="AO276" s="336" t="s">
        <v>2402</v>
      </c>
    </row>
    <row r="277" spans="1:41" ht="31.5" customHeight="1" x14ac:dyDescent="0.25">
      <c r="A277" s="73">
        <v>1</v>
      </c>
      <c r="B277" s="74" t="s">
        <v>1014</v>
      </c>
      <c r="C277" s="74" t="s">
        <v>1918</v>
      </c>
      <c r="D277" s="74" t="s">
        <v>2320</v>
      </c>
      <c r="E277" s="494" t="str">
        <f t="shared" ref="E277:E281" si="209">CONCATENATE(A277,"/",B277,"/",C277,"/",D277)</f>
        <v>1/053/119/0322</v>
      </c>
      <c r="F277" s="75" t="s">
        <v>28</v>
      </c>
      <c r="G277" s="358" t="s">
        <v>2325</v>
      </c>
      <c r="H277" s="430" t="s">
        <v>42</v>
      </c>
      <c r="I277" s="358" t="s">
        <v>2329</v>
      </c>
      <c r="J277" s="359" t="s">
        <v>2333</v>
      </c>
      <c r="K277" s="358" t="s">
        <v>31</v>
      </c>
      <c r="L277" s="359" t="s">
        <v>2337</v>
      </c>
      <c r="M277" s="360" t="s">
        <v>2341</v>
      </c>
      <c r="N277" s="344">
        <v>7</v>
      </c>
      <c r="O277" s="344">
        <v>6</v>
      </c>
      <c r="P277" s="344">
        <v>2005</v>
      </c>
      <c r="Q277" s="201">
        <f t="shared" si="161"/>
        <v>38510</v>
      </c>
      <c r="R277" s="86">
        <f t="shared" ca="1" si="162"/>
        <v>20.594520547945205</v>
      </c>
      <c r="S277" s="359" t="s">
        <v>50</v>
      </c>
      <c r="T277" s="344">
        <v>5</v>
      </c>
      <c r="U277" s="344">
        <v>12</v>
      </c>
      <c r="V277" s="344">
        <v>2023</v>
      </c>
      <c r="W277" s="200">
        <f t="shared" si="195"/>
        <v>45265</v>
      </c>
      <c r="Z277" s="73">
        <f t="shared" ca="1" si="204"/>
        <v>2</v>
      </c>
      <c r="AA277" s="40">
        <f t="shared" ca="1" si="205"/>
        <v>1</v>
      </c>
      <c r="AB277" s="40">
        <f t="shared" ca="1" si="206"/>
        <v>0</v>
      </c>
      <c r="AC277" s="47" t="str">
        <f t="shared" ca="1" si="207"/>
        <v>2Years/1Months/0Days</v>
      </c>
      <c r="AD277" s="108">
        <f t="shared" si="208"/>
        <v>60425</v>
      </c>
      <c r="AE277" s="15"/>
      <c r="AF277" s="15"/>
      <c r="AG277" s="15"/>
      <c r="AH277" s="15"/>
      <c r="AI277" s="15"/>
      <c r="AJ277" s="5"/>
      <c r="AK277" s="5"/>
      <c r="AL277" s="5"/>
      <c r="AO277" s="336" t="s">
        <v>2409</v>
      </c>
    </row>
    <row r="278" spans="1:41" ht="31.5" customHeight="1" x14ac:dyDescent="0.25">
      <c r="A278" s="73">
        <v>1</v>
      </c>
      <c r="B278" s="74" t="s">
        <v>1014</v>
      </c>
      <c r="C278" s="74" t="s">
        <v>1919</v>
      </c>
      <c r="D278" s="74" t="s">
        <v>2321</v>
      </c>
      <c r="E278" s="494" t="str">
        <f t="shared" si="209"/>
        <v>1/053/120/0323</v>
      </c>
      <c r="F278" s="75" t="s">
        <v>28</v>
      </c>
      <c r="G278" s="358" t="s">
        <v>2326</v>
      </c>
      <c r="H278" s="430" t="s">
        <v>42</v>
      </c>
      <c r="I278" s="358" t="s">
        <v>2330</v>
      </c>
      <c r="J278" s="361" t="s">
        <v>2334</v>
      </c>
      <c r="K278" s="358" t="s">
        <v>96</v>
      </c>
      <c r="L278" s="359" t="s">
        <v>2338</v>
      </c>
      <c r="M278" s="360" t="s">
        <v>2342</v>
      </c>
      <c r="N278" s="344">
        <v>31</v>
      </c>
      <c r="O278" s="344">
        <v>1</v>
      </c>
      <c r="P278" s="344">
        <v>1999</v>
      </c>
      <c r="Q278" s="201">
        <f t="shared" si="161"/>
        <v>36191</v>
      </c>
      <c r="R278" s="86">
        <f t="shared" ca="1" si="162"/>
        <v>26.947945205479453</v>
      </c>
      <c r="S278" s="359" t="s">
        <v>50</v>
      </c>
      <c r="T278" s="344">
        <v>29</v>
      </c>
      <c r="U278" s="344">
        <v>1</v>
      </c>
      <c r="V278" s="344">
        <v>2024</v>
      </c>
      <c r="W278" s="200">
        <f t="shared" si="195"/>
        <v>45320</v>
      </c>
      <c r="Z278" s="73">
        <f t="shared" ca="1" si="204"/>
        <v>1</v>
      </c>
      <c r="AA278" s="40">
        <f t="shared" ca="1" si="205"/>
        <v>11</v>
      </c>
      <c r="AB278" s="40">
        <f t="shared" ca="1" si="206"/>
        <v>7</v>
      </c>
      <c r="AC278" s="47" t="str">
        <f t="shared" ca="1" si="207"/>
        <v>1Years/11Months/7Days</v>
      </c>
      <c r="AD278" s="108">
        <f t="shared" si="208"/>
        <v>58106</v>
      </c>
      <c r="AE278" s="15"/>
      <c r="AF278" s="15"/>
      <c r="AG278" s="15"/>
      <c r="AH278" s="15"/>
      <c r="AI278" s="15"/>
      <c r="AJ278" s="5"/>
      <c r="AK278" s="5"/>
      <c r="AL278" s="5"/>
      <c r="AO278" s="336" t="s">
        <v>2410</v>
      </c>
    </row>
    <row r="279" spans="1:41" ht="31.5" customHeight="1" x14ac:dyDescent="0.25">
      <c r="A279" s="73">
        <v>1</v>
      </c>
      <c r="B279" s="74" t="s">
        <v>1014</v>
      </c>
      <c r="C279" s="74" t="s">
        <v>1920</v>
      </c>
      <c r="D279" s="74" t="s">
        <v>2322</v>
      </c>
      <c r="E279" s="494" t="str">
        <f t="shared" si="209"/>
        <v>1/053/121/0324</v>
      </c>
      <c r="F279" s="75" t="s">
        <v>28</v>
      </c>
      <c r="G279" s="358" t="s">
        <v>2327</v>
      </c>
      <c r="H279" s="430" t="s">
        <v>42</v>
      </c>
      <c r="I279" s="358" t="s">
        <v>2331</v>
      </c>
      <c r="J279" s="361" t="s">
        <v>2335</v>
      </c>
      <c r="K279" s="358" t="s">
        <v>31</v>
      </c>
      <c r="L279" s="359" t="s">
        <v>2339</v>
      </c>
      <c r="M279" s="360" t="s">
        <v>2343</v>
      </c>
      <c r="N279" s="344">
        <v>26</v>
      </c>
      <c r="O279" s="344">
        <v>5</v>
      </c>
      <c r="P279" s="344">
        <v>1995</v>
      </c>
      <c r="Q279" s="201">
        <f t="shared" si="161"/>
        <v>34845</v>
      </c>
      <c r="R279" s="86">
        <f t="shared" ca="1" si="162"/>
        <v>30.635616438356163</v>
      </c>
      <c r="S279" s="359" t="s">
        <v>50</v>
      </c>
      <c r="T279" s="344">
        <v>19</v>
      </c>
      <c r="U279" s="344">
        <v>4</v>
      </c>
      <c r="V279" s="344">
        <v>2024</v>
      </c>
      <c r="W279" s="200">
        <f t="shared" si="195"/>
        <v>45401</v>
      </c>
      <c r="Z279" s="73">
        <f t="shared" ca="1" si="204"/>
        <v>1</v>
      </c>
      <c r="AA279" s="40">
        <f t="shared" ca="1" si="205"/>
        <v>8</v>
      </c>
      <c r="AB279" s="40">
        <f t="shared" ca="1" si="206"/>
        <v>17</v>
      </c>
      <c r="AC279" s="47" t="str">
        <f t="shared" ca="1" si="207"/>
        <v>1Years/8Months/17Days</v>
      </c>
      <c r="AD279" s="108">
        <f t="shared" si="208"/>
        <v>56760</v>
      </c>
      <c r="AE279" s="15"/>
      <c r="AF279" s="15"/>
      <c r="AG279" s="15"/>
      <c r="AH279" s="15"/>
      <c r="AI279" s="15"/>
      <c r="AJ279" s="5"/>
      <c r="AK279" s="5"/>
      <c r="AL279" s="5"/>
      <c r="AO279" s="336" t="s">
        <v>2411</v>
      </c>
    </row>
    <row r="280" spans="1:41" ht="31.5" customHeight="1" x14ac:dyDescent="0.25">
      <c r="A280" s="73">
        <v>1</v>
      </c>
      <c r="B280" s="74" t="s">
        <v>1014</v>
      </c>
      <c r="C280" s="74" t="s">
        <v>1921</v>
      </c>
      <c r="D280" s="74" t="s">
        <v>2323</v>
      </c>
      <c r="E280" s="494" t="str">
        <f>CONCATENATE(A280,"/",B280,"/",C280,"/",D280)</f>
        <v>1/053/122/0325</v>
      </c>
      <c r="F280" s="75" t="s">
        <v>28</v>
      </c>
      <c r="G280" s="435" t="s">
        <v>2345</v>
      </c>
      <c r="H280" s="435" t="s">
        <v>42</v>
      </c>
      <c r="I280" s="435" t="s">
        <v>2308</v>
      </c>
      <c r="J280" s="436" t="s">
        <v>2352</v>
      </c>
      <c r="K280" s="437" t="s">
        <v>31</v>
      </c>
      <c r="L280" s="438" t="s">
        <v>2355</v>
      </c>
      <c r="M280" s="439" t="s">
        <v>2359</v>
      </c>
      <c r="N280" s="344">
        <v>18</v>
      </c>
      <c r="O280" s="344">
        <v>4</v>
      </c>
      <c r="P280" s="344">
        <v>1988</v>
      </c>
      <c r="Q280" s="201">
        <f>DATE(P280,O280,N280)</f>
        <v>32251</v>
      </c>
      <c r="R280" s="86">
        <f ca="1">($G$7-Q280)/365</f>
        <v>37.742465753424661</v>
      </c>
      <c r="S280" s="359" t="s">
        <v>50</v>
      </c>
      <c r="T280" s="344">
        <v>2</v>
      </c>
      <c r="U280" s="344">
        <v>10</v>
      </c>
      <c r="V280" s="344">
        <v>2023</v>
      </c>
      <c r="W280" s="200">
        <f>DATE(V280,U280,T280)</f>
        <v>45201</v>
      </c>
      <c r="Z280" s="73">
        <f ca="1">DATEDIF(W280,TODAY(),"Y")</f>
        <v>2</v>
      </c>
      <c r="AA280" s="40">
        <f ca="1">DATEDIF(W280,TODAY(),"YM")</f>
        <v>3</v>
      </c>
      <c r="AB280" s="40">
        <f ca="1">DATEDIF(W280,TODAY(),"MD")</f>
        <v>3</v>
      </c>
      <c r="AC280" s="15" t="str">
        <f ca="1">CONCATENATE(Z280,"Years","/",,AA280,"Months","/",AB280,"Days")</f>
        <v>2Years/3Months/3Days</v>
      </c>
      <c r="AD280" s="108">
        <f>(DATE(P280,O280,N280)+21915)</f>
        <v>54166</v>
      </c>
      <c r="AE280" s="15"/>
      <c r="AF280" s="15"/>
      <c r="AG280" s="15"/>
      <c r="AH280" s="15"/>
      <c r="AI280" s="15"/>
      <c r="AJ280" s="5"/>
      <c r="AK280" s="5"/>
      <c r="AL280" s="5"/>
      <c r="AO280" s="336" t="s">
        <v>2406</v>
      </c>
    </row>
    <row r="281" spans="1:41" ht="31.5" customHeight="1" x14ac:dyDescent="0.25">
      <c r="A281" s="73">
        <v>1</v>
      </c>
      <c r="B281" s="74" t="s">
        <v>1014</v>
      </c>
      <c r="C281" s="74" t="s">
        <v>1922</v>
      </c>
      <c r="D281" s="74" t="s">
        <v>2362</v>
      </c>
      <c r="E281" s="494" t="str">
        <f t="shared" si="209"/>
        <v>1/053/123/0326</v>
      </c>
      <c r="F281" s="75" t="s">
        <v>28</v>
      </c>
      <c r="G281" s="435" t="s">
        <v>2344</v>
      </c>
      <c r="H281" s="435" t="s">
        <v>42</v>
      </c>
      <c r="I281" s="435" t="s">
        <v>2348</v>
      </c>
      <c r="J281" s="436">
        <v>200168702682</v>
      </c>
      <c r="K281" s="437" t="s">
        <v>31</v>
      </c>
      <c r="L281" s="438" t="s">
        <v>2354</v>
      </c>
      <c r="M281" s="439" t="s">
        <v>2358</v>
      </c>
      <c r="N281" s="344">
        <v>5</v>
      </c>
      <c r="O281" s="344">
        <v>7</v>
      </c>
      <c r="P281" s="344">
        <v>2001</v>
      </c>
      <c r="Q281" s="201">
        <f t="shared" si="161"/>
        <v>37077</v>
      </c>
      <c r="R281" s="86">
        <f t="shared" ca="1" si="162"/>
        <v>24.520547945205479</v>
      </c>
      <c r="S281" s="359" t="s">
        <v>50</v>
      </c>
      <c r="T281" s="344">
        <v>5</v>
      </c>
      <c r="U281" s="344">
        <v>2</v>
      </c>
      <c r="V281" s="344">
        <v>2024</v>
      </c>
      <c r="W281" s="200">
        <f t="shared" si="195"/>
        <v>45327</v>
      </c>
      <c r="Z281" s="73">
        <f t="shared" ca="1" si="204"/>
        <v>1</v>
      </c>
      <c r="AA281" s="40">
        <f t="shared" ca="1" si="205"/>
        <v>11</v>
      </c>
      <c r="AB281" s="40">
        <f t="shared" ca="1" si="206"/>
        <v>0</v>
      </c>
      <c r="AC281" s="15" t="str">
        <f t="shared" ca="1" si="207"/>
        <v>1Years/11Months/0Days</v>
      </c>
      <c r="AD281" s="108">
        <f t="shared" si="208"/>
        <v>58992</v>
      </c>
      <c r="AE281" s="15"/>
      <c r="AF281" s="15"/>
      <c r="AG281" s="15"/>
      <c r="AH281" s="15"/>
      <c r="AI281" s="15"/>
      <c r="AJ281" s="5"/>
      <c r="AK281" s="5"/>
      <c r="AL281" s="5"/>
      <c r="AO281" s="336" t="s">
        <v>2407</v>
      </c>
    </row>
    <row r="282" spans="1:41" ht="31.5" customHeight="1" x14ac:dyDescent="0.25">
      <c r="A282" s="73">
        <v>1</v>
      </c>
      <c r="B282" s="74" t="s">
        <v>1014</v>
      </c>
      <c r="C282" s="74" t="s">
        <v>1923</v>
      </c>
      <c r="D282" s="74" t="s">
        <v>2363</v>
      </c>
      <c r="E282" s="494" t="str">
        <f t="shared" ref="E282:E287" si="210">CONCATENATE(A282,"/",B282,"/",C282,"/",D282)</f>
        <v>1/053/124/0327</v>
      </c>
      <c r="F282" s="75" t="s">
        <v>28</v>
      </c>
      <c r="G282" s="435" t="s">
        <v>2346</v>
      </c>
      <c r="H282" s="435" t="s">
        <v>2351</v>
      </c>
      <c r="I282" s="435" t="s">
        <v>2349</v>
      </c>
      <c r="J282" s="440" t="s">
        <v>2353</v>
      </c>
      <c r="K282" s="437" t="s">
        <v>96</v>
      </c>
      <c r="L282" s="438" t="s">
        <v>2356</v>
      </c>
      <c r="M282" s="439" t="s">
        <v>2360</v>
      </c>
      <c r="N282" s="344">
        <v>26</v>
      </c>
      <c r="O282" s="344">
        <v>2</v>
      </c>
      <c r="P282" s="344">
        <v>1989</v>
      </c>
      <c r="Q282" s="201">
        <f t="shared" si="161"/>
        <v>32565</v>
      </c>
      <c r="R282" s="86">
        <f t="shared" ca="1" si="162"/>
        <v>36.88219178082192</v>
      </c>
      <c r="S282" s="359" t="s">
        <v>50</v>
      </c>
      <c r="T282" s="344">
        <v>13</v>
      </c>
      <c r="U282" s="344">
        <v>5</v>
      </c>
      <c r="V282" s="344">
        <v>2024</v>
      </c>
      <c r="W282" s="200">
        <f t="shared" si="195"/>
        <v>45425</v>
      </c>
      <c r="Z282" s="73">
        <f t="shared" ca="1" si="204"/>
        <v>1</v>
      </c>
      <c r="AA282" s="40">
        <f t="shared" ca="1" si="205"/>
        <v>7</v>
      </c>
      <c r="AB282" s="40">
        <f t="shared" ca="1" si="206"/>
        <v>23</v>
      </c>
      <c r="AC282" s="15" t="str">
        <f t="shared" ca="1" si="207"/>
        <v>1Years/7Months/23Days</v>
      </c>
      <c r="AD282" s="108">
        <f t="shared" si="208"/>
        <v>54480</v>
      </c>
      <c r="AE282" s="15"/>
      <c r="AF282" s="15"/>
      <c r="AG282" s="15"/>
      <c r="AH282" s="15"/>
      <c r="AI282" s="15"/>
      <c r="AJ282" s="5"/>
      <c r="AK282" s="5"/>
      <c r="AL282" s="5"/>
      <c r="AO282" s="336" t="s">
        <v>2412</v>
      </c>
    </row>
    <row r="283" spans="1:41" ht="31.5" customHeight="1" x14ac:dyDescent="0.25">
      <c r="A283" s="73">
        <v>1</v>
      </c>
      <c r="B283" s="74" t="s">
        <v>1014</v>
      </c>
      <c r="C283" s="74" t="s">
        <v>1924</v>
      </c>
      <c r="D283" s="74" t="s">
        <v>2364</v>
      </c>
      <c r="E283" s="494" t="str">
        <f t="shared" si="210"/>
        <v>1/053/125/0328</v>
      </c>
      <c r="F283" s="75" t="s">
        <v>28</v>
      </c>
      <c r="G283" s="435" t="s">
        <v>2347</v>
      </c>
      <c r="H283" s="435" t="s">
        <v>42</v>
      </c>
      <c r="I283" s="435" t="s">
        <v>2350</v>
      </c>
      <c r="J283" s="440">
        <v>200060100720</v>
      </c>
      <c r="K283" s="437" t="s">
        <v>1131</v>
      </c>
      <c r="L283" s="438" t="s">
        <v>2357</v>
      </c>
      <c r="M283" s="439" t="s">
        <v>2361</v>
      </c>
      <c r="N283" s="344">
        <v>4</v>
      </c>
      <c r="O283" s="344">
        <v>10</v>
      </c>
      <c r="P283" s="344">
        <v>2000</v>
      </c>
      <c r="Q283" s="201">
        <f t="shared" si="161"/>
        <v>36803</v>
      </c>
      <c r="R283" s="86">
        <f t="shared" ca="1" si="162"/>
        <v>25.271232876712329</v>
      </c>
      <c r="S283" s="359" t="s">
        <v>50</v>
      </c>
      <c r="T283" s="344">
        <v>20</v>
      </c>
      <c r="U283" s="344">
        <v>5</v>
      </c>
      <c r="V283" s="344">
        <v>2024</v>
      </c>
      <c r="W283" s="200">
        <f t="shared" si="195"/>
        <v>45432</v>
      </c>
      <c r="Z283" s="73">
        <f t="shared" ca="1" si="204"/>
        <v>1</v>
      </c>
      <c r="AA283" s="40">
        <f t="shared" ca="1" si="205"/>
        <v>7</v>
      </c>
      <c r="AB283" s="40">
        <f t="shared" ca="1" si="206"/>
        <v>16</v>
      </c>
      <c r="AC283" s="15" t="str">
        <f t="shared" ca="1" si="207"/>
        <v>1Years/7Months/16Days</v>
      </c>
      <c r="AD283" s="108">
        <f t="shared" si="208"/>
        <v>58718</v>
      </c>
      <c r="AE283" s="15"/>
      <c r="AF283" s="15"/>
      <c r="AG283" s="15"/>
      <c r="AH283" s="15"/>
      <c r="AI283" s="15"/>
      <c r="AJ283" s="5"/>
      <c r="AK283" s="5"/>
      <c r="AL283" s="5"/>
      <c r="AO283" s="336" t="s">
        <v>2408</v>
      </c>
    </row>
    <row r="284" spans="1:41" ht="33" customHeight="1" x14ac:dyDescent="0.25">
      <c r="A284" s="73">
        <v>1</v>
      </c>
      <c r="B284" s="74" t="s">
        <v>1014</v>
      </c>
      <c r="C284" s="74" t="s">
        <v>1950</v>
      </c>
      <c r="D284" s="74" t="s">
        <v>2365</v>
      </c>
      <c r="E284" s="494" t="str">
        <f t="shared" si="210"/>
        <v>1/053/126/0329</v>
      </c>
      <c r="F284" s="75" t="s">
        <v>28</v>
      </c>
      <c r="G284" s="441" t="s">
        <v>2416</v>
      </c>
      <c r="H284" s="435" t="s">
        <v>1712</v>
      </c>
      <c r="I284" s="442" t="s">
        <v>2417</v>
      </c>
      <c r="J284" s="444">
        <v>200262803545</v>
      </c>
      <c r="K284" s="442" t="s">
        <v>31</v>
      </c>
      <c r="L284" s="445">
        <v>740526875</v>
      </c>
      <c r="M284" s="442" t="s">
        <v>2427</v>
      </c>
      <c r="N284" s="43">
        <v>7</v>
      </c>
      <c r="O284" s="43">
        <v>5</v>
      </c>
      <c r="P284" s="43">
        <v>2002</v>
      </c>
      <c r="Q284" s="201">
        <f t="shared" si="161"/>
        <v>37383</v>
      </c>
      <c r="R284" s="86">
        <f t="shared" ca="1" si="162"/>
        <v>23.682191780821917</v>
      </c>
      <c r="S284" s="358" t="s">
        <v>50</v>
      </c>
      <c r="T284" s="43">
        <v>18</v>
      </c>
      <c r="U284" s="43">
        <v>9</v>
      </c>
      <c r="V284" s="43">
        <v>2023</v>
      </c>
      <c r="W284" s="200">
        <f t="shared" si="195"/>
        <v>45187</v>
      </c>
      <c r="Z284" s="73">
        <f t="shared" ca="1" si="204"/>
        <v>2</v>
      </c>
      <c r="AA284" s="40">
        <f t="shared" ca="1" si="205"/>
        <v>3</v>
      </c>
      <c r="AB284" s="40">
        <f t="shared" ca="1" si="206"/>
        <v>18</v>
      </c>
      <c r="AC284" s="15" t="str">
        <f t="shared" ca="1" si="207"/>
        <v>2Years/3Months/18Days</v>
      </c>
      <c r="AD284" s="108">
        <f t="shared" si="208"/>
        <v>59298</v>
      </c>
      <c r="AE284" s="15"/>
      <c r="AF284" s="15"/>
      <c r="AG284" s="15"/>
      <c r="AH284" s="15"/>
      <c r="AI284" s="15"/>
      <c r="AJ284" s="5"/>
      <c r="AK284" s="5"/>
      <c r="AL284" s="5"/>
      <c r="AO284" s="336"/>
    </row>
    <row r="285" spans="1:41" ht="33" customHeight="1" x14ac:dyDescent="0.25">
      <c r="A285" s="73">
        <v>1</v>
      </c>
      <c r="B285" s="74" t="s">
        <v>1014</v>
      </c>
      <c r="C285" s="74" t="s">
        <v>1951</v>
      </c>
      <c r="D285" s="74" t="s">
        <v>2366</v>
      </c>
      <c r="E285" s="494" t="str">
        <f t="shared" si="210"/>
        <v>1/053/127/0330</v>
      </c>
      <c r="F285" s="75" t="s">
        <v>28</v>
      </c>
      <c r="G285" s="441" t="s">
        <v>2418</v>
      </c>
      <c r="H285" s="435" t="s">
        <v>42</v>
      </c>
      <c r="I285" s="442" t="s">
        <v>2419</v>
      </c>
      <c r="J285" s="444">
        <v>200273100236</v>
      </c>
      <c r="K285" s="443" t="s">
        <v>1708</v>
      </c>
      <c r="L285" s="445" t="s">
        <v>2428</v>
      </c>
      <c r="M285" s="442" t="s">
        <v>2429</v>
      </c>
      <c r="N285" s="43">
        <v>18</v>
      </c>
      <c r="O285" s="43">
        <v>8</v>
      </c>
      <c r="P285" s="43">
        <v>2002</v>
      </c>
      <c r="Q285" s="201">
        <f t="shared" si="161"/>
        <v>37486</v>
      </c>
      <c r="R285" s="86">
        <f t="shared" ca="1" si="162"/>
        <v>23.4</v>
      </c>
      <c r="S285" s="358" t="s">
        <v>50</v>
      </c>
      <c r="T285" s="43">
        <v>16</v>
      </c>
      <c r="U285" s="43">
        <v>10</v>
      </c>
      <c r="V285" s="43">
        <v>2023</v>
      </c>
      <c r="W285" s="200">
        <f t="shared" si="195"/>
        <v>45215</v>
      </c>
      <c r="Z285" s="73">
        <f t="shared" ca="1" si="204"/>
        <v>2</v>
      </c>
      <c r="AA285" s="40">
        <f t="shared" ca="1" si="205"/>
        <v>2</v>
      </c>
      <c r="AB285" s="40">
        <f t="shared" ca="1" si="206"/>
        <v>20</v>
      </c>
      <c r="AC285" s="15" t="str">
        <f t="shared" ca="1" si="207"/>
        <v>2Years/2Months/20Days</v>
      </c>
      <c r="AD285" s="108">
        <f t="shared" si="208"/>
        <v>59401</v>
      </c>
      <c r="AE285" s="15"/>
      <c r="AF285" s="15"/>
      <c r="AG285" s="15"/>
      <c r="AH285" s="15"/>
      <c r="AI285" s="15"/>
      <c r="AJ285" s="5"/>
      <c r="AK285" s="5"/>
      <c r="AL285" s="5"/>
      <c r="AO285" s="336"/>
    </row>
    <row r="286" spans="1:41" ht="33" customHeight="1" x14ac:dyDescent="0.25">
      <c r="A286" s="73">
        <v>1</v>
      </c>
      <c r="B286" s="74" t="s">
        <v>1014</v>
      </c>
      <c r="C286" s="74" t="s">
        <v>1952</v>
      </c>
      <c r="D286" s="74" t="s">
        <v>2367</v>
      </c>
      <c r="E286" s="494" t="str">
        <f t="shared" si="210"/>
        <v>1/053/128/0331</v>
      </c>
      <c r="F286" s="75" t="s">
        <v>28</v>
      </c>
      <c r="G286" s="441" t="s">
        <v>2420</v>
      </c>
      <c r="H286" s="435" t="s">
        <v>42</v>
      </c>
      <c r="I286" s="442" t="s">
        <v>2421</v>
      </c>
      <c r="J286" s="444">
        <v>200657705048</v>
      </c>
      <c r="K286" s="442" t="s">
        <v>31</v>
      </c>
      <c r="L286" s="445">
        <v>741186363</v>
      </c>
      <c r="M286" s="442" t="s">
        <v>2430</v>
      </c>
      <c r="N286" s="43">
        <v>17</v>
      </c>
      <c r="O286" s="43">
        <v>3</v>
      </c>
      <c r="P286" s="43">
        <v>2006</v>
      </c>
      <c r="Q286" s="201">
        <f t="shared" si="161"/>
        <v>38793</v>
      </c>
      <c r="R286" s="86">
        <f t="shared" ca="1" si="162"/>
        <v>19.81917808219178</v>
      </c>
      <c r="S286" s="358" t="s">
        <v>50</v>
      </c>
      <c r="T286" s="43">
        <v>16</v>
      </c>
      <c r="U286" s="43">
        <v>1</v>
      </c>
      <c r="V286" s="43">
        <v>2024</v>
      </c>
      <c r="W286" s="200">
        <f t="shared" si="195"/>
        <v>45307</v>
      </c>
      <c r="Z286" s="73">
        <f t="shared" ca="1" si="204"/>
        <v>1</v>
      </c>
      <c r="AA286" s="40">
        <f t="shared" ca="1" si="205"/>
        <v>11</v>
      </c>
      <c r="AB286" s="40">
        <f t="shared" ca="1" si="206"/>
        <v>20</v>
      </c>
      <c r="AC286" s="15" t="str">
        <f t="shared" ca="1" si="207"/>
        <v>1Years/11Months/20Days</v>
      </c>
      <c r="AD286" s="108">
        <f t="shared" si="208"/>
        <v>60708</v>
      </c>
      <c r="AE286" s="15"/>
      <c r="AF286" s="15"/>
      <c r="AG286" s="15"/>
      <c r="AH286" s="15"/>
      <c r="AI286" s="15"/>
      <c r="AJ286" s="5"/>
      <c r="AK286" s="5"/>
      <c r="AL286" s="5"/>
      <c r="AO286" s="336"/>
    </row>
    <row r="287" spans="1:41" ht="33" customHeight="1" x14ac:dyDescent="0.25">
      <c r="A287" s="73">
        <v>1</v>
      </c>
      <c r="B287" s="74" t="s">
        <v>1014</v>
      </c>
      <c r="C287" s="74" t="s">
        <v>1953</v>
      </c>
      <c r="D287" s="74" t="s">
        <v>2368</v>
      </c>
      <c r="E287" s="494" t="str">
        <f t="shared" si="210"/>
        <v>1/053/129/0332</v>
      </c>
      <c r="F287" s="75" t="s">
        <v>28</v>
      </c>
      <c r="G287" s="441" t="s">
        <v>2422</v>
      </c>
      <c r="H287" s="435" t="s">
        <v>42</v>
      </c>
      <c r="I287" s="442" t="s">
        <v>2436</v>
      </c>
      <c r="J287" s="444">
        <v>200086500077</v>
      </c>
      <c r="K287" s="442" t="s">
        <v>31</v>
      </c>
      <c r="L287" s="445">
        <v>720924853</v>
      </c>
      <c r="M287" s="442" t="s">
        <v>2431</v>
      </c>
      <c r="N287" s="43">
        <v>30</v>
      </c>
      <c r="O287" s="43">
        <v>12</v>
      </c>
      <c r="P287" s="43">
        <v>2000</v>
      </c>
      <c r="Q287" s="201">
        <f t="shared" si="161"/>
        <v>36890</v>
      </c>
      <c r="R287" s="86">
        <f t="shared" ca="1" si="162"/>
        <v>25.032876712328768</v>
      </c>
      <c r="S287" s="358" t="s">
        <v>50</v>
      </c>
      <c r="T287" s="43">
        <v>20</v>
      </c>
      <c r="U287" s="43">
        <v>5</v>
      </c>
      <c r="V287" s="43">
        <v>2024</v>
      </c>
      <c r="W287" s="200">
        <f t="shared" si="195"/>
        <v>45432</v>
      </c>
      <c r="Z287" s="73">
        <f t="shared" ca="1" si="204"/>
        <v>1</v>
      </c>
      <c r="AA287" s="40">
        <f t="shared" ca="1" si="205"/>
        <v>7</v>
      </c>
      <c r="AB287" s="40">
        <f t="shared" ca="1" si="206"/>
        <v>16</v>
      </c>
      <c r="AC287" s="15" t="str">
        <f t="shared" ca="1" si="207"/>
        <v>1Years/7Months/16Days</v>
      </c>
      <c r="AD287" s="108">
        <f t="shared" si="208"/>
        <v>58805</v>
      </c>
      <c r="AE287" s="15"/>
      <c r="AF287" s="15"/>
      <c r="AG287" s="15"/>
      <c r="AH287" s="15"/>
      <c r="AI287" s="15"/>
      <c r="AJ287" s="5"/>
      <c r="AK287" s="5"/>
      <c r="AL287" s="5"/>
      <c r="AO287" s="336"/>
    </row>
    <row r="288" spans="1:41" ht="33" customHeight="1" x14ac:dyDescent="0.25">
      <c r="A288" s="73">
        <v>1</v>
      </c>
      <c r="B288" s="74" t="s">
        <v>1014</v>
      </c>
      <c r="C288" s="74" t="s">
        <v>1954</v>
      </c>
      <c r="D288" s="74" t="s">
        <v>2423</v>
      </c>
      <c r="E288" s="494" t="str">
        <f t="shared" ref="E288:E299" si="211">CONCATENATE(A288,"/",B288,"/",C288,"/",D288)</f>
        <v>1/053/130/0333</v>
      </c>
      <c r="F288" s="75" t="s">
        <v>28</v>
      </c>
      <c r="G288" s="441" t="s">
        <v>2414</v>
      </c>
      <c r="H288" s="435" t="s">
        <v>42</v>
      </c>
      <c r="I288" s="442" t="s">
        <v>2415</v>
      </c>
      <c r="J288" s="444" t="s">
        <v>2433</v>
      </c>
      <c r="K288" s="443" t="s">
        <v>1708</v>
      </c>
      <c r="L288" s="445">
        <v>713032053</v>
      </c>
      <c r="M288" s="442" t="s">
        <v>2432</v>
      </c>
      <c r="N288" s="43">
        <v>26</v>
      </c>
      <c r="O288" s="43">
        <v>10</v>
      </c>
      <c r="P288" s="43">
        <v>1991</v>
      </c>
      <c r="Q288" s="201">
        <f t="shared" si="161"/>
        <v>33537</v>
      </c>
      <c r="R288" s="86">
        <f t="shared" ca="1" si="162"/>
        <v>34.219178082191782</v>
      </c>
      <c r="S288" s="358" t="s">
        <v>50</v>
      </c>
      <c r="T288" s="43">
        <v>2</v>
      </c>
      <c r="U288" s="43">
        <v>9</v>
      </c>
      <c r="V288" s="43">
        <v>2024</v>
      </c>
      <c r="W288" s="200">
        <f t="shared" si="195"/>
        <v>45537</v>
      </c>
      <c r="Z288" s="73">
        <f t="shared" ca="1" si="204"/>
        <v>1</v>
      </c>
      <c r="AA288" s="40">
        <f t="shared" ca="1" si="205"/>
        <v>4</v>
      </c>
      <c r="AB288" s="40">
        <f t="shared" ca="1" si="206"/>
        <v>3</v>
      </c>
      <c r="AC288" s="15" t="str">
        <f t="shared" ca="1" si="207"/>
        <v>1Years/4Months/3Days</v>
      </c>
      <c r="AD288" s="108">
        <f t="shared" si="208"/>
        <v>55452</v>
      </c>
      <c r="AE288" s="15"/>
      <c r="AF288" s="15"/>
      <c r="AG288" s="15"/>
      <c r="AH288" s="15"/>
      <c r="AI288" s="15"/>
      <c r="AJ288" s="5"/>
      <c r="AK288" s="5"/>
      <c r="AL288" s="5"/>
    </row>
    <row r="289" spans="1:38" ht="33" customHeight="1" x14ac:dyDescent="0.25">
      <c r="A289" s="73">
        <v>1</v>
      </c>
      <c r="B289" s="74" t="s">
        <v>1014</v>
      </c>
      <c r="C289" s="74" t="s">
        <v>2424</v>
      </c>
      <c r="D289" s="74" t="s">
        <v>2425</v>
      </c>
      <c r="E289" s="494" t="str">
        <f t="shared" si="211"/>
        <v>1/053/131/0334</v>
      </c>
      <c r="F289" s="75" t="s">
        <v>28</v>
      </c>
      <c r="G289" s="441" t="s">
        <v>2426</v>
      </c>
      <c r="H289" s="435" t="s">
        <v>42</v>
      </c>
      <c r="I289" s="442" t="s">
        <v>2437</v>
      </c>
      <c r="J289" s="444" t="s">
        <v>2435</v>
      </c>
      <c r="K289" s="443" t="s">
        <v>1708</v>
      </c>
      <c r="L289" s="445">
        <v>768398222</v>
      </c>
      <c r="M289" s="442" t="s">
        <v>2434</v>
      </c>
      <c r="N289" s="43">
        <v>12</v>
      </c>
      <c r="O289" s="43">
        <v>12</v>
      </c>
      <c r="P289" s="43">
        <v>1994</v>
      </c>
      <c r="Q289" s="201">
        <f t="shared" si="161"/>
        <v>34680</v>
      </c>
      <c r="R289" s="86">
        <f t="shared" ca="1" si="162"/>
        <v>31.087671232876712</v>
      </c>
      <c r="S289" s="358" t="s">
        <v>50</v>
      </c>
      <c r="T289" s="43">
        <v>1</v>
      </c>
      <c r="U289" s="43">
        <v>11</v>
      </c>
      <c r="V289" s="43">
        <v>2024</v>
      </c>
      <c r="W289" s="200">
        <f t="shared" si="195"/>
        <v>45597</v>
      </c>
      <c r="Z289" s="73">
        <f t="shared" ca="1" si="204"/>
        <v>1</v>
      </c>
      <c r="AA289" s="40">
        <f t="shared" ca="1" si="205"/>
        <v>2</v>
      </c>
      <c r="AB289" s="40">
        <f t="shared" ca="1" si="206"/>
        <v>4</v>
      </c>
      <c r="AC289" s="15" t="str">
        <f t="shared" ca="1" si="207"/>
        <v>1Years/2Months/4Days</v>
      </c>
      <c r="AD289" s="108">
        <f t="shared" si="208"/>
        <v>56595</v>
      </c>
      <c r="AE289" s="15"/>
      <c r="AF289" s="15"/>
      <c r="AG289" s="15"/>
      <c r="AH289" s="15"/>
      <c r="AI289" s="15"/>
      <c r="AJ289" s="5"/>
      <c r="AK289" s="5"/>
      <c r="AL289" s="5"/>
    </row>
    <row r="290" spans="1:38" ht="33" customHeight="1" x14ac:dyDescent="0.25">
      <c r="A290" s="73">
        <v>1</v>
      </c>
      <c r="B290" s="74" t="s">
        <v>1014</v>
      </c>
      <c r="C290" s="74" t="s">
        <v>2489</v>
      </c>
      <c r="D290" s="74" t="s">
        <v>2493</v>
      </c>
      <c r="E290" s="494" t="str">
        <f t="shared" si="211"/>
        <v>1/053/132/0335</v>
      </c>
      <c r="F290" s="75"/>
      <c r="G290" s="472" t="s">
        <v>2454</v>
      </c>
      <c r="H290" s="473" t="s">
        <v>42</v>
      </c>
      <c r="I290" s="472" t="s">
        <v>2455</v>
      </c>
      <c r="J290" s="474">
        <v>200483102158</v>
      </c>
      <c r="K290" s="323" t="s">
        <v>31</v>
      </c>
      <c r="L290" s="5">
        <v>775145860</v>
      </c>
      <c r="M290" s="323" t="s">
        <v>2456</v>
      </c>
      <c r="N290" s="344">
        <v>26</v>
      </c>
      <c r="O290" s="344">
        <v>11</v>
      </c>
      <c r="P290" s="344">
        <v>2004</v>
      </c>
      <c r="Q290" s="201">
        <f t="shared" si="161"/>
        <v>38317</v>
      </c>
      <c r="R290" s="86">
        <f t="shared" ca="1" si="162"/>
        <v>21.123287671232877</v>
      </c>
      <c r="S290" s="345" t="s">
        <v>50</v>
      </c>
      <c r="T290" s="344">
        <v>2</v>
      </c>
      <c r="U290" s="344">
        <v>9</v>
      </c>
      <c r="V290" s="344">
        <v>2024</v>
      </c>
      <c r="W290" s="200">
        <f t="shared" si="195"/>
        <v>45537</v>
      </c>
      <c r="Z290" s="73">
        <f t="shared" ca="1" si="204"/>
        <v>1</v>
      </c>
      <c r="AA290" s="40">
        <f t="shared" ca="1" si="205"/>
        <v>4</v>
      </c>
      <c r="AB290" s="40">
        <f t="shared" ca="1" si="206"/>
        <v>3</v>
      </c>
      <c r="AC290" s="15" t="str">
        <f t="shared" ca="1" si="207"/>
        <v>1Years/4Months/3Days</v>
      </c>
      <c r="AD290" s="108">
        <f t="shared" si="208"/>
        <v>60232</v>
      </c>
      <c r="AE290" s="15"/>
      <c r="AF290" s="15"/>
      <c r="AG290" s="15"/>
      <c r="AH290" s="15"/>
      <c r="AI290" s="15"/>
      <c r="AJ290" s="5"/>
      <c r="AK290" s="5"/>
      <c r="AL290" s="5"/>
    </row>
    <row r="291" spans="1:38" ht="33" customHeight="1" x14ac:dyDescent="0.25">
      <c r="A291" s="73">
        <v>1</v>
      </c>
      <c r="B291" s="74" t="s">
        <v>1014</v>
      </c>
      <c r="C291" s="74" t="s">
        <v>2490</v>
      </c>
      <c r="D291" s="74" t="s">
        <v>2494</v>
      </c>
      <c r="E291" s="494" t="str">
        <f t="shared" si="211"/>
        <v>1/053/133/0336</v>
      </c>
      <c r="F291" s="75"/>
      <c r="G291" s="472" t="s">
        <v>1626</v>
      </c>
      <c r="H291" s="473" t="s">
        <v>42</v>
      </c>
      <c r="I291" s="472" t="s">
        <v>2457</v>
      </c>
      <c r="J291" s="474" t="s">
        <v>2458</v>
      </c>
      <c r="K291" s="323" t="s">
        <v>31</v>
      </c>
      <c r="L291" s="5">
        <v>773106566</v>
      </c>
      <c r="M291" s="323" t="s">
        <v>2459</v>
      </c>
      <c r="N291" s="344">
        <v>23</v>
      </c>
      <c r="O291" s="344">
        <v>2</v>
      </c>
      <c r="P291" s="344">
        <v>1999</v>
      </c>
      <c r="Q291" s="201">
        <f t="shared" si="161"/>
        <v>36214</v>
      </c>
      <c r="R291" s="86">
        <f t="shared" ca="1" si="162"/>
        <v>26.884931506849316</v>
      </c>
      <c r="S291" s="345" t="s">
        <v>50</v>
      </c>
      <c r="T291" s="344">
        <v>2</v>
      </c>
      <c r="U291" s="344">
        <v>9</v>
      </c>
      <c r="V291" s="344">
        <v>2024</v>
      </c>
      <c r="W291" s="200">
        <f t="shared" si="195"/>
        <v>45537</v>
      </c>
      <c r="Z291" s="73">
        <f t="shared" ca="1" si="204"/>
        <v>1</v>
      </c>
      <c r="AA291" s="40">
        <f t="shared" ca="1" si="205"/>
        <v>4</v>
      </c>
      <c r="AB291" s="40">
        <f t="shared" ca="1" si="206"/>
        <v>3</v>
      </c>
      <c r="AC291" s="15" t="str">
        <f t="shared" ca="1" si="207"/>
        <v>1Years/4Months/3Days</v>
      </c>
      <c r="AD291" s="108">
        <f t="shared" si="208"/>
        <v>58129</v>
      </c>
      <c r="AE291" s="15"/>
      <c r="AF291" s="15"/>
      <c r="AG291" s="15"/>
      <c r="AH291" s="15"/>
      <c r="AI291" s="15"/>
      <c r="AJ291" s="5"/>
      <c r="AK291" s="5"/>
      <c r="AL291" s="5"/>
    </row>
    <row r="292" spans="1:38" ht="33" customHeight="1" x14ac:dyDescent="0.25">
      <c r="A292" s="73">
        <v>1</v>
      </c>
      <c r="B292" s="74" t="s">
        <v>1014</v>
      </c>
      <c r="C292" s="74" t="s">
        <v>2491</v>
      </c>
      <c r="D292" s="74" t="s">
        <v>2495</v>
      </c>
      <c r="E292" s="494" t="str">
        <f t="shared" si="211"/>
        <v>1/053/134/0337</v>
      </c>
      <c r="F292" s="75"/>
      <c r="G292" s="472" t="s">
        <v>2460</v>
      </c>
      <c r="H292" s="473" t="s">
        <v>42</v>
      </c>
      <c r="I292" s="472" t="s">
        <v>2461</v>
      </c>
      <c r="J292" s="474">
        <v>200371100677</v>
      </c>
      <c r="K292" s="323" t="s">
        <v>96</v>
      </c>
      <c r="L292" s="5">
        <v>760844723</v>
      </c>
      <c r="M292" s="323" t="s">
        <v>2462</v>
      </c>
      <c r="N292" s="344">
        <v>29</v>
      </c>
      <c r="O292" s="344">
        <v>7</v>
      </c>
      <c r="P292" s="344">
        <v>2003</v>
      </c>
      <c r="Q292" s="201">
        <f t="shared" si="161"/>
        <v>37831</v>
      </c>
      <c r="R292" s="86">
        <f t="shared" ca="1" si="162"/>
        <v>22.454794520547946</v>
      </c>
      <c r="S292" s="345" t="s">
        <v>50</v>
      </c>
      <c r="T292" s="344">
        <v>6</v>
      </c>
      <c r="U292" s="344">
        <v>9</v>
      </c>
      <c r="V292" s="344">
        <v>2024</v>
      </c>
      <c r="W292" s="200">
        <f t="shared" si="195"/>
        <v>45541</v>
      </c>
      <c r="Z292" s="73">
        <f t="shared" ca="1" si="204"/>
        <v>1</v>
      </c>
      <c r="AA292" s="40">
        <f t="shared" ca="1" si="205"/>
        <v>3</v>
      </c>
      <c r="AB292" s="40">
        <f t="shared" ca="1" si="206"/>
        <v>30</v>
      </c>
      <c r="AC292" s="15" t="str">
        <f t="shared" ca="1" si="207"/>
        <v>1Years/3Months/30Days</v>
      </c>
      <c r="AD292" s="108">
        <f t="shared" si="208"/>
        <v>59746</v>
      </c>
      <c r="AE292" s="15"/>
      <c r="AF292" s="15"/>
      <c r="AG292" s="15"/>
      <c r="AH292" s="15"/>
      <c r="AI292" s="15"/>
      <c r="AJ292" s="5"/>
      <c r="AK292" s="5"/>
      <c r="AL292" s="5"/>
    </row>
    <row r="293" spans="1:38" ht="33" customHeight="1" x14ac:dyDescent="0.25">
      <c r="A293" s="73">
        <v>1</v>
      </c>
      <c r="B293" s="74" t="s">
        <v>1014</v>
      </c>
      <c r="C293" s="74" t="s">
        <v>2492</v>
      </c>
      <c r="D293" s="74" t="s">
        <v>2496</v>
      </c>
      <c r="E293" s="494" t="str">
        <f t="shared" si="211"/>
        <v>1/053/135/0338</v>
      </c>
      <c r="F293" s="75"/>
      <c r="G293" s="472" t="s">
        <v>2463</v>
      </c>
      <c r="H293" s="473" t="s">
        <v>42</v>
      </c>
      <c r="I293" s="472" t="s">
        <v>2464</v>
      </c>
      <c r="J293" s="474" t="s">
        <v>2465</v>
      </c>
      <c r="K293" s="323" t="s">
        <v>31</v>
      </c>
      <c r="L293" s="5">
        <v>770378969</v>
      </c>
      <c r="M293" s="323" t="s">
        <v>2466</v>
      </c>
      <c r="N293" s="344">
        <v>25</v>
      </c>
      <c r="O293" s="344">
        <v>10</v>
      </c>
      <c r="P293" s="344">
        <v>1994</v>
      </c>
      <c r="Q293" s="201">
        <f t="shared" si="161"/>
        <v>34632</v>
      </c>
      <c r="R293" s="86">
        <f t="shared" ca="1" si="162"/>
        <v>31.219178082191782</v>
      </c>
      <c r="S293" s="345" t="s">
        <v>50</v>
      </c>
      <c r="T293" s="344">
        <v>9</v>
      </c>
      <c r="U293" s="344">
        <v>9</v>
      </c>
      <c r="V293" s="344">
        <v>2024</v>
      </c>
      <c r="W293" s="200">
        <f t="shared" si="195"/>
        <v>45544</v>
      </c>
      <c r="Z293" s="73">
        <f t="shared" ca="1" si="204"/>
        <v>1</v>
      </c>
      <c r="AA293" s="40">
        <f t="shared" ca="1" si="205"/>
        <v>3</v>
      </c>
      <c r="AB293" s="40">
        <f t="shared" ca="1" si="206"/>
        <v>27</v>
      </c>
      <c r="AC293" s="15" t="str">
        <f t="shared" ca="1" si="207"/>
        <v>1Years/3Months/27Days</v>
      </c>
      <c r="AD293" s="108">
        <f t="shared" si="208"/>
        <v>56547</v>
      </c>
      <c r="AE293" s="15"/>
      <c r="AF293" s="15"/>
      <c r="AG293" s="15"/>
      <c r="AH293" s="15"/>
      <c r="AI293" s="15"/>
      <c r="AJ293" s="5"/>
      <c r="AK293" s="5"/>
      <c r="AL293" s="5"/>
    </row>
    <row r="294" spans="1:38" ht="33" customHeight="1" x14ac:dyDescent="0.25">
      <c r="A294" s="73">
        <v>1</v>
      </c>
      <c r="B294" s="74" t="s">
        <v>1014</v>
      </c>
      <c r="C294" s="74" t="s">
        <v>2499</v>
      </c>
      <c r="D294" s="74" t="s">
        <v>2497</v>
      </c>
      <c r="E294" s="494" t="str">
        <f t="shared" si="211"/>
        <v>1/053/136/0339</v>
      </c>
      <c r="F294" s="75"/>
      <c r="G294" s="472" t="s">
        <v>2467</v>
      </c>
      <c r="H294" s="473" t="s">
        <v>42</v>
      </c>
      <c r="I294" s="472" t="s">
        <v>2468</v>
      </c>
      <c r="J294" s="474" t="s">
        <v>2469</v>
      </c>
      <c r="K294" s="323" t="s">
        <v>31</v>
      </c>
      <c r="L294" s="5">
        <v>766009421</v>
      </c>
      <c r="M294" s="323" t="s">
        <v>2470</v>
      </c>
      <c r="N294" s="344">
        <v>10</v>
      </c>
      <c r="O294" s="344">
        <v>4</v>
      </c>
      <c r="P294" s="344">
        <v>1995</v>
      </c>
      <c r="Q294" s="201">
        <f t="shared" si="161"/>
        <v>34799</v>
      </c>
      <c r="R294" s="86">
        <f t="shared" ca="1" si="162"/>
        <v>30.761643835616439</v>
      </c>
      <c r="S294" s="345" t="s">
        <v>50</v>
      </c>
      <c r="T294" s="344">
        <v>6</v>
      </c>
      <c r="U294" s="344">
        <v>9</v>
      </c>
      <c r="V294" s="344">
        <v>2024</v>
      </c>
      <c r="W294" s="200">
        <f t="shared" si="195"/>
        <v>45541</v>
      </c>
      <c r="Z294" s="73">
        <f t="shared" ca="1" si="204"/>
        <v>1</v>
      </c>
      <c r="AA294" s="40">
        <f t="shared" ca="1" si="205"/>
        <v>3</v>
      </c>
      <c r="AB294" s="40">
        <f t="shared" ca="1" si="206"/>
        <v>30</v>
      </c>
      <c r="AC294" s="15" t="str">
        <f t="shared" ca="1" si="207"/>
        <v>1Years/3Months/30Days</v>
      </c>
      <c r="AD294" s="108">
        <f t="shared" si="208"/>
        <v>56714</v>
      </c>
      <c r="AE294" s="15"/>
      <c r="AF294" s="15"/>
      <c r="AG294" s="15"/>
      <c r="AH294" s="15"/>
      <c r="AI294" s="15"/>
      <c r="AJ294" s="5"/>
      <c r="AK294" s="5"/>
      <c r="AL294" s="5"/>
    </row>
    <row r="295" spans="1:38" ht="33" customHeight="1" x14ac:dyDescent="0.25">
      <c r="A295" s="73">
        <v>1</v>
      </c>
      <c r="B295" s="74" t="s">
        <v>1014</v>
      </c>
      <c r="C295" s="74" t="s">
        <v>2500</v>
      </c>
      <c r="D295" s="74" t="s">
        <v>2498</v>
      </c>
      <c r="E295" s="494" t="str">
        <f t="shared" si="211"/>
        <v>1/053/137/0340</v>
      </c>
      <c r="F295" s="75"/>
      <c r="G295" s="472" t="s">
        <v>2471</v>
      </c>
      <c r="H295" s="473" t="s">
        <v>42</v>
      </c>
      <c r="I295" s="472" t="s">
        <v>2472</v>
      </c>
      <c r="J295" s="474" t="s">
        <v>2473</v>
      </c>
      <c r="K295" s="323" t="s">
        <v>1708</v>
      </c>
      <c r="L295" s="5">
        <v>755733733</v>
      </c>
      <c r="M295" s="323" t="s">
        <v>2474</v>
      </c>
      <c r="N295" s="344">
        <v>16</v>
      </c>
      <c r="O295" s="344">
        <v>4</v>
      </c>
      <c r="P295" s="344">
        <v>1984</v>
      </c>
      <c r="Q295" s="201">
        <f t="shared" si="161"/>
        <v>30788</v>
      </c>
      <c r="R295" s="86">
        <f t="shared" ca="1" si="162"/>
        <v>41.750684931506846</v>
      </c>
      <c r="S295" s="345" t="s">
        <v>50</v>
      </c>
      <c r="T295" s="344">
        <v>16</v>
      </c>
      <c r="U295" s="344">
        <v>10</v>
      </c>
      <c r="V295" s="344">
        <v>2024</v>
      </c>
      <c r="W295" s="200">
        <f t="shared" si="195"/>
        <v>45581</v>
      </c>
      <c r="Z295" s="73">
        <f t="shared" ca="1" si="204"/>
        <v>1</v>
      </c>
      <c r="AA295" s="40">
        <f t="shared" ca="1" si="205"/>
        <v>2</v>
      </c>
      <c r="AB295" s="40">
        <f t="shared" ca="1" si="206"/>
        <v>20</v>
      </c>
      <c r="AC295" s="15" t="str">
        <f t="shared" ca="1" si="207"/>
        <v>1Years/2Months/20Days</v>
      </c>
      <c r="AD295" s="108">
        <f t="shared" si="208"/>
        <v>52703</v>
      </c>
      <c r="AE295" s="15"/>
      <c r="AF295" s="15"/>
      <c r="AG295" s="15"/>
      <c r="AH295" s="15"/>
      <c r="AI295" s="15"/>
      <c r="AJ295" s="5"/>
      <c r="AK295" s="5"/>
      <c r="AL295" s="5"/>
    </row>
    <row r="296" spans="1:38" ht="33" customHeight="1" x14ac:dyDescent="0.25">
      <c r="A296" s="73">
        <v>1</v>
      </c>
      <c r="B296" s="74" t="s">
        <v>1014</v>
      </c>
      <c r="C296" s="74" t="s">
        <v>2501</v>
      </c>
      <c r="D296" s="74" t="s">
        <v>2505</v>
      </c>
      <c r="E296" s="494" t="str">
        <f t="shared" si="211"/>
        <v>1/053/138/0341</v>
      </c>
      <c r="F296" s="75"/>
      <c r="G296" s="472" t="s">
        <v>2475</v>
      </c>
      <c r="H296" s="473" t="s">
        <v>42</v>
      </c>
      <c r="I296" s="472" t="s">
        <v>2476</v>
      </c>
      <c r="J296" s="474">
        <v>199676700103</v>
      </c>
      <c r="K296" s="323" t="s">
        <v>31</v>
      </c>
      <c r="L296" s="5">
        <v>765355931</v>
      </c>
      <c r="M296" s="323" t="s">
        <v>2477</v>
      </c>
      <c r="N296" s="344">
        <v>23</v>
      </c>
      <c r="O296" s="344">
        <v>9</v>
      </c>
      <c r="P296" s="344">
        <v>1996</v>
      </c>
      <c r="Q296" s="201">
        <f t="shared" si="161"/>
        <v>35331</v>
      </c>
      <c r="R296" s="86">
        <f t="shared" ca="1" si="162"/>
        <v>29.304109589041097</v>
      </c>
      <c r="S296" s="345" t="s">
        <v>50</v>
      </c>
      <c r="T296" s="344">
        <v>20</v>
      </c>
      <c r="U296" s="344">
        <v>1</v>
      </c>
      <c r="V296" s="344">
        <v>2025</v>
      </c>
      <c r="W296" s="200">
        <f t="shared" si="195"/>
        <v>45677</v>
      </c>
      <c r="Z296" s="73">
        <f t="shared" ca="1" si="204"/>
        <v>0</v>
      </c>
      <c r="AA296" s="40">
        <f t="shared" ca="1" si="205"/>
        <v>11</v>
      </c>
      <c r="AB296" s="40">
        <f t="shared" ca="1" si="206"/>
        <v>16</v>
      </c>
      <c r="AC296" s="15" t="str">
        <f t="shared" ca="1" si="207"/>
        <v>0Years/11Months/16Days</v>
      </c>
      <c r="AD296" s="108">
        <f t="shared" si="208"/>
        <v>57246</v>
      </c>
      <c r="AE296" s="15"/>
      <c r="AF296" s="15"/>
      <c r="AG296" s="15"/>
      <c r="AH296" s="15"/>
      <c r="AI296" s="15"/>
      <c r="AJ296" s="5"/>
      <c r="AK296" s="5"/>
      <c r="AL296" s="5"/>
    </row>
    <row r="297" spans="1:38" ht="33" customHeight="1" x14ac:dyDescent="0.25">
      <c r="A297" s="73">
        <v>1</v>
      </c>
      <c r="B297" s="74" t="s">
        <v>1014</v>
      </c>
      <c r="C297" s="74" t="s">
        <v>2502</v>
      </c>
      <c r="D297" s="74" t="s">
        <v>2506</v>
      </c>
      <c r="E297" s="494" t="str">
        <f t="shared" si="211"/>
        <v>1/053/139/0342</v>
      </c>
      <c r="F297" s="75"/>
      <c r="G297" s="472" t="s">
        <v>2478</v>
      </c>
      <c r="H297" s="473" t="s">
        <v>42</v>
      </c>
      <c r="I297" s="472" t="s">
        <v>2479</v>
      </c>
      <c r="J297" s="474">
        <v>199065100693</v>
      </c>
      <c r="K297" s="323" t="s">
        <v>31</v>
      </c>
      <c r="L297" s="5">
        <v>777770734</v>
      </c>
      <c r="M297" s="323" t="s">
        <v>2480</v>
      </c>
      <c r="N297" s="344">
        <v>30</v>
      </c>
      <c r="O297" s="344">
        <v>5</v>
      </c>
      <c r="P297" s="344">
        <v>1990</v>
      </c>
      <c r="Q297" s="201">
        <f t="shared" si="161"/>
        <v>33023</v>
      </c>
      <c r="R297" s="86">
        <f t="shared" ca="1" si="162"/>
        <v>35.627397260273973</v>
      </c>
      <c r="S297" s="345" t="s">
        <v>50</v>
      </c>
      <c r="T297" s="344">
        <v>6</v>
      </c>
      <c r="U297" s="344">
        <v>1</v>
      </c>
      <c r="V297" s="344">
        <v>2025</v>
      </c>
      <c r="W297" s="200">
        <f t="shared" si="195"/>
        <v>45663</v>
      </c>
      <c r="Z297" s="73">
        <f t="shared" ca="1" si="204"/>
        <v>0</v>
      </c>
      <c r="AA297" s="40">
        <f t="shared" ca="1" si="205"/>
        <v>11</v>
      </c>
      <c r="AB297" s="40">
        <f t="shared" ca="1" si="206"/>
        <v>30</v>
      </c>
      <c r="AC297" s="15" t="str">
        <f t="shared" ca="1" si="207"/>
        <v>0Years/11Months/30Days</v>
      </c>
      <c r="AD297" s="108">
        <f t="shared" si="208"/>
        <v>54938</v>
      </c>
      <c r="AE297" s="15"/>
      <c r="AF297" s="15"/>
      <c r="AG297" s="15"/>
      <c r="AH297" s="15"/>
      <c r="AI297" s="15"/>
      <c r="AJ297" s="5"/>
      <c r="AK297" s="5"/>
      <c r="AL297" s="5"/>
    </row>
    <row r="298" spans="1:38" ht="33" customHeight="1" x14ac:dyDescent="0.25">
      <c r="A298" s="73">
        <v>1</v>
      </c>
      <c r="B298" s="74" t="s">
        <v>1014</v>
      </c>
      <c r="C298" s="74" t="s">
        <v>2503</v>
      </c>
      <c r="D298" s="74" t="s">
        <v>2507</v>
      </c>
      <c r="E298" s="494" t="str">
        <f t="shared" si="211"/>
        <v>1/053/140/0343</v>
      </c>
      <c r="F298" s="75"/>
      <c r="G298" s="472" t="s">
        <v>2481</v>
      </c>
      <c r="H298" s="473" t="s">
        <v>42</v>
      </c>
      <c r="I298" s="472" t="s">
        <v>2482</v>
      </c>
      <c r="J298" s="474" t="s">
        <v>2483</v>
      </c>
      <c r="K298" s="323" t="s">
        <v>1708</v>
      </c>
      <c r="L298" s="5">
        <v>711271864</v>
      </c>
      <c r="M298" s="323" t="s">
        <v>2484</v>
      </c>
      <c r="N298" s="344">
        <v>2</v>
      </c>
      <c r="O298" s="344">
        <v>9</v>
      </c>
      <c r="P298" s="344">
        <v>1999</v>
      </c>
      <c r="Q298" s="201">
        <f t="shared" si="161"/>
        <v>36405</v>
      </c>
      <c r="R298" s="86">
        <f t="shared" ca="1" si="162"/>
        <v>26.361643835616437</v>
      </c>
      <c r="S298" s="345" t="s">
        <v>50</v>
      </c>
      <c r="T298" s="344">
        <v>3</v>
      </c>
      <c r="U298" s="344">
        <v>2</v>
      </c>
      <c r="V298" s="344">
        <v>2025</v>
      </c>
      <c r="W298" s="200">
        <f t="shared" si="195"/>
        <v>45691</v>
      </c>
      <c r="Z298" s="73">
        <f t="shared" ca="1" si="204"/>
        <v>0</v>
      </c>
      <c r="AA298" s="40">
        <f t="shared" ca="1" si="205"/>
        <v>11</v>
      </c>
      <c r="AB298" s="40">
        <f t="shared" ca="1" si="206"/>
        <v>2</v>
      </c>
      <c r="AC298" s="15" t="str">
        <f t="shared" ca="1" si="207"/>
        <v>0Years/11Months/2Days</v>
      </c>
      <c r="AD298" s="108">
        <f t="shared" si="208"/>
        <v>58320</v>
      </c>
      <c r="AE298" s="15"/>
      <c r="AF298" s="15"/>
      <c r="AG298" s="15"/>
      <c r="AH298" s="15"/>
      <c r="AI298" s="15"/>
      <c r="AJ298" s="5"/>
      <c r="AK298" s="5"/>
      <c r="AL298" s="5"/>
    </row>
    <row r="299" spans="1:38" ht="33" customHeight="1" x14ac:dyDescent="0.25">
      <c r="A299" s="73">
        <v>1</v>
      </c>
      <c r="B299" s="74" t="s">
        <v>1014</v>
      </c>
      <c r="C299" s="74" t="s">
        <v>2504</v>
      </c>
      <c r="D299" s="74" t="s">
        <v>2508</v>
      </c>
      <c r="E299" s="494" t="str">
        <f t="shared" si="211"/>
        <v>1/053/141/0344</v>
      </c>
      <c r="F299" s="75"/>
      <c r="G299" s="472" t="s">
        <v>2485</v>
      </c>
      <c r="H299" s="473" t="s">
        <v>42</v>
      </c>
      <c r="I299" s="472" t="s">
        <v>2486</v>
      </c>
      <c r="J299" s="474" t="s">
        <v>2487</v>
      </c>
      <c r="K299" s="323" t="s">
        <v>31</v>
      </c>
      <c r="L299" s="5">
        <v>768677286</v>
      </c>
      <c r="M299" s="323" t="s">
        <v>2488</v>
      </c>
      <c r="N299" s="344">
        <v>2</v>
      </c>
      <c r="O299" s="344">
        <v>6</v>
      </c>
      <c r="P299" s="344">
        <v>1999</v>
      </c>
      <c r="Q299" s="201">
        <f>DATE(P299,O299,N299)</f>
        <v>36313</v>
      </c>
      <c r="R299" s="86">
        <f ca="1">($G$7-Q299)/365</f>
        <v>26.613698630136987</v>
      </c>
      <c r="S299" s="345" t="s">
        <v>50</v>
      </c>
      <c r="T299" s="344">
        <v>6</v>
      </c>
      <c r="U299" s="344">
        <v>1</v>
      </c>
      <c r="V299" s="344">
        <v>2025</v>
      </c>
      <c r="W299" s="200">
        <f>DATE(V299,U299,T299)</f>
        <v>45663</v>
      </c>
      <c r="Z299" s="73">
        <f ca="1">DATEDIF(W299,TODAY(),"Y")</f>
        <v>0</v>
      </c>
      <c r="AA299" s="40">
        <f ca="1">DATEDIF(W299,TODAY(),"YM")</f>
        <v>11</v>
      </c>
      <c r="AB299" s="40">
        <f ca="1">DATEDIF(W299,TODAY(),"MD")</f>
        <v>30</v>
      </c>
      <c r="AC299" s="15" t="str">
        <f t="shared" ca="1" si="207"/>
        <v>0Years/11Months/30Days</v>
      </c>
      <c r="AD299" s="108">
        <f>(DATE(P299,O299,N299)+21915)</f>
        <v>58228</v>
      </c>
      <c r="AE299" s="15"/>
      <c r="AF299" s="15"/>
      <c r="AG299" s="15"/>
      <c r="AH299" s="15"/>
      <c r="AI299" s="15"/>
      <c r="AJ299" s="5"/>
      <c r="AK299" s="5"/>
      <c r="AL299" s="5"/>
    </row>
    <row r="300" spans="1:38" ht="33" customHeight="1" x14ac:dyDescent="0.25">
      <c r="A300" s="523">
        <v>1</v>
      </c>
      <c r="B300" s="523" t="s">
        <v>306</v>
      </c>
      <c r="C300" s="523">
        <v>144</v>
      </c>
      <c r="D300" s="489">
        <v>345</v>
      </c>
      <c r="E300" s="496" t="str">
        <f t="shared" ref="E300:E309" si="212">CONCATENATE(A300,"/",B300,"/",C300,"/",D300)</f>
        <v>1/052/144/345</v>
      </c>
      <c r="F300" s="75"/>
      <c r="G300" s="504" t="s">
        <v>2531</v>
      </c>
      <c r="H300" s="507" t="s">
        <v>1712</v>
      </c>
      <c r="I300" s="507" t="s">
        <v>2545</v>
      </c>
      <c r="J300" s="509" t="s">
        <v>2558</v>
      </c>
      <c r="K300" s="511" t="s">
        <v>311</v>
      </c>
      <c r="L300" s="507">
        <v>767846529</v>
      </c>
      <c r="M300" s="512" t="s">
        <v>2573</v>
      </c>
      <c r="N300" s="516">
        <v>14</v>
      </c>
      <c r="O300" s="516">
        <v>12</v>
      </c>
      <c r="P300" s="516">
        <v>2004</v>
      </c>
      <c r="Q300" s="201">
        <f t="shared" ref="Q300:Q304" si="213">DATE(P300,O300,N300)</f>
        <v>38335</v>
      </c>
      <c r="R300" s="86">
        <f t="shared" ref="R300:R304" ca="1" si="214">($G$7-Q300)/365</f>
        <v>21.073972602739726</v>
      </c>
      <c r="S300" s="73" t="s">
        <v>50</v>
      </c>
      <c r="T300" s="511">
        <v>10</v>
      </c>
      <c r="U300" s="511">
        <v>5</v>
      </c>
      <c r="V300" s="511">
        <v>2024</v>
      </c>
      <c r="W300" s="200">
        <f t="shared" ref="W300:W309" si="215">DATE(V300,U300,T300)</f>
        <v>45422</v>
      </c>
      <c r="Z300" s="73"/>
      <c r="AA300" s="40"/>
      <c r="AB300" s="40"/>
      <c r="AC300" s="15"/>
      <c r="AD300" s="108"/>
      <c r="AE300" s="15"/>
      <c r="AF300" s="15"/>
      <c r="AG300" s="15"/>
      <c r="AH300" s="15"/>
      <c r="AI300" s="15"/>
      <c r="AJ300" s="5"/>
      <c r="AK300" s="5"/>
      <c r="AL300" s="5"/>
    </row>
    <row r="301" spans="1:38" ht="33" customHeight="1" x14ac:dyDescent="0.25">
      <c r="A301" s="523">
        <v>1</v>
      </c>
      <c r="B301" s="523" t="s">
        <v>306</v>
      </c>
      <c r="C301" s="540">
        <v>145</v>
      </c>
      <c r="D301" s="496">
        <v>346</v>
      </c>
      <c r="E301" s="496" t="str">
        <f t="shared" si="212"/>
        <v>1/052/145/346</v>
      </c>
      <c r="F301" s="75"/>
      <c r="G301" s="504" t="s">
        <v>2533</v>
      </c>
      <c r="H301" s="507" t="s">
        <v>42</v>
      </c>
      <c r="I301" s="507" t="s">
        <v>2547</v>
      </c>
      <c r="J301" s="509" t="s">
        <v>2560</v>
      </c>
      <c r="K301" s="511" t="s">
        <v>311</v>
      </c>
      <c r="L301" s="507">
        <v>775476513</v>
      </c>
      <c r="M301" s="512" t="s">
        <v>2575</v>
      </c>
      <c r="N301" s="516">
        <v>31</v>
      </c>
      <c r="O301" s="516">
        <v>7</v>
      </c>
      <c r="P301" s="516">
        <v>1998</v>
      </c>
      <c r="Q301" s="201">
        <f t="shared" si="213"/>
        <v>36007</v>
      </c>
      <c r="R301" s="86">
        <f t="shared" ca="1" si="214"/>
        <v>27.452054794520549</v>
      </c>
      <c r="S301" s="73" t="s">
        <v>50</v>
      </c>
      <c r="T301" s="511">
        <v>1</v>
      </c>
      <c r="U301" s="511">
        <v>9</v>
      </c>
      <c r="V301" s="511">
        <v>2024</v>
      </c>
      <c r="W301" s="200">
        <f t="shared" si="215"/>
        <v>45536</v>
      </c>
      <c r="Z301" s="73"/>
      <c r="AA301" s="40"/>
      <c r="AB301" s="40"/>
      <c r="AC301" s="15"/>
      <c r="AD301" s="108"/>
      <c r="AE301" s="15"/>
      <c r="AF301" s="15"/>
      <c r="AG301" s="15"/>
      <c r="AH301" s="15"/>
      <c r="AI301" s="15"/>
      <c r="AJ301" s="5"/>
      <c r="AK301" s="5"/>
      <c r="AL301" s="5"/>
    </row>
    <row r="302" spans="1:38" ht="33" customHeight="1" x14ac:dyDescent="0.25">
      <c r="A302" s="523">
        <v>1</v>
      </c>
      <c r="B302" s="523" t="s">
        <v>306</v>
      </c>
      <c r="C302" s="523">
        <v>146</v>
      </c>
      <c r="D302" s="489">
        <v>347</v>
      </c>
      <c r="E302" s="496" t="str">
        <f t="shared" si="212"/>
        <v>1/052/146/347</v>
      </c>
      <c r="F302" s="75"/>
      <c r="G302" s="504" t="s">
        <v>2534</v>
      </c>
      <c r="H302" s="507" t="s">
        <v>42</v>
      </c>
      <c r="I302" s="507" t="s">
        <v>2548</v>
      </c>
      <c r="J302" s="509" t="s">
        <v>2561</v>
      </c>
      <c r="K302" s="511" t="s">
        <v>311</v>
      </c>
      <c r="L302" s="507">
        <v>713712219</v>
      </c>
      <c r="M302" s="512" t="s">
        <v>2576</v>
      </c>
      <c r="N302" s="516">
        <v>1</v>
      </c>
      <c r="O302" s="516">
        <v>7</v>
      </c>
      <c r="P302" s="516">
        <v>2000</v>
      </c>
      <c r="Q302" s="201">
        <f t="shared" si="213"/>
        <v>36708</v>
      </c>
      <c r="R302" s="86">
        <f t="shared" ca="1" si="214"/>
        <v>25.531506849315068</v>
      </c>
      <c r="S302" s="73" t="s">
        <v>34</v>
      </c>
      <c r="T302" s="511">
        <v>1</v>
      </c>
      <c r="U302" s="511">
        <v>9</v>
      </c>
      <c r="V302" s="511">
        <v>2024</v>
      </c>
      <c r="W302" s="200">
        <f t="shared" si="215"/>
        <v>45536</v>
      </c>
      <c r="Z302" s="73"/>
      <c r="AA302" s="40"/>
      <c r="AB302" s="40"/>
      <c r="AC302" s="15"/>
      <c r="AD302" s="108"/>
      <c r="AE302" s="15"/>
      <c r="AF302" s="15"/>
      <c r="AG302" s="15"/>
      <c r="AH302" s="15"/>
      <c r="AI302" s="15"/>
      <c r="AJ302" s="5"/>
      <c r="AK302" s="5"/>
      <c r="AL302" s="5"/>
    </row>
    <row r="303" spans="1:38" ht="33" customHeight="1" x14ac:dyDescent="0.25">
      <c r="A303" s="523">
        <v>1</v>
      </c>
      <c r="B303" s="523" t="s">
        <v>306</v>
      </c>
      <c r="C303" s="540">
        <v>147</v>
      </c>
      <c r="D303" s="496">
        <v>348</v>
      </c>
      <c r="E303" s="496" t="str">
        <f t="shared" si="212"/>
        <v>1/052/147/348</v>
      </c>
      <c r="F303" s="75"/>
      <c r="G303" s="504" t="s">
        <v>2535</v>
      </c>
      <c r="H303" s="507" t="s">
        <v>42</v>
      </c>
      <c r="I303" s="507" t="s">
        <v>2549</v>
      </c>
      <c r="J303" s="509" t="s">
        <v>2562</v>
      </c>
      <c r="K303" s="511" t="s">
        <v>311</v>
      </c>
      <c r="L303" s="507">
        <v>766129854</v>
      </c>
      <c r="M303" s="513" t="s">
        <v>2577</v>
      </c>
      <c r="N303" s="516">
        <v>17</v>
      </c>
      <c r="O303" s="516">
        <v>1</v>
      </c>
      <c r="P303" s="516">
        <v>1977</v>
      </c>
      <c r="Q303" s="201">
        <f t="shared" si="213"/>
        <v>28142</v>
      </c>
      <c r="R303" s="86">
        <f t="shared" ca="1" si="214"/>
        <v>49</v>
      </c>
      <c r="S303" s="73" t="s">
        <v>50</v>
      </c>
      <c r="T303" s="511">
        <v>1</v>
      </c>
      <c r="U303" s="511">
        <v>9</v>
      </c>
      <c r="V303" s="511">
        <v>2024</v>
      </c>
      <c r="W303" s="200">
        <f t="shared" si="215"/>
        <v>45536</v>
      </c>
      <c r="Z303" s="73"/>
      <c r="AA303" s="40"/>
      <c r="AB303" s="40"/>
      <c r="AC303" s="15"/>
      <c r="AD303" s="108"/>
      <c r="AE303" s="15"/>
      <c r="AF303" s="15"/>
      <c r="AG303" s="15"/>
      <c r="AH303" s="15"/>
      <c r="AI303" s="15"/>
      <c r="AJ303" s="5"/>
      <c r="AK303" s="5"/>
      <c r="AL303" s="5"/>
    </row>
    <row r="304" spans="1:38" ht="33" customHeight="1" x14ac:dyDescent="0.25">
      <c r="A304" s="523">
        <v>1</v>
      </c>
      <c r="B304" s="523" t="s">
        <v>306</v>
      </c>
      <c r="C304" s="523">
        <v>148</v>
      </c>
      <c r="D304" s="489">
        <v>349</v>
      </c>
      <c r="E304" s="496" t="str">
        <f t="shared" si="212"/>
        <v>1/052/148/349</v>
      </c>
      <c r="F304" s="75"/>
      <c r="G304" s="504" t="s">
        <v>2536</v>
      </c>
      <c r="H304" s="506" t="s">
        <v>42</v>
      </c>
      <c r="I304" s="506" t="s">
        <v>2550</v>
      </c>
      <c r="J304" s="510" t="s">
        <v>2563</v>
      </c>
      <c r="K304" s="511" t="s">
        <v>96</v>
      </c>
      <c r="L304" s="506">
        <v>779909881</v>
      </c>
      <c r="M304" s="512" t="s">
        <v>1975</v>
      </c>
      <c r="N304" s="516">
        <v>26</v>
      </c>
      <c r="O304" s="516">
        <v>3</v>
      </c>
      <c r="P304" s="516">
        <v>1991</v>
      </c>
      <c r="Q304" s="201">
        <f t="shared" si="213"/>
        <v>33323</v>
      </c>
      <c r="R304" s="86">
        <f t="shared" ca="1" si="214"/>
        <v>34.805479452054797</v>
      </c>
      <c r="S304" s="73" t="s">
        <v>50</v>
      </c>
      <c r="T304" s="516">
        <v>1</v>
      </c>
      <c r="U304" s="516">
        <v>9</v>
      </c>
      <c r="V304" s="516">
        <v>2024</v>
      </c>
      <c r="W304" s="200">
        <f t="shared" si="215"/>
        <v>45536</v>
      </c>
      <c r="Z304" s="73"/>
      <c r="AA304" s="40"/>
      <c r="AB304" s="40"/>
      <c r="AC304" s="15"/>
      <c r="AD304" s="108"/>
      <c r="AE304" s="15"/>
      <c r="AF304" s="15"/>
      <c r="AG304" s="15"/>
      <c r="AH304" s="15"/>
      <c r="AI304" s="15"/>
      <c r="AJ304" s="5"/>
      <c r="AK304" s="5"/>
      <c r="AL304" s="5"/>
    </row>
    <row r="305" spans="1:38" ht="33" customHeight="1" x14ac:dyDescent="0.25">
      <c r="A305" s="523">
        <v>1</v>
      </c>
      <c r="B305" s="523" t="s">
        <v>306</v>
      </c>
      <c r="C305" s="540">
        <v>149</v>
      </c>
      <c r="D305" s="496">
        <v>350</v>
      </c>
      <c r="E305" s="496" t="str">
        <f t="shared" si="212"/>
        <v>1/052/149/350</v>
      </c>
      <c r="F305" s="75"/>
      <c r="G305" s="505" t="s">
        <v>2537</v>
      </c>
      <c r="H305" s="507" t="s">
        <v>42</v>
      </c>
      <c r="I305" s="507" t="s">
        <v>2551</v>
      </c>
      <c r="J305" s="505" t="s">
        <v>2564</v>
      </c>
      <c r="K305" s="511" t="s">
        <v>311</v>
      </c>
      <c r="L305" s="506">
        <v>778604629</v>
      </c>
      <c r="M305" s="513" t="s">
        <v>2578</v>
      </c>
      <c r="N305" s="516">
        <v>29</v>
      </c>
      <c r="O305" s="516">
        <v>1</v>
      </c>
      <c r="P305" s="516">
        <v>1989</v>
      </c>
      <c r="Q305" s="201">
        <f t="shared" ref="Q305:Q309" si="216">DATE(P305,O305,N305)</f>
        <v>32537</v>
      </c>
      <c r="R305" s="86">
        <f t="shared" ref="R305:R309" ca="1" si="217">($G$7-Q305)/365</f>
        <v>36.958904109589042</v>
      </c>
      <c r="S305" s="73" t="s">
        <v>50</v>
      </c>
      <c r="T305" s="516">
        <v>16</v>
      </c>
      <c r="U305" s="516">
        <v>10</v>
      </c>
      <c r="V305" s="516">
        <v>2024</v>
      </c>
      <c r="W305" s="200">
        <f t="shared" si="215"/>
        <v>45581</v>
      </c>
      <c r="Z305" s="73"/>
      <c r="AA305" s="40"/>
      <c r="AB305" s="40"/>
      <c r="AC305" s="15"/>
      <c r="AD305" s="108"/>
      <c r="AE305" s="15"/>
      <c r="AF305" s="15"/>
      <c r="AG305" s="15"/>
      <c r="AH305" s="15"/>
      <c r="AI305" s="15"/>
      <c r="AJ305" s="5"/>
      <c r="AK305" s="5"/>
      <c r="AL305" s="5"/>
    </row>
    <row r="306" spans="1:38" ht="33" customHeight="1" x14ac:dyDescent="0.25">
      <c r="A306" s="523">
        <v>1</v>
      </c>
      <c r="B306" s="523" t="s">
        <v>306</v>
      </c>
      <c r="C306" s="523">
        <v>150</v>
      </c>
      <c r="D306" s="489">
        <v>351</v>
      </c>
      <c r="E306" s="496" t="str">
        <f t="shared" si="212"/>
        <v>1/052/150/351</v>
      </c>
      <c r="F306" s="75"/>
      <c r="G306" s="506" t="s">
        <v>2538</v>
      </c>
      <c r="H306" s="507" t="s">
        <v>42</v>
      </c>
      <c r="I306" s="507" t="s">
        <v>2552</v>
      </c>
      <c r="J306" s="509" t="s">
        <v>2565</v>
      </c>
      <c r="K306" s="511" t="s">
        <v>311</v>
      </c>
      <c r="L306" s="507">
        <v>763189896</v>
      </c>
      <c r="M306" s="514" t="s">
        <v>2579</v>
      </c>
      <c r="N306" s="516">
        <v>17</v>
      </c>
      <c r="O306" s="516">
        <v>5</v>
      </c>
      <c r="P306" s="516">
        <v>1983</v>
      </c>
      <c r="Q306" s="201">
        <f t="shared" si="216"/>
        <v>30453</v>
      </c>
      <c r="R306" s="86">
        <f t="shared" ca="1" si="217"/>
        <v>42.668493150684931</v>
      </c>
      <c r="S306" s="73" t="s">
        <v>50</v>
      </c>
      <c r="T306" s="516">
        <v>2</v>
      </c>
      <c r="U306" s="516">
        <v>1</v>
      </c>
      <c r="V306" s="516">
        <v>2025</v>
      </c>
      <c r="W306" s="200">
        <f t="shared" si="215"/>
        <v>45659</v>
      </c>
      <c r="Z306" s="73"/>
      <c r="AA306" s="40"/>
      <c r="AB306" s="40"/>
      <c r="AC306" s="15"/>
      <c r="AD306" s="108"/>
      <c r="AE306" s="15"/>
      <c r="AF306" s="15"/>
      <c r="AG306" s="15"/>
      <c r="AH306" s="15"/>
      <c r="AI306" s="15"/>
      <c r="AJ306" s="5"/>
      <c r="AK306" s="5"/>
      <c r="AL306" s="5"/>
    </row>
    <row r="307" spans="1:38" ht="33" customHeight="1" x14ac:dyDescent="0.25">
      <c r="A307" s="523">
        <v>1</v>
      </c>
      <c r="B307" s="523" t="s">
        <v>306</v>
      </c>
      <c r="C307" s="540">
        <v>151</v>
      </c>
      <c r="D307" s="496">
        <v>352</v>
      </c>
      <c r="E307" s="496" t="str">
        <f t="shared" si="212"/>
        <v>1/052/151/352</v>
      </c>
      <c r="F307" s="75"/>
      <c r="G307" s="504" t="s">
        <v>2539</v>
      </c>
      <c r="H307" s="507" t="s">
        <v>42</v>
      </c>
      <c r="I307" s="507" t="s">
        <v>2553</v>
      </c>
      <c r="J307" s="509" t="s">
        <v>2566</v>
      </c>
      <c r="K307" s="511" t="s">
        <v>311</v>
      </c>
      <c r="L307" s="509" t="s">
        <v>2571</v>
      </c>
      <c r="M307" s="514" t="s">
        <v>2580</v>
      </c>
      <c r="N307" s="516">
        <v>9</v>
      </c>
      <c r="O307" s="516">
        <v>3</v>
      </c>
      <c r="P307" s="516">
        <v>1994</v>
      </c>
      <c r="Q307" s="201">
        <f t="shared" si="216"/>
        <v>34402</v>
      </c>
      <c r="R307" s="86">
        <f t="shared" ca="1" si="217"/>
        <v>31.849315068493151</v>
      </c>
      <c r="S307" s="73" t="s">
        <v>50</v>
      </c>
      <c r="T307" s="516">
        <v>2</v>
      </c>
      <c r="U307" s="516">
        <v>1</v>
      </c>
      <c r="V307" s="516">
        <v>2025</v>
      </c>
      <c r="W307" s="200">
        <f t="shared" si="215"/>
        <v>45659</v>
      </c>
      <c r="Z307" s="73"/>
      <c r="AA307" s="40"/>
      <c r="AB307" s="40"/>
      <c r="AC307" s="15"/>
      <c r="AD307" s="108"/>
      <c r="AE307" s="15"/>
      <c r="AF307" s="15"/>
      <c r="AG307" s="15"/>
      <c r="AH307" s="15"/>
      <c r="AI307" s="15"/>
      <c r="AJ307" s="5"/>
      <c r="AK307" s="5"/>
      <c r="AL307" s="5"/>
    </row>
    <row r="308" spans="1:38" ht="33" customHeight="1" x14ac:dyDescent="0.25">
      <c r="A308" s="523">
        <v>1</v>
      </c>
      <c r="B308" s="523" t="s">
        <v>306</v>
      </c>
      <c r="C308" s="523">
        <v>152</v>
      </c>
      <c r="D308" s="489">
        <v>353</v>
      </c>
      <c r="E308" s="496" t="str">
        <f t="shared" si="212"/>
        <v>1/052/152/353</v>
      </c>
      <c r="F308" s="75"/>
      <c r="G308" s="504" t="s">
        <v>2540</v>
      </c>
      <c r="H308" s="507" t="s">
        <v>2544</v>
      </c>
      <c r="I308" s="507" t="s">
        <v>2554</v>
      </c>
      <c r="J308" s="509" t="s">
        <v>2567</v>
      </c>
      <c r="K308" s="511" t="s">
        <v>311</v>
      </c>
      <c r="L308" s="507">
        <v>761084646</v>
      </c>
      <c r="M308" s="514" t="s">
        <v>2581</v>
      </c>
      <c r="N308" s="516">
        <v>16</v>
      </c>
      <c r="O308" s="516">
        <v>6</v>
      </c>
      <c r="P308" s="516">
        <v>1999</v>
      </c>
      <c r="Q308" s="201">
        <f t="shared" si="216"/>
        <v>36327</v>
      </c>
      <c r="R308" s="86">
        <f t="shared" ca="1" si="217"/>
        <v>26.575342465753426</v>
      </c>
      <c r="S308" s="73" t="s">
        <v>50</v>
      </c>
      <c r="T308" s="516">
        <v>2</v>
      </c>
      <c r="U308" s="516">
        <v>1</v>
      </c>
      <c r="V308" s="516">
        <v>2025</v>
      </c>
      <c r="W308" s="200">
        <f t="shared" si="215"/>
        <v>45659</v>
      </c>
      <c r="Z308" s="73"/>
      <c r="AA308" s="40"/>
      <c r="AB308" s="40"/>
      <c r="AC308" s="15"/>
      <c r="AD308" s="108"/>
      <c r="AE308" s="15"/>
      <c r="AF308" s="15"/>
      <c r="AG308" s="15"/>
      <c r="AH308" s="15"/>
      <c r="AI308" s="15"/>
      <c r="AJ308" s="5"/>
      <c r="AK308" s="5"/>
      <c r="AL308" s="5"/>
    </row>
    <row r="309" spans="1:38" ht="33" customHeight="1" x14ac:dyDescent="0.25">
      <c r="A309" s="523">
        <v>1</v>
      </c>
      <c r="B309" s="523" t="s">
        <v>306</v>
      </c>
      <c r="C309" s="540">
        <v>153</v>
      </c>
      <c r="D309" s="496">
        <v>354</v>
      </c>
      <c r="E309" s="496" t="str">
        <f t="shared" si="212"/>
        <v>1/052/153/354</v>
      </c>
      <c r="F309" s="75"/>
      <c r="G309" s="504" t="s">
        <v>2541</v>
      </c>
      <c r="H309" s="507" t="s">
        <v>1712</v>
      </c>
      <c r="I309" s="507" t="s">
        <v>2555</v>
      </c>
      <c r="J309" s="505" t="s">
        <v>2568</v>
      </c>
      <c r="K309" s="511" t="s">
        <v>311</v>
      </c>
      <c r="L309" s="506">
        <v>760081369</v>
      </c>
      <c r="M309" s="513" t="s">
        <v>2582</v>
      </c>
      <c r="N309" s="516">
        <v>28</v>
      </c>
      <c r="O309" s="516">
        <v>5</v>
      </c>
      <c r="P309" s="516">
        <v>2001</v>
      </c>
      <c r="Q309" s="201">
        <f t="shared" si="216"/>
        <v>37039</v>
      </c>
      <c r="R309" s="86">
        <f t="shared" ca="1" si="217"/>
        <v>24.624657534246577</v>
      </c>
      <c r="S309" s="73" t="s">
        <v>50</v>
      </c>
      <c r="T309" s="516">
        <v>1</v>
      </c>
      <c r="U309" s="516">
        <v>2</v>
      </c>
      <c r="V309" s="516">
        <v>2025</v>
      </c>
      <c r="W309" s="200">
        <f t="shared" si="215"/>
        <v>45689</v>
      </c>
      <c r="Z309" s="73"/>
      <c r="AA309" s="40"/>
      <c r="AB309" s="40"/>
      <c r="AC309" s="15"/>
      <c r="AD309" s="108"/>
      <c r="AE309" s="15"/>
      <c r="AF309" s="15"/>
      <c r="AG309" s="15"/>
      <c r="AH309" s="15"/>
      <c r="AI309" s="15"/>
      <c r="AJ309" s="5"/>
      <c r="AK309" s="5"/>
      <c r="AL309" s="5"/>
    </row>
    <row r="310" spans="1:38" ht="33" customHeight="1" x14ac:dyDescent="0.25">
      <c r="A310" s="523">
        <v>1</v>
      </c>
      <c r="B310" s="523" t="s">
        <v>306</v>
      </c>
      <c r="C310" s="523">
        <v>154</v>
      </c>
      <c r="D310" s="489">
        <v>355</v>
      </c>
      <c r="E310" s="496" t="str">
        <f>CONCATENATE(A310,"/",B310,"/",C310,"/",D310)</f>
        <v>1/052/154/355</v>
      </c>
      <c r="F310" s="75"/>
      <c r="G310" s="504" t="s">
        <v>2543</v>
      </c>
      <c r="H310" s="508" t="s">
        <v>1712</v>
      </c>
      <c r="I310" s="507" t="s">
        <v>2557</v>
      </c>
      <c r="J310" s="509" t="s">
        <v>2570</v>
      </c>
      <c r="K310" s="511" t="s">
        <v>311</v>
      </c>
      <c r="L310" s="507" t="s">
        <v>2572</v>
      </c>
      <c r="M310" s="515" t="s">
        <v>2584</v>
      </c>
      <c r="N310" s="516">
        <v>18</v>
      </c>
      <c r="O310" s="511">
        <v>8</v>
      </c>
      <c r="P310" s="511">
        <v>1989</v>
      </c>
      <c r="Q310" s="201">
        <f>DATE(P310,O310,N310)</f>
        <v>32738</v>
      </c>
      <c r="R310" s="86">
        <f ca="1">($G$7-Q310)/365</f>
        <v>36.408219178082192</v>
      </c>
      <c r="S310" s="73" t="s">
        <v>50</v>
      </c>
      <c r="T310" s="511">
        <v>3</v>
      </c>
      <c r="U310" s="511">
        <v>3</v>
      </c>
      <c r="V310" s="511">
        <v>2025</v>
      </c>
      <c r="W310" s="200">
        <f>DATE(V310,U310,T310)</f>
        <v>45719</v>
      </c>
      <c r="Z310" s="73"/>
      <c r="AA310" s="40"/>
      <c r="AB310" s="40"/>
      <c r="AC310" s="15"/>
      <c r="AD310" s="108"/>
      <c r="AE310" s="15"/>
      <c r="AF310" s="15"/>
      <c r="AG310" s="15"/>
      <c r="AH310" s="15"/>
      <c r="AI310" s="15"/>
      <c r="AJ310" s="5"/>
      <c r="AK310" s="5"/>
      <c r="AL310" s="5"/>
    </row>
    <row r="311" spans="1:38" ht="33" customHeight="1" x14ac:dyDescent="0.25">
      <c r="A311" s="523">
        <v>1</v>
      </c>
      <c r="B311" s="523" t="s">
        <v>306</v>
      </c>
      <c r="C311" s="540">
        <v>155</v>
      </c>
      <c r="D311" s="496">
        <v>356</v>
      </c>
      <c r="E311" s="496" t="str">
        <f>CONCATENATE(A311,"/",B311,"/",C311,"/",D311)</f>
        <v>1/052/155/356</v>
      </c>
      <c r="F311" s="75"/>
      <c r="G311" s="504" t="s">
        <v>2542</v>
      </c>
      <c r="H311" s="508" t="s">
        <v>1712</v>
      </c>
      <c r="I311" s="507" t="s">
        <v>2556</v>
      </c>
      <c r="J311" s="509" t="s">
        <v>2569</v>
      </c>
      <c r="K311" s="511" t="s">
        <v>96</v>
      </c>
      <c r="L311" s="506">
        <v>715842668</v>
      </c>
      <c r="M311" s="514" t="s">
        <v>2583</v>
      </c>
      <c r="N311" s="516">
        <v>17</v>
      </c>
      <c r="O311" s="516">
        <v>11</v>
      </c>
      <c r="P311" s="516">
        <v>2023</v>
      </c>
      <c r="Q311" s="201">
        <f>DATE(P311,O311,N311)</f>
        <v>45247</v>
      </c>
      <c r="R311" s="86">
        <f ca="1">($G$7-Q311)/365</f>
        <v>2.1369863013698631</v>
      </c>
      <c r="S311" s="73" t="s">
        <v>50</v>
      </c>
      <c r="T311" s="516">
        <v>23</v>
      </c>
      <c r="U311" s="516">
        <v>4</v>
      </c>
      <c r="V311" s="516">
        <v>2025</v>
      </c>
      <c r="W311" s="200">
        <f>DATE(V311,U311,T311)</f>
        <v>45770</v>
      </c>
      <c r="Z311" s="73"/>
      <c r="AA311" s="40"/>
      <c r="AB311" s="40"/>
      <c r="AC311" s="15"/>
      <c r="AD311" s="108"/>
      <c r="AE311" s="15"/>
      <c r="AF311" s="15"/>
      <c r="AG311" s="15"/>
      <c r="AH311" s="15"/>
      <c r="AI311" s="15"/>
      <c r="AJ311" s="5"/>
      <c r="AK311" s="5"/>
      <c r="AL311" s="5"/>
    </row>
    <row r="312" spans="1:38" ht="33" customHeight="1" x14ac:dyDescent="0.25">
      <c r="A312" s="523"/>
      <c r="B312" s="523"/>
      <c r="C312" s="523"/>
      <c r="D312" s="489"/>
      <c r="E312" s="496"/>
      <c r="F312" s="75"/>
      <c r="G312" s="530" t="s">
        <v>2532</v>
      </c>
      <c r="H312" s="517" t="s">
        <v>42</v>
      </c>
      <c r="I312" s="518" t="s">
        <v>2546</v>
      </c>
      <c r="J312" s="519" t="s">
        <v>2559</v>
      </c>
      <c r="K312" s="520" t="s">
        <v>1708</v>
      </c>
      <c r="L312" s="518">
        <v>718252828</v>
      </c>
      <c r="M312" s="521" t="s">
        <v>2574</v>
      </c>
      <c r="N312" s="522">
        <v>29</v>
      </c>
      <c r="O312" s="522">
        <v>11</v>
      </c>
      <c r="P312" s="522">
        <v>1964</v>
      </c>
      <c r="Q312" s="173">
        <f t="shared" ref="Q312" si="218">DATE(P312,O312,N312)</f>
        <v>23710</v>
      </c>
      <c r="R312" s="535">
        <f t="shared" ref="R312" ca="1" si="219">($G$7-Q312)/365</f>
        <v>61.142465753424659</v>
      </c>
      <c r="S312" s="73" t="s">
        <v>50</v>
      </c>
      <c r="T312" s="511">
        <v>1</v>
      </c>
      <c r="U312" s="511">
        <v>6</v>
      </c>
      <c r="V312" s="511">
        <v>2024</v>
      </c>
      <c r="W312" s="200">
        <f t="shared" ref="W312" si="220">DATE(V312,U312,T312)</f>
        <v>45444</v>
      </c>
      <c r="Z312" s="73"/>
      <c r="AA312" s="40"/>
      <c r="AB312" s="40"/>
      <c r="AC312" s="15"/>
      <c r="AD312" s="108"/>
      <c r="AE312" s="15"/>
      <c r="AF312" s="15"/>
      <c r="AG312" s="15"/>
      <c r="AH312" s="15"/>
      <c r="AI312" s="15"/>
      <c r="AJ312" s="5"/>
      <c r="AK312" s="5"/>
      <c r="AL312" s="5"/>
    </row>
    <row r="313" spans="1:38" ht="33" customHeight="1" x14ac:dyDescent="0.25">
      <c r="A313" s="73"/>
      <c r="B313" s="74"/>
      <c r="C313" s="75"/>
      <c r="D313" s="75"/>
      <c r="E313" s="205"/>
      <c r="F313" s="75"/>
      <c r="G313" s="363"/>
      <c r="H313" s="313"/>
      <c r="I313" s="363"/>
      <c r="J313" s="364"/>
      <c r="K313" s="363"/>
      <c r="L313" s="342"/>
      <c r="M313" s="362"/>
      <c r="N313" s="344"/>
      <c r="O313" s="344"/>
      <c r="P313" s="344"/>
      <c r="Q313" s="201"/>
      <c r="R313" s="86"/>
      <c r="S313" s="345"/>
      <c r="T313" s="344"/>
      <c r="U313" s="344"/>
      <c r="V313" s="344"/>
      <c r="W313" s="200"/>
      <c r="Z313" s="73"/>
      <c r="AA313" s="40"/>
      <c r="AB313" s="40"/>
      <c r="AC313" s="15"/>
      <c r="AD313" s="108"/>
      <c r="AE313" s="15"/>
      <c r="AF313" s="15"/>
      <c r="AG313" s="15"/>
      <c r="AH313" s="15"/>
      <c r="AI313" s="15"/>
      <c r="AJ313" s="5"/>
      <c r="AK313" s="5"/>
      <c r="AL313" s="5"/>
    </row>
    <row r="314" spans="1:38" ht="33" customHeight="1" x14ac:dyDescent="0.25">
      <c r="A314" s="73"/>
      <c r="B314" s="74"/>
      <c r="C314" s="75"/>
      <c r="D314" s="75"/>
      <c r="E314" s="205"/>
      <c r="F314" s="75"/>
      <c r="G314" s="363"/>
      <c r="H314" s="313"/>
      <c r="I314" s="363"/>
      <c r="J314" s="364"/>
      <c r="K314" s="363"/>
      <c r="L314" s="342"/>
      <c r="M314" s="362"/>
      <c r="N314" s="344"/>
      <c r="O314" s="344"/>
      <c r="P314" s="344"/>
      <c r="Q314" s="201"/>
      <c r="R314" s="86"/>
      <c r="S314" s="345"/>
      <c r="T314" s="344"/>
      <c r="U314" s="344"/>
      <c r="V314" s="344"/>
      <c r="W314" s="200"/>
      <c r="Z314" s="73"/>
      <c r="AA314" s="40"/>
      <c r="AB314" s="40"/>
      <c r="AC314" s="15"/>
      <c r="AD314" s="108"/>
      <c r="AE314" s="15"/>
      <c r="AF314" s="15"/>
      <c r="AG314" s="15"/>
      <c r="AH314" s="15"/>
      <c r="AI314" s="15"/>
      <c r="AJ314" s="5"/>
      <c r="AK314" s="5"/>
      <c r="AL314" s="5"/>
    </row>
    <row r="315" spans="1:38" x14ac:dyDescent="0.25">
      <c r="A315" s="73"/>
      <c r="B315" s="74"/>
      <c r="E315" s="205"/>
      <c r="N315" s="392"/>
      <c r="O315" s="392"/>
      <c r="P315" s="392"/>
    </row>
    <row r="316" spans="1:38" ht="24.9" customHeight="1" x14ac:dyDescent="0.25">
      <c r="A316" s="73">
        <v>1</v>
      </c>
      <c r="B316" s="74" t="s">
        <v>1014</v>
      </c>
      <c r="C316" s="75" t="s">
        <v>1443</v>
      </c>
      <c r="D316" s="75" t="s">
        <v>1276</v>
      </c>
      <c r="E316" s="205"/>
      <c r="F316" s="75" t="s">
        <v>54</v>
      </c>
      <c r="G316" s="397" t="s">
        <v>1641</v>
      </c>
      <c r="H316" s="391" t="s">
        <v>42</v>
      </c>
      <c r="I316" s="390" t="s">
        <v>1651</v>
      </c>
      <c r="J316" s="294" t="s">
        <v>1336</v>
      </c>
      <c r="K316" s="178" t="s">
        <v>31</v>
      </c>
      <c r="L316" s="81">
        <v>778918044</v>
      </c>
      <c r="M316" s="88"/>
      <c r="N316" s="392">
        <v>3</v>
      </c>
      <c r="O316" s="392">
        <v>1</v>
      </c>
      <c r="P316" s="392">
        <v>1990</v>
      </c>
      <c r="Q316" s="147">
        <f t="shared" ref="Q316:Q317" si="221">DATE(P316,O316,N316)</f>
        <v>32876</v>
      </c>
      <c r="R316" s="92">
        <f t="shared" ref="R316:R317" ca="1" si="222">($G$7-Q316)/365</f>
        <v>36.030136986301372</v>
      </c>
      <c r="S316" s="73" t="s">
        <v>50</v>
      </c>
      <c r="T316" s="73">
        <v>9</v>
      </c>
      <c r="U316" s="73">
        <v>1</v>
      </c>
      <c r="V316" s="73">
        <v>2023</v>
      </c>
      <c r="W316" s="148">
        <f t="shared" ref="W316:W317" si="223">DATE(V316,U316,T316)</f>
        <v>44935</v>
      </c>
      <c r="X316" s="48"/>
      <c r="Y316" s="115"/>
      <c r="Z316" s="124">
        <f t="shared" ref="Z316:Z317" ca="1" si="224">DATEDIF(W316,TODAY(),"Y")</f>
        <v>2</v>
      </c>
      <c r="AA316" s="109">
        <f t="shared" ref="AA316:AA317" ca="1" si="225">DATEDIF(W316,TODAY(),"YM")</f>
        <v>11</v>
      </c>
      <c r="AB316" s="150">
        <f t="shared" ref="AB316:AB317" ca="1" si="226">DATEDIF(W316,TODAY(),"MD")</f>
        <v>27</v>
      </c>
      <c r="AC316" s="15" t="str">
        <f t="shared" ref="AC316:AC317" ca="1" si="227">CONCATENATE(Z316,"Years","/",,AA316,"Months","/",AB316,"Days")</f>
        <v>2Years/11Months/27Days</v>
      </c>
      <c r="AD316" s="108">
        <f t="shared" ref="AD316:AD317" si="228">(DATE(P316,O316,N316)+21915)</f>
        <v>54791</v>
      </c>
      <c r="AE316" s="15">
        <f t="shared" ref="AE316:AE317" ca="1" si="229">DATEDIF(TODAY(),AD316,"Y")</f>
        <v>23</v>
      </c>
      <c r="AF316" s="15">
        <f t="shared" ref="AF316:AF317" ca="1" si="230">DATEDIF(TODAY(),AD316,"YM")</f>
        <v>11</v>
      </c>
      <c r="AG316" s="15">
        <f t="shared" ref="AG316:AG317" ca="1" si="231">DATEDIF(TODAY(),AD316,"MD")</f>
        <v>29</v>
      </c>
      <c r="AH316" s="15" t="str">
        <f t="shared" ref="AH316:AH317" ca="1" si="232">CONCATENATE(AE316,"Years","/",AF316,"Months","/",AG316,"Days")</f>
        <v>23Years/11Months/29Days</v>
      </c>
      <c r="AI316" s="15" t="str">
        <f t="shared" ref="AI316:AI317" si="233">CONCATENATE(AJ316,"years", " ",",", " ",AK316,"months ","and"," ",AL316,"days")</f>
        <v>26years , 11months and 25days</v>
      </c>
      <c r="AJ316" s="15">
        <f t="shared" ref="AJ316:AJ317" si="234">DATEDIF(W316,AD316,"Y")</f>
        <v>26</v>
      </c>
      <c r="AK316" s="15">
        <f t="shared" ref="AK316:AK317" si="235">DATEDIF(W316,AD316,"YM")</f>
        <v>11</v>
      </c>
      <c r="AL316" s="15">
        <f t="shared" ref="AL316:AL317" si="236">DATEDIF(W316,AD316,"MD")</f>
        <v>25</v>
      </c>
    </row>
    <row r="317" spans="1:38" ht="24.9" customHeight="1" x14ac:dyDescent="0.25">
      <c r="A317" s="73">
        <v>1</v>
      </c>
      <c r="B317" s="74" t="s">
        <v>1014</v>
      </c>
      <c r="C317" s="75" t="s">
        <v>1444</v>
      </c>
      <c r="D317" s="75" t="s">
        <v>1278</v>
      </c>
      <c r="E317" s="205"/>
      <c r="F317" s="75" t="s">
        <v>54</v>
      </c>
      <c r="G317" s="397" t="s">
        <v>1642</v>
      </c>
      <c r="H317" s="391" t="s">
        <v>42</v>
      </c>
      <c r="I317" s="390" t="s">
        <v>1652</v>
      </c>
      <c r="J317" s="294" t="s">
        <v>1337</v>
      </c>
      <c r="K317" s="72" t="s">
        <v>96</v>
      </c>
      <c r="L317" s="81" t="s">
        <v>1338</v>
      </c>
      <c r="M317" s="78" t="s">
        <v>1339</v>
      </c>
      <c r="N317" s="392">
        <v>29</v>
      </c>
      <c r="O317" s="392">
        <v>10</v>
      </c>
      <c r="P317" s="392">
        <v>1993</v>
      </c>
      <c r="Q317" s="147">
        <f t="shared" si="221"/>
        <v>34271</v>
      </c>
      <c r="R317" s="92">
        <f t="shared" ca="1" si="222"/>
        <v>32.208219178082189</v>
      </c>
      <c r="S317" s="73" t="s">
        <v>50</v>
      </c>
      <c r="T317" s="73">
        <v>9</v>
      </c>
      <c r="U317" s="73">
        <v>1</v>
      </c>
      <c r="V317" s="73">
        <v>2023</v>
      </c>
      <c r="W317" s="148">
        <f t="shared" si="223"/>
        <v>44935</v>
      </c>
      <c r="X317" s="48"/>
      <c r="Y317" s="115"/>
      <c r="Z317" s="124">
        <f t="shared" ca="1" si="224"/>
        <v>2</v>
      </c>
      <c r="AA317" s="109">
        <f t="shared" ca="1" si="225"/>
        <v>11</v>
      </c>
      <c r="AB317" s="150">
        <f t="shared" ca="1" si="226"/>
        <v>27</v>
      </c>
      <c r="AC317" s="15" t="str">
        <f t="shared" ca="1" si="227"/>
        <v>2Years/11Months/27Days</v>
      </c>
      <c r="AD317" s="108">
        <f t="shared" si="228"/>
        <v>56186</v>
      </c>
      <c r="AE317" s="15">
        <f t="shared" ca="1" si="229"/>
        <v>27</v>
      </c>
      <c r="AF317" s="15">
        <f t="shared" ca="1" si="230"/>
        <v>9</v>
      </c>
      <c r="AG317" s="15">
        <f t="shared" ca="1" si="231"/>
        <v>24</v>
      </c>
      <c r="AH317" s="15" t="str">
        <f t="shared" ca="1" si="232"/>
        <v>27Years/9Months/24Days</v>
      </c>
      <c r="AI317" s="15" t="str">
        <f t="shared" si="233"/>
        <v>30years , 9months and 20days</v>
      </c>
      <c r="AJ317" s="15">
        <f t="shared" si="234"/>
        <v>30</v>
      </c>
      <c r="AK317" s="15">
        <f t="shared" si="235"/>
        <v>9</v>
      </c>
      <c r="AL317" s="15">
        <f t="shared" si="236"/>
        <v>20</v>
      </c>
    </row>
    <row r="318" spans="1:38" x14ac:dyDescent="0.25">
      <c r="N318" s="392"/>
      <c r="O318" s="392"/>
      <c r="P318" s="392"/>
    </row>
    <row r="319" spans="1:38" x14ac:dyDescent="0.25">
      <c r="N319" s="392"/>
      <c r="O319" s="392"/>
      <c r="P319" s="392"/>
    </row>
    <row r="320" spans="1:38" x14ac:dyDescent="0.25">
      <c r="N320" s="392"/>
      <c r="O320" s="392"/>
      <c r="P320" s="392"/>
    </row>
    <row r="321" spans="14:16" x14ac:dyDescent="0.25">
      <c r="N321" s="392"/>
      <c r="O321" s="392"/>
      <c r="P321" s="392"/>
    </row>
    <row r="322" spans="14:16" x14ac:dyDescent="0.25">
      <c r="N322" s="392"/>
      <c r="O322" s="392"/>
      <c r="P322" s="392"/>
    </row>
    <row r="323" spans="14:16" x14ac:dyDescent="0.25">
      <c r="N323" s="392"/>
      <c r="O323" s="392"/>
      <c r="P323" s="392"/>
    </row>
    <row r="324" spans="14:16" x14ac:dyDescent="0.25">
      <c r="N324" s="392"/>
      <c r="O324" s="392"/>
      <c r="P324" s="392"/>
    </row>
    <row r="325" spans="14:16" x14ac:dyDescent="0.25">
      <c r="N325" s="392"/>
      <c r="O325" s="392"/>
      <c r="P325" s="392"/>
    </row>
    <row r="326" spans="14:16" x14ac:dyDescent="0.25">
      <c r="N326" s="392"/>
      <c r="O326" s="392"/>
      <c r="P326" s="392"/>
    </row>
    <row r="327" spans="14:16" x14ac:dyDescent="0.25">
      <c r="N327" s="392"/>
      <c r="O327" s="392"/>
      <c r="P327" s="392"/>
    </row>
    <row r="328" spans="14:16" x14ac:dyDescent="0.25">
      <c r="N328" s="392"/>
      <c r="O328" s="392"/>
      <c r="P328" s="392"/>
    </row>
    <row r="329" spans="14:16" x14ac:dyDescent="0.25">
      <c r="N329" s="392"/>
      <c r="O329" s="392"/>
      <c r="P329" s="392"/>
    </row>
    <row r="330" spans="14:16" x14ac:dyDescent="0.25">
      <c r="N330" s="392"/>
      <c r="O330" s="392"/>
      <c r="P330" s="392"/>
    </row>
    <row r="331" spans="14:16" x14ac:dyDescent="0.25">
      <c r="N331" s="392"/>
      <c r="O331" s="392"/>
      <c r="P331" s="392"/>
    </row>
    <row r="332" spans="14:16" x14ac:dyDescent="0.25">
      <c r="N332" s="392"/>
      <c r="O332" s="392"/>
      <c r="P332" s="392"/>
    </row>
    <row r="333" spans="14:16" x14ac:dyDescent="0.25">
      <c r="N333" s="392"/>
      <c r="O333" s="392"/>
      <c r="P333" s="392"/>
    </row>
    <row r="334" spans="14:16" x14ac:dyDescent="0.25">
      <c r="N334" s="392"/>
      <c r="O334" s="392"/>
      <c r="P334" s="392"/>
    </row>
    <row r="335" spans="14:16" x14ac:dyDescent="0.25">
      <c r="N335" s="392"/>
      <c r="O335" s="392"/>
      <c r="P335" s="392"/>
    </row>
    <row r="336" spans="14:16" x14ac:dyDescent="0.25">
      <c r="N336" s="392"/>
      <c r="O336" s="392"/>
      <c r="P336" s="392"/>
    </row>
    <row r="337" spans="14:16" x14ac:dyDescent="0.25">
      <c r="N337" s="392"/>
      <c r="O337" s="392"/>
      <c r="P337" s="392"/>
    </row>
    <row r="338" spans="14:16" x14ac:dyDescent="0.25">
      <c r="N338" s="392"/>
      <c r="O338" s="392"/>
      <c r="P338" s="392"/>
    </row>
    <row r="339" spans="14:16" x14ac:dyDescent="0.25">
      <c r="N339" s="392"/>
      <c r="O339" s="392"/>
      <c r="P339" s="392"/>
    </row>
    <row r="340" spans="14:16" x14ac:dyDescent="0.25">
      <c r="N340" s="392"/>
      <c r="O340" s="392"/>
      <c r="P340" s="392"/>
    </row>
    <row r="341" spans="14:16" x14ac:dyDescent="0.25">
      <c r="N341" s="392"/>
      <c r="O341" s="392"/>
      <c r="P341" s="392"/>
    </row>
    <row r="342" spans="14:16" x14ac:dyDescent="0.25">
      <c r="N342" s="392"/>
      <c r="O342" s="392"/>
      <c r="P342" s="392"/>
    </row>
    <row r="343" spans="14:16" x14ac:dyDescent="0.25">
      <c r="N343" s="392"/>
      <c r="O343" s="392"/>
      <c r="P343" s="392"/>
    </row>
    <row r="344" spans="14:16" x14ac:dyDescent="0.25">
      <c r="N344" s="392"/>
      <c r="O344" s="392"/>
      <c r="P344" s="392"/>
    </row>
    <row r="345" spans="14:16" x14ac:dyDescent="0.25">
      <c r="N345" s="392"/>
      <c r="O345" s="392"/>
      <c r="P345" s="392"/>
    </row>
    <row r="346" spans="14:16" x14ac:dyDescent="0.25">
      <c r="N346" s="392"/>
      <c r="O346" s="392"/>
      <c r="P346" s="392"/>
    </row>
    <row r="347" spans="14:16" x14ac:dyDescent="0.25">
      <c r="N347" s="392"/>
      <c r="O347" s="392"/>
      <c r="P347" s="392"/>
    </row>
    <row r="348" spans="14:16" x14ac:dyDescent="0.25">
      <c r="N348" s="392"/>
      <c r="O348" s="392"/>
      <c r="P348" s="392"/>
    </row>
    <row r="349" spans="14:16" x14ac:dyDescent="0.25">
      <c r="N349" s="392"/>
      <c r="O349" s="392"/>
      <c r="P349" s="392"/>
    </row>
    <row r="350" spans="14:16" x14ac:dyDescent="0.25">
      <c r="N350" s="392"/>
      <c r="O350" s="392"/>
      <c r="P350" s="392"/>
    </row>
    <row r="351" spans="14:16" x14ac:dyDescent="0.25">
      <c r="N351" s="392"/>
      <c r="O351" s="392"/>
      <c r="P351" s="392"/>
    </row>
    <row r="352" spans="14:16" x14ac:dyDescent="0.25">
      <c r="N352" s="392"/>
      <c r="O352" s="392"/>
      <c r="P352" s="392"/>
    </row>
    <row r="814" spans="9:9" x14ac:dyDescent="0.25">
      <c r="I814" s="365" t="s">
        <v>2140</v>
      </c>
    </row>
    <row r="1009" spans="9:9" x14ac:dyDescent="0.25">
      <c r="I1009" s="365" t="s">
        <v>2141</v>
      </c>
    </row>
  </sheetData>
  <autoFilter ref="A9:AD311" xr:uid="{00000000-0009-0000-0000-000000000000}"/>
  <mergeCells count="12">
    <mergeCell ref="A8:D8"/>
    <mergeCell ref="E8:E9"/>
    <mergeCell ref="F8:F9"/>
    <mergeCell ref="AM8:AN8"/>
    <mergeCell ref="AI8:AI9"/>
    <mergeCell ref="Z8:AB8"/>
    <mergeCell ref="AD8:AH8"/>
    <mergeCell ref="Y8:Y9"/>
    <mergeCell ref="X8:X9"/>
    <mergeCell ref="N8:P8"/>
    <mergeCell ref="S8:S9"/>
    <mergeCell ref="T8:V8"/>
  </mergeCells>
  <conditionalFormatting sqref="AD201:AD204 AD225:AD272 AD134:AD198 AD11:AD132 AD313:AD314 AD280:AD311">
    <cfRule type="expression" dxfId="111" priority="30" stopIfTrue="1">
      <formula>AND(AD11&lt;&gt;"", AND(AD11&gt;TODAY(),AD11&lt; TODAY()+30))</formula>
    </cfRule>
    <cfRule type="expression" dxfId="110" priority="31" stopIfTrue="1">
      <formula>AND(AD11&lt;&gt;"",AD11= TODAY())</formula>
    </cfRule>
    <cfRule type="expression" dxfId="109" priority="32" stopIfTrue="1">
      <formula>AND(AD11&lt;&gt;"", AND(AD11&gt;TODAY(),AD11&lt; TODAY()+150))</formula>
    </cfRule>
  </conditionalFormatting>
  <conditionalFormatting sqref="AD201:AD204 AD225:AD272 AD134:AD198 AD11:AD132 AD313:AD314 AD280:AD311">
    <cfRule type="expression" dxfId="108" priority="29" stopIfTrue="1">
      <formula>AND(AD11&lt;&gt;"", AND(AD11&lt;TODAY(),AD11&lt; TODAY()))</formula>
    </cfRule>
  </conditionalFormatting>
  <conditionalFormatting sqref="AK205:AK224">
    <cfRule type="expression" dxfId="107" priority="26">
      <formula>AND(AK205&lt;&gt;"", AND(AK205&gt;TODAY(), AK205&lt;TODAY()+30))</formula>
    </cfRule>
    <cfRule type="expression" dxfId="106" priority="27">
      <formula>AND(AK205&lt;&gt;"", AK205=TODAY())</formula>
    </cfRule>
    <cfRule type="expression" dxfId="105" priority="28">
      <formula>AND(AK205&lt;&gt;"", AND(AK205&gt;TODAY(), AK205&lt;TODAY()+150))</formula>
    </cfRule>
  </conditionalFormatting>
  <conditionalFormatting sqref="AK205:AK224">
    <cfRule type="expression" dxfId="104" priority="25">
      <formula>AND(AK205&lt;&gt;"", AND(AK205&lt;TODAY(), AK205&lt;TODAY()))</formula>
    </cfRule>
  </conditionalFormatting>
  <conditionalFormatting sqref="AD316:AD317">
    <cfRule type="expression" dxfId="103" priority="22" stopIfTrue="1">
      <formula>AND(AD316&lt;&gt;"", AND(AD316&gt;TODAY(),AD316&lt; TODAY()+30))</formula>
    </cfRule>
    <cfRule type="expression" dxfId="102" priority="23" stopIfTrue="1">
      <formula>AND(AD316&lt;&gt;"",AD316= TODAY())</formula>
    </cfRule>
    <cfRule type="expression" dxfId="101" priority="24" stopIfTrue="1">
      <formula>AND(AD316&lt;&gt;"", AND(AD316&gt;TODAY(),AD316&lt; TODAY()+150))</formula>
    </cfRule>
  </conditionalFormatting>
  <conditionalFormatting sqref="AD316:AD317">
    <cfRule type="expression" dxfId="100" priority="21" stopIfTrue="1">
      <formula>AND(AD316&lt;&gt;"", AND(AD316&lt;TODAY(),AD316&lt; TODAY()))</formula>
    </cfRule>
  </conditionalFormatting>
  <conditionalFormatting sqref="AD199:AD200">
    <cfRule type="expression" dxfId="99" priority="18" stopIfTrue="1">
      <formula>AND(AD199&lt;&gt;"", AND(AD199&gt;TODAY(),AD199&lt; TODAY()+30))</formula>
    </cfRule>
    <cfRule type="expression" dxfId="98" priority="19" stopIfTrue="1">
      <formula>AND(AD199&lt;&gt;"",AD199= TODAY())</formula>
    </cfRule>
    <cfRule type="expression" dxfId="97" priority="20" stopIfTrue="1">
      <formula>AND(AD199&lt;&gt;"", AND(AD199&gt;TODAY(),AD199&lt; TODAY()+150))</formula>
    </cfRule>
  </conditionalFormatting>
  <conditionalFormatting sqref="AD199:AD200">
    <cfRule type="expression" dxfId="96" priority="17" stopIfTrue="1">
      <formula>AND(AD199&lt;&gt;"", AND(AD199&lt;TODAY(),AD199&lt; TODAY()))</formula>
    </cfRule>
  </conditionalFormatting>
  <conditionalFormatting sqref="AD273:AD275">
    <cfRule type="expression" dxfId="95" priority="14" stopIfTrue="1">
      <formula>AND(AD273&lt;&gt;"", AND(AD273&gt;TODAY(),AD273&lt; TODAY()+30))</formula>
    </cfRule>
    <cfRule type="expression" dxfId="94" priority="15" stopIfTrue="1">
      <formula>AND(AD273&lt;&gt;"",AD273= TODAY())</formula>
    </cfRule>
    <cfRule type="expression" dxfId="93" priority="16" stopIfTrue="1">
      <formula>AND(AD273&lt;&gt;"", AND(AD273&gt;TODAY(),AD273&lt; TODAY()+150))</formula>
    </cfRule>
  </conditionalFormatting>
  <conditionalFormatting sqref="AD273:AD275">
    <cfRule type="expression" dxfId="92" priority="13" stopIfTrue="1">
      <formula>AND(AD273&lt;&gt;"", AND(AD273&lt;TODAY(),AD273&lt; TODAY()))</formula>
    </cfRule>
  </conditionalFormatting>
  <conditionalFormatting sqref="AD276:AD279">
    <cfRule type="expression" dxfId="91" priority="10" stopIfTrue="1">
      <formula>AND(AD276&lt;&gt;"", AND(AD276&gt;TODAY(),AD276&lt; TODAY()+30))</formula>
    </cfRule>
    <cfRule type="expression" dxfId="90" priority="11" stopIfTrue="1">
      <formula>AND(AD276&lt;&gt;"",AD276= TODAY())</formula>
    </cfRule>
    <cfRule type="expression" dxfId="89" priority="12" stopIfTrue="1">
      <formula>AND(AD276&lt;&gt;"", AND(AD276&gt;TODAY(),AD276&lt; TODAY()+150))</formula>
    </cfRule>
  </conditionalFormatting>
  <conditionalFormatting sqref="AD276:AD279">
    <cfRule type="expression" dxfId="88" priority="9" stopIfTrue="1">
      <formula>AND(AD276&lt;&gt;"", AND(AD276&lt;TODAY(),AD276&lt; TODAY()))</formula>
    </cfRule>
  </conditionalFormatting>
  <conditionalFormatting sqref="AD133">
    <cfRule type="expression" dxfId="87" priority="6" stopIfTrue="1">
      <formula>AND(AD133&lt;&gt;"", AND(AD133&gt;TODAY(),AD133&lt; TODAY()+30))</formula>
    </cfRule>
    <cfRule type="expression" dxfId="86" priority="7" stopIfTrue="1">
      <formula>AND(AD133&lt;&gt;"",AD133= TODAY())</formula>
    </cfRule>
    <cfRule type="expression" dxfId="85" priority="8" stopIfTrue="1">
      <formula>AND(AD133&lt;&gt;"", AND(AD133&gt;TODAY(),AD133&lt; TODAY()+150))</formula>
    </cfRule>
  </conditionalFormatting>
  <conditionalFormatting sqref="AD133">
    <cfRule type="expression" dxfId="84" priority="5" stopIfTrue="1">
      <formula>AND(AD133&lt;&gt;"", AND(AD133&lt;TODAY(),AD133&lt; TODAY()))</formula>
    </cfRule>
  </conditionalFormatting>
  <conditionalFormatting sqref="AD312">
    <cfRule type="expression" dxfId="83" priority="2" stopIfTrue="1">
      <formula>AND(AD312&lt;&gt;"", AND(AD312&gt;TODAY(),AD312&lt; TODAY()+30))</formula>
    </cfRule>
    <cfRule type="expression" dxfId="82" priority="3" stopIfTrue="1">
      <formula>AND(AD312&lt;&gt;"",AD312= TODAY())</formula>
    </cfRule>
    <cfRule type="expression" dxfId="81" priority="4" stopIfTrue="1">
      <formula>AND(AD312&lt;&gt;"", AND(AD312&gt;TODAY(),AD312&lt; TODAY()+150))</formula>
    </cfRule>
  </conditionalFormatting>
  <conditionalFormatting sqref="AD312">
    <cfRule type="expression" dxfId="80" priority="1" stopIfTrue="1">
      <formula>AND(AD312&lt;&gt;"", AND(AD312&lt;TODAY(),AD312&lt; TODAY()))</formula>
    </cfRule>
  </conditionalFormatting>
  <hyperlinks>
    <hyperlink ref="M198" r:id="rId1" xr:uid="{00000000-0004-0000-0000-000000000000}"/>
    <hyperlink ref="M38" r:id="rId2" xr:uid="{00000000-0004-0000-0000-000001000000}"/>
    <hyperlink ref="M39" r:id="rId3" xr:uid="{00000000-0004-0000-0000-000002000000}"/>
    <hyperlink ref="M104" r:id="rId4" xr:uid="{00000000-0004-0000-0000-000003000000}"/>
    <hyperlink ref="M103" r:id="rId5" xr:uid="{00000000-0004-0000-0000-000004000000}"/>
    <hyperlink ref="M101" r:id="rId6" xr:uid="{00000000-0004-0000-0000-000005000000}"/>
    <hyperlink ref="M100" r:id="rId7" xr:uid="{00000000-0004-0000-0000-000006000000}"/>
    <hyperlink ref="M99" r:id="rId8" xr:uid="{00000000-0004-0000-0000-000007000000}"/>
    <hyperlink ref="M95" r:id="rId9" xr:uid="{00000000-0004-0000-0000-000008000000}"/>
    <hyperlink ref="M91" r:id="rId10" xr:uid="{00000000-0004-0000-0000-000009000000}"/>
    <hyperlink ref="M88" r:id="rId11" xr:uid="{00000000-0004-0000-0000-00000A000000}"/>
    <hyperlink ref="M82" r:id="rId12" xr:uid="{00000000-0004-0000-0000-00000B000000}"/>
    <hyperlink ref="M81" r:id="rId13" xr:uid="{00000000-0004-0000-0000-00000C000000}"/>
    <hyperlink ref="M78" r:id="rId14" xr:uid="{00000000-0004-0000-0000-00000D000000}"/>
    <hyperlink ref="M76" r:id="rId15" xr:uid="{00000000-0004-0000-0000-00000E000000}"/>
    <hyperlink ref="M75" r:id="rId16" xr:uid="{00000000-0004-0000-0000-00000F000000}"/>
    <hyperlink ref="M72" r:id="rId17" xr:uid="{00000000-0004-0000-0000-000010000000}"/>
    <hyperlink ref="M69" r:id="rId18" xr:uid="{00000000-0004-0000-0000-000011000000}"/>
    <hyperlink ref="M67" r:id="rId19" xr:uid="{00000000-0004-0000-0000-000012000000}"/>
    <hyperlink ref="M59" r:id="rId20" xr:uid="{00000000-0004-0000-0000-000013000000}"/>
    <hyperlink ref="M57" r:id="rId21" xr:uid="{00000000-0004-0000-0000-000014000000}"/>
    <hyperlink ref="M51" r:id="rId22" xr:uid="{00000000-0004-0000-0000-000015000000}"/>
    <hyperlink ref="M50" r:id="rId23" xr:uid="{00000000-0004-0000-0000-000016000000}"/>
    <hyperlink ref="M49" r:id="rId24" xr:uid="{00000000-0004-0000-0000-000017000000}"/>
    <hyperlink ref="M46" r:id="rId25" xr:uid="{00000000-0004-0000-0000-000018000000}"/>
    <hyperlink ref="M43" r:id="rId26" xr:uid="{00000000-0004-0000-0000-000019000000}"/>
    <hyperlink ref="M44" r:id="rId27" xr:uid="{00000000-0004-0000-0000-00001A000000}"/>
    <hyperlink ref="M42" r:id="rId28" xr:uid="{00000000-0004-0000-0000-00001B000000}"/>
    <hyperlink ref="M102" r:id="rId29" xr:uid="{00000000-0004-0000-0000-00001C000000}"/>
    <hyperlink ref="M98" r:id="rId30" xr:uid="{00000000-0004-0000-0000-00001D000000}"/>
    <hyperlink ref="M97" r:id="rId31" xr:uid="{00000000-0004-0000-0000-00001E000000}"/>
    <hyperlink ref="M96" r:id="rId32" xr:uid="{00000000-0004-0000-0000-00001F000000}"/>
    <hyperlink ref="M94" r:id="rId33" xr:uid="{00000000-0004-0000-0000-000020000000}"/>
    <hyperlink ref="M93" r:id="rId34" xr:uid="{00000000-0004-0000-0000-000021000000}"/>
    <hyperlink ref="M92" r:id="rId35" xr:uid="{00000000-0004-0000-0000-000022000000}"/>
    <hyperlink ref="M90" r:id="rId36" xr:uid="{00000000-0004-0000-0000-000023000000}"/>
    <hyperlink ref="M89" r:id="rId37" xr:uid="{00000000-0004-0000-0000-000024000000}"/>
    <hyperlink ref="M87" r:id="rId38" xr:uid="{00000000-0004-0000-0000-000025000000}"/>
    <hyperlink ref="M86" r:id="rId39" xr:uid="{00000000-0004-0000-0000-000026000000}"/>
    <hyperlink ref="M85" r:id="rId40" xr:uid="{00000000-0004-0000-0000-000027000000}"/>
    <hyperlink ref="M84" r:id="rId41" xr:uid="{00000000-0004-0000-0000-000028000000}"/>
    <hyperlink ref="M83" r:id="rId42" xr:uid="{00000000-0004-0000-0000-000029000000}"/>
    <hyperlink ref="M79" r:id="rId43" xr:uid="{00000000-0004-0000-0000-00002A000000}"/>
    <hyperlink ref="M77" r:id="rId44" xr:uid="{00000000-0004-0000-0000-00002B000000}"/>
    <hyperlink ref="M74" r:id="rId45" xr:uid="{00000000-0004-0000-0000-00002C000000}"/>
    <hyperlink ref="M73" r:id="rId46" xr:uid="{00000000-0004-0000-0000-00002D000000}"/>
    <hyperlink ref="M71" r:id="rId47" xr:uid="{00000000-0004-0000-0000-00002E000000}"/>
    <hyperlink ref="M70" r:id="rId48" xr:uid="{00000000-0004-0000-0000-00002F000000}"/>
    <hyperlink ref="M68" r:id="rId49" xr:uid="{00000000-0004-0000-0000-000030000000}"/>
    <hyperlink ref="M66" r:id="rId50" xr:uid="{00000000-0004-0000-0000-000031000000}"/>
    <hyperlink ref="M65" r:id="rId51" xr:uid="{00000000-0004-0000-0000-000032000000}"/>
    <hyperlink ref="M64" r:id="rId52" xr:uid="{00000000-0004-0000-0000-000033000000}"/>
    <hyperlink ref="M63" r:id="rId53" xr:uid="{00000000-0004-0000-0000-000034000000}"/>
    <hyperlink ref="M62" r:id="rId54" xr:uid="{00000000-0004-0000-0000-000035000000}"/>
    <hyperlink ref="M61" r:id="rId55" xr:uid="{00000000-0004-0000-0000-000036000000}"/>
    <hyperlink ref="M60" r:id="rId56" xr:uid="{00000000-0004-0000-0000-000037000000}"/>
    <hyperlink ref="M58" r:id="rId57" xr:uid="{00000000-0004-0000-0000-000038000000}"/>
    <hyperlink ref="M56" r:id="rId58" xr:uid="{00000000-0004-0000-0000-000039000000}"/>
    <hyperlink ref="M55" r:id="rId59" xr:uid="{00000000-0004-0000-0000-00003A000000}"/>
    <hyperlink ref="M54" r:id="rId60" xr:uid="{00000000-0004-0000-0000-00003B000000}"/>
    <hyperlink ref="M53" r:id="rId61" xr:uid="{00000000-0004-0000-0000-00003C000000}"/>
    <hyperlink ref="M52" r:id="rId62" xr:uid="{00000000-0004-0000-0000-00003D000000}"/>
    <hyperlink ref="M48" r:id="rId63" xr:uid="{00000000-0004-0000-0000-00003E000000}"/>
    <hyperlink ref="M47" r:id="rId64" xr:uid="{00000000-0004-0000-0000-00003F000000}"/>
    <hyperlink ref="M110" r:id="rId65" xr:uid="{00000000-0004-0000-0000-000040000000}"/>
    <hyperlink ref="M109" r:id="rId66" xr:uid="{00000000-0004-0000-0000-000041000000}"/>
    <hyperlink ref="M105" r:id="rId67" xr:uid="{00000000-0004-0000-0000-000042000000}"/>
    <hyperlink ref="M108" r:id="rId68" xr:uid="{00000000-0004-0000-0000-000043000000}"/>
    <hyperlink ref="M107" r:id="rId69" xr:uid="{00000000-0004-0000-0000-000044000000}"/>
    <hyperlink ref="M106" r:id="rId70" xr:uid="{00000000-0004-0000-0000-000045000000}"/>
    <hyperlink ref="M37" r:id="rId71" xr:uid="{00000000-0004-0000-0000-000046000000}"/>
    <hyperlink ref="M35" r:id="rId72" xr:uid="{00000000-0004-0000-0000-000047000000}"/>
    <hyperlink ref="M112" r:id="rId73" xr:uid="{00000000-0004-0000-0000-000048000000}"/>
    <hyperlink ref="M169" r:id="rId74" xr:uid="{00000000-0004-0000-0000-000049000000}"/>
    <hyperlink ref="M111" r:id="rId75" xr:uid="{00000000-0004-0000-0000-00004A000000}"/>
    <hyperlink ref="M206" r:id="rId76" xr:uid="{00000000-0004-0000-0000-00004B000000}"/>
    <hyperlink ref="M207" r:id="rId77" xr:uid="{00000000-0004-0000-0000-00004C000000}"/>
    <hyperlink ref="M208" r:id="rId78" xr:uid="{00000000-0004-0000-0000-00004D000000}"/>
    <hyperlink ref="M209" r:id="rId79" xr:uid="{00000000-0004-0000-0000-00004E000000}"/>
    <hyperlink ref="M211" r:id="rId80" xr:uid="{00000000-0004-0000-0000-00004F000000}"/>
    <hyperlink ref="M212" r:id="rId81" xr:uid="{00000000-0004-0000-0000-000050000000}"/>
    <hyperlink ref="M213" r:id="rId82" xr:uid="{00000000-0004-0000-0000-000051000000}"/>
    <hyperlink ref="M214" r:id="rId83" xr:uid="{00000000-0004-0000-0000-000052000000}"/>
    <hyperlink ref="M215" r:id="rId84" xr:uid="{00000000-0004-0000-0000-000053000000}"/>
    <hyperlink ref="M216" r:id="rId85" xr:uid="{00000000-0004-0000-0000-000054000000}"/>
    <hyperlink ref="M217" r:id="rId86" xr:uid="{00000000-0004-0000-0000-000055000000}"/>
    <hyperlink ref="M218" r:id="rId87" xr:uid="{00000000-0004-0000-0000-000056000000}"/>
    <hyperlink ref="M219" r:id="rId88" xr:uid="{00000000-0004-0000-0000-000057000000}"/>
    <hyperlink ref="M220" r:id="rId89" xr:uid="{00000000-0004-0000-0000-000058000000}"/>
    <hyperlink ref="M221" r:id="rId90" xr:uid="{00000000-0004-0000-0000-000059000000}"/>
    <hyperlink ref="M222" r:id="rId91" xr:uid="{00000000-0004-0000-0000-00005A000000}"/>
    <hyperlink ref="M223" r:id="rId92" xr:uid="{00000000-0004-0000-0000-00005B000000}"/>
    <hyperlink ref="M224" r:id="rId93" xr:uid="{00000000-0004-0000-0000-00005C000000}"/>
    <hyperlink ref="M204" r:id="rId94" xr:uid="{00000000-0004-0000-0000-00005D000000}"/>
    <hyperlink ref="M227" r:id="rId95" xr:uid="{00000000-0004-0000-0000-00005E000000}"/>
    <hyperlink ref="M225" r:id="rId96" xr:uid="{00000000-0004-0000-0000-00005F000000}"/>
    <hyperlink ref="M226" r:id="rId97" xr:uid="{00000000-0004-0000-0000-000060000000}"/>
    <hyperlink ref="M228" r:id="rId98" xr:uid="{00000000-0004-0000-0000-000061000000}"/>
    <hyperlink ref="M229" r:id="rId99" xr:uid="{00000000-0004-0000-0000-000062000000}"/>
    <hyperlink ref="M230" r:id="rId100" xr:uid="{00000000-0004-0000-0000-000063000000}"/>
    <hyperlink ref="M231" r:id="rId101" xr:uid="{00000000-0004-0000-0000-000064000000}"/>
    <hyperlink ref="M232" r:id="rId102" xr:uid="{00000000-0004-0000-0000-000065000000}"/>
    <hyperlink ref="M233" r:id="rId103" xr:uid="{00000000-0004-0000-0000-000066000000}"/>
    <hyperlink ref="M234" r:id="rId104" xr:uid="{00000000-0004-0000-0000-000067000000}"/>
    <hyperlink ref="M235" r:id="rId105" xr:uid="{00000000-0004-0000-0000-000068000000}"/>
    <hyperlink ref="M236" r:id="rId106" xr:uid="{00000000-0004-0000-0000-000069000000}"/>
    <hyperlink ref="M237" r:id="rId107" xr:uid="{00000000-0004-0000-0000-00006A000000}"/>
    <hyperlink ref="M238" r:id="rId108" xr:uid="{00000000-0004-0000-0000-00006B000000}"/>
    <hyperlink ref="M239" r:id="rId109" xr:uid="{00000000-0004-0000-0000-00006C000000}"/>
    <hyperlink ref="M240" r:id="rId110" xr:uid="{00000000-0004-0000-0000-00006D000000}"/>
    <hyperlink ref="M241" r:id="rId111" xr:uid="{00000000-0004-0000-0000-00006E000000}"/>
    <hyperlink ref="M242" r:id="rId112" xr:uid="{00000000-0004-0000-0000-00006F000000}"/>
    <hyperlink ref="M243" r:id="rId113" xr:uid="{00000000-0004-0000-0000-000070000000}"/>
    <hyperlink ref="M244" r:id="rId114" xr:uid="{00000000-0004-0000-0000-000071000000}"/>
    <hyperlink ref="M245" r:id="rId115" xr:uid="{00000000-0004-0000-0000-000072000000}"/>
    <hyperlink ref="M246" r:id="rId116" xr:uid="{00000000-0004-0000-0000-000073000000}"/>
    <hyperlink ref="M247" r:id="rId117" xr:uid="{00000000-0004-0000-0000-000074000000}"/>
    <hyperlink ref="M248" r:id="rId118" xr:uid="{00000000-0004-0000-0000-000075000000}"/>
    <hyperlink ref="M249" r:id="rId119" xr:uid="{00000000-0004-0000-0000-000076000000}"/>
    <hyperlink ref="M250" r:id="rId120" xr:uid="{00000000-0004-0000-0000-000077000000}"/>
    <hyperlink ref="M202" r:id="rId121" display="mailto:eshani.mirando@gmail.com" xr:uid="{00000000-0004-0000-0000-000078000000}"/>
    <hyperlink ref="M256" r:id="rId122" display="http://taniyaperera19992gmail.com/" xr:uid="{00000000-0004-0000-0000-000079000000}"/>
    <hyperlink ref="M317" r:id="rId123" xr:uid="{00000000-0004-0000-0000-00007A000000}"/>
    <hyperlink ref="M260" r:id="rId124" xr:uid="{00000000-0004-0000-0000-00007B000000}"/>
    <hyperlink ref="M261" r:id="rId125" xr:uid="{00000000-0004-0000-0000-00007C000000}"/>
    <hyperlink ref="M262" r:id="rId126" xr:uid="{00000000-0004-0000-0000-00007D000000}"/>
    <hyperlink ref="M263" r:id="rId127" xr:uid="{00000000-0004-0000-0000-00007E000000}"/>
    <hyperlink ref="M264" r:id="rId128" xr:uid="{00000000-0004-0000-0000-00007F000000}"/>
    <hyperlink ref="M265" r:id="rId129" xr:uid="{00000000-0004-0000-0000-000080000000}"/>
    <hyperlink ref="M266" r:id="rId130" xr:uid="{00000000-0004-0000-0000-000081000000}"/>
    <hyperlink ref="M267" r:id="rId131" xr:uid="{00000000-0004-0000-0000-000082000000}"/>
    <hyperlink ref="M268" r:id="rId132" xr:uid="{00000000-0004-0000-0000-000083000000}"/>
    <hyperlink ref="M269" r:id="rId133" xr:uid="{00000000-0004-0000-0000-000084000000}"/>
    <hyperlink ref="M270" r:id="rId134" xr:uid="{00000000-0004-0000-0000-000085000000}"/>
    <hyperlink ref="M271" r:id="rId135" xr:uid="{00000000-0004-0000-0000-000086000000}"/>
    <hyperlink ref="M274" r:id="rId136" xr:uid="{00000000-0004-0000-0000-000087000000}"/>
    <hyperlink ref="M272" r:id="rId137" xr:uid="{00000000-0004-0000-0000-000088000000}"/>
    <hyperlink ref="M273" r:id="rId138" xr:uid="{00000000-0004-0000-0000-000089000000}"/>
    <hyperlink ref="M275" r:id="rId139" xr:uid="{00000000-0004-0000-0000-00008A000000}"/>
    <hyperlink ref="M276" r:id="rId140" xr:uid="{00000000-0004-0000-0000-00008B000000}"/>
    <hyperlink ref="M281" r:id="rId141" display="mailto:navodhadananjani17@gmail.com" xr:uid="{00000000-0004-0000-0000-00008C000000}"/>
    <hyperlink ref="M280" r:id="rId142" display="mailto:ruchinipeiris747@hotmail.com" xr:uid="{00000000-0004-0000-0000-00008D000000}"/>
    <hyperlink ref="M282" r:id="rId143" display="mailto:imeshawickramasuriya@gmail.com" xr:uid="{00000000-0004-0000-0000-00008E000000}"/>
    <hyperlink ref="M283" r:id="rId144" display="mailto:ajanifdo20@gmail.com" xr:uid="{00000000-0004-0000-0000-00008F000000}"/>
    <hyperlink ref="M24" r:id="rId145" xr:uid="{00000000-0004-0000-0000-000090000000}"/>
    <hyperlink ref="M13" r:id="rId146" xr:uid="{00000000-0004-0000-0000-000091000000}"/>
    <hyperlink ref="M23" r:id="rId147" xr:uid="{00000000-0004-0000-0000-000092000000}"/>
    <hyperlink ref="M27" r:id="rId148" xr:uid="{00000000-0004-0000-0000-000093000000}"/>
    <hyperlink ref="M300" r:id="rId149" xr:uid="{00000000-0004-0000-0000-000094000000}"/>
    <hyperlink ref="M302" r:id="rId150" xr:uid="{00000000-0004-0000-0000-000095000000}"/>
    <hyperlink ref="M301" r:id="rId151" xr:uid="{00000000-0004-0000-0000-000096000000}"/>
    <hyperlink ref="M303" r:id="rId152" xr:uid="{00000000-0004-0000-0000-000097000000}"/>
    <hyperlink ref="M304" r:id="rId153" xr:uid="{00000000-0004-0000-0000-000098000000}"/>
    <hyperlink ref="M305" r:id="rId154" xr:uid="{00000000-0004-0000-0000-000099000000}"/>
    <hyperlink ref="M307" r:id="rId155" xr:uid="{00000000-0004-0000-0000-00009A000000}"/>
    <hyperlink ref="M308" r:id="rId156" xr:uid="{00000000-0004-0000-0000-00009B000000}"/>
    <hyperlink ref="M309" r:id="rId157" xr:uid="{00000000-0004-0000-0000-00009C000000}"/>
    <hyperlink ref="M310" r:id="rId158" xr:uid="{00000000-0004-0000-0000-00009D000000}"/>
    <hyperlink ref="M311" r:id="rId159" xr:uid="{00000000-0004-0000-0000-00009E000000}"/>
    <hyperlink ref="M306" r:id="rId160" xr:uid="{00000000-0004-0000-0000-00009F000000}"/>
    <hyperlink ref="N300" r:id="rId161" display="fausrahafernando@gmail.com" xr:uid="{00000000-0004-0000-0000-0000A0000000}"/>
    <hyperlink ref="N302" r:id="rId162" display="hashenrandeniya@mail.com" xr:uid="{00000000-0004-0000-0000-0000A1000000}"/>
    <hyperlink ref="N301" r:id="rId163" display="ishu12398div@gmail.com" xr:uid="{00000000-0004-0000-0000-0000A2000000}"/>
    <hyperlink ref="N303" r:id="rId164" display="madumalifernando17@gmail.com" xr:uid="{00000000-0004-0000-0000-0000A3000000}"/>
    <hyperlink ref="N304" r:id="rId165" display="shaneshranasinghe26@gmail.com" xr:uid="{00000000-0004-0000-0000-0000A4000000}"/>
    <hyperlink ref="N305" r:id="rId166" display="blun2023@gmail.com" xr:uid="{00000000-0004-0000-0000-0000A5000000}"/>
    <hyperlink ref="N307" r:id="rId167" display="pspiumika@gmail.com" xr:uid="{00000000-0004-0000-0000-0000A6000000}"/>
    <hyperlink ref="N308" r:id="rId168" display="primashanana@gmail.com" xr:uid="{00000000-0004-0000-0000-0000A7000000}"/>
    <hyperlink ref="N309" r:id="rId169" display="roshlidewendra28@gmail.com" xr:uid="{00000000-0004-0000-0000-0000A8000000}"/>
    <hyperlink ref="N310" r:id="rId170" display="lanka.chathurika@gmail.com" xr:uid="{00000000-0004-0000-0000-0000A9000000}"/>
    <hyperlink ref="N311" r:id="rId171" display="manothmie17@gmail.com" xr:uid="{00000000-0004-0000-0000-0000AA000000}"/>
    <hyperlink ref="N306" r:id="rId172" display="pabasarakad@gmail.com" xr:uid="{00000000-0004-0000-0000-0000AB000000}"/>
    <hyperlink ref="M312" r:id="rId173" xr:uid="{00000000-0004-0000-0000-0000AC000000}"/>
    <hyperlink ref="N312" r:id="rId174" display="pereraprincy566@gmail.com" xr:uid="{00000000-0004-0000-0000-0000AD000000}"/>
  </hyperlinks>
  <pageMargins left="0.7" right="0.7" top="0.75" bottom="0.75" header="0.3" footer="0.3"/>
  <pageSetup paperSize="9" scale="15" fitToHeight="6" orientation="landscape" horizontalDpi="300" verticalDpi="300" r:id="rId175"/>
  <headerFooter>
    <oddHeader>&amp;L&amp;P</oddHeader>
  </headerFooter>
  <drawing r:id="rId176"/>
  <legacyDrawing r:id="rId17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U32"/>
  <sheetViews>
    <sheetView topLeftCell="A31" workbookViewId="0">
      <selection activeCell="G35" sqref="G35"/>
    </sheetView>
  </sheetViews>
  <sheetFormatPr defaultRowHeight="14.4" x14ac:dyDescent="0.3"/>
  <cols>
    <col min="1" max="1" width="12.109375" customWidth="1"/>
    <col min="2" max="2" width="21.109375" customWidth="1"/>
    <col min="3" max="4" width="7.5546875" customWidth="1"/>
    <col min="5" max="5" width="25.6640625" customWidth="1"/>
    <col min="6" max="6" width="21.44140625" customWidth="1"/>
    <col min="7" max="7" width="53.109375" customWidth="1"/>
    <col min="8" max="8" width="21.44140625" customWidth="1"/>
    <col min="9" max="9" width="56.88671875" customWidth="1"/>
    <col min="10" max="10" width="20.109375" customWidth="1"/>
    <col min="11" max="11" width="18.88671875" customWidth="1"/>
    <col min="12" max="12" width="15.44140625" customWidth="1"/>
    <col min="13" max="13" width="23" customWidth="1"/>
    <col min="14" max="16" width="9.109375" customWidth="1"/>
    <col min="17" max="18" width="16.44140625" customWidth="1"/>
    <col min="19" max="19" width="14.6640625" customWidth="1"/>
    <col min="21" max="21" width="9.109375" customWidth="1"/>
    <col min="22" max="22" width="11.5546875" customWidth="1"/>
    <col min="23" max="23" width="16.88671875" customWidth="1"/>
    <col min="24" max="24" width="17" customWidth="1"/>
    <col min="25" max="25" width="9.109375" customWidth="1"/>
    <col min="26" max="48" width="0" hidden="1" customWidth="1"/>
  </cols>
  <sheetData>
    <row r="2" spans="1:34" ht="21.75" customHeight="1" x14ac:dyDescent="0.3">
      <c r="A2" s="563" t="s">
        <v>0</v>
      </c>
      <c r="B2" s="564"/>
      <c r="C2" s="564"/>
      <c r="D2" s="565"/>
      <c r="E2" s="542" t="s">
        <v>1458</v>
      </c>
      <c r="F2" s="542" t="s">
        <v>1</v>
      </c>
      <c r="G2" s="542" t="s">
        <v>2</v>
      </c>
      <c r="H2" s="569" t="s">
        <v>3</v>
      </c>
      <c r="I2" s="542" t="s">
        <v>4</v>
      </c>
      <c r="J2" s="572" t="s">
        <v>5</v>
      </c>
      <c r="K2" s="542" t="s">
        <v>6</v>
      </c>
      <c r="L2" s="562" t="s">
        <v>7</v>
      </c>
      <c r="M2" s="542" t="s">
        <v>8</v>
      </c>
      <c r="N2" s="572" t="s">
        <v>9</v>
      </c>
      <c r="O2" s="572"/>
      <c r="P2" s="572"/>
      <c r="Q2" s="562" t="s">
        <v>9</v>
      </c>
      <c r="R2" s="59"/>
      <c r="S2" s="548" t="s">
        <v>11</v>
      </c>
      <c r="T2" s="551" t="s">
        <v>12</v>
      </c>
      <c r="U2" s="552"/>
      <c r="V2" s="552"/>
      <c r="W2" s="553" t="s">
        <v>12</v>
      </c>
      <c r="X2" s="556" t="s">
        <v>13</v>
      </c>
      <c r="Y2" s="559" t="s">
        <v>14</v>
      </c>
    </row>
    <row r="3" spans="1:34" ht="21.75" customHeight="1" x14ac:dyDescent="0.3">
      <c r="A3" s="566"/>
      <c r="B3" s="567"/>
      <c r="C3" s="567"/>
      <c r="D3" s="568"/>
      <c r="E3" s="542"/>
      <c r="F3" s="542"/>
      <c r="G3" s="542"/>
      <c r="H3" s="570"/>
      <c r="I3" s="542"/>
      <c r="J3" s="572"/>
      <c r="K3" s="542"/>
      <c r="L3" s="562"/>
      <c r="M3" s="542"/>
      <c r="N3" s="63"/>
      <c r="O3" s="63"/>
      <c r="P3" s="63"/>
      <c r="Q3" s="562"/>
      <c r="R3" s="64" t="s">
        <v>10</v>
      </c>
      <c r="S3" s="549"/>
      <c r="T3" s="89"/>
      <c r="U3" s="60"/>
      <c r="V3" s="60"/>
      <c r="W3" s="554"/>
      <c r="X3" s="557"/>
      <c r="Y3" s="560"/>
    </row>
    <row r="4" spans="1:34" ht="21.75" customHeight="1" x14ac:dyDescent="0.3">
      <c r="A4" s="65"/>
      <c r="B4" s="65"/>
      <c r="C4" s="65"/>
      <c r="D4" s="65" t="s">
        <v>17</v>
      </c>
      <c r="E4" s="542"/>
      <c r="F4" s="542"/>
      <c r="G4" s="542"/>
      <c r="H4" s="571"/>
      <c r="I4" s="542"/>
      <c r="J4" s="572"/>
      <c r="K4" s="542"/>
      <c r="L4" s="562"/>
      <c r="M4" s="542"/>
      <c r="N4" s="63" t="s">
        <v>18</v>
      </c>
      <c r="O4" s="63" t="s">
        <v>19</v>
      </c>
      <c r="P4" s="63" t="s">
        <v>20</v>
      </c>
      <c r="Q4" s="562"/>
      <c r="R4" s="66"/>
      <c r="S4" s="550"/>
      <c r="T4" s="60" t="s">
        <v>21</v>
      </c>
      <c r="U4" s="60" t="s">
        <v>19</v>
      </c>
      <c r="V4" s="60" t="s">
        <v>20</v>
      </c>
      <c r="W4" s="555"/>
      <c r="X4" s="558"/>
      <c r="Y4" s="561"/>
    </row>
    <row r="5" spans="1:34" ht="15.6" x14ac:dyDescent="0.3">
      <c r="A5" s="1">
        <v>2</v>
      </c>
      <c r="B5" s="2" t="s">
        <v>25</v>
      </c>
      <c r="C5" s="3" t="s">
        <v>221</v>
      </c>
      <c r="D5" s="4" t="s">
        <v>222</v>
      </c>
      <c r="E5" s="5" t="s">
        <v>1342</v>
      </c>
      <c r="F5" s="6" t="s">
        <v>28</v>
      </c>
      <c r="G5" s="8" t="s">
        <v>223</v>
      </c>
      <c r="H5" s="7" t="s">
        <v>224</v>
      </c>
      <c r="I5" s="8" t="s">
        <v>225</v>
      </c>
      <c r="J5" s="1" t="s">
        <v>226</v>
      </c>
      <c r="K5" s="7" t="s">
        <v>31</v>
      </c>
      <c r="L5" s="10" t="s">
        <v>227</v>
      </c>
      <c r="M5" s="11" t="s">
        <v>228</v>
      </c>
      <c r="N5" s="3" t="s">
        <v>170</v>
      </c>
      <c r="O5" s="3" t="s">
        <v>35</v>
      </c>
      <c r="P5" s="3" t="s">
        <v>169</v>
      </c>
      <c r="Q5" s="12">
        <v>28546</v>
      </c>
      <c r="R5" s="13">
        <v>45.024657534246572</v>
      </c>
      <c r="S5" s="1" t="s">
        <v>50</v>
      </c>
      <c r="T5" s="3" t="s">
        <v>63</v>
      </c>
      <c r="U5" s="3" t="s">
        <v>80</v>
      </c>
      <c r="V5" s="3" t="s">
        <v>72</v>
      </c>
      <c r="W5" s="14">
        <v>37712</v>
      </c>
      <c r="X5" s="15"/>
      <c r="Y5" s="15" t="s">
        <v>38</v>
      </c>
      <c r="Z5" s="16"/>
      <c r="AA5" s="16"/>
      <c r="AB5" s="16"/>
      <c r="AC5" s="16"/>
      <c r="AD5" s="16"/>
      <c r="AE5" s="16"/>
      <c r="AF5" s="16"/>
      <c r="AG5" s="16"/>
      <c r="AH5" s="16"/>
    </row>
    <row r="6" spans="1:34" ht="28.8" x14ac:dyDescent="0.3">
      <c r="A6" s="1">
        <v>2</v>
      </c>
      <c r="B6" s="2" t="s">
        <v>25</v>
      </c>
      <c r="C6" s="3" t="s">
        <v>229</v>
      </c>
      <c r="D6" s="4" t="s">
        <v>230</v>
      </c>
      <c r="E6" s="5" t="s">
        <v>1343</v>
      </c>
      <c r="F6" s="6" t="s">
        <v>28</v>
      </c>
      <c r="G6" s="8" t="s">
        <v>231</v>
      </c>
      <c r="H6" s="7" t="s">
        <v>232</v>
      </c>
      <c r="I6" s="8" t="s">
        <v>233</v>
      </c>
      <c r="J6" s="1" t="s">
        <v>234</v>
      </c>
      <c r="K6" s="7" t="s">
        <v>31</v>
      </c>
      <c r="L6" s="10" t="s">
        <v>235</v>
      </c>
      <c r="M6" s="11" t="s">
        <v>236</v>
      </c>
      <c r="N6" s="3" t="s">
        <v>237</v>
      </c>
      <c r="O6" s="3" t="s">
        <v>36</v>
      </c>
      <c r="P6" s="3" t="s">
        <v>238</v>
      </c>
      <c r="Q6" s="12">
        <v>28411</v>
      </c>
      <c r="R6" s="13">
        <v>45.394520547945206</v>
      </c>
      <c r="S6" s="1" t="s">
        <v>50</v>
      </c>
      <c r="T6" s="3" t="s">
        <v>32</v>
      </c>
      <c r="U6" s="3" t="s">
        <v>80</v>
      </c>
      <c r="V6" s="3" t="s">
        <v>91</v>
      </c>
      <c r="W6" s="14">
        <v>41369</v>
      </c>
      <c r="X6" s="15"/>
      <c r="Y6" s="15" t="s">
        <v>38</v>
      </c>
      <c r="Z6" s="16"/>
      <c r="AA6" s="16"/>
      <c r="AB6" s="16"/>
      <c r="AC6" s="16"/>
      <c r="AD6" s="16"/>
      <c r="AE6" s="16"/>
      <c r="AF6" s="16"/>
      <c r="AG6" s="16"/>
      <c r="AH6" s="16"/>
    </row>
    <row r="7" spans="1:34" ht="15.6" x14ac:dyDescent="0.3">
      <c r="A7" s="1">
        <v>2</v>
      </c>
      <c r="B7" s="2" t="s">
        <v>25</v>
      </c>
      <c r="C7" s="3" t="s">
        <v>239</v>
      </c>
      <c r="D7" s="4" t="s">
        <v>240</v>
      </c>
      <c r="E7" s="5" t="s">
        <v>1344</v>
      </c>
      <c r="F7" s="6" t="s">
        <v>28</v>
      </c>
      <c r="G7" s="8" t="s">
        <v>241</v>
      </c>
      <c r="H7" s="7" t="s">
        <v>242</v>
      </c>
      <c r="I7" s="8" t="s">
        <v>243</v>
      </c>
      <c r="J7" s="1" t="s">
        <v>244</v>
      </c>
      <c r="K7" s="7" t="s">
        <v>31</v>
      </c>
      <c r="L7" s="10" t="s">
        <v>245</v>
      </c>
      <c r="M7" s="18"/>
      <c r="N7" s="3" t="s">
        <v>157</v>
      </c>
      <c r="O7" s="3" t="s">
        <v>62</v>
      </c>
      <c r="P7" s="3" t="s">
        <v>246</v>
      </c>
      <c r="Q7" s="12">
        <v>23818</v>
      </c>
      <c r="R7" s="13">
        <v>57.978082191780821</v>
      </c>
      <c r="S7" s="1" t="s">
        <v>50</v>
      </c>
      <c r="T7" s="3" t="s">
        <v>35</v>
      </c>
      <c r="U7" s="3" t="s">
        <v>51</v>
      </c>
      <c r="V7" s="3" t="s">
        <v>52</v>
      </c>
      <c r="W7" s="14">
        <v>43710</v>
      </c>
      <c r="X7" s="15"/>
      <c r="Y7" s="15" t="s">
        <v>38</v>
      </c>
      <c r="Z7" s="16"/>
      <c r="AA7" s="16"/>
      <c r="AB7" s="16"/>
      <c r="AC7" s="16"/>
      <c r="AD7" s="16"/>
      <c r="AE7" s="16"/>
      <c r="AF7" s="16"/>
      <c r="AG7" s="16"/>
      <c r="AH7" s="16"/>
    </row>
    <row r="8" spans="1:34" ht="15.6" x14ac:dyDescent="0.3">
      <c r="A8" s="1">
        <v>2</v>
      </c>
      <c r="B8" s="2" t="s">
        <v>25</v>
      </c>
      <c r="C8" s="3" t="s">
        <v>247</v>
      </c>
      <c r="D8" s="4" t="s">
        <v>248</v>
      </c>
      <c r="E8" s="5" t="s">
        <v>1345</v>
      </c>
      <c r="F8" s="6" t="s">
        <v>28</v>
      </c>
      <c r="G8" s="8" t="s">
        <v>249</v>
      </c>
      <c r="H8" s="7" t="s">
        <v>250</v>
      </c>
      <c r="I8" s="8" t="s">
        <v>251</v>
      </c>
      <c r="J8" s="1" t="s">
        <v>252</v>
      </c>
      <c r="K8" s="7" t="s">
        <v>31</v>
      </c>
      <c r="L8" s="10" t="s">
        <v>253</v>
      </c>
      <c r="M8" s="11" t="s">
        <v>254</v>
      </c>
      <c r="N8" s="3" t="s">
        <v>205</v>
      </c>
      <c r="O8" s="3" t="s">
        <v>60</v>
      </c>
      <c r="P8" s="3" t="s">
        <v>255</v>
      </c>
      <c r="Q8" s="12">
        <v>19683</v>
      </c>
      <c r="R8" s="13">
        <v>69.30684931506849</v>
      </c>
      <c r="S8" s="1" t="s">
        <v>34</v>
      </c>
      <c r="T8" s="3" t="s">
        <v>35</v>
      </c>
      <c r="U8" s="3" t="s">
        <v>63</v>
      </c>
      <c r="V8" s="3" t="s">
        <v>159</v>
      </c>
      <c r="W8" s="14">
        <v>43832</v>
      </c>
      <c r="X8" s="15"/>
      <c r="Y8" s="15" t="s">
        <v>38</v>
      </c>
      <c r="Z8" s="16"/>
      <c r="AA8" s="16"/>
      <c r="AB8" s="16"/>
      <c r="AC8" s="16"/>
      <c r="AD8" s="16"/>
      <c r="AE8" s="16"/>
      <c r="AF8" s="16"/>
      <c r="AG8" s="16"/>
      <c r="AH8" s="16"/>
    </row>
    <row r="9" spans="1:34" ht="34.799999999999997" x14ac:dyDescent="0.3">
      <c r="A9" s="5">
        <v>2</v>
      </c>
      <c r="B9" s="22" t="s">
        <v>306</v>
      </c>
      <c r="C9" s="29">
        <v>788</v>
      </c>
      <c r="D9" s="23" t="s">
        <v>752</v>
      </c>
      <c r="E9" s="5" t="s">
        <v>1346</v>
      </c>
      <c r="F9" s="30"/>
      <c r="G9" s="31" t="s">
        <v>753</v>
      </c>
      <c r="H9" s="24" t="s">
        <v>242</v>
      </c>
      <c r="I9" s="33" t="s">
        <v>754</v>
      </c>
      <c r="J9" s="25" t="s">
        <v>755</v>
      </c>
      <c r="K9" s="26" t="s">
        <v>311</v>
      </c>
      <c r="L9" s="27" t="s">
        <v>756</v>
      </c>
      <c r="M9" s="36" t="s">
        <v>757</v>
      </c>
      <c r="N9" s="28" t="s">
        <v>368</v>
      </c>
      <c r="O9" s="28" t="s">
        <v>324</v>
      </c>
      <c r="P9" s="28" t="s">
        <v>758</v>
      </c>
      <c r="Q9" s="12">
        <v>35893</v>
      </c>
      <c r="R9" s="13">
        <v>24.895890410958906</v>
      </c>
      <c r="S9" s="15" t="s">
        <v>34</v>
      </c>
      <c r="T9" s="28" t="s">
        <v>314</v>
      </c>
      <c r="U9" s="28" t="s">
        <v>327</v>
      </c>
      <c r="V9" s="28" t="s">
        <v>159</v>
      </c>
      <c r="W9" s="14">
        <v>43833</v>
      </c>
      <c r="X9" s="15" t="s">
        <v>38</v>
      </c>
      <c r="Y9" s="15"/>
      <c r="Z9" s="32"/>
      <c r="AA9" s="32"/>
      <c r="AB9" s="32"/>
      <c r="AC9" s="32"/>
      <c r="AD9" s="32"/>
      <c r="AE9" s="32"/>
      <c r="AF9" s="32"/>
      <c r="AG9" s="32"/>
      <c r="AH9" s="32"/>
    </row>
    <row r="10" spans="1:34" ht="29.4" thickBot="1" x14ac:dyDescent="0.35">
      <c r="A10" s="5">
        <v>2</v>
      </c>
      <c r="B10" s="22" t="s">
        <v>306</v>
      </c>
      <c r="C10" s="29">
        <v>861</v>
      </c>
      <c r="D10" s="23" t="s">
        <v>836</v>
      </c>
      <c r="E10" s="5" t="s">
        <v>1347</v>
      </c>
      <c r="F10" s="30"/>
      <c r="G10" s="34" t="s">
        <v>837</v>
      </c>
      <c r="H10" s="24" t="s">
        <v>838</v>
      </c>
      <c r="I10" s="33" t="s">
        <v>839</v>
      </c>
      <c r="J10" s="35" t="s">
        <v>840</v>
      </c>
      <c r="K10" s="26" t="s">
        <v>311</v>
      </c>
      <c r="L10" s="37">
        <v>761936351</v>
      </c>
      <c r="M10" s="38" t="s">
        <v>841</v>
      </c>
      <c r="N10" s="26">
        <v>10</v>
      </c>
      <c r="O10" s="26">
        <v>2</v>
      </c>
      <c r="P10" s="26">
        <v>1997</v>
      </c>
      <c r="Q10" s="12">
        <v>35471</v>
      </c>
      <c r="R10" s="13">
        <v>26.052054794520547</v>
      </c>
      <c r="S10" s="15" t="s">
        <v>50</v>
      </c>
      <c r="T10" s="26">
        <v>6</v>
      </c>
      <c r="U10" s="26">
        <v>6</v>
      </c>
      <c r="V10" s="26">
        <v>2022</v>
      </c>
      <c r="W10" s="14">
        <v>44718</v>
      </c>
      <c r="X10" s="15"/>
      <c r="Y10" s="15"/>
      <c r="Z10" s="32"/>
      <c r="AA10" s="32"/>
      <c r="AB10" s="32"/>
      <c r="AC10" s="32"/>
      <c r="AD10" s="32"/>
      <c r="AE10" s="32"/>
      <c r="AF10" s="32"/>
      <c r="AG10" s="32"/>
      <c r="AH10" s="32"/>
    </row>
    <row r="11" spans="1:34" ht="30.6" thickBot="1" x14ac:dyDescent="0.35">
      <c r="A11" s="40">
        <v>2</v>
      </c>
      <c r="B11" s="41" t="s">
        <v>1014</v>
      </c>
      <c r="C11" s="49" t="s">
        <v>1041</v>
      </c>
      <c r="D11" s="42" t="s">
        <v>1042</v>
      </c>
      <c r="E11" s="5" t="s">
        <v>1348</v>
      </c>
      <c r="F11" s="96" t="s">
        <v>28</v>
      </c>
      <c r="G11" s="97" t="s">
        <v>1654</v>
      </c>
      <c r="H11" s="98" t="s">
        <v>1655</v>
      </c>
      <c r="I11" s="97" t="s">
        <v>1656</v>
      </c>
      <c r="J11" s="40" t="s">
        <v>1043</v>
      </c>
      <c r="K11" s="103" t="s">
        <v>31</v>
      </c>
      <c r="L11" s="51">
        <v>712460748</v>
      </c>
      <c r="M11" s="52" t="s">
        <v>1044</v>
      </c>
      <c r="N11" s="40">
        <v>2</v>
      </c>
      <c r="O11" s="40">
        <v>9</v>
      </c>
      <c r="P11" s="40">
        <v>1974</v>
      </c>
      <c r="Q11" s="46">
        <v>27274</v>
      </c>
      <c r="R11" s="13">
        <v>48.509589041095893</v>
      </c>
      <c r="S11" s="105" t="s">
        <v>50</v>
      </c>
      <c r="T11" s="40">
        <v>1</v>
      </c>
      <c r="U11" s="40">
        <v>3</v>
      </c>
      <c r="V11" s="40">
        <v>2011</v>
      </c>
      <c r="W11" s="14">
        <v>41288</v>
      </c>
      <c r="X11" s="47"/>
      <c r="Y11" s="53" t="s">
        <v>1026</v>
      </c>
      <c r="Z11" s="16"/>
      <c r="AA11" s="16"/>
      <c r="AB11" s="16"/>
      <c r="AC11" s="16"/>
      <c r="AD11" s="16"/>
      <c r="AE11" s="16"/>
      <c r="AF11" s="16"/>
      <c r="AG11" s="16"/>
      <c r="AH11" s="16"/>
    </row>
    <row r="12" spans="1:34" ht="30.6" thickBot="1" x14ac:dyDescent="0.35">
      <c r="A12" s="40">
        <v>2</v>
      </c>
      <c r="B12" s="41" t="s">
        <v>1014</v>
      </c>
      <c r="C12" s="49" t="s">
        <v>1049</v>
      </c>
      <c r="D12" s="42" t="s">
        <v>1050</v>
      </c>
      <c r="E12" s="5" t="s">
        <v>1349</v>
      </c>
      <c r="F12" s="99" t="s">
        <v>28</v>
      </c>
      <c r="G12" s="100" t="s">
        <v>1657</v>
      </c>
      <c r="H12" s="101" t="s">
        <v>224</v>
      </c>
      <c r="I12" s="100" t="s">
        <v>1658</v>
      </c>
      <c r="J12" s="54" t="s">
        <v>1051</v>
      </c>
      <c r="K12" s="104" t="s">
        <v>31</v>
      </c>
      <c r="L12" s="51">
        <v>777892661</v>
      </c>
      <c r="M12" s="55" t="s">
        <v>1052</v>
      </c>
      <c r="N12" s="40">
        <v>17</v>
      </c>
      <c r="O12" s="40">
        <v>1</v>
      </c>
      <c r="P12" s="40">
        <v>1980</v>
      </c>
      <c r="Q12" s="46">
        <v>29237</v>
      </c>
      <c r="R12" s="13">
        <v>43.131506849315066</v>
      </c>
      <c r="S12" s="106" t="s">
        <v>34</v>
      </c>
      <c r="T12" s="40">
        <v>14</v>
      </c>
      <c r="U12" s="40">
        <v>9</v>
      </c>
      <c r="V12" s="40">
        <v>2012</v>
      </c>
      <c r="W12" s="14">
        <v>41288</v>
      </c>
      <c r="X12" s="47"/>
      <c r="Y12" s="53" t="s">
        <v>1026</v>
      </c>
      <c r="Z12" s="16"/>
      <c r="AA12" s="16"/>
      <c r="AB12" s="16"/>
      <c r="AC12" s="16"/>
      <c r="AD12" s="16"/>
      <c r="AE12" s="16"/>
      <c r="AF12" s="16"/>
      <c r="AG12" s="16"/>
      <c r="AH12" s="16"/>
    </row>
    <row r="13" spans="1:34" ht="45.6" thickBot="1" x14ac:dyDescent="0.35">
      <c r="A13" s="40">
        <v>2</v>
      </c>
      <c r="B13" s="41" t="s">
        <v>1014</v>
      </c>
      <c r="C13" s="49" t="s">
        <v>1053</v>
      </c>
      <c r="D13" s="42" t="s">
        <v>1054</v>
      </c>
      <c r="E13" s="5" t="s">
        <v>1350</v>
      </c>
      <c r="F13" s="99" t="s">
        <v>28</v>
      </c>
      <c r="G13" s="100" t="s">
        <v>1659</v>
      </c>
      <c r="H13" s="101" t="s">
        <v>1660</v>
      </c>
      <c r="I13" s="100" t="s">
        <v>1661</v>
      </c>
      <c r="J13" s="56" t="s">
        <v>1055</v>
      </c>
      <c r="K13" s="104" t="s">
        <v>31</v>
      </c>
      <c r="L13" s="44" t="s">
        <v>1056</v>
      </c>
      <c r="M13" s="45" t="s">
        <v>1057</v>
      </c>
      <c r="N13" s="40">
        <v>13</v>
      </c>
      <c r="O13" s="40">
        <v>12</v>
      </c>
      <c r="P13" s="40">
        <v>1985</v>
      </c>
      <c r="Q13" s="46">
        <v>31394</v>
      </c>
      <c r="R13" s="13">
        <v>37.221917808219175</v>
      </c>
      <c r="S13" s="106" t="s">
        <v>34</v>
      </c>
      <c r="T13" s="40">
        <v>6</v>
      </c>
      <c r="U13" s="40">
        <v>8</v>
      </c>
      <c r="V13" s="40">
        <v>2012</v>
      </c>
      <c r="W13" s="14">
        <v>41288</v>
      </c>
      <c r="X13" s="47"/>
      <c r="Y13" s="53" t="s">
        <v>1026</v>
      </c>
      <c r="Z13" s="16"/>
      <c r="AA13" s="16"/>
      <c r="AB13" s="16"/>
      <c r="AC13" s="16"/>
      <c r="AD13" s="16"/>
      <c r="AE13" s="16"/>
      <c r="AF13" s="16"/>
      <c r="AG13" s="16"/>
      <c r="AH13" s="16"/>
    </row>
    <row r="14" spans="1:34" ht="30.6" thickBot="1" x14ac:dyDescent="0.35">
      <c r="A14" s="40">
        <v>2</v>
      </c>
      <c r="B14" s="41" t="s">
        <v>1014</v>
      </c>
      <c r="C14" s="49" t="s">
        <v>1066</v>
      </c>
      <c r="D14" s="42" t="s">
        <v>1067</v>
      </c>
      <c r="E14" s="5" t="s">
        <v>1351</v>
      </c>
      <c r="F14" s="99" t="s">
        <v>28</v>
      </c>
      <c r="G14" s="100" t="s">
        <v>1662</v>
      </c>
      <c r="H14" s="101" t="s">
        <v>1663</v>
      </c>
      <c r="I14" s="100" t="s">
        <v>1664</v>
      </c>
      <c r="J14" s="40" t="s">
        <v>1068</v>
      </c>
      <c r="K14" s="104" t="s">
        <v>31</v>
      </c>
      <c r="L14" s="51" t="s">
        <v>1069</v>
      </c>
      <c r="M14" s="52" t="s">
        <v>1070</v>
      </c>
      <c r="N14" s="40">
        <v>4</v>
      </c>
      <c r="O14" s="40">
        <v>9</v>
      </c>
      <c r="P14" s="40">
        <v>1984</v>
      </c>
      <c r="Q14" s="46">
        <v>30929</v>
      </c>
      <c r="R14" s="13">
        <v>38.495890410958907</v>
      </c>
      <c r="S14" s="106" t="s">
        <v>34</v>
      </c>
      <c r="T14" s="40">
        <v>10</v>
      </c>
      <c r="U14" s="40">
        <v>1</v>
      </c>
      <c r="V14" s="40">
        <v>2013</v>
      </c>
      <c r="W14" s="14">
        <v>41288</v>
      </c>
      <c r="X14" s="47"/>
      <c r="Y14" s="53" t="s">
        <v>1026</v>
      </c>
      <c r="Z14" s="16"/>
      <c r="AA14" s="16"/>
      <c r="AB14" s="16"/>
      <c r="AC14" s="16"/>
      <c r="AD14" s="16"/>
      <c r="AE14" s="16"/>
      <c r="AF14" s="16"/>
      <c r="AG14" s="16"/>
      <c r="AH14" s="16"/>
    </row>
    <row r="15" spans="1:34" ht="16.2" thickBot="1" x14ac:dyDescent="0.35">
      <c r="A15" s="40">
        <v>2</v>
      </c>
      <c r="B15" s="41" t="s">
        <v>1014</v>
      </c>
      <c r="C15" s="49" t="s">
        <v>1101</v>
      </c>
      <c r="D15" s="42" t="s">
        <v>1102</v>
      </c>
      <c r="E15" s="5" t="s">
        <v>1352</v>
      </c>
      <c r="F15" s="99" t="s">
        <v>1016</v>
      </c>
      <c r="G15" s="100" t="s">
        <v>1665</v>
      </c>
      <c r="H15" s="101" t="s">
        <v>1666</v>
      </c>
      <c r="I15" s="102" t="s">
        <v>1667</v>
      </c>
      <c r="J15" s="40" t="s">
        <v>1103</v>
      </c>
      <c r="K15" s="104" t="s">
        <v>31</v>
      </c>
      <c r="L15" s="51">
        <v>778518615</v>
      </c>
      <c r="M15" s="43" t="s">
        <v>1016</v>
      </c>
      <c r="N15" s="40">
        <v>13</v>
      </c>
      <c r="O15" s="40">
        <v>5</v>
      </c>
      <c r="P15" s="40">
        <v>1939</v>
      </c>
      <c r="Q15" s="46">
        <v>14378</v>
      </c>
      <c r="R15" s="13">
        <v>83.841095890410955</v>
      </c>
      <c r="S15" s="106" t="s">
        <v>34</v>
      </c>
      <c r="T15" s="40">
        <v>1</v>
      </c>
      <c r="U15" s="40">
        <v>9</v>
      </c>
      <c r="V15" s="40">
        <v>2014</v>
      </c>
      <c r="W15" s="14">
        <v>41288</v>
      </c>
      <c r="X15" s="47"/>
      <c r="Y15" s="47"/>
      <c r="Z15" s="16"/>
      <c r="AA15" s="16"/>
      <c r="AB15" s="16"/>
      <c r="AC15" s="16"/>
      <c r="AD15" s="16"/>
      <c r="AE15" s="16"/>
      <c r="AF15" s="16"/>
      <c r="AG15" s="16"/>
      <c r="AH15" s="16"/>
    </row>
    <row r="16" spans="1:34" ht="30.6" thickBot="1" x14ac:dyDescent="0.35">
      <c r="A16" s="40">
        <v>2</v>
      </c>
      <c r="B16" s="41" t="s">
        <v>1014</v>
      </c>
      <c r="C16" s="49">
        <v>101</v>
      </c>
      <c r="D16" s="42" t="s">
        <v>1106</v>
      </c>
      <c r="E16" s="5" t="s">
        <v>1353</v>
      </c>
      <c r="F16" s="99" t="s">
        <v>28</v>
      </c>
      <c r="G16" s="100" t="s">
        <v>1668</v>
      </c>
      <c r="H16" s="101" t="s">
        <v>1669</v>
      </c>
      <c r="I16" s="100" t="s">
        <v>1670</v>
      </c>
      <c r="J16" s="57" t="s">
        <v>1107</v>
      </c>
      <c r="K16" s="104" t="s">
        <v>31</v>
      </c>
      <c r="L16" s="50">
        <v>773971343</v>
      </c>
      <c r="M16" s="45" t="s">
        <v>1108</v>
      </c>
      <c r="N16" s="40">
        <v>14</v>
      </c>
      <c r="O16" s="40">
        <v>10</v>
      </c>
      <c r="P16" s="40">
        <v>1978</v>
      </c>
      <c r="Q16" s="46">
        <v>28777</v>
      </c>
      <c r="R16" s="13">
        <v>44.391780821917806</v>
      </c>
      <c r="S16" s="106" t="s">
        <v>34</v>
      </c>
      <c r="T16" s="40">
        <v>2</v>
      </c>
      <c r="U16" s="40">
        <v>5</v>
      </c>
      <c r="V16" s="40">
        <v>2016</v>
      </c>
      <c r="W16" s="14">
        <v>41288</v>
      </c>
      <c r="X16" s="47"/>
      <c r="Y16" s="53" t="s">
        <v>1026</v>
      </c>
      <c r="Z16" s="16"/>
      <c r="AA16" s="16"/>
      <c r="AB16" s="16"/>
      <c r="AC16" s="16"/>
      <c r="AD16" s="16"/>
      <c r="AE16" s="16"/>
      <c r="AF16" s="16"/>
      <c r="AG16" s="16"/>
      <c r="AH16" s="16"/>
    </row>
    <row r="17" spans="1:47" ht="30.6" thickBot="1" x14ac:dyDescent="0.35">
      <c r="A17" s="40">
        <v>2</v>
      </c>
      <c r="B17" s="41" t="s">
        <v>1014</v>
      </c>
      <c r="C17" s="49">
        <v>117</v>
      </c>
      <c r="D17" s="42" t="s">
        <v>1115</v>
      </c>
      <c r="E17" s="5" t="s">
        <v>1354</v>
      </c>
      <c r="F17" s="99" t="s">
        <v>28</v>
      </c>
      <c r="G17" s="100" t="s">
        <v>1671</v>
      </c>
      <c r="H17" s="101" t="s">
        <v>1672</v>
      </c>
      <c r="I17" s="100" t="s">
        <v>1673</v>
      </c>
      <c r="J17" s="40" t="s">
        <v>1116</v>
      </c>
      <c r="K17" s="104" t="s">
        <v>31</v>
      </c>
      <c r="L17" s="51">
        <v>773344000</v>
      </c>
      <c r="M17" s="52" t="s">
        <v>1117</v>
      </c>
      <c r="N17" s="40">
        <v>29</v>
      </c>
      <c r="O17" s="40">
        <v>12</v>
      </c>
      <c r="P17" s="40">
        <v>1993</v>
      </c>
      <c r="Q17" s="46">
        <v>34332</v>
      </c>
      <c r="R17" s="13">
        <v>29.172602739726027</v>
      </c>
      <c r="S17" s="106" t="s">
        <v>34</v>
      </c>
      <c r="T17" s="40">
        <v>1</v>
      </c>
      <c r="U17" s="40">
        <v>12</v>
      </c>
      <c r="V17" s="40">
        <v>2016</v>
      </c>
      <c r="W17" s="14">
        <v>41288</v>
      </c>
      <c r="X17" s="47"/>
      <c r="Y17" s="53" t="s">
        <v>1026</v>
      </c>
      <c r="Z17" s="16"/>
      <c r="AA17" s="16"/>
      <c r="AB17" s="16"/>
      <c r="AC17" s="16"/>
      <c r="AD17" s="16"/>
      <c r="AE17" s="16"/>
      <c r="AF17" s="16"/>
      <c r="AG17" s="16"/>
      <c r="AH17" s="16"/>
    </row>
    <row r="18" spans="1:47" ht="30.6" thickBot="1" x14ac:dyDescent="0.35">
      <c r="A18" s="40">
        <v>2</v>
      </c>
      <c r="B18" s="41" t="s">
        <v>1014</v>
      </c>
      <c r="C18" s="49">
        <v>120</v>
      </c>
      <c r="D18" s="42" t="s">
        <v>1125</v>
      </c>
      <c r="E18" s="5" t="s">
        <v>1355</v>
      </c>
      <c r="F18" s="99" t="s">
        <v>28</v>
      </c>
      <c r="G18" s="100" t="s">
        <v>1674</v>
      </c>
      <c r="H18" s="101" t="s">
        <v>1669</v>
      </c>
      <c r="I18" s="100" t="s">
        <v>1675</v>
      </c>
      <c r="J18" s="40" t="s">
        <v>1126</v>
      </c>
      <c r="K18" s="104" t="s">
        <v>31</v>
      </c>
      <c r="L18" s="51" t="s">
        <v>1127</v>
      </c>
      <c r="M18" s="52" t="s">
        <v>1128</v>
      </c>
      <c r="N18" s="40">
        <v>14</v>
      </c>
      <c r="O18" s="40">
        <v>9</v>
      </c>
      <c r="P18" s="40">
        <v>1996</v>
      </c>
      <c r="Q18" s="46">
        <v>35322</v>
      </c>
      <c r="R18" s="13">
        <v>26.460273972602739</v>
      </c>
      <c r="S18" s="106" t="s">
        <v>50</v>
      </c>
      <c r="T18" s="40">
        <v>4</v>
      </c>
      <c r="U18" s="40">
        <v>1</v>
      </c>
      <c r="V18" s="40">
        <v>2017</v>
      </c>
      <c r="W18" s="14">
        <v>41288</v>
      </c>
      <c r="X18" s="47"/>
      <c r="Y18" s="53" t="s">
        <v>1026</v>
      </c>
      <c r="Z18" s="16"/>
      <c r="AA18" s="16"/>
      <c r="AB18" s="16"/>
      <c r="AC18" s="16"/>
      <c r="AD18" s="16"/>
      <c r="AE18" s="16"/>
      <c r="AF18" s="16"/>
      <c r="AG18" s="16"/>
      <c r="AH18" s="16"/>
    </row>
    <row r="19" spans="1:47" ht="16.2" thickBot="1" x14ac:dyDescent="0.35">
      <c r="A19" s="40">
        <v>2</v>
      </c>
      <c r="B19" s="41" t="s">
        <v>1014</v>
      </c>
      <c r="C19" s="49">
        <v>154</v>
      </c>
      <c r="D19" s="42" t="s">
        <v>1149</v>
      </c>
      <c r="E19" s="5" t="s">
        <v>1356</v>
      </c>
      <c r="F19" s="99" t="s">
        <v>28</v>
      </c>
      <c r="G19" s="100" t="s">
        <v>1676</v>
      </c>
      <c r="H19" s="101" t="s">
        <v>1677</v>
      </c>
      <c r="I19" s="100" t="s">
        <v>1678</v>
      </c>
      <c r="J19" s="56" t="s">
        <v>1150</v>
      </c>
      <c r="K19" s="104" t="s">
        <v>31</v>
      </c>
      <c r="L19" s="44">
        <v>776358856</v>
      </c>
      <c r="M19" s="45" t="s">
        <v>1016</v>
      </c>
      <c r="N19" s="40">
        <v>13</v>
      </c>
      <c r="O19" s="40">
        <v>9</v>
      </c>
      <c r="P19" s="40">
        <v>1958</v>
      </c>
      <c r="Q19" s="46">
        <v>21441</v>
      </c>
      <c r="R19" s="13">
        <v>64.490410958904107</v>
      </c>
      <c r="S19" s="106" t="s">
        <v>34</v>
      </c>
      <c r="T19" s="40">
        <v>2</v>
      </c>
      <c r="U19" s="40">
        <v>10</v>
      </c>
      <c r="V19" s="40">
        <v>2017</v>
      </c>
      <c r="W19" s="14">
        <v>41288</v>
      </c>
      <c r="X19" s="53"/>
      <c r="Y19" s="53" t="s">
        <v>1026</v>
      </c>
      <c r="Z19" s="16"/>
      <c r="AA19" s="16"/>
      <c r="AB19" s="16"/>
      <c r="AC19" s="16"/>
      <c r="AD19" s="16"/>
      <c r="AE19" s="16"/>
      <c r="AF19" s="16"/>
      <c r="AG19" s="16"/>
      <c r="AH19" s="16"/>
    </row>
    <row r="20" spans="1:47" s="289" customFormat="1" ht="30.6" thickBot="1" x14ac:dyDescent="0.35">
      <c r="A20" s="271">
        <v>2</v>
      </c>
      <c r="B20" s="272" t="s">
        <v>1014</v>
      </c>
      <c r="C20" s="273">
        <v>181</v>
      </c>
      <c r="D20" s="274" t="s">
        <v>1170</v>
      </c>
      <c r="E20" s="187" t="s">
        <v>1357</v>
      </c>
      <c r="F20" s="275" t="s">
        <v>28</v>
      </c>
      <c r="G20" s="276" t="s">
        <v>1679</v>
      </c>
      <c r="H20" s="277" t="s">
        <v>1680</v>
      </c>
      <c r="I20" s="276" t="s">
        <v>1613</v>
      </c>
      <c r="J20" s="278" t="s">
        <v>1171</v>
      </c>
      <c r="K20" s="279" t="s">
        <v>1708</v>
      </c>
      <c r="L20" s="280">
        <v>779298858</v>
      </c>
      <c r="M20" s="281" t="s">
        <v>1172</v>
      </c>
      <c r="N20" s="271">
        <v>28</v>
      </c>
      <c r="O20" s="271">
        <v>6</v>
      </c>
      <c r="P20" s="271">
        <v>1992</v>
      </c>
      <c r="Q20" s="282">
        <v>33783</v>
      </c>
      <c r="R20" s="283">
        <v>30.676712328767124</v>
      </c>
      <c r="S20" s="284" t="s">
        <v>50</v>
      </c>
      <c r="T20" s="271">
        <v>29</v>
      </c>
      <c r="U20" s="271">
        <v>8</v>
      </c>
      <c r="V20" s="271">
        <v>2018</v>
      </c>
      <c r="W20" s="285">
        <v>41288</v>
      </c>
      <c r="X20" s="286"/>
      <c r="Y20" s="287" t="s">
        <v>1026</v>
      </c>
      <c r="Z20" s="288"/>
      <c r="AA20" s="288"/>
      <c r="AB20" s="288"/>
      <c r="AC20" s="288"/>
      <c r="AD20" s="288"/>
      <c r="AE20" s="288"/>
      <c r="AF20" s="288"/>
      <c r="AG20" s="288"/>
      <c r="AH20" s="288"/>
    </row>
    <row r="21" spans="1:47" ht="30.6" thickBot="1" x14ac:dyDescent="0.35">
      <c r="A21" s="40">
        <v>2</v>
      </c>
      <c r="B21" s="41" t="s">
        <v>1014</v>
      </c>
      <c r="C21" s="49">
        <v>188</v>
      </c>
      <c r="D21" s="42" t="s">
        <v>1176</v>
      </c>
      <c r="E21" s="5" t="s">
        <v>1358</v>
      </c>
      <c r="F21" s="99" t="s">
        <v>28</v>
      </c>
      <c r="G21" s="100" t="s">
        <v>1681</v>
      </c>
      <c r="H21" s="101" t="s">
        <v>250</v>
      </c>
      <c r="I21" s="100" t="s">
        <v>1682</v>
      </c>
      <c r="J21" s="40" t="s">
        <v>1177</v>
      </c>
      <c r="K21" s="104" t="s">
        <v>31</v>
      </c>
      <c r="L21" s="51">
        <v>776767276</v>
      </c>
      <c r="M21" s="43" t="s">
        <v>1178</v>
      </c>
      <c r="N21" s="40">
        <v>30</v>
      </c>
      <c r="O21" s="40">
        <v>9</v>
      </c>
      <c r="P21" s="40">
        <v>1996</v>
      </c>
      <c r="Q21" s="46">
        <v>35338</v>
      </c>
      <c r="R21" s="13">
        <v>26.416438356164385</v>
      </c>
      <c r="S21" s="106" t="s">
        <v>50</v>
      </c>
      <c r="T21" s="40">
        <v>2</v>
      </c>
      <c r="U21" s="40">
        <v>10</v>
      </c>
      <c r="V21" s="40">
        <v>2018</v>
      </c>
      <c r="W21" s="14">
        <v>41288</v>
      </c>
      <c r="X21" s="47"/>
      <c r="Y21" s="53" t="s">
        <v>1026</v>
      </c>
      <c r="Z21" s="16"/>
      <c r="AA21" s="16"/>
      <c r="AB21" s="16"/>
      <c r="AC21" s="16"/>
      <c r="AD21" s="16"/>
      <c r="AE21" s="16"/>
      <c r="AF21" s="16"/>
      <c r="AG21" s="16"/>
      <c r="AH21" s="16"/>
    </row>
    <row r="22" spans="1:47" ht="30.6" thickBot="1" x14ac:dyDescent="0.35">
      <c r="A22" s="40">
        <v>2</v>
      </c>
      <c r="B22" s="41" t="s">
        <v>1014</v>
      </c>
      <c r="C22" s="49">
        <v>189</v>
      </c>
      <c r="D22" s="42" t="s">
        <v>1179</v>
      </c>
      <c r="E22" s="5" t="s">
        <v>1359</v>
      </c>
      <c r="F22" s="99" t="s">
        <v>28</v>
      </c>
      <c r="G22" s="100" t="s">
        <v>1683</v>
      </c>
      <c r="H22" s="101" t="s">
        <v>1655</v>
      </c>
      <c r="I22" s="100" t="s">
        <v>1684</v>
      </c>
      <c r="J22" s="40" t="s">
        <v>1180</v>
      </c>
      <c r="K22" s="104" t="s">
        <v>31</v>
      </c>
      <c r="L22" s="51" t="s">
        <v>1181</v>
      </c>
      <c r="M22" s="43" t="s">
        <v>1182</v>
      </c>
      <c r="N22" s="40">
        <v>25</v>
      </c>
      <c r="O22" s="40">
        <v>10</v>
      </c>
      <c r="P22" s="40">
        <v>1982</v>
      </c>
      <c r="Q22" s="46">
        <v>30249</v>
      </c>
      <c r="R22" s="13">
        <v>40.358904109589041</v>
      </c>
      <c r="S22" s="106" t="s">
        <v>34</v>
      </c>
      <c r="T22" s="40">
        <v>8</v>
      </c>
      <c r="U22" s="40">
        <v>10</v>
      </c>
      <c r="V22" s="40">
        <v>2018</v>
      </c>
      <c r="W22" s="14">
        <v>41288</v>
      </c>
      <c r="X22" s="47"/>
      <c r="Y22" s="53" t="s">
        <v>1026</v>
      </c>
      <c r="Z22" s="16"/>
      <c r="AA22" s="16"/>
      <c r="AB22" s="16"/>
      <c r="AC22" s="16"/>
      <c r="AD22" s="16"/>
      <c r="AE22" s="16"/>
      <c r="AF22" s="16"/>
      <c r="AG22" s="16"/>
      <c r="AH22" s="16"/>
    </row>
    <row r="23" spans="1:47" ht="30.6" thickBot="1" x14ac:dyDescent="0.35">
      <c r="A23" s="40">
        <v>2</v>
      </c>
      <c r="B23" s="41" t="s">
        <v>1014</v>
      </c>
      <c r="C23" s="49">
        <v>209</v>
      </c>
      <c r="D23" s="42" t="s">
        <v>1205</v>
      </c>
      <c r="E23" s="5" t="s">
        <v>1360</v>
      </c>
      <c r="F23" s="99" t="s">
        <v>40</v>
      </c>
      <c r="G23" s="100" t="s">
        <v>1685</v>
      </c>
      <c r="H23" s="101" t="s">
        <v>250</v>
      </c>
      <c r="I23" s="100" t="s">
        <v>1686</v>
      </c>
      <c r="J23" s="40" t="s">
        <v>1206</v>
      </c>
      <c r="K23" s="104" t="s">
        <v>31</v>
      </c>
      <c r="L23" s="51">
        <v>770775542</v>
      </c>
      <c r="M23" s="52" t="s">
        <v>1207</v>
      </c>
      <c r="N23" s="40">
        <v>20</v>
      </c>
      <c r="O23" s="40">
        <v>1</v>
      </c>
      <c r="P23" s="40">
        <v>1998</v>
      </c>
      <c r="Q23" s="46">
        <v>35815</v>
      </c>
      <c r="R23" s="13">
        <v>25.109589041095891</v>
      </c>
      <c r="S23" s="106" t="s">
        <v>50</v>
      </c>
      <c r="T23" s="40">
        <v>11</v>
      </c>
      <c r="U23" s="40">
        <v>3</v>
      </c>
      <c r="V23" s="40">
        <v>2019</v>
      </c>
      <c r="W23" s="14">
        <v>41288</v>
      </c>
      <c r="X23" s="47"/>
      <c r="Y23" s="47"/>
      <c r="Z23" s="16"/>
      <c r="AA23" s="16"/>
      <c r="AB23" s="16"/>
      <c r="AC23" s="16"/>
      <c r="AD23" s="16"/>
      <c r="AE23" s="16"/>
      <c r="AF23" s="16"/>
      <c r="AG23" s="16"/>
      <c r="AH23" s="16"/>
    </row>
    <row r="24" spans="1:47" ht="30.6" thickBot="1" x14ac:dyDescent="0.35">
      <c r="A24" s="40">
        <v>2</v>
      </c>
      <c r="B24" s="41" t="s">
        <v>1014</v>
      </c>
      <c r="C24" s="49">
        <v>213</v>
      </c>
      <c r="D24" s="42" t="s">
        <v>1211</v>
      </c>
      <c r="E24" s="5" t="s">
        <v>1361</v>
      </c>
      <c r="F24" s="99" t="s">
        <v>28</v>
      </c>
      <c r="G24" s="100" t="s">
        <v>1687</v>
      </c>
      <c r="H24" s="101" t="s">
        <v>1688</v>
      </c>
      <c r="I24" s="100" t="s">
        <v>1689</v>
      </c>
      <c r="J24" s="40" t="s">
        <v>1212</v>
      </c>
      <c r="K24" s="104" t="s">
        <v>31</v>
      </c>
      <c r="L24" s="51">
        <v>779694775</v>
      </c>
      <c r="M24" s="52" t="s">
        <v>1213</v>
      </c>
      <c r="N24" s="40">
        <v>22</v>
      </c>
      <c r="O24" s="40">
        <v>7</v>
      </c>
      <c r="P24" s="40">
        <v>1992</v>
      </c>
      <c r="Q24" s="46">
        <v>33807</v>
      </c>
      <c r="R24" s="13">
        <v>30.610958904109587</v>
      </c>
      <c r="S24" s="106" t="s">
        <v>50</v>
      </c>
      <c r="T24" s="40">
        <v>14</v>
      </c>
      <c r="U24" s="40">
        <v>5</v>
      </c>
      <c r="V24" s="40">
        <v>2019</v>
      </c>
      <c r="W24" s="14">
        <v>41288</v>
      </c>
      <c r="X24" s="47"/>
      <c r="Y24" s="53" t="s">
        <v>1026</v>
      </c>
    </row>
    <row r="25" spans="1:47" ht="30.6" thickBot="1" x14ac:dyDescent="0.35">
      <c r="A25" s="40">
        <v>2</v>
      </c>
      <c r="B25" s="41" t="s">
        <v>1014</v>
      </c>
      <c r="C25" s="49">
        <v>215</v>
      </c>
      <c r="D25" s="42" t="s">
        <v>1214</v>
      </c>
      <c r="E25" s="5" t="s">
        <v>1362</v>
      </c>
      <c r="F25" s="99" t="s">
        <v>28</v>
      </c>
      <c r="G25" s="100" t="s">
        <v>1690</v>
      </c>
      <c r="H25" s="101" t="s">
        <v>1691</v>
      </c>
      <c r="I25" s="100" t="s">
        <v>1692</v>
      </c>
      <c r="J25" s="56" t="s">
        <v>1215</v>
      </c>
      <c r="K25" s="104" t="s">
        <v>31</v>
      </c>
      <c r="L25" s="44">
        <v>777623731</v>
      </c>
      <c r="M25" s="45" t="s">
        <v>1216</v>
      </c>
      <c r="N25" s="40">
        <v>16</v>
      </c>
      <c r="O25" s="40">
        <v>7</v>
      </c>
      <c r="P25" s="40">
        <v>1983</v>
      </c>
      <c r="Q25" s="46">
        <v>30513</v>
      </c>
      <c r="R25" s="13">
        <v>39.635616438356166</v>
      </c>
      <c r="S25" s="106" t="s">
        <v>34</v>
      </c>
      <c r="T25" s="40">
        <v>17</v>
      </c>
      <c r="U25" s="40">
        <v>6</v>
      </c>
      <c r="V25" s="40">
        <v>2019</v>
      </c>
      <c r="W25" s="14">
        <v>41288</v>
      </c>
      <c r="X25" s="47"/>
      <c r="Y25" s="53" t="s">
        <v>1026</v>
      </c>
    </row>
    <row r="26" spans="1:47" ht="30.6" thickBot="1" x14ac:dyDescent="0.35">
      <c r="A26" s="40">
        <v>2</v>
      </c>
      <c r="B26" s="41" t="s">
        <v>1014</v>
      </c>
      <c r="C26" s="49">
        <v>217</v>
      </c>
      <c r="D26" s="42" t="s">
        <v>1217</v>
      </c>
      <c r="E26" s="5" t="s">
        <v>1363</v>
      </c>
      <c r="F26" s="99" t="s">
        <v>28</v>
      </c>
      <c r="G26" s="100" t="s">
        <v>1693</v>
      </c>
      <c r="H26" s="101" t="s">
        <v>1694</v>
      </c>
      <c r="I26" s="100" t="s">
        <v>1695</v>
      </c>
      <c r="J26" s="40">
        <v>199909202608</v>
      </c>
      <c r="K26" s="104" t="s">
        <v>31</v>
      </c>
      <c r="L26" s="51">
        <v>771687030</v>
      </c>
      <c r="M26" s="43" t="s">
        <v>1218</v>
      </c>
      <c r="N26" s="40">
        <v>1</v>
      </c>
      <c r="O26" s="40">
        <v>4</v>
      </c>
      <c r="P26" s="40">
        <v>1999</v>
      </c>
      <c r="Q26" s="46">
        <v>36251</v>
      </c>
      <c r="R26" s="13">
        <v>23.915068493150685</v>
      </c>
      <c r="S26" s="106" t="s">
        <v>34</v>
      </c>
      <c r="T26" s="40">
        <v>26</v>
      </c>
      <c r="U26" s="40">
        <v>6</v>
      </c>
      <c r="V26" s="40">
        <v>2019</v>
      </c>
      <c r="W26" s="14">
        <v>41288</v>
      </c>
      <c r="X26" s="47"/>
      <c r="Y26" s="53" t="s">
        <v>1026</v>
      </c>
    </row>
    <row r="27" spans="1:47" ht="30.6" thickBot="1" x14ac:dyDescent="0.35">
      <c r="A27" s="40">
        <v>2</v>
      </c>
      <c r="B27" s="41" t="s">
        <v>1014</v>
      </c>
      <c r="C27" s="49">
        <v>235</v>
      </c>
      <c r="D27" s="42" t="s">
        <v>1235</v>
      </c>
      <c r="E27" s="5" t="s">
        <v>1364</v>
      </c>
      <c r="F27" s="99" t="s">
        <v>28</v>
      </c>
      <c r="G27" s="100" t="s">
        <v>1696</v>
      </c>
      <c r="H27" s="101" t="s">
        <v>1694</v>
      </c>
      <c r="I27" s="100" t="s">
        <v>1697</v>
      </c>
      <c r="J27" s="40" t="s">
        <v>1236</v>
      </c>
      <c r="K27" s="104" t="s">
        <v>31</v>
      </c>
      <c r="L27" s="51">
        <v>776437928</v>
      </c>
      <c r="M27" s="43" t="s">
        <v>1237</v>
      </c>
      <c r="N27" s="40">
        <v>28</v>
      </c>
      <c r="O27" s="40">
        <v>1</v>
      </c>
      <c r="P27" s="40">
        <v>1999</v>
      </c>
      <c r="Q27" s="46">
        <v>36188</v>
      </c>
      <c r="R27" s="13">
        <v>24.087671232876712</v>
      </c>
      <c r="S27" s="106" t="s">
        <v>34</v>
      </c>
      <c r="T27" s="40">
        <v>1</v>
      </c>
      <c r="U27" s="40">
        <v>11</v>
      </c>
      <c r="V27" s="40">
        <v>2019</v>
      </c>
      <c r="W27" s="14">
        <v>41288</v>
      </c>
      <c r="X27" s="47"/>
      <c r="Y27" s="53" t="s">
        <v>1026</v>
      </c>
      <c r="Z27" s="16"/>
      <c r="AA27" s="16"/>
      <c r="AB27" s="16"/>
      <c r="AC27" s="16"/>
      <c r="AD27" s="16"/>
      <c r="AE27" s="16"/>
      <c r="AF27" s="16"/>
      <c r="AG27" s="16"/>
      <c r="AH27" s="16"/>
    </row>
    <row r="28" spans="1:47" ht="30.6" thickBot="1" x14ac:dyDescent="0.35">
      <c r="A28" s="40">
        <v>2</v>
      </c>
      <c r="B28" s="41" t="s">
        <v>1014</v>
      </c>
      <c r="C28" s="49">
        <v>259</v>
      </c>
      <c r="D28" s="42" t="s">
        <v>1263</v>
      </c>
      <c r="E28" s="5" t="s">
        <v>1365</v>
      </c>
      <c r="F28" s="99" t="s">
        <v>28</v>
      </c>
      <c r="G28" s="100" t="s">
        <v>1698</v>
      </c>
      <c r="H28" s="101" t="s">
        <v>1699</v>
      </c>
      <c r="I28" s="100" t="s">
        <v>1700</v>
      </c>
      <c r="J28" s="56" t="s">
        <v>1264</v>
      </c>
      <c r="K28" s="104" t="s">
        <v>31</v>
      </c>
      <c r="L28" s="44">
        <v>766639702</v>
      </c>
      <c r="M28" s="45" t="s">
        <v>1265</v>
      </c>
      <c r="N28" s="40">
        <v>29</v>
      </c>
      <c r="O28" s="40">
        <v>4</v>
      </c>
      <c r="P28" s="40">
        <v>1995</v>
      </c>
      <c r="Q28" s="46">
        <v>34818</v>
      </c>
      <c r="R28" s="13">
        <v>27.841095890410958</v>
      </c>
      <c r="S28" s="106" t="s">
        <v>50</v>
      </c>
      <c r="T28" s="40">
        <v>5</v>
      </c>
      <c r="U28" s="40">
        <v>10</v>
      </c>
      <c r="V28" s="40">
        <v>2020</v>
      </c>
      <c r="W28" s="14">
        <v>41288</v>
      </c>
      <c r="X28" s="47"/>
      <c r="Y28" s="53" t="s">
        <v>1026</v>
      </c>
      <c r="Z28" s="16"/>
      <c r="AA28" s="16"/>
      <c r="AB28" s="16"/>
      <c r="AC28" s="16"/>
      <c r="AD28" s="16"/>
      <c r="AE28" s="16"/>
      <c r="AF28" s="16"/>
      <c r="AG28" s="16"/>
      <c r="AH28" s="16"/>
    </row>
    <row r="29" spans="1:47" ht="16.2" thickBot="1" x14ac:dyDescent="0.35">
      <c r="A29" s="40">
        <v>2</v>
      </c>
      <c r="B29" s="41" t="s">
        <v>1014</v>
      </c>
      <c r="C29" s="49">
        <v>274</v>
      </c>
      <c r="D29" s="42" t="s">
        <v>1283</v>
      </c>
      <c r="E29" s="5" t="s">
        <v>1366</v>
      </c>
      <c r="F29" s="99" t="s">
        <v>28</v>
      </c>
      <c r="G29" s="100" t="s">
        <v>1701</v>
      </c>
      <c r="H29" s="101" t="s">
        <v>250</v>
      </c>
      <c r="I29" s="100" t="s">
        <v>1702</v>
      </c>
      <c r="J29" s="40" t="s">
        <v>1284</v>
      </c>
      <c r="K29" s="104" t="s">
        <v>31</v>
      </c>
      <c r="L29" s="51">
        <v>778274194</v>
      </c>
      <c r="M29" s="43" t="s">
        <v>1285</v>
      </c>
      <c r="N29" s="40">
        <v>16</v>
      </c>
      <c r="O29" s="40">
        <v>12</v>
      </c>
      <c r="P29" s="40">
        <v>1996</v>
      </c>
      <c r="Q29" s="46">
        <v>35415</v>
      </c>
      <c r="R29" s="13">
        <v>26.205479452054796</v>
      </c>
      <c r="S29" s="106" t="s">
        <v>50</v>
      </c>
      <c r="T29" s="40">
        <v>29</v>
      </c>
      <c r="U29" s="40">
        <v>4</v>
      </c>
      <c r="V29" s="40">
        <v>2021</v>
      </c>
      <c r="W29" s="14">
        <v>41288</v>
      </c>
      <c r="X29" s="47"/>
      <c r="Y29" s="47" t="s">
        <v>1026</v>
      </c>
      <c r="Z29" s="16"/>
      <c r="AA29" s="16"/>
      <c r="AB29" s="16"/>
      <c r="AC29" s="16"/>
      <c r="AD29" s="16"/>
      <c r="AE29" s="16"/>
      <c r="AF29" s="16"/>
      <c r="AG29" s="16"/>
      <c r="AH29" s="16"/>
    </row>
    <row r="30" spans="1:47" ht="30.6" thickBot="1" x14ac:dyDescent="0.35">
      <c r="A30" s="40">
        <v>2</v>
      </c>
      <c r="B30" s="41" t="s">
        <v>1014</v>
      </c>
      <c r="C30" s="49">
        <v>275</v>
      </c>
      <c r="D30" s="42" t="s">
        <v>1286</v>
      </c>
      <c r="E30" s="5" t="s">
        <v>1367</v>
      </c>
      <c r="F30" s="99" t="s">
        <v>28</v>
      </c>
      <c r="G30" s="100" t="s">
        <v>1703</v>
      </c>
      <c r="H30" s="101" t="s">
        <v>1704</v>
      </c>
      <c r="I30" s="100" t="s">
        <v>1705</v>
      </c>
      <c r="J30" s="58" t="s">
        <v>1287</v>
      </c>
      <c r="K30" s="104" t="s">
        <v>31</v>
      </c>
      <c r="L30" s="44">
        <v>776947299</v>
      </c>
      <c r="M30" s="45" t="s">
        <v>1288</v>
      </c>
      <c r="N30" s="40">
        <v>8</v>
      </c>
      <c r="O30" s="40">
        <v>1</v>
      </c>
      <c r="P30" s="40">
        <v>1998</v>
      </c>
      <c r="Q30" s="46">
        <v>35803</v>
      </c>
      <c r="R30" s="13">
        <v>25.142465753424659</v>
      </c>
      <c r="S30" s="106" t="s">
        <v>50</v>
      </c>
      <c r="T30" s="40">
        <v>10</v>
      </c>
      <c r="U30" s="40">
        <v>5</v>
      </c>
      <c r="V30" s="40">
        <v>2021</v>
      </c>
      <c r="W30" s="14">
        <v>41288</v>
      </c>
      <c r="X30" s="53"/>
      <c r="Y30" s="53" t="s">
        <v>1026</v>
      </c>
      <c r="Z30" s="16"/>
      <c r="AA30" s="16"/>
      <c r="AB30" s="16"/>
      <c r="AC30" s="16"/>
      <c r="AD30" s="16"/>
      <c r="AE30" s="16"/>
      <c r="AF30" s="16"/>
      <c r="AG30" s="16"/>
      <c r="AH30" s="16"/>
    </row>
    <row r="31" spans="1:47" ht="30.6" thickBot="1" x14ac:dyDescent="0.35">
      <c r="A31" s="40">
        <v>2</v>
      </c>
      <c r="B31" s="41" t="s">
        <v>1014</v>
      </c>
      <c r="C31" s="49">
        <v>320</v>
      </c>
      <c r="D31" s="42" t="s">
        <v>1326</v>
      </c>
      <c r="E31" s="5" t="s">
        <v>1368</v>
      </c>
      <c r="F31" s="99" t="s">
        <v>54</v>
      </c>
      <c r="G31" s="100" t="s">
        <v>1706</v>
      </c>
      <c r="H31" s="101" t="s">
        <v>1704</v>
      </c>
      <c r="I31" s="100" t="s">
        <v>1707</v>
      </c>
      <c r="J31" s="56" t="s">
        <v>1327</v>
      </c>
      <c r="K31" s="104" t="s">
        <v>31</v>
      </c>
      <c r="L31" s="44">
        <v>717670873</v>
      </c>
      <c r="M31" s="45" t="s">
        <v>1328</v>
      </c>
      <c r="N31" s="40">
        <v>4</v>
      </c>
      <c r="O31" s="40">
        <v>4</v>
      </c>
      <c r="P31" s="40">
        <v>1996</v>
      </c>
      <c r="Q31" s="46">
        <v>35159</v>
      </c>
      <c r="R31" s="13">
        <v>26.906849315068492</v>
      </c>
      <c r="S31" s="106" t="s">
        <v>34</v>
      </c>
      <c r="T31" s="40">
        <v>10</v>
      </c>
      <c r="U31" s="40">
        <v>10</v>
      </c>
      <c r="V31" s="40">
        <v>2022</v>
      </c>
      <c r="W31" s="14">
        <v>41288</v>
      </c>
      <c r="X31" s="53"/>
      <c r="Y31" s="53"/>
      <c r="Z31" s="16"/>
      <c r="AA31" s="16"/>
      <c r="AB31" s="16"/>
      <c r="AC31" s="16"/>
      <c r="AD31" s="16"/>
      <c r="AE31" s="16"/>
      <c r="AF31" s="16"/>
      <c r="AG31" s="16"/>
      <c r="AH31" s="16"/>
    </row>
    <row r="32" spans="1:47" s="16" customFormat="1" ht="30" customHeight="1" x14ac:dyDescent="0.3">
      <c r="A32" s="1">
        <v>2</v>
      </c>
      <c r="B32" s="3" t="s">
        <v>1768</v>
      </c>
      <c r="C32" s="3" t="s">
        <v>188</v>
      </c>
      <c r="D32" s="151"/>
      <c r="E32" s="152"/>
      <c r="F32" s="3"/>
      <c r="G32" s="8" t="s">
        <v>1824</v>
      </c>
      <c r="H32" s="7" t="s">
        <v>1825</v>
      </c>
      <c r="I32" s="8" t="s">
        <v>1826</v>
      </c>
      <c r="J32" s="153">
        <v>200161201156</v>
      </c>
      <c r="K32" s="7" t="s">
        <v>1773</v>
      </c>
      <c r="L32" s="10" t="s">
        <v>1827</v>
      </c>
      <c r="M32" s="11" t="s">
        <v>1828</v>
      </c>
      <c r="N32" s="3" t="s">
        <v>188</v>
      </c>
      <c r="O32" s="3" t="s">
        <v>80</v>
      </c>
      <c r="P32" s="3" t="s">
        <v>1814</v>
      </c>
      <c r="Q32" s="154">
        <f>DATE(P32,O32,N32)</f>
        <v>37002</v>
      </c>
      <c r="R32" s="155" t="e">
        <f>(Academic!#REF!-Q32)/365</f>
        <v>#REF!</v>
      </c>
      <c r="S32" s="1" t="s">
        <v>1771</v>
      </c>
      <c r="T32" s="3" t="s">
        <v>62</v>
      </c>
      <c r="U32" s="3" t="s">
        <v>51</v>
      </c>
      <c r="V32" s="3" t="s">
        <v>148</v>
      </c>
      <c r="W32" s="156">
        <f>DATE(V32,U32,T32)</f>
        <v>43346</v>
      </c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08"/>
      <c r="AL32" s="15"/>
      <c r="AM32" s="15"/>
      <c r="AN32" s="15"/>
      <c r="AO32" s="15"/>
      <c r="AP32" s="15"/>
      <c r="AQ32" s="5"/>
      <c r="AR32" s="5"/>
      <c r="AS32" s="5"/>
      <c r="AU32" s="157"/>
    </row>
  </sheetData>
  <autoFilter ref="A5:AH31" xr:uid="{00000000-0009-0000-0000-000001000000}"/>
  <mergeCells count="17">
    <mergeCell ref="Q2:Q4"/>
    <mergeCell ref="A2:D3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P2"/>
    <mergeCell ref="S2:S4"/>
    <mergeCell ref="T2:V2"/>
    <mergeCell ref="W2:W4"/>
    <mergeCell ref="X2:X4"/>
    <mergeCell ref="Y2:Y4"/>
  </mergeCells>
  <conditionalFormatting sqref="AK32">
    <cfRule type="expression" dxfId="79" priority="2">
      <formula>AND(AK32&lt;&gt;"", AND(AK32&gt;TODAY(), AK32&lt;TODAY()+30))</formula>
    </cfRule>
    <cfRule type="expression" dxfId="78" priority="3">
      <formula>AND(AK32&lt;&gt;"", AK32=TODAY())</formula>
    </cfRule>
    <cfRule type="expression" dxfId="77" priority="4">
      <formula>AND(AK32&lt;&gt;"", AND(AK32&gt;TODAY(), AK32&lt;TODAY()+150))</formula>
    </cfRule>
  </conditionalFormatting>
  <conditionalFormatting sqref="AK32">
    <cfRule type="expression" dxfId="76" priority="1">
      <formula>AND(AK32&lt;&gt;"", AND(AK32&lt;TODAY(), AK32&lt;TODAY()))</formula>
    </cfRule>
  </conditionalFormatting>
  <hyperlinks>
    <hyperlink ref="M8" r:id="rId1" xr:uid="{00000000-0004-0000-0100-000000000000}"/>
    <hyperlink ref="M6" r:id="rId2" xr:uid="{00000000-0004-0000-0100-000001000000}"/>
    <hyperlink ref="M5" r:id="rId3" xr:uid="{00000000-0004-0000-0100-000002000000}"/>
    <hyperlink ref="M9" r:id="rId4" xr:uid="{00000000-0004-0000-0100-000003000000}"/>
    <hyperlink ref="M10" r:id="rId5" xr:uid="{00000000-0004-0000-0100-000004000000}"/>
    <hyperlink ref="M32" r:id="rId6" xr:uid="{00000000-0004-0000-0100-000005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32"/>
  <sheetViews>
    <sheetView workbookViewId="0"/>
  </sheetViews>
  <sheetFormatPr defaultRowHeight="14.4" x14ac:dyDescent="0.3"/>
  <cols>
    <col min="1" max="1" width="12.109375" customWidth="1"/>
    <col min="2" max="2" width="21.109375" customWidth="1"/>
    <col min="3" max="4" width="7.5546875" customWidth="1"/>
    <col min="5" max="5" width="25.6640625" customWidth="1"/>
    <col min="6" max="6" width="21.44140625" customWidth="1"/>
    <col min="7" max="7" width="53.109375" customWidth="1"/>
    <col min="8" max="8" width="21.44140625" customWidth="1"/>
    <col min="9" max="9" width="56.88671875" customWidth="1"/>
    <col min="10" max="10" width="20.109375" customWidth="1"/>
    <col min="11" max="11" width="18.88671875" customWidth="1"/>
    <col min="12" max="12" width="15.44140625" customWidth="1"/>
    <col min="13" max="13" width="23" customWidth="1"/>
    <col min="14" max="16" width="9.109375" customWidth="1"/>
    <col min="17" max="18" width="16.44140625" customWidth="1"/>
    <col min="19" max="19" width="14.6640625" customWidth="1"/>
    <col min="21" max="21" width="9.109375" customWidth="1"/>
    <col min="22" max="22" width="11.5546875" customWidth="1"/>
    <col min="23" max="23" width="16.88671875" customWidth="1"/>
    <col min="24" max="24" width="17" customWidth="1"/>
    <col min="25" max="25" width="9.109375" customWidth="1"/>
    <col min="26" max="48" width="0" hidden="1" customWidth="1"/>
  </cols>
  <sheetData>
    <row r="1" spans="1:34" s="290" customFormat="1" ht="35.25" customHeight="1" x14ac:dyDescent="0.3">
      <c r="A1" s="291" t="s">
        <v>2254</v>
      </c>
    </row>
    <row r="2" spans="1:34" x14ac:dyDescent="0.3">
      <c r="A2" s="563" t="s">
        <v>0</v>
      </c>
      <c r="B2" s="564"/>
      <c r="C2" s="564"/>
      <c r="D2" s="565"/>
      <c r="E2" s="542" t="s">
        <v>1458</v>
      </c>
      <c r="F2" s="542" t="s">
        <v>1</v>
      </c>
      <c r="G2" s="542" t="s">
        <v>2</v>
      </c>
      <c r="H2" s="569" t="s">
        <v>3</v>
      </c>
      <c r="I2" s="542" t="s">
        <v>4</v>
      </c>
      <c r="J2" s="572" t="s">
        <v>5</v>
      </c>
      <c r="K2" s="542" t="s">
        <v>6</v>
      </c>
      <c r="L2" s="562" t="s">
        <v>7</v>
      </c>
      <c r="M2" s="542" t="s">
        <v>8</v>
      </c>
      <c r="N2" s="572" t="s">
        <v>9</v>
      </c>
      <c r="O2" s="572"/>
      <c r="P2" s="572"/>
      <c r="Q2" s="562" t="s">
        <v>9</v>
      </c>
      <c r="R2" s="261"/>
      <c r="S2" s="548" t="s">
        <v>11</v>
      </c>
      <c r="T2" s="551" t="s">
        <v>12</v>
      </c>
      <c r="U2" s="552"/>
      <c r="V2" s="552"/>
      <c r="W2" s="553" t="s">
        <v>12</v>
      </c>
      <c r="X2" s="556" t="s">
        <v>13</v>
      </c>
      <c r="Y2" s="559" t="s">
        <v>14</v>
      </c>
    </row>
    <row r="3" spans="1:34" x14ac:dyDescent="0.3">
      <c r="A3" s="566"/>
      <c r="B3" s="567"/>
      <c r="C3" s="567"/>
      <c r="D3" s="568"/>
      <c r="E3" s="542"/>
      <c r="F3" s="542"/>
      <c r="G3" s="542"/>
      <c r="H3" s="570"/>
      <c r="I3" s="542"/>
      <c r="J3" s="572"/>
      <c r="K3" s="542"/>
      <c r="L3" s="562"/>
      <c r="M3" s="542"/>
      <c r="N3" s="260"/>
      <c r="O3" s="260"/>
      <c r="P3" s="260"/>
      <c r="Q3" s="562"/>
      <c r="R3" s="262" t="s">
        <v>10</v>
      </c>
      <c r="S3" s="549"/>
      <c r="T3" s="89"/>
      <c r="U3" s="60"/>
      <c r="V3" s="60"/>
      <c r="W3" s="554"/>
      <c r="X3" s="557"/>
      <c r="Y3" s="560"/>
    </row>
    <row r="4" spans="1:34" x14ac:dyDescent="0.3">
      <c r="A4" s="259"/>
      <c r="B4" s="259"/>
      <c r="C4" s="259"/>
      <c r="D4" s="259" t="s">
        <v>17</v>
      </c>
      <c r="E4" s="542"/>
      <c r="F4" s="542"/>
      <c r="G4" s="542"/>
      <c r="H4" s="571"/>
      <c r="I4" s="542"/>
      <c r="J4" s="572"/>
      <c r="K4" s="542"/>
      <c r="L4" s="562"/>
      <c r="M4" s="542"/>
      <c r="N4" s="260" t="s">
        <v>18</v>
      </c>
      <c r="O4" s="260" t="s">
        <v>19</v>
      </c>
      <c r="P4" s="260" t="s">
        <v>20</v>
      </c>
      <c r="Q4" s="562"/>
      <c r="R4" s="263"/>
      <c r="S4" s="550"/>
      <c r="T4" s="60" t="s">
        <v>21</v>
      </c>
      <c r="U4" s="60" t="s">
        <v>19</v>
      </c>
      <c r="V4" s="60" t="s">
        <v>20</v>
      </c>
      <c r="W4" s="555"/>
      <c r="X4" s="558"/>
      <c r="Y4" s="561"/>
    </row>
    <row r="5" spans="1:34" ht="15.6" x14ac:dyDescent="0.3">
      <c r="A5" s="1">
        <v>2</v>
      </c>
      <c r="B5" s="2" t="s">
        <v>25</v>
      </c>
      <c r="C5" s="3" t="s">
        <v>221</v>
      </c>
      <c r="D5" s="4" t="s">
        <v>222</v>
      </c>
      <c r="E5" s="5" t="s">
        <v>1342</v>
      </c>
      <c r="F5" s="6" t="s">
        <v>28</v>
      </c>
      <c r="G5" s="8" t="s">
        <v>223</v>
      </c>
      <c r="H5" s="7" t="s">
        <v>224</v>
      </c>
      <c r="I5" s="8" t="s">
        <v>225</v>
      </c>
      <c r="J5" s="1" t="s">
        <v>226</v>
      </c>
      <c r="K5" s="7" t="s">
        <v>31</v>
      </c>
      <c r="L5" s="10" t="s">
        <v>227</v>
      </c>
      <c r="M5" s="11" t="s">
        <v>228</v>
      </c>
      <c r="N5" s="3" t="s">
        <v>170</v>
      </c>
      <c r="O5" s="3" t="s">
        <v>35</v>
      </c>
      <c r="P5" s="3" t="s">
        <v>169</v>
      </c>
      <c r="Q5" s="12">
        <v>28546</v>
      </c>
      <c r="R5" s="13">
        <v>45.024657534246572</v>
      </c>
      <c r="S5" s="1" t="s">
        <v>50</v>
      </c>
      <c r="T5" s="3" t="s">
        <v>63</v>
      </c>
      <c r="U5" s="3" t="s">
        <v>80</v>
      </c>
      <c r="V5" s="3" t="s">
        <v>72</v>
      </c>
      <c r="W5" s="14">
        <v>37712</v>
      </c>
      <c r="X5" s="15"/>
      <c r="Y5" s="15" t="s">
        <v>38</v>
      </c>
      <c r="Z5" s="16"/>
      <c r="AA5" s="16"/>
      <c r="AB5" s="16"/>
      <c r="AC5" s="16"/>
      <c r="AD5" s="16"/>
      <c r="AE5" s="16"/>
      <c r="AF5" s="16"/>
      <c r="AG5" s="16"/>
      <c r="AH5" s="16"/>
    </row>
    <row r="6" spans="1:34" ht="28.8" x14ac:dyDescent="0.3">
      <c r="A6" s="1">
        <v>2</v>
      </c>
      <c r="B6" s="2" t="s">
        <v>25</v>
      </c>
      <c r="C6" s="3" t="s">
        <v>229</v>
      </c>
      <c r="D6" s="4" t="s">
        <v>230</v>
      </c>
      <c r="E6" s="5" t="s">
        <v>1343</v>
      </c>
      <c r="F6" s="6" t="s">
        <v>28</v>
      </c>
      <c r="G6" s="8" t="s">
        <v>231</v>
      </c>
      <c r="H6" s="7" t="s">
        <v>232</v>
      </c>
      <c r="I6" s="8" t="s">
        <v>233</v>
      </c>
      <c r="J6" s="1" t="s">
        <v>234</v>
      </c>
      <c r="K6" s="7" t="s">
        <v>31</v>
      </c>
      <c r="L6" s="10" t="s">
        <v>235</v>
      </c>
      <c r="M6" s="11" t="s">
        <v>236</v>
      </c>
      <c r="N6" s="3" t="s">
        <v>237</v>
      </c>
      <c r="O6" s="3" t="s">
        <v>36</v>
      </c>
      <c r="P6" s="3" t="s">
        <v>238</v>
      </c>
      <c r="Q6" s="12">
        <v>28411</v>
      </c>
      <c r="R6" s="13">
        <v>45.394520547945206</v>
      </c>
      <c r="S6" s="1" t="s">
        <v>50</v>
      </c>
      <c r="T6" s="3" t="s">
        <v>32</v>
      </c>
      <c r="U6" s="3" t="s">
        <v>80</v>
      </c>
      <c r="V6" s="3" t="s">
        <v>91</v>
      </c>
      <c r="W6" s="14">
        <v>41369</v>
      </c>
      <c r="X6" s="15"/>
      <c r="Y6" s="15" t="s">
        <v>38</v>
      </c>
      <c r="Z6" s="16"/>
      <c r="AA6" s="16"/>
      <c r="AB6" s="16"/>
      <c r="AC6" s="16"/>
      <c r="AD6" s="16"/>
      <c r="AE6" s="16"/>
      <c r="AF6" s="16"/>
      <c r="AG6" s="16"/>
      <c r="AH6" s="16"/>
    </row>
    <row r="7" spans="1:34" ht="15.6" x14ac:dyDescent="0.3">
      <c r="A7" s="1">
        <v>2</v>
      </c>
      <c r="B7" s="2" t="s">
        <v>25</v>
      </c>
      <c r="C7" s="3" t="s">
        <v>239</v>
      </c>
      <c r="D7" s="4" t="s">
        <v>240</v>
      </c>
      <c r="E7" s="5" t="s">
        <v>1344</v>
      </c>
      <c r="F7" s="6" t="s">
        <v>28</v>
      </c>
      <c r="G7" s="8" t="s">
        <v>241</v>
      </c>
      <c r="H7" s="7" t="s">
        <v>242</v>
      </c>
      <c r="I7" s="8" t="s">
        <v>243</v>
      </c>
      <c r="J7" s="1" t="s">
        <v>244</v>
      </c>
      <c r="K7" s="7" t="s">
        <v>31</v>
      </c>
      <c r="L7" s="10" t="s">
        <v>245</v>
      </c>
      <c r="M7" s="18"/>
      <c r="N7" s="3" t="s">
        <v>157</v>
      </c>
      <c r="O7" s="3" t="s">
        <v>62</v>
      </c>
      <c r="P7" s="3" t="s">
        <v>246</v>
      </c>
      <c r="Q7" s="12">
        <v>23818</v>
      </c>
      <c r="R7" s="13">
        <v>57.978082191780821</v>
      </c>
      <c r="S7" s="1" t="s">
        <v>50</v>
      </c>
      <c r="T7" s="3" t="s">
        <v>35</v>
      </c>
      <c r="U7" s="3" t="s">
        <v>51</v>
      </c>
      <c r="V7" s="3" t="s">
        <v>52</v>
      </c>
      <c r="W7" s="14">
        <v>43710</v>
      </c>
      <c r="X7" s="15"/>
      <c r="Y7" s="15" t="s">
        <v>38</v>
      </c>
      <c r="Z7" s="16"/>
      <c r="AA7" s="16"/>
      <c r="AB7" s="16"/>
      <c r="AC7" s="16"/>
      <c r="AD7" s="16"/>
      <c r="AE7" s="16"/>
      <c r="AF7" s="16"/>
      <c r="AG7" s="16"/>
      <c r="AH7" s="16"/>
    </row>
    <row r="8" spans="1:34" ht="15.6" x14ac:dyDescent="0.3">
      <c r="A8" s="1">
        <v>2</v>
      </c>
      <c r="B8" s="2" t="s">
        <v>25</v>
      </c>
      <c r="C8" s="3" t="s">
        <v>247</v>
      </c>
      <c r="D8" s="4" t="s">
        <v>248</v>
      </c>
      <c r="E8" s="5" t="s">
        <v>1345</v>
      </c>
      <c r="F8" s="6" t="s">
        <v>28</v>
      </c>
      <c r="G8" s="8" t="s">
        <v>249</v>
      </c>
      <c r="H8" s="7" t="s">
        <v>250</v>
      </c>
      <c r="I8" s="8" t="s">
        <v>251</v>
      </c>
      <c r="J8" s="1" t="s">
        <v>252</v>
      </c>
      <c r="K8" s="7" t="s">
        <v>31</v>
      </c>
      <c r="L8" s="10" t="s">
        <v>253</v>
      </c>
      <c r="M8" s="11" t="s">
        <v>254</v>
      </c>
      <c r="N8" s="3" t="s">
        <v>205</v>
      </c>
      <c r="O8" s="3" t="s">
        <v>60</v>
      </c>
      <c r="P8" s="3" t="s">
        <v>255</v>
      </c>
      <c r="Q8" s="12">
        <v>19683</v>
      </c>
      <c r="R8" s="13">
        <v>69.30684931506849</v>
      </c>
      <c r="S8" s="1" t="s">
        <v>34</v>
      </c>
      <c r="T8" s="3" t="s">
        <v>35</v>
      </c>
      <c r="U8" s="3" t="s">
        <v>63</v>
      </c>
      <c r="V8" s="3" t="s">
        <v>159</v>
      </c>
      <c r="W8" s="14">
        <v>43832</v>
      </c>
      <c r="X8" s="15"/>
      <c r="Y8" s="15" t="s">
        <v>38</v>
      </c>
      <c r="Z8" s="16"/>
      <c r="AA8" s="16"/>
      <c r="AB8" s="16"/>
      <c r="AC8" s="16"/>
      <c r="AD8" s="16"/>
      <c r="AE8" s="16"/>
      <c r="AF8" s="16"/>
      <c r="AG8" s="16"/>
      <c r="AH8" s="16"/>
    </row>
    <row r="9" spans="1:34" ht="34.799999999999997" x14ac:dyDescent="0.3">
      <c r="A9" s="5">
        <v>2</v>
      </c>
      <c r="B9" s="22" t="s">
        <v>306</v>
      </c>
      <c r="C9" s="29">
        <v>788</v>
      </c>
      <c r="D9" s="23" t="s">
        <v>752</v>
      </c>
      <c r="E9" s="5" t="s">
        <v>1346</v>
      </c>
      <c r="F9" s="30"/>
      <c r="G9" s="31" t="s">
        <v>753</v>
      </c>
      <c r="H9" s="24" t="s">
        <v>242</v>
      </c>
      <c r="I9" s="33" t="s">
        <v>754</v>
      </c>
      <c r="J9" s="25" t="s">
        <v>755</v>
      </c>
      <c r="K9" s="26" t="s">
        <v>311</v>
      </c>
      <c r="L9" s="27" t="s">
        <v>756</v>
      </c>
      <c r="M9" s="36" t="s">
        <v>757</v>
      </c>
      <c r="N9" s="28" t="s">
        <v>368</v>
      </c>
      <c r="O9" s="28" t="s">
        <v>324</v>
      </c>
      <c r="P9" s="28" t="s">
        <v>758</v>
      </c>
      <c r="Q9" s="12">
        <v>35893</v>
      </c>
      <c r="R9" s="13">
        <v>24.895890410958906</v>
      </c>
      <c r="S9" s="15" t="s">
        <v>34</v>
      </c>
      <c r="T9" s="28" t="s">
        <v>314</v>
      </c>
      <c r="U9" s="28" t="s">
        <v>327</v>
      </c>
      <c r="V9" s="28" t="s">
        <v>159</v>
      </c>
      <c r="W9" s="14">
        <v>43833</v>
      </c>
      <c r="X9" s="15" t="s">
        <v>38</v>
      </c>
      <c r="Y9" s="15"/>
      <c r="Z9" s="32"/>
      <c r="AA9" s="32"/>
      <c r="AB9" s="32"/>
      <c r="AC9" s="32"/>
      <c r="AD9" s="32"/>
      <c r="AE9" s="32"/>
      <c r="AF9" s="32"/>
      <c r="AG9" s="32"/>
      <c r="AH9" s="32"/>
    </row>
    <row r="10" spans="1:34" ht="29.4" thickBot="1" x14ac:dyDescent="0.35">
      <c r="A10" s="5">
        <v>2</v>
      </c>
      <c r="B10" s="22" t="s">
        <v>306</v>
      </c>
      <c r="C10" s="29">
        <v>861</v>
      </c>
      <c r="D10" s="23" t="s">
        <v>836</v>
      </c>
      <c r="E10" s="5" t="s">
        <v>1347</v>
      </c>
      <c r="F10" s="30"/>
      <c r="G10" s="34" t="s">
        <v>837</v>
      </c>
      <c r="H10" s="24" t="s">
        <v>838</v>
      </c>
      <c r="I10" s="33" t="s">
        <v>839</v>
      </c>
      <c r="J10" s="35" t="s">
        <v>840</v>
      </c>
      <c r="K10" s="26" t="s">
        <v>311</v>
      </c>
      <c r="L10" s="37">
        <v>761936351</v>
      </c>
      <c r="M10" s="38" t="s">
        <v>841</v>
      </c>
      <c r="N10" s="26">
        <v>10</v>
      </c>
      <c r="O10" s="26">
        <v>2</v>
      </c>
      <c r="P10" s="26">
        <v>1997</v>
      </c>
      <c r="Q10" s="12">
        <v>35471</v>
      </c>
      <c r="R10" s="13">
        <v>26.052054794520547</v>
      </c>
      <c r="S10" s="15" t="s">
        <v>50</v>
      </c>
      <c r="T10" s="26">
        <v>6</v>
      </c>
      <c r="U10" s="26">
        <v>6</v>
      </c>
      <c r="V10" s="26">
        <v>2022</v>
      </c>
      <c r="W10" s="14">
        <v>44718</v>
      </c>
      <c r="X10" s="15"/>
      <c r="Y10" s="15"/>
      <c r="Z10" s="32"/>
      <c r="AA10" s="32"/>
      <c r="AB10" s="32"/>
      <c r="AC10" s="32"/>
      <c r="AD10" s="32"/>
      <c r="AE10" s="32"/>
      <c r="AF10" s="32"/>
      <c r="AG10" s="32"/>
      <c r="AH10" s="32"/>
    </row>
    <row r="11" spans="1:34" ht="30.6" thickBot="1" x14ac:dyDescent="0.35">
      <c r="A11" s="40">
        <v>2</v>
      </c>
      <c r="B11" s="41" t="s">
        <v>1014</v>
      </c>
      <c r="C11" s="49" t="s">
        <v>1041</v>
      </c>
      <c r="D11" s="42" t="s">
        <v>1042</v>
      </c>
      <c r="E11" s="5" t="s">
        <v>1348</v>
      </c>
      <c r="F11" s="96" t="s">
        <v>28</v>
      </c>
      <c r="G11" s="97" t="s">
        <v>1654</v>
      </c>
      <c r="H11" s="98" t="s">
        <v>1655</v>
      </c>
      <c r="I11" s="97" t="s">
        <v>1656</v>
      </c>
      <c r="J11" s="40" t="s">
        <v>1043</v>
      </c>
      <c r="K11" s="103" t="s">
        <v>31</v>
      </c>
      <c r="L11" s="51">
        <v>712460748</v>
      </c>
      <c r="M11" s="52" t="s">
        <v>1044</v>
      </c>
      <c r="N11" s="40">
        <v>2</v>
      </c>
      <c r="O11" s="40">
        <v>9</v>
      </c>
      <c r="P11" s="40">
        <v>1974</v>
      </c>
      <c r="Q11" s="46">
        <v>27274</v>
      </c>
      <c r="R11" s="13">
        <v>48.509589041095893</v>
      </c>
      <c r="S11" s="105" t="s">
        <v>50</v>
      </c>
      <c r="T11" s="40">
        <v>1</v>
      </c>
      <c r="U11" s="40">
        <v>3</v>
      </c>
      <c r="V11" s="40">
        <v>2011</v>
      </c>
      <c r="W11" s="14">
        <v>41288</v>
      </c>
      <c r="X11" s="47"/>
      <c r="Y11" s="53" t="s">
        <v>1026</v>
      </c>
      <c r="Z11" s="16"/>
      <c r="AA11" s="16"/>
      <c r="AB11" s="16"/>
      <c r="AC11" s="16"/>
      <c r="AD11" s="16"/>
      <c r="AE11" s="16"/>
      <c r="AF11" s="16"/>
      <c r="AG11" s="16"/>
      <c r="AH11" s="16"/>
    </row>
    <row r="12" spans="1:34" ht="30.6" thickBot="1" x14ac:dyDescent="0.35">
      <c r="A12" s="40">
        <v>2</v>
      </c>
      <c r="B12" s="41" t="s">
        <v>1014</v>
      </c>
      <c r="C12" s="49" t="s">
        <v>1049</v>
      </c>
      <c r="D12" s="42" t="s">
        <v>1050</v>
      </c>
      <c r="E12" s="5" t="s">
        <v>1349</v>
      </c>
      <c r="F12" s="99" t="s">
        <v>28</v>
      </c>
      <c r="G12" s="100" t="s">
        <v>1657</v>
      </c>
      <c r="H12" s="101" t="s">
        <v>224</v>
      </c>
      <c r="I12" s="100" t="s">
        <v>1658</v>
      </c>
      <c r="J12" s="54" t="s">
        <v>1051</v>
      </c>
      <c r="K12" s="104" t="s">
        <v>31</v>
      </c>
      <c r="L12" s="51">
        <v>777892661</v>
      </c>
      <c r="M12" s="55" t="s">
        <v>1052</v>
      </c>
      <c r="N12" s="40">
        <v>17</v>
      </c>
      <c r="O12" s="40">
        <v>1</v>
      </c>
      <c r="P12" s="40">
        <v>1980</v>
      </c>
      <c r="Q12" s="46">
        <v>29237</v>
      </c>
      <c r="R12" s="13">
        <v>43.131506849315066</v>
      </c>
      <c r="S12" s="106" t="s">
        <v>34</v>
      </c>
      <c r="T12" s="40">
        <v>14</v>
      </c>
      <c r="U12" s="40">
        <v>9</v>
      </c>
      <c r="V12" s="40">
        <v>2012</v>
      </c>
      <c r="W12" s="14">
        <v>41288</v>
      </c>
      <c r="X12" s="47"/>
      <c r="Y12" s="53" t="s">
        <v>1026</v>
      </c>
      <c r="Z12" s="16"/>
      <c r="AA12" s="16"/>
      <c r="AB12" s="16"/>
      <c r="AC12" s="16"/>
      <c r="AD12" s="16"/>
      <c r="AE12" s="16"/>
      <c r="AF12" s="16"/>
      <c r="AG12" s="16"/>
      <c r="AH12" s="16"/>
    </row>
    <row r="13" spans="1:34" ht="45.6" thickBot="1" x14ac:dyDescent="0.35">
      <c r="A13" s="40">
        <v>2</v>
      </c>
      <c r="B13" s="41" t="s">
        <v>1014</v>
      </c>
      <c r="C13" s="49" t="s">
        <v>1053</v>
      </c>
      <c r="D13" s="42" t="s">
        <v>1054</v>
      </c>
      <c r="E13" s="5" t="s">
        <v>1350</v>
      </c>
      <c r="F13" s="99" t="s">
        <v>28</v>
      </c>
      <c r="G13" s="100" t="s">
        <v>1659</v>
      </c>
      <c r="H13" s="101" t="s">
        <v>1660</v>
      </c>
      <c r="I13" s="100" t="s">
        <v>1661</v>
      </c>
      <c r="J13" s="56" t="s">
        <v>1055</v>
      </c>
      <c r="K13" s="104" t="s">
        <v>31</v>
      </c>
      <c r="L13" s="44" t="s">
        <v>1056</v>
      </c>
      <c r="M13" s="45" t="s">
        <v>1057</v>
      </c>
      <c r="N13" s="40">
        <v>13</v>
      </c>
      <c r="O13" s="40">
        <v>12</v>
      </c>
      <c r="P13" s="40">
        <v>1985</v>
      </c>
      <c r="Q13" s="46">
        <v>31394</v>
      </c>
      <c r="R13" s="13">
        <v>37.221917808219175</v>
      </c>
      <c r="S13" s="106" t="s">
        <v>34</v>
      </c>
      <c r="T13" s="40">
        <v>6</v>
      </c>
      <c r="U13" s="40">
        <v>8</v>
      </c>
      <c r="V13" s="40">
        <v>2012</v>
      </c>
      <c r="W13" s="14">
        <v>41288</v>
      </c>
      <c r="X13" s="47"/>
      <c r="Y13" s="53" t="s">
        <v>1026</v>
      </c>
      <c r="Z13" s="16"/>
      <c r="AA13" s="16"/>
      <c r="AB13" s="16"/>
      <c r="AC13" s="16"/>
      <c r="AD13" s="16"/>
      <c r="AE13" s="16"/>
      <c r="AF13" s="16"/>
      <c r="AG13" s="16"/>
      <c r="AH13" s="16"/>
    </row>
    <row r="14" spans="1:34" ht="30.6" thickBot="1" x14ac:dyDescent="0.35">
      <c r="A14" s="40">
        <v>2</v>
      </c>
      <c r="B14" s="41" t="s">
        <v>1014</v>
      </c>
      <c r="C14" s="49" t="s">
        <v>1066</v>
      </c>
      <c r="D14" s="42" t="s">
        <v>1067</v>
      </c>
      <c r="E14" s="5" t="s">
        <v>1351</v>
      </c>
      <c r="F14" s="99" t="s">
        <v>28</v>
      </c>
      <c r="G14" s="100" t="s">
        <v>1662</v>
      </c>
      <c r="H14" s="101" t="s">
        <v>1663</v>
      </c>
      <c r="I14" s="100" t="s">
        <v>1664</v>
      </c>
      <c r="J14" s="40" t="s">
        <v>1068</v>
      </c>
      <c r="K14" s="104" t="s">
        <v>31</v>
      </c>
      <c r="L14" s="51" t="s">
        <v>1069</v>
      </c>
      <c r="M14" s="52" t="s">
        <v>1070</v>
      </c>
      <c r="N14" s="40">
        <v>4</v>
      </c>
      <c r="O14" s="40">
        <v>9</v>
      </c>
      <c r="P14" s="40">
        <v>1984</v>
      </c>
      <c r="Q14" s="46">
        <v>30929</v>
      </c>
      <c r="R14" s="13">
        <v>38.495890410958907</v>
      </c>
      <c r="S14" s="106" t="s">
        <v>34</v>
      </c>
      <c r="T14" s="40">
        <v>10</v>
      </c>
      <c r="U14" s="40">
        <v>1</v>
      </c>
      <c r="V14" s="40">
        <v>2013</v>
      </c>
      <c r="W14" s="14">
        <v>41288</v>
      </c>
      <c r="X14" s="47"/>
      <c r="Y14" s="53" t="s">
        <v>1026</v>
      </c>
      <c r="Z14" s="16"/>
      <c r="AA14" s="16"/>
      <c r="AB14" s="16"/>
      <c r="AC14" s="16"/>
      <c r="AD14" s="16"/>
      <c r="AE14" s="16"/>
      <c r="AF14" s="16"/>
      <c r="AG14" s="16"/>
      <c r="AH14" s="16"/>
    </row>
    <row r="15" spans="1:34" ht="16.2" thickBot="1" x14ac:dyDescent="0.35">
      <c r="A15" s="40">
        <v>2</v>
      </c>
      <c r="B15" s="41" t="s">
        <v>1014</v>
      </c>
      <c r="C15" s="49" t="s">
        <v>1101</v>
      </c>
      <c r="D15" s="42" t="s">
        <v>1102</v>
      </c>
      <c r="E15" s="5" t="s">
        <v>1352</v>
      </c>
      <c r="F15" s="99" t="s">
        <v>1016</v>
      </c>
      <c r="G15" s="100" t="s">
        <v>1665</v>
      </c>
      <c r="H15" s="101" t="s">
        <v>1666</v>
      </c>
      <c r="I15" s="102" t="s">
        <v>1667</v>
      </c>
      <c r="J15" s="40" t="s">
        <v>1103</v>
      </c>
      <c r="K15" s="104" t="s">
        <v>31</v>
      </c>
      <c r="L15" s="51">
        <v>778518615</v>
      </c>
      <c r="M15" s="43" t="s">
        <v>1016</v>
      </c>
      <c r="N15" s="40">
        <v>13</v>
      </c>
      <c r="O15" s="40">
        <v>5</v>
      </c>
      <c r="P15" s="40">
        <v>1939</v>
      </c>
      <c r="Q15" s="46">
        <v>14378</v>
      </c>
      <c r="R15" s="13">
        <v>83.841095890410955</v>
      </c>
      <c r="S15" s="106" t="s">
        <v>34</v>
      </c>
      <c r="T15" s="40">
        <v>1</v>
      </c>
      <c r="U15" s="40">
        <v>9</v>
      </c>
      <c r="V15" s="40">
        <v>2014</v>
      </c>
      <c r="W15" s="14">
        <v>41288</v>
      </c>
      <c r="X15" s="47"/>
      <c r="Y15" s="47"/>
      <c r="Z15" s="16"/>
      <c r="AA15" s="16"/>
      <c r="AB15" s="16"/>
      <c r="AC15" s="16"/>
      <c r="AD15" s="16"/>
      <c r="AE15" s="16"/>
      <c r="AF15" s="16"/>
      <c r="AG15" s="16"/>
      <c r="AH15" s="16"/>
    </row>
    <row r="16" spans="1:34" ht="30.6" thickBot="1" x14ac:dyDescent="0.35">
      <c r="A16" s="40">
        <v>2</v>
      </c>
      <c r="B16" s="41" t="s">
        <v>1014</v>
      </c>
      <c r="C16" s="49">
        <v>101</v>
      </c>
      <c r="D16" s="42" t="s">
        <v>1106</v>
      </c>
      <c r="E16" s="5" t="s">
        <v>1353</v>
      </c>
      <c r="F16" s="99" t="s">
        <v>28</v>
      </c>
      <c r="G16" s="100" t="s">
        <v>1668</v>
      </c>
      <c r="H16" s="101" t="s">
        <v>1669</v>
      </c>
      <c r="I16" s="100" t="s">
        <v>1670</v>
      </c>
      <c r="J16" s="57" t="s">
        <v>1107</v>
      </c>
      <c r="K16" s="104" t="s">
        <v>31</v>
      </c>
      <c r="L16" s="50">
        <v>773971343</v>
      </c>
      <c r="M16" s="45" t="s">
        <v>1108</v>
      </c>
      <c r="N16" s="40">
        <v>14</v>
      </c>
      <c r="O16" s="40">
        <v>10</v>
      </c>
      <c r="P16" s="40">
        <v>1978</v>
      </c>
      <c r="Q16" s="46">
        <v>28777</v>
      </c>
      <c r="R16" s="13">
        <v>44.391780821917806</v>
      </c>
      <c r="S16" s="106" t="s">
        <v>34</v>
      </c>
      <c r="T16" s="40">
        <v>2</v>
      </c>
      <c r="U16" s="40">
        <v>5</v>
      </c>
      <c r="V16" s="40">
        <v>2016</v>
      </c>
      <c r="W16" s="14">
        <v>41288</v>
      </c>
      <c r="X16" s="47"/>
      <c r="Y16" s="53" t="s">
        <v>1026</v>
      </c>
      <c r="Z16" s="16"/>
      <c r="AA16" s="16"/>
      <c r="AB16" s="16"/>
      <c r="AC16" s="16"/>
      <c r="AD16" s="16"/>
      <c r="AE16" s="16"/>
      <c r="AF16" s="16"/>
      <c r="AG16" s="16"/>
      <c r="AH16" s="16"/>
    </row>
    <row r="17" spans="1:49" ht="30.6" thickBot="1" x14ac:dyDescent="0.35">
      <c r="A17" s="40">
        <v>2</v>
      </c>
      <c r="B17" s="41" t="s">
        <v>1014</v>
      </c>
      <c r="C17" s="49">
        <v>117</v>
      </c>
      <c r="D17" s="42" t="s">
        <v>1115</v>
      </c>
      <c r="E17" s="5" t="s">
        <v>1354</v>
      </c>
      <c r="F17" s="99" t="s">
        <v>28</v>
      </c>
      <c r="G17" s="100" t="s">
        <v>1671</v>
      </c>
      <c r="H17" s="101" t="s">
        <v>1672</v>
      </c>
      <c r="I17" s="100" t="s">
        <v>1673</v>
      </c>
      <c r="J17" s="40" t="s">
        <v>1116</v>
      </c>
      <c r="K17" s="104" t="s">
        <v>31</v>
      </c>
      <c r="L17" s="51">
        <v>773344000</v>
      </c>
      <c r="M17" s="52" t="s">
        <v>1117</v>
      </c>
      <c r="N17" s="40">
        <v>29</v>
      </c>
      <c r="O17" s="40">
        <v>12</v>
      </c>
      <c r="P17" s="40">
        <v>1993</v>
      </c>
      <c r="Q17" s="46">
        <v>34332</v>
      </c>
      <c r="R17" s="13">
        <v>29.172602739726027</v>
      </c>
      <c r="S17" s="106" t="s">
        <v>34</v>
      </c>
      <c r="T17" s="40">
        <v>1</v>
      </c>
      <c r="U17" s="40">
        <v>12</v>
      </c>
      <c r="V17" s="40">
        <v>2016</v>
      </c>
      <c r="W17" s="14">
        <v>41288</v>
      </c>
      <c r="X17" s="47"/>
      <c r="Y17" s="53" t="s">
        <v>1026</v>
      </c>
      <c r="Z17" s="16"/>
      <c r="AA17" s="16"/>
      <c r="AB17" s="16"/>
      <c r="AC17" s="16"/>
      <c r="AD17" s="16"/>
      <c r="AE17" s="16"/>
      <c r="AF17" s="16"/>
      <c r="AG17" s="16"/>
      <c r="AH17" s="16"/>
    </row>
    <row r="18" spans="1:49" ht="30.6" thickBot="1" x14ac:dyDescent="0.35">
      <c r="A18" s="40">
        <v>2</v>
      </c>
      <c r="B18" s="41" t="s">
        <v>1014</v>
      </c>
      <c r="C18" s="49">
        <v>120</v>
      </c>
      <c r="D18" s="42" t="s">
        <v>1125</v>
      </c>
      <c r="E18" s="5" t="s">
        <v>1355</v>
      </c>
      <c r="F18" s="99" t="s">
        <v>28</v>
      </c>
      <c r="G18" s="100" t="s">
        <v>1674</v>
      </c>
      <c r="H18" s="101" t="s">
        <v>1669</v>
      </c>
      <c r="I18" s="100" t="s">
        <v>1675</v>
      </c>
      <c r="J18" s="40" t="s">
        <v>1126</v>
      </c>
      <c r="K18" s="104" t="s">
        <v>31</v>
      </c>
      <c r="L18" s="51" t="s">
        <v>1127</v>
      </c>
      <c r="M18" s="52" t="s">
        <v>1128</v>
      </c>
      <c r="N18" s="40">
        <v>14</v>
      </c>
      <c r="O18" s="40">
        <v>9</v>
      </c>
      <c r="P18" s="40">
        <v>1996</v>
      </c>
      <c r="Q18" s="46">
        <v>35322</v>
      </c>
      <c r="R18" s="13">
        <v>26.460273972602739</v>
      </c>
      <c r="S18" s="106" t="s">
        <v>50</v>
      </c>
      <c r="T18" s="40">
        <v>4</v>
      </c>
      <c r="U18" s="40">
        <v>1</v>
      </c>
      <c r="V18" s="40">
        <v>2017</v>
      </c>
      <c r="W18" s="14">
        <v>41288</v>
      </c>
      <c r="X18" s="47"/>
      <c r="Y18" s="53" t="s">
        <v>1026</v>
      </c>
      <c r="Z18" s="16"/>
      <c r="AA18" s="16"/>
      <c r="AB18" s="16"/>
      <c r="AC18" s="16"/>
      <c r="AD18" s="16"/>
      <c r="AE18" s="16"/>
      <c r="AF18" s="16"/>
      <c r="AG18" s="16"/>
      <c r="AH18" s="16"/>
    </row>
    <row r="19" spans="1:49" ht="16.2" thickBot="1" x14ac:dyDescent="0.35">
      <c r="A19" s="40">
        <v>2</v>
      </c>
      <c r="B19" s="41" t="s">
        <v>1014</v>
      </c>
      <c r="C19" s="49">
        <v>154</v>
      </c>
      <c r="D19" s="42" t="s">
        <v>1149</v>
      </c>
      <c r="E19" s="5" t="s">
        <v>1356</v>
      </c>
      <c r="F19" s="99" t="s">
        <v>28</v>
      </c>
      <c r="G19" s="100" t="s">
        <v>1676</v>
      </c>
      <c r="H19" s="101" t="s">
        <v>1677</v>
      </c>
      <c r="I19" s="100" t="s">
        <v>1678</v>
      </c>
      <c r="J19" s="56" t="s">
        <v>1150</v>
      </c>
      <c r="K19" s="104" t="s">
        <v>31</v>
      </c>
      <c r="L19" s="44">
        <v>776358856</v>
      </c>
      <c r="M19" s="45" t="s">
        <v>1016</v>
      </c>
      <c r="N19" s="40">
        <v>13</v>
      </c>
      <c r="O19" s="40">
        <v>9</v>
      </c>
      <c r="P19" s="40">
        <v>1958</v>
      </c>
      <c r="Q19" s="46">
        <v>21441</v>
      </c>
      <c r="R19" s="13">
        <v>64.490410958904107</v>
      </c>
      <c r="S19" s="106" t="s">
        <v>34</v>
      </c>
      <c r="T19" s="40">
        <v>2</v>
      </c>
      <c r="U19" s="40">
        <v>10</v>
      </c>
      <c r="V19" s="40">
        <v>2017</v>
      </c>
      <c r="W19" s="14">
        <v>41288</v>
      </c>
      <c r="X19" s="53"/>
      <c r="Y19" s="53" t="s">
        <v>1026</v>
      </c>
      <c r="Z19" s="16"/>
      <c r="AA19" s="16"/>
      <c r="AB19" s="16"/>
      <c r="AC19" s="16"/>
      <c r="AD19" s="16"/>
      <c r="AE19" s="16"/>
      <c r="AF19" s="16"/>
      <c r="AG19" s="16"/>
      <c r="AH19" s="16"/>
    </row>
    <row r="20" spans="1:49" ht="30.6" thickBot="1" x14ac:dyDescent="0.35">
      <c r="A20" s="271">
        <v>2</v>
      </c>
      <c r="B20" s="272" t="s">
        <v>1014</v>
      </c>
      <c r="C20" s="273">
        <v>181</v>
      </c>
      <c r="D20" s="274" t="s">
        <v>1170</v>
      </c>
      <c r="E20" s="187" t="s">
        <v>1357</v>
      </c>
      <c r="F20" s="275" t="s">
        <v>28</v>
      </c>
      <c r="G20" s="276" t="s">
        <v>1679</v>
      </c>
      <c r="H20" s="277" t="s">
        <v>1680</v>
      </c>
      <c r="I20" s="276" t="s">
        <v>1613</v>
      </c>
      <c r="J20" s="278" t="s">
        <v>1171</v>
      </c>
      <c r="K20" s="279" t="s">
        <v>1708</v>
      </c>
      <c r="L20" s="280">
        <v>779298858</v>
      </c>
      <c r="M20" s="281" t="s">
        <v>1172</v>
      </c>
      <c r="N20" s="271">
        <v>28</v>
      </c>
      <c r="O20" s="271">
        <v>6</v>
      </c>
      <c r="P20" s="271">
        <v>1992</v>
      </c>
      <c r="Q20" s="282">
        <v>33783</v>
      </c>
      <c r="R20" s="283">
        <v>30.676712328767124</v>
      </c>
      <c r="S20" s="284" t="s">
        <v>50</v>
      </c>
      <c r="T20" s="271">
        <v>29</v>
      </c>
      <c r="U20" s="271">
        <v>8</v>
      </c>
      <c r="V20" s="271">
        <v>2018</v>
      </c>
      <c r="W20" s="285">
        <v>41288</v>
      </c>
      <c r="X20" s="286"/>
      <c r="Y20" s="287" t="s">
        <v>1026</v>
      </c>
      <c r="Z20" s="288"/>
      <c r="AA20" s="288"/>
      <c r="AB20" s="288"/>
      <c r="AC20" s="288"/>
      <c r="AD20" s="288"/>
      <c r="AE20" s="288"/>
      <c r="AF20" s="288"/>
      <c r="AG20" s="288"/>
      <c r="AH20" s="288"/>
      <c r="AI20" s="289"/>
      <c r="AJ20" s="289"/>
      <c r="AK20" s="289"/>
      <c r="AL20" s="289"/>
      <c r="AM20" s="289"/>
      <c r="AN20" s="289"/>
      <c r="AO20" s="289"/>
      <c r="AP20" s="289"/>
      <c r="AQ20" s="289"/>
      <c r="AR20" s="289"/>
      <c r="AS20" s="289"/>
      <c r="AT20" s="289"/>
      <c r="AU20" s="289"/>
      <c r="AV20" s="289"/>
      <c r="AW20" s="289"/>
    </row>
    <row r="21" spans="1:49" ht="30.6" thickBot="1" x14ac:dyDescent="0.35">
      <c r="A21" s="40">
        <v>2</v>
      </c>
      <c r="B21" s="41" t="s">
        <v>1014</v>
      </c>
      <c r="C21" s="49">
        <v>188</v>
      </c>
      <c r="D21" s="42" t="s">
        <v>1176</v>
      </c>
      <c r="E21" s="5" t="s">
        <v>1358</v>
      </c>
      <c r="F21" s="99" t="s">
        <v>28</v>
      </c>
      <c r="G21" s="100" t="s">
        <v>1681</v>
      </c>
      <c r="H21" s="101" t="s">
        <v>250</v>
      </c>
      <c r="I21" s="100" t="s">
        <v>1682</v>
      </c>
      <c r="J21" s="40" t="s">
        <v>1177</v>
      </c>
      <c r="K21" s="104" t="s">
        <v>31</v>
      </c>
      <c r="L21" s="51">
        <v>776767276</v>
      </c>
      <c r="M21" s="43" t="s">
        <v>1178</v>
      </c>
      <c r="N21" s="40">
        <v>30</v>
      </c>
      <c r="O21" s="40">
        <v>9</v>
      </c>
      <c r="P21" s="40">
        <v>1996</v>
      </c>
      <c r="Q21" s="46">
        <v>35338</v>
      </c>
      <c r="R21" s="13">
        <v>26.416438356164385</v>
      </c>
      <c r="S21" s="106" t="s">
        <v>50</v>
      </c>
      <c r="T21" s="40">
        <v>2</v>
      </c>
      <c r="U21" s="40">
        <v>10</v>
      </c>
      <c r="V21" s="40">
        <v>2018</v>
      </c>
      <c r="W21" s="14">
        <v>41288</v>
      </c>
      <c r="X21" s="47"/>
      <c r="Y21" s="53" t="s">
        <v>1026</v>
      </c>
      <c r="Z21" s="16"/>
      <c r="AA21" s="16"/>
      <c r="AB21" s="16"/>
      <c r="AC21" s="16"/>
      <c r="AD21" s="16"/>
      <c r="AE21" s="16"/>
      <c r="AF21" s="16"/>
      <c r="AG21" s="16"/>
      <c r="AH21" s="16"/>
    </row>
    <row r="22" spans="1:49" ht="30.6" thickBot="1" x14ac:dyDescent="0.35">
      <c r="A22" s="40">
        <v>2</v>
      </c>
      <c r="B22" s="41" t="s">
        <v>1014</v>
      </c>
      <c r="C22" s="49">
        <v>189</v>
      </c>
      <c r="D22" s="42" t="s">
        <v>1179</v>
      </c>
      <c r="E22" s="5" t="s">
        <v>1359</v>
      </c>
      <c r="F22" s="99" t="s">
        <v>28</v>
      </c>
      <c r="G22" s="100" t="s">
        <v>1683</v>
      </c>
      <c r="H22" s="101" t="s">
        <v>1655</v>
      </c>
      <c r="I22" s="100" t="s">
        <v>1684</v>
      </c>
      <c r="J22" s="40" t="s">
        <v>1180</v>
      </c>
      <c r="K22" s="104" t="s">
        <v>31</v>
      </c>
      <c r="L22" s="51" t="s">
        <v>1181</v>
      </c>
      <c r="M22" s="43" t="s">
        <v>1182</v>
      </c>
      <c r="N22" s="40">
        <v>25</v>
      </c>
      <c r="O22" s="40">
        <v>10</v>
      </c>
      <c r="P22" s="40">
        <v>1982</v>
      </c>
      <c r="Q22" s="46">
        <v>30249</v>
      </c>
      <c r="R22" s="13">
        <v>40.358904109589041</v>
      </c>
      <c r="S22" s="106" t="s">
        <v>34</v>
      </c>
      <c r="T22" s="40">
        <v>8</v>
      </c>
      <c r="U22" s="40">
        <v>10</v>
      </c>
      <c r="V22" s="40">
        <v>2018</v>
      </c>
      <c r="W22" s="14">
        <v>41288</v>
      </c>
      <c r="X22" s="47"/>
      <c r="Y22" s="53" t="s">
        <v>1026</v>
      </c>
      <c r="Z22" s="16"/>
      <c r="AA22" s="16"/>
      <c r="AB22" s="16"/>
      <c r="AC22" s="16"/>
      <c r="AD22" s="16"/>
      <c r="AE22" s="16"/>
      <c r="AF22" s="16"/>
      <c r="AG22" s="16"/>
      <c r="AH22" s="16"/>
    </row>
    <row r="23" spans="1:49" ht="30.6" thickBot="1" x14ac:dyDescent="0.35">
      <c r="A23" s="40">
        <v>2</v>
      </c>
      <c r="B23" s="41" t="s">
        <v>1014</v>
      </c>
      <c r="C23" s="49">
        <v>209</v>
      </c>
      <c r="D23" s="42" t="s">
        <v>1205</v>
      </c>
      <c r="E23" s="5" t="s">
        <v>1360</v>
      </c>
      <c r="F23" s="99" t="s">
        <v>40</v>
      </c>
      <c r="G23" s="100" t="s">
        <v>1685</v>
      </c>
      <c r="H23" s="101" t="s">
        <v>250</v>
      </c>
      <c r="I23" s="100" t="s">
        <v>1686</v>
      </c>
      <c r="J23" s="40" t="s">
        <v>1206</v>
      </c>
      <c r="K23" s="104" t="s">
        <v>31</v>
      </c>
      <c r="L23" s="51">
        <v>770775542</v>
      </c>
      <c r="M23" s="52" t="s">
        <v>1207</v>
      </c>
      <c r="N23" s="40">
        <v>20</v>
      </c>
      <c r="O23" s="40">
        <v>1</v>
      </c>
      <c r="P23" s="40">
        <v>1998</v>
      </c>
      <c r="Q23" s="46">
        <v>35815</v>
      </c>
      <c r="R23" s="13">
        <v>25.109589041095891</v>
      </c>
      <c r="S23" s="106" t="s">
        <v>50</v>
      </c>
      <c r="T23" s="40">
        <v>11</v>
      </c>
      <c r="U23" s="40">
        <v>3</v>
      </c>
      <c r="V23" s="40">
        <v>2019</v>
      </c>
      <c r="W23" s="14">
        <v>41288</v>
      </c>
      <c r="X23" s="47"/>
      <c r="Y23" s="47"/>
      <c r="Z23" s="16"/>
      <c r="AA23" s="16"/>
      <c r="AB23" s="16"/>
      <c r="AC23" s="16"/>
      <c r="AD23" s="16"/>
      <c r="AE23" s="16"/>
      <c r="AF23" s="16"/>
      <c r="AG23" s="16"/>
      <c r="AH23" s="16"/>
    </row>
    <row r="24" spans="1:49" ht="30.6" thickBot="1" x14ac:dyDescent="0.35">
      <c r="A24" s="40">
        <v>2</v>
      </c>
      <c r="B24" s="41" t="s">
        <v>1014</v>
      </c>
      <c r="C24" s="49">
        <v>213</v>
      </c>
      <c r="D24" s="42" t="s">
        <v>1211</v>
      </c>
      <c r="E24" s="5" t="s">
        <v>1361</v>
      </c>
      <c r="F24" s="99" t="s">
        <v>28</v>
      </c>
      <c r="G24" s="100" t="s">
        <v>1687</v>
      </c>
      <c r="H24" s="101" t="s">
        <v>1688</v>
      </c>
      <c r="I24" s="100" t="s">
        <v>1689</v>
      </c>
      <c r="J24" s="40" t="s">
        <v>1212</v>
      </c>
      <c r="K24" s="104" t="s">
        <v>31</v>
      </c>
      <c r="L24" s="51">
        <v>779694775</v>
      </c>
      <c r="M24" s="52" t="s">
        <v>1213</v>
      </c>
      <c r="N24" s="40">
        <v>22</v>
      </c>
      <c r="O24" s="40">
        <v>7</v>
      </c>
      <c r="P24" s="40">
        <v>1992</v>
      </c>
      <c r="Q24" s="46">
        <v>33807</v>
      </c>
      <c r="R24" s="13">
        <v>30.610958904109587</v>
      </c>
      <c r="S24" s="106" t="s">
        <v>50</v>
      </c>
      <c r="T24" s="40">
        <v>14</v>
      </c>
      <c r="U24" s="40">
        <v>5</v>
      </c>
      <c r="V24" s="40">
        <v>2019</v>
      </c>
      <c r="W24" s="14">
        <v>41288</v>
      </c>
      <c r="X24" s="47"/>
      <c r="Y24" s="53" t="s">
        <v>1026</v>
      </c>
    </row>
    <row r="25" spans="1:49" ht="30.6" thickBot="1" x14ac:dyDescent="0.35">
      <c r="A25" s="40">
        <v>2</v>
      </c>
      <c r="B25" s="41" t="s">
        <v>1014</v>
      </c>
      <c r="C25" s="49">
        <v>215</v>
      </c>
      <c r="D25" s="42" t="s">
        <v>1214</v>
      </c>
      <c r="E25" s="5" t="s">
        <v>1362</v>
      </c>
      <c r="F25" s="99" t="s">
        <v>28</v>
      </c>
      <c r="G25" s="100" t="s">
        <v>1690</v>
      </c>
      <c r="H25" s="101" t="s">
        <v>1691</v>
      </c>
      <c r="I25" s="100" t="s">
        <v>1692</v>
      </c>
      <c r="J25" s="56" t="s">
        <v>1215</v>
      </c>
      <c r="K25" s="104" t="s">
        <v>31</v>
      </c>
      <c r="L25" s="44">
        <v>777623731</v>
      </c>
      <c r="M25" s="45" t="s">
        <v>1216</v>
      </c>
      <c r="N25" s="40">
        <v>16</v>
      </c>
      <c r="O25" s="40">
        <v>7</v>
      </c>
      <c r="P25" s="40">
        <v>1983</v>
      </c>
      <c r="Q25" s="46">
        <v>30513</v>
      </c>
      <c r="R25" s="13">
        <v>39.635616438356166</v>
      </c>
      <c r="S25" s="106" t="s">
        <v>34</v>
      </c>
      <c r="T25" s="40">
        <v>17</v>
      </c>
      <c r="U25" s="40">
        <v>6</v>
      </c>
      <c r="V25" s="40">
        <v>2019</v>
      </c>
      <c r="W25" s="14">
        <v>41288</v>
      </c>
      <c r="X25" s="47"/>
      <c r="Y25" s="53" t="s">
        <v>1026</v>
      </c>
    </row>
    <row r="26" spans="1:49" ht="30.6" thickBot="1" x14ac:dyDescent="0.35">
      <c r="A26" s="40">
        <v>2</v>
      </c>
      <c r="B26" s="41" t="s">
        <v>1014</v>
      </c>
      <c r="C26" s="49">
        <v>217</v>
      </c>
      <c r="D26" s="42" t="s">
        <v>1217</v>
      </c>
      <c r="E26" s="5" t="s">
        <v>1363</v>
      </c>
      <c r="F26" s="99" t="s">
        <v>28</v>
      </c>
      <c r="G26" s="100" t="s">
        <v>1693</v>
      </c>
      <c r="H26" s="101" t="s">
        <v>1694</v>
      </c>
      <c r="I26" s="100" t="s">
        <v>1695</v>
      </c>
      <c r="J26" s="40">
        <v>199909202608</v>
      </c>
      <c r="K26" s="104" t="s">
        <v>31</v>
      </c>
      <c r="L26" s="51">
        <v>771687030</v>
      </c>
      <c r="M26" s="43" t="s">
        <v>1218</v>
      </c>
      <c r="N26" s="40">
        <v>1</v>
      </c>
      <c r="O26" s="40">
        <v>4</v>
      </c>
      <c r="P26" s="40">
        <v>1999</v>
      </c>
      <c r="Q26" s="46">
        <v>36251</v>
      </c>
      <c r="R26" s="13">
        <v>23.915068493150685</v>
      </c>
      <c r="S26" s="106" t="s">
        <v>34</v>
      </c>
      <c r="T26" s="40">
        <v>26</v>
      </c>
      <c r="U26" s="40">
        <v>6</v>
      </c>
      <c r="V26" s="40">
        <v>2019</v>
      </c>
      <c r="W26" s="14">
        <v>41288</v>
      </c>
      <c r="X26" s="47"/>
      <c r="Y26" s="53" t="s">
        <v>1026</v>
      </c>
    </row>
    <row r="27" spans="1:49" ht="30.6" thickBot="1" x14ac:dyDescent="0.35">
      <c r="A27" s="40">
        <v>2</v>
      </c>
      <c r="B27" s="41" t="s">
        <v>1014</v>
      </c>
      <c r="C27" s="49">
        <v>235</v>
      </c>
      <c r="D27" s="42" t="s">
        <v>1235</v>
      </c>
      <c r="E27" s="5" t="s">
        <v>1364</v>
      </c>
      <c r="F27" s="99" t="s">
        <v>28</v>
      </c>
      <c r="G27" s="100" t="s">
        <v>1696</v>
      </c>
      <c r="H27" s="101" t="s">
        <v>1694</v>
      </c>
      <c r="I27" s="100" t="s">
        <v>1697</v>
      </c>
      <c r="J27" s="40" t="s">
        <v>1236</v>
      </c>
      <c r="K27" s="104" t="s">
        <v>31</v>
      </c>
      <c r="L27" s="51">
        <v>776437928</v>
      </c>
      <c r="M27" s="43" t="s">
        <v>1237</v>
      </c>
      <c r="N27" s="40">
        <v>28</v>
      </c>
      <c r="O27" s="40">
        <v>1</v>
      </c>
      <c r="P27" s="40">
        <v>1999</v>
      </c>
      <c r="Q27" s="46">
        <v>36188</v>
      </c>
      <c r="R27" s="13">
        <v>24.087671232876712</v>
      </c>
      <c r="S27" s="106" t="s">
        <v>34</v>
      </c>
      <c r="T27" s="40">
        <v>1</v>
      </c>
      <c r="U27" s="40">
        <v>11</v>
      </c>
      <c r="V27" s="40">
        <v>2019</v>
      </c>
      <c r="W27" s="14">
        <v>41288</v>
      </c>
      <c r="X27" s="47"/>
      <c r="Y27" s="53" t="s">
        <v>1026</v>
      </c>
      <c r="Z27" s="16"/>
      <c r="AA27" s="16"/>
      <c r="AB27" s="16"/>
      <c r="AC27" s="16"/>
      <c r="AD27" s="16"/>
      <c r="AE27" s="16"/>
      <c r="AF27" s="16"/>
      <c r="AG27" s="16"/>
      <c r="AH27" s="16"/>
    </row>
    <row r="28" spans="1:49" ht="30.6" thickBot="1" x14ac:dyDescent="0.35">
      <c r="A28" s="40">
        <v>2</v>
      </c>
      <c r="B28" s="41" t="s">
        <v>1014</v>
      </c>
      <c r="C28" s="49">
        <v>259</v>
      </c>
      <c r="D28" s="42" t="s">
        <v>1263</v>
      </c>
      <c r="E28" s="5" t="s">
        <v>1365</v>
      </c>
      <c r="F28" s="99" t="s">
        <v>28</v>
      </c>
      <c r="G28" s="100" t="s">
        <v>1698</v>
      </c>
      <c r="H28" s="101" t="s">
        <v>1699</v>
      </c>
      <c r="I28" s="100" t="s">
        <v>1700</v>
      </c>
      <c r="J28" s="56" t="s">
        <v>1264</v>
      </c>
      <c r="K28" s="104" t="s">
        <v>31</v>
      </c>
      <c r="L28" s="44">
        <v>766639702</v>
      </c>
      <c r="M28" s="45" t="s">
        <v>1265</v>
      </c>
      <c r="N28" s="40">
        <v>29</v>
      </c>
      <c r="O28" s="40">
        <v>4</v>
      </c>
      <c r="P28" s="40">
        <v>1995</v>
      </c>
      <c r="Q28" s="46">
        <v>34818</v>
      </c>
      <c r="R28" s="13">
        <v>27.841095890410958</v>
      </c>
      <c r="S28" s="106" t="s">
        <v>50</v>
      </c>
      <c r="T28" s="40">
        <v>5</v>
      </c>
      <c r="U28" s="40">
        <v>10</v>
      </c>
      <c r="V28" s="40">
        <v>2020</v>
      </c>
      <c r="W28" s="14">
        <v>41288</v>
      </c>
      <c r="X28" s="47"/>
      <c r="Y28" s="53" t="s">
        <v>1026</v>
      </c>
      <c r="Z28" s="16"/>
      <c r="AA28" s="16"/>
      <c r="AB28" s="16"/>
      <c r="AC28" s="16"/>
      <c r="AD28" s="16"/>
      <c r="AE28" s="16"/>
      <c r="AF28" s="16"/>
      <c r="AG28" s="16"/>
      <c r="AH28" s="16"/>
    </row>
    <row r="29" spans="1:49" ht="16.2" thickBot="1" x14ac:dyDescent="0.35">
      <c r="A29" s="40">
        <v>2</v>
      </c>
      <c r="B29" s="41" t="s">
        <v>1014</v>
      </c>
      <c r="C29" s="49">
        <v>274</v>
      </c>
      <c r="D29" s="42" t="s">
        <v>1283</v>
      </c>
      <c r="E29" s="5" t="s">
        <v>1366</v>
      </c>
      <c r="F29" s="99" t="s">
        <v>28</v>
      </c>
      <c r="G29" s="100" t="s">
        <v>1701</v>
      </c>
      <c r="H29" s="101" t="s">
        <v>250</v>
      </c>
      <c r="I29" s="100" t="s">
        <v>1702</v>
      </c>
      <c r="J29" s="40" t="s">
        <v>1284</v>
      </c>
      <c r="K29" s="104" t="s">
        <v>31</v>
      </c>
      <c r="L29" s="51">
        <v>778274194</v>
      </c>
      <c r="M29" s="43" t="s">
        <v>1285</v>
      </c>
      <c r="N29" s="40">
        <v>16</v>
      </c>
      <c r="O29" s="40">
        <v>12</v>
      </c>
      <c r="P29" s="40">
        <v>1996</v>
      </c>
      <c r="Q29" s="46">
        <v>35415</v>
      </c>
      <c r="R29" s="13">
        <v>26.205479452054796</v>
      </c>
      <c r="S29" s="106" t="s">
        <v>50</v>
      </c>
      <c r="T29" s="40">
        <v>29</v>
      </c>
      <c r="U29" s="40">
        <v>4</v>
      </c>
      <c r="V29" s="40">
        <v>2021</v>
      </c>
      <c r="W29" s="14">
        <v>41288</v>
      </c>
      <c r="X29" s="47"/>
      <c r="Y29" s="47" t="s">
        <v>1026</v>
      </c>
      <c r="Z29" s="16"/>
      <c r="AA29" s="16"/>
      <c r="AB29" s="16"/>
      <c r="AC29" s="16"/>
      <c r="AD29" s="16"/>
      <c r="AE29" s="16"/>
      <c r="AF29" s="16"/>
      <c r="AG29" s="16"/>
      <c r="AH29" s="16"/>
    </row>
    <row r="30" spans="1:49" ht="30.6" thickBot="1" x14ac:dyDescent="0.35">
      <c r="A30" s="40">
        <v>2</v>
      </c>
      <c r="B30" s="41" t="s">
        <v>1014</v>
      </c>
      <c r="C30" s="49">
        <v>275</v>
      </c>
      <c r="D30" s="42" t="s">
        <v>1286</v>
      </c>
      <c r="E30" s="5" t="s">
        <v>1367</v>
      </c>
      <c r="F30" s="99" t="s">
        <v>28</v>
      </c>
      <c r="G30" s="100" t="s">
        <v>1703</v>
      </c>
      <c r="H30" s="101" t="s">
        <v>1704</v>
      </c>
      <c r="I30" s="100" t="s">
        <v>1705</v>
      </c>
      <c r="J30" s="58" t="s">
        <v>1287</v>
      </c>
      <c r="K30" s="104" t="s">
        <v>31</v>
      </c>
      <c r="L30" s="44">
        <v>776947299</v>
      </c>
      <c r="M30" s="45" t="s">
        <v>1288</v>
      </c>
      <c r="N30" s="40">
        <v>8</v>
      </c>
      <c r="O30" s="40">
        <v>1</v>
      </c>
      <c r="P30" s="40">
        <v>1998</v>
      </c>
      <c r="Q30" s="46">
        <v>35803</v>
      </c>
      <c r="R30" s="13">
        <v>25.142465753424659</v>
      </c>
      <c r="S30" s="106" t="s">
        <v>50</v>
      </c>
      <c r="T30" s="40">
        <v>10</v>
      </c>
      <c r="U30" s="40">
        <v>5</v>
      </c>
      <c r="V30" s="40">
        <v>2021</v>
      </c>
      <c r="W30" s="14">
        <v>41288</v>
      </c>
      <c r="X30" s="53"/>
      <c r="Y30" s="53" t="s">
        <v>1026</v>
      </c>
      <c r="Z30" s="16"/>
      <c r="AA30" s="16"/>
      <c r="AB30" s="16"/>
      <c r="AC30" s="16"/>
      <c r="AD30" s="16"/>
      <c r="AE30" s="16"/>
      <c r="AF30" s="16"/>
      <c r="AG30" s="16"/>
      <c r="AH30" s="16"/>
    </row>
    <row r="31" spans="1:49" ht="30.6" thickBot="1" x14ac:dyDescent="0.35">
      <c r="A31" s="40">
        <v>2</v>
      </c>
      <c r="B31" s="41" t="s">
        <v>1014</v>
      </c>
      <c r="C31" s="49">
        <v>320</v>
      </c>
      <c r="D31" s="42" t="s">
        <v>1326</v>
      </c>
      <c r="E31" s="5" t="s">
        <v>1368</v>
      </c>
      <c r="F31" s="99" t="s">
        <v>54</v>
      </c>
      <c r="G31" s="100" t="s">
        <v>1706</v>
      </c>
      <c r="H31" s="101" t="s">
        <v>1704</v>
      </c>
      <c r="I31" s="100" t="s">
        <v>1707</v>
      </c>
      <c r="J31" s="56" t="s">
        <v>1327</v>
      </c>
      <c r="K31" s="104" t="s">
        <v>31</v>
      </c>
      <c r="L31" s="44">
        <v>717670873</v>
      </c>
      <c r="M31" s="45" t="s">
        <v>1328</v>
      </c>
      <c r="N31" s="40">
        <v>4</v>
      </c>
      <c r="O31" s="40">
        <v>4</v>
      </c>
      <c r="P31" s="40">
        <v>1996</v>
      </c>
      <c r="Q31" s="46">
        <v>35159</v>
      </c>
      <c r="R31" s="13">
        <v>26.906849315068492</v>
      </c>
      <c r="S31" s="106" t="s">
        <v>34</v>
      </c>
      <c r="T31" s="40">
        <v>10</v>
      </c>
      <c r="U31" s="40">
        <v>10</v>
      </c>
      <c r="V31" s="40">
        <v>2022</v>
      </c>
      <c r="W31" s="14">
        <v>41288</v>
      </c>
      <c r="X31" s="53"/>
      <c r="Y31" s="53"/>
      <c r="Z31" s="16"/>
      <c r="AA31" s="16"/>
      <c r="AB31" s="16"/>
      <c r="AC31" s="16"/>
      <c r="AD31" s="16"/>
      <c r="AE31" s="16"/>
      <c r="AF31" s="16"/>
      <c r="AG31" s="16"/>
      <c r="AH31" s="16"/>
    </row>
    <row r="32" spans="1:49" ht="15.6" x14ac:dyDescent="0.3">
      <c r="A32" s="1"/>
      <c r="B32" s="3"/>
      <c r="C32" s="3"/>
      <c r="D32" s="151"/>
      <c r="E32" s="152"/>
      <c r="F32" s="3"/>
      <c r="G32" s="8"/>
      <c r="H32" s="7"/>
      <c r="I32" s="8"/>
      <c r="J32" s="153"/>
      <c r="K32" s="7"/>
      <c r="L32" s="10"/>
      <c r="M32" s="11"/>
      <c r="N32" s="3"/>
      <c r="O32" s="3"/>
      <c r="P32" s="3"/>
      <c r="Q32" s="154"/>
      <c r="R32" s="155"/>
      <c r="S32" s="1"/>
      <c r="T32" s="3"/>
      <c r="U32" s="3"/>
      <c r="V32" s="3"/>
      <c r="W32" s="156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08"/>
      <c r="AL32" s="15"/>
      <c r="AM32" s="15"/>
      <c r="AN32" s="15"/>
      <c r="AO32" s="15"/>
      <c r="AP32" s="15"/>
      <c r="AQ32" s="5"/>
      <c r="AR32" s="5"/>
      <c r="AS32" s="5"/>
      <c r="AT32" s="16"/>
      <c r="AU32" s="157"/>
      <c r="AV32" s="16"/>
      <c r="AW32" s="16"/>
    </row>
  </sheetData>
  <mergeCells count="17">
    <mergeCell ref="S2:S4"/>
    <mergeCell ref="T2:V2"/>
    <mergeCell ref="W2:W4"/>
    <mergeCell ref="X2:X4"/>
    <mergeCell ref="Y2:Y4"/>
    <mergeCell ref="Q2:Q4"/>
    <mergeCell ref="A2:D3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P2"/>
  </mergeCells>
  <conditionalFormatting sqref="AK32">
    <cfRule type="expression" dxfId="75" priority="2">
      <formula>AND(AK32&lt;&gt;"", AND(AK32&gt;TODAY(), AK32&lt;TODAY()+30))</formula>
    </cfRule>
    <cfRule type="expression" dxfId="74" priority="3">
      <formula>AND(AK32&lt;&gt;"", AK32=TODAY())</formula>
    </cfRule>
    <cfRule type="expression" dxfId="73" priority="4">
      <formula>AND(AK32&lt;&gt;"", AND(AK32&gt;TODAY(), AK32&lt;TODAY()+150))</formula>
    </cfRule>
  </conditionalFormatting>
  <conditionalFormatting sqref="AK32">
    <cfRule type="expression" dxfId="72" priority="1">
      <formula>AND(AK32&lt;&gt;"", AND(AK32&lt;TODAY(), AK32&lt;TODAY()))</formula>
    </cfRule>
  </conditionalFormatting>
  <hyperlinks>
    <hyperlink ref="M8" r:id="rId1" xr:uid="{00000000-0004-0000-0200-000000000000}"/>
    <hyperlink ref="M6" r:id="rId2" xr:uid="{00000000-0004-0000-0200-000001000000}"/>
    <hyperlink ref="M5" r:id="rId3" xr:uid="{00000000-0004-0000-0200-000002000000}"/>
    <hyperlink ref="M9" r:id="rId4" xr:uid="{00000000-0004-0000-0200-000003000000}"/>
    <hyperlink ref="M10" r:id="rId5" xr:uid="{00000000-0004-0000-0200-000004000000}"/>
  </hyperlinks>
  <pageMargins left="0.7" right="0.7" top="0.75" bottom="0.75" header="0.3" footer="0.3"/>
  <pageSetup orientation="portrait" verticalDpi="0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XEE9"/>
  <sheetViews>
    <sheetView workbookViewId="0">
      <selection activeCell="G20" sqref="G20"/>
    </sheetView>
  </sheetViews>
  <sheetFormatPr defaultRowHeight="14.4" x14ac:dyDescent="0.3"/>
  <cols>
    <col min="1" max="1" width="12.109375" customWidth="1"/>
    <col min="2" max="2" width="21.109375" customWidth="1"/>
    <col min="3" max="4" width="7.5546875" customWidth="1"/>
    <col min="5" max="5" width="25.6640625" customWidth="1"/>
    <col min="6" max="6" width="21.44140625" customWidth="1"/>
    <col min="7" max="7" width="53.109375" customWidth="1"/>
    <col min="8" max="8" width="21.44140625" customWidth="1"/>
    <col min="9" max="9" width="56.88671875" customWidth="1"/>
    <col min="10" max="10" width="20.109375" customWidth="1"/>
    <col min="11" max="11" width="18.88671875" customWidth="1"/>
    <col min="12" max="12" width="15.44140625" customWidth="1"/>
    <col min="13" max="13" width="23" customWidth="1"/>
    <col min="14" max="16" width="9.109375" customWidth="1"/>
    <col min="17" max="18" width="16.44140625" customWidth="1"/>
    <col min="19" max="19" width="14.6640625" customWidth="1"/>
    <col min="21" max="21" width="9.109375" customWidth="1"/>
    <col min="22" max="22" width="11.5546875" customWidth="1"/>
    <col min="23" max="23" width="16.88671875" customWidth="1"/>
    <col min="24" max="24" width="17" customWidth="1"/>
    <col min="25" max="25" width="9.109375" customWidth="1"/>
    <col min="26" max="48" width="0" hidden="1" customWidth="1"/>
  </cols>
  <sheetData>
    <row r="2" spans="1:16359" ht="23.25" customHeight="1" x14ac:dyDescent="0.3">
      <c r="A2" s="563" t="s">
        <v>0</v>
      </c>
      <c r="B2" s="564"/>
      <c r="C2" s="564"/>
      <c r="D2" s="565"/>
      <c r="E2" s="542" t="s">
        <v>1458</v>
      </c>
      <c r="F2" s="542" t="s">
        <v>1</v>
      </c>
      <c r="G2" s="542" t="s">
        <v>2</v>
      </c>
      <c r="H2" s="569" t="s">
        <v>3</v>
      </c>
      <c r="I2" s="542" t="s">
        <v>4</v>
      </c>
      <c r="J2" s="572" t="s">
        <v>5</v>
      </c>
      <c r="K2" s="542" t="s">
        <v>6</v>
      </c>
      <c r="L2" s="562" t="s">
        <v>7</v>
      </c>
      <c r="M2" s="542" t="s">
        <v>8</v>
      </c>
      <c r="N2" s="572" t="s">
        <v>9</v>
      </c>
      <c r="O2" s="572"/>
      <c r="P2" s="572"/>
      <c r="Q2" s="562" t="s">
        <v>9</v>
      </c>
      <c r="R2" s="59"/>
      <c r="S2" s="548" t="s">
        <v>11</v>
      </c>
      <c r="T2" s="551" t="s">
        <v>12</v>
      </c>
      <c r="U2" s="552"/>
      <c r="V2" s="552"/>
      <c r="W2" s="553" t="s">
        <v>12</v>
      </c>
      <c r="X2" s="556" t="s">
        <v>13</v>
      </c>
      <c r="Y2" s="559" t="s">
        <v>14</v>
      </c>
      <c r="Z2" s="61"/>
      <c r="AA2" s="61"/>
      <c r="AB2" s="61"/>
      <c r="AC2" s="61"/>
      <c r="AD2" s="61"/>
      <c r="AE2" s="61"/>
      <c r="AF2" s="61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62"/>
      <c r="BS2" s="62"/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62"/>
      <c r="DN2" s="62"/>
      <c r="DO2" s="62"/>
      <c r="DP2" s="62"/>
      <c r="DQ2" s="62"/>
      <c r="DR2" s="62"/>
      <c r="DS2" s="62"/>
      <c r="DT2" s="62"/>
      <c r="DU2" s="62"/>
      <c r="DV2" s="62"/>
      <c r="DW2" s="62"/>
      <c r="DX2" s="62"/>
      <c r="DY2" s="62"/>
      <c r="DZ2" s="62"/>
      <c r="EA2" s="62"/>
      <c r="EB2" s="62"/>
      <c r="EC2" s="62"/>
      <c r="ED2" s="62"/>
      <c r="EE2" s="62"/>
      <c r="EF2" s="62"/>
      <c r="EG2" s="62"/>
      <c r="EH2" s="62"/>
      <c r="EI2" s="62"/>
      <c r="EJ2" s="62"/>
      <c r="EK2" s="62"/>
      <c r="EL2" s="62"/>
      <c r="EM2" s="62"/>
      <c r="EN2" s="62"/>
      <c r="EO2" s="62"/>
      <c r="EP2" s="62"/>
      <c r="EQ2" s="62"/>
      <c r="ER2" s="62"/>
      <c r="ES2" s="62"/>
      <c r="ET2" s="62"/>
      <c r="EU2" s="62"/>
      <c r="EV2" s="62"/>
      <c r="EW2" s="62"/>
      <c r="EX2" s="62"/>
      <c r="EY2" s="62"/>
      <c r="EZ2" s="62"/>
      <c r="FA2" s="62"/>
      <c r="FB2" s="62"/>
      <c r="FC2" s="62"/>
      <c r="FD2" s="62"/>
      <c r="FE2" s="62"/>
      <c r="FF2" s="62"/>
      <c r="FG2" s="62"/>
      <c r="FH2" s="62"/>
      <c r="FI2" s="62"/>
      <c r="FJ2" s="62"/>
      <c r="FK2" s="62"/>
      <c r="FL2" s="62"/>
      <c r="FM2" s="62"/>
      <c r="FN2" s="62"/>
      <c r="FO2" s="62"/>
      <c r="FP2" s="62"/>
      <c r="FQ2" s="62"/>
      <c r="FR2" s="62"/>
      <c r="FS2" s="62"/>
      <c r="FT2" s="62"/>
      <c r="FU2" s="62"/>
      <c r="FV2" s="62"/>
      <c r="FW2" s="62"/>
      <c r="FX2" s="62"/>
      <c r="FY2" s="62"/>
      <c r="FZ2" s="62"/>
      <c r="GA2" s="62"/>
      <c r="GB2" s="62"/>
      <c r="GC2" s="62"/>
      <c r="GD2" s="62"/>
      <c r="GE2" s="62"/>
      <c r="GF2" s="62"/>
      <c r="GG2" s="62"/>
      <c r="GH2" s="62"/>
      <c r="GI2" s="62"/>
      <c r="GJ2" s="62"/>
      <c r="GK2" s="62"/>
      <c r="GL2" s="62"/>
      <c r="GM2" s="62"/>
      <c r="GN2" s="62"/>
      <c r="GO2" s="62"/>
      <c r="GP2" s="62"/>
      <c r="GQ2" s="62"/>
      <c r="GR2" s="62"/>
      <c r="GS2" s="62"/>
      <c r="GT2" s="62"/>
      <c r="GU2" s="62"/>
      <c r="GV2" s="62"/>
      <c r="GW2" s="62"/>
      <c r="GX2" s="62"/>
      <c r="GY2" s="62"/>
      <c r="GZ2" s="62"/>
      <c r="HA2" s="62"/>
      <c r="HB2" s="62"/>
      <c r="HC2" s="62"/>
      <c r="HD2" s="62"/>
      <c r="HE2" s="62"/>
      <c r="HF2" s="62"/>
      <c r="HG2" s="62"/>
      <c r="HH2" s="62"/>
      <c r="HI2" s="62"/>
      <c r="HJ2" s="62"/>
      <c r="HK2" s="62"/>
      <c r="HL2" s="62"/>
      <c r="HM2" s="62"/>
      <c r="HN2" s="62"/>
      <c r="HO2" s="62"/>
      <c r="HP2" s="62"/>
      <c r="HQ2" s="62"/>
      <c r="HR2" s="62"/>
      <c r="HS2" s="62"/>
      <c r="HT2" s="62"/>
      <c r="HU2" s="62"/>
      <c r="HV2" s="62"/>
      <c r="HW2" s="62"/>
      <c r="HX2" s="62"/>
      <c r="HY2" s="62"/>
      <c r="HZ2" s="62"/>
      <c r="IA2" s="62"/>
      <c r="IB2" s="62"/>
      <c r="IC2" s="62"/>
      <c r="ID2" s="62"/>
      <c r="IE2" s="62"/>
      <c r="IF2" s="62"/>
      <c r="IG2" s="62"/>
      <c r="IH2" s="62"/>
      <c r="II2" s="62"/>
      <c r="IJ2" s="62"/>
      <c r="IK2" s="62"/>
      <c r="IL2" s="62"/>
      <c r="IM2" s="62"/>
      <c r="IN2" s="62"/>
      <c r="IO2" s="62"/>
      <c r="IP2" s="62"/>
      <c r="IQ2" s="62"/>
      <c r="IR2" s="62"/>
      <c r="IS2" s="62"/>
      <c r="IT2" s="62"/>
      <c r="IU2" s="62"/>
      <c r="IV2" s="62"/>
      <c r="IW2" s="62"/>
      <c r="IX2" s="62"/>
      <c r="IY2" s="62"/>
      <c r="IZ2" s="62"/>
      <c r="JA2" s="62"/>
      <c r="JB2" s="62"/>
      <c r="JC2" s="62"/>
      <c r="JD2" s="62"/>
      <c r="JE2" s="62"/>
      <c r="JF2" s="62"/>
      <c r="JG2" s="62"/>
      <c r="JH2" s="62"/>
      <c r="JI2" s="62"/>
      <c r="JJ2" s="62"/>
      <c r="JK2" s="62"/>
      <c r="JL2" s="62"/>
      <c r="JM2" s="62"/>
      <c r="JN2" s="62"/>
      <c r="JO2" s="62"/>
      <c r="JP2" s="62"/>
      <c r="JQ2" s="62"/>
      <c r="JR2" s="62"/>
      <c r="JS2" s="62"/>
      <c r="JT2" s="62"/>
      <c r="JU2" s="62"/>
      <c r="JV2" s="62"/>
      <c r="JW2" s="62"/>
      <c r="JX2" s="62"/>
      <c r="JY2" s="62"/>
      <c r="JZ2" s="62"/>
      <c r="KA2" s="62"/>
      <c r="KB2" s="62"/>
      <c r="KC2" s="62"/>
      <c r="KD2" s="62"/>
      <c r="KE2" s="62"/>
      <c r="KF2" s="62"/>
      <c r="KG2" s="62"/>
      <c r="KH2" s="62"/>
      <c r="KI2" s="62"/>
      <c r="KJ2" s="62"/>
      <c r="KK2" s="62"/>
      <c r="KL2" s="62"/>
      <c r="KM2" s="62"/>
      <c r="KN2" s="62"/>
      <c r="KO2" s="62"/>
      <c r="KP2" s="62"/>
      <c r="KQ2" s="62"/>
      <c r="KR2" s="62"/>
      <c r="KS2" s="62"/>
      <c r="KT2" s="62"/>
      <c r="KU2" s="62"/>
      <c r="KV2" s="62"/>
      <c r="KW2" s="62"/>
      <c r="KX2" s="62"/>
      <c r="KY2" s="62"/>
      <c r="KZ2" s="62"/>
      <c r="LA2" s="62"/>
      <c r="LB2" s="62"/>
      <c r="LC2" s="62"/>
      <c r="LD2" s="62"/>
      <c r="LE2" s="62"/>
      <c r="LF2" s="62"/>
      <c r="LG2" s="62"/>
      <c r="LH2" s="62"/>
      <c r="LI2" s="62"/>
      <c r="LJ2" s="62"/>
      <c r="LK2" s="62"/>
      <c r="LL2" s="62"/>
      <c r="LM2" s="62"/>
      <c r="LN2" s="62"/>
      <c r="LO2" s="62"/>
      <c r="LP2" s="62"/>
      <c r="LQ2" s="62"/>
      <c r="LR2" s="62"/>
      <c r="LS2" s="62"/>
      <c r="LT2" s="62"/>
      <c r="LU2" s="62"/>
      <c r="LV2" s="62"/>
      <c r="LW2" s="62"/>
      <c r="LX2" s="62"/>
      <c r="LY2" s="62"/>
      <c r="LZ2" s="62"/>
      <c r="MA2" s="62"/>
      <c r="MB2" s="62"/>
      <c r="MC2" s="62"/>
      <c r="MD2" s="62"/>
      <c r="ME2" s="62"/>
      <c r="MF2" s="62"/>
      <c r="MG2" s="62"/>
      <c r="MH2" s="62"/>
      <c r="MI2" s="62"/>
      <c r="MJ2" s="62"/>
      <c r="MK2" s="62"/>
      <c r="ML2" s="62"/>
      <c r="MM2" s="62"/>
      <c r="MN2" s="62"/>
      <c r="MO2" s="62"/>
      <c r="MP2" s="62"/>
      <c r="MQ2" s="62"/>
      <c r="MR2" s="62"/>
      <c r="MS2" s="62"/>
      <c r="MT2" s="62"/>
      <c r="MU2" s="62"/>
      <c r="MV2" s="62"/>
      <c r="MW2" s="62"/>
      <c r="MX2" s="62"/>
      <c r="MY2" s="62"/>
      <c r="MZ2" s="62"/>
      <c r="NA2" s="62"/>
      <c r="NB2" s="62"/>
      <c r="NC2" s="62"/>
      <c r="ND2" s="62"/>
      <c r="NE2" s="62"/>
      <c r="NF2" s="62"/>
      <c r="NG2" s="62"/>
      <c r="NH2" s="62"/>
      <c r="NI2" s="62"/>
      <c r="NJ2" s="62"/>
      <c r="NK2" s="62"/>
      <c r="NL2" s="62"/>
      <c r="NM2" s="62"/>
      <c r="NN2" s="62"/>
      <c r="NO2" s="62"/>
      <c r="NP2" s="62"/>
      <c r="NQ2" s="62"/>
      <c r="NR2" s="62"/>
      <c r="NS2" s="62"/>
      <c r="NT2" s="62"/>
      <c r="NU2" s="62"/>
      <c r="NV2" s="62"/>
      <c r="NW2" s="62"/>
      <c r="NX2" s="62"/>
      <c r="NY2" s="62"/>
      <c r="NZ2" s="62"/>
      <c r="OA2" s="62"/>
      <c r="OB2" s="62"/>
      <c r="OC2" s="62"/>
      <c r="OD2" s="62"/>
      <c r="OE2" s="62"/>
      <c r="OF2" s="62"/>
      <c r="OG2" s="62"/>
      <c r="OH2" s="62"/>
      <c r="OI2" s="62"/>
      <c r="OJ2" s="62"/>
      <c r="OK2" s="62"/>
      <c r="OL2" s="62"/>
      <c r="OM2" s="62"/>
      <c r="ON2" s="62"/>
      <c r="OO2" s="62"/>
      <c r="OP2" s="62"/>
      <c r="OQ2" s="62"/>
      <c r="OR2" s="62"/>
      <c r="OS2" s="62"/>
      <c r="OT2" s="62"/>
      <c r="OU2" s="62"/>
      <c r="OV2" s="62"/>
      <c r="OW2" s="62"/>
      <c r="OX2" s="62"/>
      <c r="OY2" s="62"/>
      <c r="OZ2" s="62"/>
      <c r="PA2" s="62"/>
      <c r="PB2" s="62"/>
      <c r="PC2" s="62"/>
      <c r="PD2" s="62"/>
      <c r="PE2" s="62"/>
      <c r="PF2" s="62"/>
      <c r="PG2" s="62"/>
      <c r="PH2" s="62"/>
      <c r="PI2" s="62"/>
      <c r="PJ2" s="62"/>
      <c r="PK2" s="62"/>
      <c r="PL2" s="62"/>
      <c r="PM2" s="62"/>
      <c r="PN2" s="62"/>
      <c r="PO2" s="62"/>
      <c r="PP2" s="62"/>
      <c r="PQ2" s="62"/>
      <c r="PR2" s="62"/>
      <c r="PS2" s="62"/>
      <c r="PT2" s="62"/>
      <c r="PU2" s="62"/>
      <c r="PV2" s="62"/>
      <c r="PW2" s="62"/>
      <c r="PX2" s="62"/>
      <c r="PY2" s="62"/>
      <c r="PZ2" s="62"/>
      <c r="QA2" s="62"/>
      <c r="QB2" s="62"/>
      <c r="QC2" s="62"/>
      <c r="QD2" s="62"/>
      <c r="QE2" s="62"/>
      <c r="QF2" s="62"/>
      <c r="QG2" s="62"/>
      <c r="QH2" s="62"/>
      <c r="QI2" s="62"/>
      <c r="QJ2" s="62"/>
      <c r="QK2" s="62"/>
      <c r="QL2" s="62"/>
      <c r="QM2" s="62"/>
      <c r="QN2" s="62"/>
      <c r="QO2" s="62"/>
      <c r="QP2" s="62"/>
      <c r="QQ2" s="62"/>
      <c r="QR2" s="62"/>
      <c r="QS2" s="62"/>
      <c r="QT2" s="62"/>
      <c r="QU2" s="62"/>
      <c r="QV2" s="62"/>
      <c r="QW2" s="62"/>
      <c r="QX2" s="62"/>
      <c r="QY2" s="62"/>
      <c r="QZ2" s="62"/>
      <c r="RA2" s="62"/>
      <c r="RB2" s="62"/>
      <c r="RC2" s="62"/>
      <c r="RD2" s="62"/>
      <c r="RE2" s="62"/>
      <c r="RF2" s="62"/>
      <c r="RG2" s="62"/>
      <c r="RH2" s="62"/>
      <c r="RI2" s="62"/>
      <c r="RJ2" s="62"/>
      <c r="RK2" s="62"/>
      <c r="RL2" s="62"/>
      <c r="RM2" s="62"/>
      <c r="RN2" s="62"/>
      <c r="RO2" s="62"/>
      <c r="RP2" s="62"/>
      <c r="RQ2" s="62"/>
      <c r="RR2" s="62"/>
      <c r="RS2" s="62"/>
      <c r="RT2" s="62"/>
      <c r="RU2" s="62"/>
      <c r="RV2" s="62"/>
      <c r="RW2" s="62"/>
      <c r="RX2" s="62"/>
      <c r="RY2" s="62"/>
      <c r="RZ2" s="62"/>
      <c r="SA2" s="62"/>
      <c r="SB2" s="62"/>
      <c r="SC2" s="62"/>
      <c r="SD2" s="62"/>
      <c r="SE2" s="62"/>
      <c r="SF2" s="62"/>
      <c r="SG2" s="62"/>
      <c r="SH2" s="62"/>
      <c r="SI2" s="62"/>
      <c r="SJ2" s="62"/>
      <c r="SK2" s="62"/>
      <c r="SL2" s="62"/>
      <c r="SM2" s="62"/>
      <c r="SN2" s="62"/>
      <c r="SO2" s="62"/>
      <c r="SP2" s="62"/>
      <c r="SQ2" s="62"/>
      <c r="SR2" s="62"/>
      <c r="SS2" s="62"/>
      <c r="ST2" s="62"/>
      <c r="SU2" s="62"/>
      <c r="SV2" s="62"/>
      <c r="SW2" s="62"/>
      <c r="SX2" s="62"/>
      <c r="SY2" s="62"/>
      <c r="SZ2" s="62"/>
      <c r="TA2" s="62"/>
      <c r="TB2" s="62"/>
      <c r="TC2" s="62"/>
      <c r="TD2" s="62"/>
      <c r="TE2" s="62"/>
      <c r="TF2" s="62"/>
      <c r="TG2" s="62"/>
      <c r="TH2" s="62"/>
      <c r="TI2" s="62"/>
      <c r="TJ2" s="62"/>
      <c r="TK2" s="62"/>
      <c r="TL2" s="62"/>
      <c r="TM2" s="62"/>
      <c r="TN2" s="62"/>
      <c r="TO2" s="62"/>
      <c r="TP2" s="62"/>
      <c r="TQ2" s="62"/>
      <c r="TR2" s="62"/>
      <c r="TS2" s="62"/>
      <c r="TT2" s="62"/>
      <c r="TU2" s="62"/>
      <c r="TV2" s="62"/>
      <c r="TW2" s="62"/>
      <c r="TX2" s="62"/>
      <c r="TY2" s="62"/>
      <c r="TZ2" s="62"/>
      <c r="UA2" s="62"/>
      <c r="UB2" s="62"/>
      <c r="UC2" s="62"/>
      <c r="UD2" s="62"/>
      <c r="UE2" s="62"/>
      <c r="UF2" s="62"/>
      <c r="UG2" s="62"/>
      <c r="UH2" s="62"/>
      <c r="UI2" s="62"/>
      <c r="UJ2" s="62"/>
      <c r="UK2" s="62"/>
      <c r="UL2" s="62"/>
      <c r="UM2" s="62"/>
      <c r="UN2" s="62"/>
      <c r="UO2" s="62"/>
      <c r="UP2" s="62"/>
      <c r="UQ2" s="62"/>
      <c r="UR2" s="62"/>
      <c r="US2" s="62"/>
      <c r="UT2" s="62"/>
      <c r="UU2" s="62"/>
      <c r="UV2" s="62"/>
      <c r="UW2" s="62"/>
      <c r="UX2" s="62"/>
      <c r="UY2" s="62"/>
      <c r="UZ2" s="62"/>
      <c r="VA2" s="62"/>
      <c r="VB2" s="62"/>
      <c r="VC2" s="62"/>
      <c r="VD2" s="62"/>
      <c r="VE2" s="62"/>
      <c r="VF2" s="62"/>
      <c r="VG2" s="62"/>
      <c r="VH2" s="62"/>
      <c r="VI2" s="62"/>
      <c r="VJ2" s="62"/>
      <c r="VK2" s="62"/>
      <c r="VL2" s="62"/>
      <c r="VM2" s="62"/>
      <c r="VN2" s="62"/>
      <c r="VO2" s="62"/>
      <c r="VP2" s="62"/>
      <c r="VQ2" s="62"/>
      <c r="VR2" s="62"/>
      <c r="VS2" s="62"/>
      <c r="VT2" s="62"/>
      <c r="VU2" s="62"/>
      <c r="VV2" s="62"/>
      <c r="VW2" s="62"/>
      <c r="VX2" s="62"/>
      <c r="VY2" s="62"/>
      <c r="VZ2" s="62"/>
      <c r="WA2" s="62"/>
      <c r="WB2" s="62"/>
      <c r="WC2" s="62"/>
      <c r="WD2" s="62"/>
      <c r="WE2" s="62"/>
      <c r="WF2" s="62"/>
      <c r="WG2" s="62"/>
      <c r="WH2" s="62"/>
      <c r="WI2" s="62"/>
      <c r="WJ2" s="62"/>
      <c r="WK2" s="62"/>
      <c r="WL2" s="62"/>
      <c r="WM2" s="62"/>
      <c r="WN2" s="62"/>
      <c r="WO2" s="62"/>
      <c r="WP2" s="62"/>
      <c r="WQ2" s="62"/>
      <c r="WR2" s="62"/>
      <c r="WS2" s="62"/>
      <c r="WT2" s="62"/>
      <c r="WU2" s="62"/>
      <c r="WV2" s="62"/>
      <c r="WW2" s="62"/>
      <c r="WX2" s="62"/>
      <c r="WY2" s="62"/>
      <c r="WZ2" s="62"/>
      <c r="XA2" s="62"/>
      <c r="XB2" s="62"/>
      <c r="XC2" s="62"/>
      <c r="XD2" s="62"/>
      <c r="XE2" s="62"/>
      <c r="XF2" s="62"/>
      <c r="XG2" s="62"/>
      <c r="XH2" s="62"/>
      <c r="XI2" s="62"/>
      <c r="XJ2" s="62"/>
      <c r="XK2" s="62"/>
      <c r="XL2" s="62"/>
      <c r="XM2" s="62"/>
      <c r="XN2" s="62"/>
      <c r="XO2" s="62"/>
      <c r="XP2" s="62"/>
      <c r="XQ2" s="62"/>
      <c r="XR2" s="62"/>
      <c r="XS2" s="62"/>
      <c r="XT2" s="62"/>
      <c r="XU2" s="62"/>
      <c r="XV2" s="62"/>
      <c r="XW2" s="62"/>
      <c r="XX2" s="62"/>
      <c r="XY2" s="62"/>
      <c r="XZ2" s="62"/>
      <c r="YA2" s="62"/>
      <c r="YB2" s="62"/>
      <c r="YC2" s="62"/>
      <c r="YD2" s="62"/>
      <c r="YE2" s="62"/>
      <c r="YF2" s="62"/>
      <c r="YG2" s="62"/>
      <c r="YH2" s="62"/>
      <c r="YI2" s="62"/>
      <c r="YJ2" s="62"/>
      <c r="YK2" s="62"/>
      <c r="YL2" s="62"/>
      <c r="YM2" s="62"/>
      <c r="YN2" s="62"/>
      <c r="YO2" s="62"/>
      <c r="YP2" s="62"/>
      <c r="YQ2" s="62"/>
      <c r="YR2" s="62"/>
      <c r="YS2" s="62"/>
      <c r="YT2" s="62"/>
      <c r="YU2" s="62"/>
      <c r="YV2" s="62"/>
      <c r="YW2" s="62"/>
      <c r="YX2" s="62"/>
      <c r="YY2" s="62"/>
      <c r="YZ2" s="62"/>
      <c r="ZA2" s="62"/>
      <c r="ZB2" s="62"/>
      <c r="ZC2" s="62"/>
      <c r="ZD2" s="62"/>
      <c r="ZE2" s="62"/>
      <c r="ZF2" s="62"/>
      <c r="ZG2" s="62"/>
      <c r="ZH2" s="62"/>
      <c r="ZI2" s="62"/>
      <c r="ZJ2" s="62"/>
      <c r="ZK2" s="62"/>
      <c r="ZL2" s="62"/>
      <c r="ZM2" s="62"/>
      <c r="ZN2" s="62"/>
      <c r="ZO2" s="62"/>
      <c r="ZP2" s="62"/>
      <c r="ZQ2" s="62"/>
      <c r="ZR2" s="62"/>
      <c r="ZS2" s="62"/>
      <c r="ZT2" s="62"/>
      <c r="ZU2" s="62"/>
      <c r="ZV2" s="62"/>
      <c r="ZW2" s="62"/>
      <c r="ZX2" s="62"/>
      <c r="ZY2" s="62"/>
      <c r="ZZ2" s="62"/>
      <c r="AAA2" s="62"/>
      <c r="AAB2" s="62"/>
      <c r="AAC2" s="62"/>
      <c r="AAD2" s="62"/>
      <c r="AAE2" s="62"/>
      <c r="AAF2" s="62"/>
      <c r="AAG2" s="62"/>
      <c r="AAH2" s="62"/>
      <c r="AAI2" s="62"/>
      <c r="AAJ2" s="62"/>
      <c r="AAK2" s="62"/>
      <c r="AAL2" s="62"/>
      <c r="AAM2" s="62"/>
      <c r="AAN2" s="62"/>
      <c r="AAO2" s="62"/>
      <c r="AAP2" s="62"/>
      <c r="AAQ2" s="62"/>
      <c r="AAR2" s="62"/>
      <c r="AAS2" s="62"/>
      <c r="AAT2" s="62"/>
      <c r="AAU2" s="62"/>
      <c r="AAV2" s="62"/>
      <c r="AAW2" s="62"/>
      <c r="AAX2" s="62"/>
      <c r="AAY2" s="62"/>
      <c r="AAZ2" s="62"/>
      <c r="ABA2" s="62"/>
      <c r="ABB2" s="62"/>
      <c r="ABC2" s="62"/>
      <c r="ABD2" s="62"/>
      <c r="ABE2" s="62"/>
      <c r="ABF2" s="62"/>
      <c r="ABG2" s="62"/>
      <c r="ABH2" s="62"/>
      <c r="ABI2" s="62"/>
      <c r="ABJ2" s="62"/>
      <c r="ABK2" s="62"/>
      <c r="ABL2" s="62"/>
      <c r="ABM2" s="62"/>
      <c r="ABN2" s="62"/>
      <c r="ABO2" s="62"/>
      <c r="ABP2" s="62"/>
      <c r="ABQ2" s="62"/>
      <c r="ABR2" s="62"/>
      <c r="ABS2" s="62"/>
      <c r="ABT2" s="62"/>
      <c r="ABU2" s="62"/>
      <c r="ABV2" s="62"/>
      <c r="ABW2" s="62"/>
      <c r="ABX2" s="62"/>
      <c r="ABY2" s="62"/>
      <c r="ABZ2" s="62"/>
      <c r="ACA2" s="62"/>
      <c r="ACB2" s="62"/>
      <c r="ACC2" s="62"/>
      <c r="ACD2" s="62"/>
      <c r="ACE2" s="62"/>
      <c r="ACF2" s="62"/>
      <c r="ACG2" s="62"/>
      <c r="ACH2" s="62"/>
      <c r="ACI2" s="62"/>
      <c r="ACJ2" s="62"/>
      <c r="ACK2" s="62"/>
      <c r="ACL2" s="62"/>
      <c r="ACM2" s="62"/>
      <c r="ACN2" s="62"/>
      <c r="ACO2" s="62"/>
      <c r="ACP2" s="62"/>
      <c r="ACQ2" s="62"/>
      <c r="ACR2" s="62"/>
      <c r="ACS2" s="62"/>
      <c r="ACT2" s="62"/>
      <c r="ACU2" s="62"/>
      <c r="ACV2" s="62"/>
      <c r="ACW2" s="62"/>
      <c r="ACX2" s="62"/>
      <c r="ACY2" s="62"/>
      <c r="ACZ2" s="62"/>
      <c r="ADA2" s="62"/>
      <c r="ADB2" s="62"/>
      <c r="ADC2" s="62"/>
      <c r="ADD2" s="62"/>
      <c r="ADE2" s="62"/>
      <c r="ADF2" s="62"/>
      <c r="ADG2" s="62"/>
      <c r="ADH2" s="62"/>
      <c r="ADI2" s="62"/>
      <c r="ADJ2" s="62"/>
      <c r="ADK2" s="62"/>
      <c r="ADL2" s="62"/>
      <c r="ADM2" s="62"/>
      <c r="ADN2" s="62"/>
      <c r="ADO2" s="62"/>
      <c r="ADP2" s="62"/>
      <c r="ADQ2" s="62"/>
      <c r="ADR2" s="62"/>
      <c r="ADS2" s="62"/>
      <c r="ADT2" s="62"/>
      <c r="ADU2" s="62"/>
      <c r="ADV2" s="62"/>
      <c r="ADW2" s="62"/>
      <c r="ADX2" s="62"/>
      <c r="ADY2" s="62"/>
      <c r="ADZ2" s="62"/>
      <c r="AEA2" s="62"/>
      <c r="AEB2" s="62"/>
      <c r="AEC2" s="62"/>
      <c r="AED2" s="62"/>
      <c r="AEE2" s="62"/>
      <c r="AEF2" s="62"/>
      <c r="AEG2" s="62"/>
      <c r="AEH2" s="62"/>
      <c r="AEI2" s="62"/>
      <c r="AEJ2" s="62"/>
      <c r="AEK2" s="62"/>
      <c r="AEL2" s="62"/>
      <c r="AEM2" s="62"/>
      <c r="AEN2" s="62"/>
      <c r="AEO2" s="62"/>
      <c r="AEP2" s="62"/>
      <c r="AEQ2" s="62"/>
      <c r="AER2" s="62"/>
      <c r="AES2" s="62"/>
      <c r="AET2" s="62"/>
      <c r="AEU2" s="62"/>
      <c r="AEV2" s="62"/>
      <c r="AEW2" s="62"/>
      <c r="AEX2" s="62"/>
      <c r="AEY2" s="62"/>
      <c r="AEZ2" s="62"/>
      <c r="AFA2" s="62"/>
      <c r="AFB2" s="62"/>
      <c r="AFC2" s="62"/>
      <c r="AFD2" s="62"/>
      <c r="AFE2" s="62"/>
      <c r="AFF2" s="62"/>
      <c r="AFG2" s="62"/>
      <c r="AFH2" s="62"/>
      <c r="AFI2" s="62"/>
      <c r="AFJ2" s="62"/>
      <c r="AFK2" s="62"/>
      <c r="AFL2" s="62"/>
      <c r="AFM2" s="62"/>
      <c r="AFN2" s="62"/>
      <c r="AFO2" s="62"/>
      <c r="AFP2" s="62"/>
      <c r="AFQ2" s="62"/>
      <c r="AFR2" s="62"/>
      <c r="AFS2" s="62"/>
      <c r="AFT2" s="62"/>
      <c r="AFU2" s="62"/>
      <c r="AFV2" s="62"/>
      <c r="AFW2" s="62"/>
      <c r="AFX2" s="62"/>
      <c r="AFY2" s="62"/>
      <c r="AFZ2" s="62"/>
      <c r="AGA2" s="62"/>
      <c r="AGB2" s="62"/>
      <c r="AGC2" s="62"/>
      <c r="AGD2" s="62"/>
      <c r="AGE2" s="62"/>
      <c r="AGF2" s="62"/>
      <c r="AGG2" s="62"/>
      <c r="AGH2" s="62"/>
      <c r="AGI2" s="62"/>
      <c r="AGJ2" s="62"/>
      <c r="AGK2" s="62"/>
      <c r="AGL2" s="62"/>
      <c r="AGM2" s="62"/>
      <c r="AGN2" s="62"/>
      <c r="AGO2" s="62"/>
      <c r="AGP2" s="62"/>
      <c r="AGQ2" s="62"/>
      <c r="AGR2" s="62"/>
      <c r="AGS2" s="62"/>
      <c r="AGT2" s="62"/>
      <c r="AGU2" s="62"/>
      <c r="AGV2" s="62"/>
      <c r="AGW2" s="62"/>
      <c r="AGX2" s="62"/>
      <c r="AGY2" s="62"/>
      <c r="AGZ2" s="62"/>
      <c r="AHA2" s="62"/>
      <c r="AHB2" s="62"/>
      <c r="AHC2" s="62"/>
      <c r="AHD2" s="62"/>
      <c r="AHE2" s="62"/>
      <c r="AHF2" s="62"/>
      <c r="AHG2" s="62"/>
      <c r="AHH2" s="62"/>
      <c r="AHI2" s="62"/>
      <c r="AHJ2" s="62"/>
      <c r="AHK2" s="62"/>
      <c r="AHL2" s="62"/>
      <c r="AHM2" s="62"/>
      <c r="AHN2" s="62"/>
      <c r="AHO2" s="62"/>
      <c r="AHP2" s="62"/>
      <c r="AHQ2" s="62"/>
      <c r="AHR2" s="62"/>
      <c r="AHS2" s="62"/>
      <c r="AHT2" s="62"/>
      <c r="AHU2" s="62"/>
      <c r="AHV2" s="62"/>
      <c r="AHW2" s="62"/>
      <c r="AHX2" s="62"/>
      <c r="AHY2" s="62"/>
      <c r="AHZ2" s="62"/>
      <c r="AIA2" s="62"/>
      <c r="AIB2" s="62"/>
      <c r="AIC2" s="62"/>
      <c r="AID2" s="62"/>
      <c r="AIE2" s="62"/>
      <c r="AIF2" s="62"/>
      <c r="AIG2" s="62"/>
      <c r="AIH2" s="62"/>
      <c r="AII2" s="62"/>
      <c r="AIJ2" s="62"/>
      <c r="AIK2" s="62"/>
      <c r="AIL2" s="62"/>
      <c r="AIM2" s="62"/>
      <c r="AIN2" s="62"/>
      <c r="AIO2" s="62"/>
      <c r="AIP2" s="62"/>
      <c r="AIQ2" s="62"/>
      <c r="AIR2" s="62"/>
      <c r="AIS2" s="62"/>
      <c r="AIT2" s="62"/>
      <c r="AIU2" s="62"/>
      <c r="AIV2" s="62"/>
      <c r="AIW2" s="62"/>
      <c r="AIX2" s="62"/>
      <c r="AIY2" s="62"/>
      <c r="AIZ2" s="62"/>
      <c r="AJA2" s="62"/>
      <c r="AJB2" s="62"/>
      <c r="AJC2" s="62"/>
      <c r="AJD2" s="62"/>
      <c r="AJE2" s="62"/>
      <c r="AJF2" s="62"/>
      <c r="AJG2" s="62"/>
      <c r="AJH2" s="62"/>
      <c r="AJI2" s="62"/>
      <c r="AJJ2" s="62"/>
      <c r="AJK2" s="62"/>
      <c r="AJL2" s="62"/>
      <c r="AJM2" s="62"/>
      <c r="AJN2" s="62"/>
      <c r="AJO2" s="62"/>
      <c r="AJP2" s="62"/>
      <c r="AJQ2" s="62"/>
      <c r="AJR2" s="62"/>
      <c r="AJS2" s="62"/>
      <c r="AJT2" s="62"/>
      <c r="AJU2" s="62"/>
      <c r="AJV2" s="62"/>
      <c r="AJW2" s="62"/>
      <c r="AJX2" s="62"/>
      <c r="AJY2" s="62"/>
      <c r="AJZ2" s="62"/>
      <c r="AKA2" s="62"/>
      <c r="AKB2" s="62"/>
      <c r="AKC2" s="62"/>
      <c r="AKD2" s="62"/>
      <c r="AKE2" s="62"/>
      <c r="AKF2" s="62"/>
      <c r="AKG2" s="62"/>
      <c r="AKH2" s="62"/>
      <c r="AKI2" s="62"/>
      <c r="AKJ2" s="62"/>
      <c r="AKK2" s="62"/>
      <c r="AKL2" s="62"/>
      <c r="AKM2" s="62"/>
      <c r="AKN2" s="62"/>
      <c r="AKO2" s="62"/>
      <c r="AKP2" s="62"/>
      <c r="AKQ2" s="62"/>
      <c r="AKR2" s="62"/>
      <c r="AKS2" s="62"/>
      <c r="AKT2" s="62"/>
      <c r="AKU2" s="62"/>
      <c r="AKV2" s="62"/>
      <c r="AKW2" s="62"/>
      <c r="AKX2" s="62"/>
      <c r="AKY2" s="62"/>
      <c r="AKZ2" s="62"/>
      <c r="ALA2" s="62"/>
      <c r="ALB2" s="62"/>
      <c r="ALC2" s="62"/>
      <c r="ALD2" s="62"/>
      <c r="ALE2" s="62"/>
      <c r="ALF2" s="62"/>
      <c r="ALG2" s="62"/>
      <c r="ALH2" s="62"/>
      <c r="ALI2" s="62"/>
      <c r="ALJ2" s="62"/>
      <c r="ALK2" s="62"/>
      <c r="ALL2" s="62"/>
      <c r="ALM2" s="62"/>
      <c r="ALN2" s="62"/>
      <c r="ALO2" s="62"/>
      <c r="ALP2" s="62"/>
      <c r="ALQ2" s="62"/>
      <c r="ALR2" s="62"/>
      <c r="ALS2" s="62"/>
      <c r="ALT2" s="62"/>
      <c r="ALU2" s="62"/>
      <c r="ALV2" s="62"/>
      <c r="ALW2" s="62"/>
      <c r="ALX2" s="62"/>
      <c r="ALY2" s="62"/>
      <c r="ALZ2" s="62"/>
      <c r="AMA2" s="62"/>
      <c r="AMB2" s="62"/>
      <c r="AMC2" s="62"/>
      <c r="AMD2" s="62"/>
      <c r="AME2" s="62"/>
      <c r="AMF2" s="62"/>
      <c r="AMG2" s="62"/>
      <c r="AMH2" s="62"/>
      <c r="AMI2" s="62"/>
      <c r="AMJ2" s="62"/>
      <c r="AMK2" s="62"/>
      <c r="AML2" s="62"/>
      <c r="AMM2" s="62"/>
      <c r="AMN2" s="62"/>
      <c r="AMO2" s="62"/>
      <c r="AMP2" s="62"/>
      <c r="AMQ2" s="62"/>
      <c r="AMR2" s="62"/>
      <c r="AMS2" s="62"/>
      <c r="AMT2" s="62"/>
      <c r="AMU2" s="62"/>
      <c r="AMV2" s="62"/>
      <c r="AMW2" s="62"/>
      <c r="AMX2" s="62"/>
      <c r="AMY2" s="62"/>
      <c r="AMZ2" s="62"/>
      <c r="ANA2" s="62"/>
      <c r="ANB2" s="62"/>
      <c r="ANC2" s="62"/>
      <c r="AND2" s="62"/>
      <c r="ANE2" s="62"/>
      <c r="ANF2" s="62"/>
      <c r="ANG2" s="62"/>
      <c r="ANH2" s="62"/>
      <c r="ANI2" s="62"/>
      <c r="ANJ2" s="62"/>
      <c r="ANK2" s="62"/>
      <c r="ANL2" s="62"/>
      <c r="ANM2" s="62"/>
      <c r="ANN2" s="62"/>
      <c r="ANO2" s="62"/>
      <c r="ANP2" s="62"/>
      <c r="ANQ2" s="62"/>
      <c r="ANR2" s="62"/>
      <c r="ANS2" s="62"/>
      <c r="ANT2" s="62"/>
      <c r="ANU2" s="62"/>
      <c r="ANV2" s="62"/>
      <c r="ANW2" s="62"/>
      <c r="ANX2" s="62"/>
      <c r="ANY2" s="62"/>
      <c r="ANZ2" s="62"/>
      <c r="AOA2" s="62"/>
      <c r="AOB2" s="62"/>
      <c r="AOC2" s="62"/>
      <c r="AOD2" s="62"/>
      <c r="AOE2" s="62"/>
      <c r="AOF2" s="62"/>
      <c r="AOG2" s="62"/>
      <c r="AOH2" s="62"/>
      <c r="AOI2" s="62"/>
      <c r="AOJ2" s="62"/>
      <c r="AOK2" s="62"/>
      <c r="AOL2" s="62"/>
      <c r="AOM2" s="62"/>
      <c r="AON2" s="62"/>
      <c r="AOO2" s="62"/>
      <c r="AOP2" s="62"/>
      <c r="AOQ2" s="62"/>
      <c r="AOR2" s="62"/>
      <c r="AOS2" s="62"/>
      <c r="AOT2" s="62"/>
      <c r="AOU2" s="62"/>
      <c r="AOV2" s="62"/>
      <c r="AOW2" s="62"/>
      <c r="AOX2" s="62"/>
      <c r="AOY2" s="62"/>
      <c r="AOZ2" s="62"/>
      <c r="APA2" s="62"/>
      <c r="APB2" s="62"/>
      <c r="APC2" s="62"/>
      <c r="APD2" s="62"/>
      <c r="APE2" s="62"/>
      <c r="APF2" s="62"/>
      <c r="APG2" s="62"/>
      <c r="APH2" s="62"/>
      <c r="API2" s="62"/>
      <c r="APJ2" s="62"/>
      <c r="APK2" s="62"/>
      <c r="APL2" s="62"/>
      <c r="APM2" s="62"/>
      <c r="APN2" s="62"/>
      <c r="APO2" s="62"/>
      <c r="APP2" s="62"/>
      <c r="APQ2" s="62"/>
      <c r="APR2" s="62"/>
      <c r="APS2" s="62"/>
      <c r="APT2" s="62"/>
      <c r="APU2" s="62"/>
      <c r="APV2" s="62"/>
      <c r="APW2" s="62"/>
      <c r="APX2" s="62"/>
      <c r="APY2" s="62"/>
      <c r="APZ2" s="62"/>
      <c r="AQA2" s="62"/>
      <c r="AQB2" s="62"/>
      <c r="AQC2" s="62"/>
      <c r="AQD2" s="62"/>
      <c r="AQE2" s="62"/>
      <c r="AQF2" s="62"/>
      <c r="AQG2" s="62"/>
      <c r="AQH2" s="62"/>
      <c r="AQI2" s="62"/>
      <c r="AQJ2" s="62"/>
      <c r="AQK2" s="62"/>
      <c r="AQL2" s="62"/>
      <c r="AQM2" s="62"/>
      <c r="AQN2" s="62"/>
      <c r="AQO2" s="62"/>
      <c r="AQP2" s="62"/>
      <c r="AQQ2" s="62"/>
      <c r="AQR2" s="62"/>
      <c r="AQS2" s="62"/>
      <c r="AQT2" s="62"/>
      <c r="AQU2" s="62"/>
      <c r="AQV2" s="62"/>
      <c r="AQW2" s="62"/>
      <c r="AQX2" s="62"/>
      <c r="AQY2" s="62"/>
      <c r="AQZ2" s="62"/>
      <c r="ARA2" s="62"/>
      <c r="ARB2" s="62"/>
      <c r="ARC2" s="62"/>
      <c r="ARD2" s="62"/>
      <c r="ARE2" s="62"/>
      <c r="ARF2" s="62"/>
      <c r="ARG2" s="62"/>
      <c r="ARH2" s="62"/>
      <c r="ARI2" s="62"/>
      <c r="ARJ2" s="62"/>
      <c r="ARK2" s="62"/>
      <c r="ARL2" s="62"/>
      <c r="ARM2" s="62"/>
      <c r="ARN2" s="62"/>
      <c r="ARO2" s="62"/>
      <c r="ARP2" s="62"/>
      <c r="ARQ2" s="62"/>
      <c r="ARR2" s="62"/>
      <c r="ARS2" s="62"/>
      <c r="ART2" s="62"/>
      <c r="ARU2" s="62"/>
      <c r="ARV2" s="62"/>
      <c r="ARW2" s="62"/>
      <c r="ARX2" s="62"/>
      <c r="ARY2" s="62"/>
      <c r="ARZ2" s="62"/>
      <c r="ASA2" s="62"/>
      <c r="ASB2" s="62"/>
      <c r="ASC2" s="62"/>
      <c r="ASD2" s="62"/>
      <c r="ASE2" s="62"/>
      <c r="ASF2" s="62"/>
      <c r="ASG2" s="62"/>
      <c r="ASH2" s="62"/>
      <c r="ASI2" s="62"/>
      <c r="ASJ2" s="62"/>
      <c r="ASK2" s="62"/>
      <c r="ASL2" s="62"/>
      <c r="ASM2" s="62"/>
      <c r="ASN2" s="62"/>
      <c r="ASO2" s="62"/>
      <c r="ASP2" s="62"/>
      <c r="ASQ2" s="62"/>
      <c r="ASR2" s="62"/>
      <c r="ASS2" s="62"/>
      <c r="AST2" s="62"/>
      <c r="ASU2" s="62"/>
      <c r="ASV2" s="62"/>
      <c r="ASW2" s="62"/>
      <c r="ASX2" s="62"/>
      <c r="ASY2" s="62"/>
      <c r="ASZ2" s="62"/>
      <c r="ATA2" s="62"/>
      <c r="ATB2" s="62"/>
      <c r="ATC2" s="62"/>
      <c r="ATD2" s="62"/>
      <c r="ATE2" s="62"/>
      <c r="ATF2" s="62"/>
      <c r="ATG2" s="62"/>
      <c r="ATH2" s="62"/>
      <c r="ATI2" s="62"/>
      <c r="ATJ2" s="62"/>
      <c r="ATK2" s="62"/>
      <c r="ATL2" s="62"/>
      <c r="ATM2" s="62"/>
      <c r="ATN2" s="62"/>
      <c r="ATO2" s="62"/>
      <c r="ATP2" s="62"/>
      <c r="ATQ2" s="62"/>
      <c r="ATR2" s="62"/>
      <c r="ATS2" s="62"/>
      <c r="ATT2" s="62"/>
      <c r="ATU2" s="62"/>
      <c r="ATV2" s="62"/>
      <c r="ATW2" s="62"/>
      <c r="ATX2" s="62"/>
      <c r="ATY2" s="62"/>
      <c r="ATZ2" s="62"/>
      <c r="AUA2" s="62"/>
      <c r="AUB2" s="62"/>
      <c r="AUC2" s="62"/>
      <c r="AUD2" s="62"/>
      <c r="AUE2" s="62"/>
      <c r="AUF2" s="62"/>
      <c r="AUG2" s="62"/>
      <c r="AUH2" s="62"/>
      <c r="AUI2" s="62"/>
      <c r="AUJ2" s="62"/>
      <c r="AUK2" s="62"/>
      <c r="AUL2" s="62"/>
      <c r="AUM2" s="62"/>
      <c r="AUN2" s="62"/>
      <c r="AUO2" s="62"/>
      <c r="AUP2" s="62"/>
      <c r="AUQ2" s="62"/>
      <c r="AUR2" s="62"/>
      <c r="AUS2" s="62"/>
      <c r="AUT2" s="62"/>
      <c r="AUU2" s="62"/>
      <c r="AUV2" s="62"/>
      <c r="AUW2" s="62"/>
      <c r="AUX2" s="62"/>
      <c r="AUY2" s="62"/>
      <c r="AUZ2" s="62"/>
      <c r="AVA2" s="62"/>
      <c r="AVB2" s="62"/>
      <c r="AVC2" s="62"/>
      <c r="AVD2" s="62"/>
      <c r="AVE2" s="62"/>
      <c r="AVF2" s="62"/>
      <c r="AVG2" s="62"/>
      <c r="AVH2" s="62"/>
      <c r="AVI2" s="62"/>
      <c r="AVJ2" s="62"/>
      <c r="AVK2" s="62"/>
      <c r="AVL2" s="62"/>
      <c r="AVM2" s="62"/>
      <c r="AVN2" s="62"/>
      <c r="AVO2" s="62"/>
      <c r="AVP2" s="62"/>
      <c r="AVQ2" s="62"/>
      <c r="AVR2" s="62"/>
      <c r="AVS2" s="62"/>
      <c r="AVT2" s="62"/>
      <c r="AVU2" s="62"/>
      <c r="AVV2" s="62"/>
      <c r="AVW2" s="62"/>
      <c r="AVX2" s="62"/>
      <c r="AVY2" s="62"/>
      <c r="AVZ2" s="62"/>
      <c r="AWA2" s="62"/>
      <c r="AWB2" s="62"/>
      <c r="AWC2" s="62"/>
      <c r="AWD2" s="62"/>
      <c r="AWE2" s="62"/>
      <c r="AWF2" s="62"/>
      <c r="AWG2" s="62"/>
      <c r="AWH2" s="62"/>
      <c r="AWI2" s="62"/>
      <c r="AWJ2" s="62"/>
      <c r="AWK2" s="62"/>
      <c r="AWL2" s="62"/>
      <c r="AWM2" s="62"/>
      <c r="AWN2" s="62"/>
      <c r="AWO2" s="62"/>
      <c r="AWP2" s="62"/>
      <c r="AWQ2" s="62"/>
      <c r="AWR2" s="62"/>
      <c r="AWS2" s="62"/>
      <c r="AWT2" s="62"/>
      <c r="AWU2" s="62"/>
      <c r="AWV2" s="62"/>
      <c r="AWW2" s="62"/>
      <c r="AWX2" s="62"/>
      <c r="AWY2" s="62"/>
      <c r="AWZ2" s="62"/>
      <c r="AXA2" s="62"/>
      <c r="AXB2" s="62"/>
      <c r="AXC2" s="62"/>
      <c r="AXD2" s="62"/>
      <c r="AXE2" s="62"/>
      <c r="AXF2" s="62"/>
      <c r="AXG2" s="62"/>
      <c r="AXH2" s="62"/>
      <c r="AXI2" s="62"/>
      <c r="AXJ2" s="62"/>
      <c r="AXK2" s="62"/>
      <c r="AXL2" s="62"/>
      <c r="AXM2" s="62"/>
      <c r="AXN2" s="62"/>
      <c r="AXO2" s="62"/>
      <c r="AXP2" s="62"/>
      <c r="AXQ2" s="62"/>
      <c r="AXR2" s="62"/>
      <c r="AXS2" s="62"/>
      <c r="AXT2" s="62"/>
      <c r="AXU2" s="62"/>
      <c r="AXV2" s="62"/>
      <c r="AXW2" s="62"/>
      <c r="AXX2" s="62"/>
      <c r="AXY2" s="62"/>
      <c r="AXZ2" s="62"/>
      <c r="AYA2" s="62"/>
      <c r="AYB2" s="62"/>
      <c r="AYC2" s="62"/>
      <c r="AYD2" s="62"/>
      <c r="AYE2" s="62"/>
      <c r="AYF2" s="62"/>
      <c r="AYG2" s="62"/>
      <c r="AYH2" s="62"/>
      <c r="AYI2" s="62"/>
      <c r="AYJ2" s="62"/>
      <c r="AYK2" s="62"/>
      <c r="AYL2" s="62"/>
      <c r="AYM2" s="62"/>
      <c r="AYN2" s="62"/>
      <c r="AYO2" s="62"/>
      <c r="AYP2" s="62"/>
      <c r="AYQ2" s="62"/>
      <c r="AYR2" s="62"/>
      <c r="AYS2" s="62"/>
      <c r="AYT2" s="62"/>
      <c r="AYU2" s="62"/>
      <c r="AYV2" s="62"/>
      <c r="AYW2" s="62"/>
      <c r="AYX2" s="62"/>
      <c r="AYY2" s="62"/>
      <c r="AYZ2" s="62"/>
      <c r="AZA2" s="62"/>
      <c r="AZB2" s="62"/>
      <c r="AZC2" s="62"/>
      <c r="AZD2" s="62"/>
      <c r="AZE2" s="62"/>
      <c r="AZF2" s="62"/>
      <c r="AZG2" s="62"/>
      <c r="AZH2" s="62"/>
      <c r="AZI2" s="62"/>
      <c r="AZJ2" s="62"/>
      <c r="AZK2" s="62"/>
      <c r="AZL2" s="62"/>
      <c r="AZM2" s="62"/>
      <c r="AZN2" s="62"/>
      <c r="AZO2" s="62"/>
      <c r="AZP2" s="62"/>
      <c r="AZQ2" s="62"/>
      <c r="AZR2" s="62"/>
      <c r="AZS2" s="62"/>
      <c r="AZT2" s="62"/>
      <c r="AZU2" s="62"/>
      <c r="AZV2" s="62"/>
      <c r="AZW2" s="62"/>
      <c r="AZX2" s="62"/>
      <c r="AZY2" s="62"/>
      <c r="AZZ2" s="62"/>
      <c r="BAA2" s="62"/>
      <c r="BAB2" s="62"/>
      <c r="BAC2" s="62"/>
      <c r="BAD2" s="62"/>
      <c r="BAE2" s="62"/>
      <c r="BAF2" s="62"/>
      <c r="BAG2" s="62"/>
      <c r="BAH2" s="62"/>
      <c r="BAI2" s="62"/>
      <c r="BAJ2" s="62"/>
      <c r="BAK2" s="62"/>
      <c r="BAL2" s="62"/>
      <c r="BAM2" s="62"/>
      <c r="BAN2" s="62"/>
      <c r="BAO2" s="62"/>
      <c r="BAP2" s="62"/>
      <c r="BAQ2" s="62"/>
      <c r="BAR2" s="62"/>
      <c r="BAS2" s="62"/>
      <c r="BAT2" s="62"/>
      <c r="BAU2" s="62"/>
      <c r="BAV2" s="62"/>
      <c r="BAW2" s="62"/>
      <c r="BAX2" s="62"/>
      <c r="BAY2" s="62"/>
      <c r="BAZ2" s="62"/>
      <c r="BBA2" s="62"/>
      <c r="BBB2" s="62"/>
      <c r="BBC2" s="62"/>
      <c r="BBD2" s="62"/>
      <c r="BBE2" s="62"/>
      <c r="BBF2" s="62"/>
      <c r="BBG2" s="62"/>
      <c r="BBH2" s="62"/>
      <c r="BBI2" s="62"/>
      <c r="BBJ2" s="62"/>
      <c r="BBK2" s="62"/>
      <c r="BBL2" s="62"/>
      <c r="BBM2" s="62"/>
      <c r="BBN2" s="62"/>
      <c r="BBO2" s="62"/>
      <c r="BBP2" s="62"/>
      <c r="BBQ2" s="62"/>
      <c r="BBR2" s="62"/>
      <c r="BBS2" s="62"/>
      <c r="BBT2" s="62"/>
      <c r="BBU2" s="62"/>
      <c r="BBV2" s="62"/>
      <c r="BBW2" s="62"/>
      <c r="BBX2" s="62"/>
      <c r="BBY2" s="62"/>
      <c r="BBZ2" s="62"/>
      <c r="BCA2" s="62"/>
      <c r="BCB2" s="62"/>
      <c r="BCC2" s="62"/>
      <c r="BCD2" s="62"/>
      <c r="BCE2" s="62"/>
      <c r="BCF2" s="62"/>
      <c r="BCG2" s="62"/>
      <c r="BCH2" s="62"/>
      <c r="BCI2" s="62"/>
      <c r="BCJ2" s="62"/>
      <c r="BCK2" s="62"/>
      <c r="BCL2" s="62"/>
      <c r="BCM2" s="62"/>
      <c r="BCN2" s="62"/>
      <c r="BCO2" s="62"/>
      <c r="BCP2" s="62"/>
      <c r="BCQ2" s="62"/>
      <c r="BCR2" s="62"/>
      <c r="BCS2" s="62"/>
      <c r="BCT2" s="62"/>
      <c r="BCU2" s="62"/>
      <c r="BCV2" s="62"/>
      <c r="BCW2" s="62"/>
      <c r="BCX2" s="62"/>
      <c r="BCY2" s="62"/>
      <c r="BCZ2" s="62"/>
      <c r="BDA2" s="62"/>
      <c r="BDB2" s="62"/>
      <c r="BDC2" s="62"/>
      <c r="BDD2" s="62"/>
      <c r="BDE2" s="62"/>
      <c r="BDF2" s="62"/>
      <c r="BDG2" s="62"/>
      <c r="BDH2" s="62"/>
      <c r="BDI2" s="62"/>
      <c r="BDJ2" s="62"/>
      <c r="BDK2" s="62"/>
      <c r="BDL2" s="62"/>
      <c r="BDM2" s="62"/>
      <c r="BDN2" s="62"/>
      <c r="BDO2" s="62"/>
      <c r="BDP2" s="62"/>
      <c r="BDQ2" s="62"/>
      <c r="BDR2" s="62"/>
      <c r="BDS2" s="62"/>
      <c r="BDT2" s="62"/>
      <c r="BDU2" s="62"/>
      <c r="BDV2" s="62"/>
      <c r="BDW2" s="62"/>
      <c r="BDX2" s="62"/>
      <c r="BDY2" s="62"/>
      <c r="BDZ2" s="62"/>
      <c r="BEA2" s="62"/>
      <c r="BEB2" s="62"/>
      <c r="BEC2" s="62"/>
      <c r="BED2" s="62"/>
      <c r="BEE2" s="62"/>
      <c r="BEF2" s="62"/>
      <c r="BEG2" s="62"/>
      <c r="BEH2" s="62"/>
      <c r="BEI2" s="62"/>
      <c r="BEJ2" s="62"/>
      <c r="BEK2" s="62"/>
      <c r="BEL2" s="62"/>
      <c r="BEM2" s="62"/>
      <c r="BEN2" s="62"/>
      <c r="BEO2" s="62"/>
      <c r="BEP2" s="62"/>
      <c r="BEQ2" s="62"/>
      <c r="BER2" s="62"/>
      <c r="BES2" s="62"/>
      <c r="BET2" s="62"/>
      <c r="BEU2" s="62"/>
      <c r="BEV2" s="62"/>
      <c r="BEW2" s="62"/>
      <c r="BEX2" s="62"/>
      <c r="BEY2" s="62"/>
      <c r="BEZ2" s="62"/>
      <c r="BFA2" s="62"/>
      <c r="BFB2" s="62"/>
      <c r="BFC2" s="62"/>
      <c r="BFD2" s="62"/>
      <c r="BFE2" s="62"/>
      <c r="BFF2" s="62"/>
      <c r="BFG2" s="62"/>
      <c r="BFH2" s="62"/>
      <c r="BFI2" s="62"/>
      <c r="BFJ2" s="62"/>
      <c r="BFK2" s="62"/>
      <c r="BFL2" s="62"/>
      <c r="BFM2" s="62"/>
      <c r="BFN2" s="62"/>
      <c r="BFO2" s="62"/>
      <c r="BFP2" s="62"/>
      <c r="BFQ2" s="62"/>
      <c r="BFR2" s="62"/>
      <c r="BFS2" s="62"/>
      <c r="BFT2" s="62"/>
      <c r="BFU2" s="62"/>
      <c r="BFV2" s="62"/>
      <c r="BFW2" s="62"/>
      <c r="BFX2" s="62"/>
      <c r="BFY2" s="62"/>
      <c r="BFZ2" s="62"/>
      <c r="BGA2" s="62"/>
      <c r="BGB2" s="62"/>
      <c r="BGC2" s="62"/>
      <c r="BGD2" s="62"/>
      <c r="BGE2" s="62"/>
      <c r="BGF2" s="62"/>
      <c r="BGG2" s="62"/>
      <c r="BGH2" s="62"/>
      <c r="BGI2" s="62"/>
      <c r="BGJ2" s="62"/>
      <c r="BGK2" s="62"/>
      <c r="BGL2" s="62"/>
      <c r="BGM2" s="62"/>
      <c r="BGN2" s="62"/>
      <c r="BGO2" s="62"/>
      <c r="BGP2" s="62"/>
      <c r="BGQ2" s="62"/>
      <c r="BGR2" s="62"/>
      <c r="BGS2" s="62"/>
      <c r="BGT2" s="62"/>
      <c r="BGU2" s="62"/>
      <c r="BGV2" s="62"/>
      <c r="BGW2" s="62"/>
      <c r="BGX2" s="62"/>
      <c r="BGY2" s="62"/>
      <c r="BGZ2" s="62"/>
      <c r="BHA2" s="62"/>
      <c r="BHB2" s="62"/>
      <c r="BHC2" s="62"/>
      <c r="BHD2" s="62"/>
      <c r="BHE2" s="62"/>
      <c r="BHF2" s="62"/>
      <c r="BHG2" s="62"/>
      <c r="BHH2" s="62"/>
      <c r="BHI2" s="62"/>
      <c r="BHJ2" s="62"/>
      <c r="BHK2" s="62"/>
      <c r="BHL2" s="62"/>
      <c r="BHM2" s="62"/>
      <c r="BHN2" s="62"/>
      <c r="BHO2" s="62"/>
      <c r="BHP2" s="62"/>
      <c r="BHQ2" s="62"/>
      <c r="BHR2" s="62"/>
      <c r="BHS2" s="62"/>
      <c r="BHT2" s="62"/>
      <c r="BHU2" s="62"/>
      <c r="BHV2" s="62"/>
      <c r="BHW2" s="62"/>
      <c r="BHX2" s="62"/>
      <c r="BHY2" s="62"/>
      <c r="BHZ2" s="62"/>
      <c r="BIA2" s="62"/>
      <c r="BIB2" s="62"/>
      <c r="BIC2" s="62"/>
      <c r="BID2" s="62"/>
      <c r="BIE2" s="62"/>
      <c r="BIF2" s="62"/>
      <c r="BIG2" s="62"/>
      <c r="BIH2" s="62"/>
      <c r="BII2" s="62"/>
      <c r="BIJ2" s="62"/>
      <c r="BIK2" s="62"/>
      <c r="BIL2" s="62"/>
      <c r="BIM2" s="62"/>
      <c r="BIN2" s="62"/>
      <c r="BIO2" s="62"/>
      <c r="BIP2" s="62"/>
      <c r="BIQ2" s="62"/>
      <c r="BIR2" s="62"/>
      <c r="BIS2" s="62"/>
      <c r="BIT2" s="62"/>
      <c r="BIU2" s="62"/>
      <c r="BIV2" s="62"/>
      <c r="BIW2" s="62"/>
      <c r="BIX2" s="62"/>
      <c r="BIY2" s="62"/>
      <c r="BIZ2" s="62"/>
      <c r="BJA2" s="62"/>
      <c r="BJB2" s="62"/>
      <c r="BJC2" s="62"/>
      <c r="BJD2" s="62"/>
      <c r="BJE2" s="62"/>
      <c r="BJF2" s="62"/>
      <c r="BJG2" s="62"/>
      <c r="BJH2" s="62"/>
      <c r="BJI2" s="62"/>
      <c r="BJJ2" s="62"/>
      <c r="BJK2" s="62"/>
      <c r="BJL2" s="62"/>
      <c r="BJM2" s="62"/>
      <c r="BJN2" s="62"/>
      <c r="BJO2" s="62"/>
      <c r="BJP2" s="62"/>
      <c r="BJQ2" s="62"/>
      <c r="BJR2" s="62"/>
      <c r="BJS2" s="62"/>
      <c r="BJT2" s="62"/>
      <c r="BJU2" s="62"/>
      <c r="BJV2" s="62"/>
      <c r="BJW2" s="62"/>
      <c r="BJX2" s="62"/>
      <c r="BJY2" s="62"/>
      <c r="BJZ2" s="62"/>
      <c r="BKA2" s="62"/>
      <c r="BKB2" s="62"/>
      <c r="BKC2" s="62"/>
      <c r="BKD2" s="62"/>
      <c r="BKE2" s="62"/>
      <c r="BKF2" s="62"/>
      <c r="BKG2" s="62"/>
      <c r="BKH2" s="62"/>
      <c r="BKI2" s="62"/>
      <c r="BKJ2" s="62"/>
      <c r="BKK2" s="62"/>
      <c r="BKL2" s="62"/>
      <c r="BKM2" s="62"/>
      <c r="BKN2" s="62"/>
      <c r="BKO2" s="62"/>
      <c r="BKP2" s="62"/>
      <c r="BKQ2" s="62"/>
      <c r="BKR2" s="62"/>
      <c r="BKS2" s="62"/>
      <c r="BKT2" s="62"/>
      <c r="BKU2" s="62"/>
      <c r="BKV2" s="62"/>
      <c r="BKW2" s="62"/>
      <c r="BKX2" s="62"/>
      <c r="BKY2" s="62"/>
      <c r="BKZ2" s="62"/>
      <c r="BLA2" s="62"/>
      <c r="BLB2" s="62"/>
      <c r="BLC2" s="62"/>
      <c r="BLD2" s="62"/>
      <c r="BLE2" s="62"/>
      <c r="BLF2" s="62"/>
      <c r="BLG2" s="62"/>
      <c r="BLH2" s="62"/>
      <c r="BLI2" s="62"/>
      <c r="BLJ2" s="62"/>
      <c r="BLK2" s="62"/>
      <c r="BLL2" s="62"/>
      <c r="BLM2" s="62"/>
      <c r="BLN2" s="62"/>
      <c r="BLO2" s="62"/>
      <c r="BLP2" s="62"/>
      <c r="BLQ2" s="62"/>
      <c r="BLR2" s="62"/>
      <c r="BLS2" s="62"/>
      <c r="BLT2" s="62"/>
      <c r="BLU2" s="62"/>
      <c r="BLV2" s="62"/>
      <c r="BLW2" s="62"/>
      <c r="BLX2" s="62"/>
      <c r="BLY2" s="62"/>
      <c r="BLZ2" s="62"/>
      <c r="BMA2" s="62"/>
      <c r="BMB2" s="62"/>
      <c r="BMC2" s="62"/>
      <c r="BMD2" s="62"/>
      <c r="BME2" s="62"/>
      <c r="BMF2" s="62"/>
      <c r="BMG2" s="62"/>
      <c r="BMH2" s="62"/>
      <c r="BMI2" s="62"/>
      <c r="BMJ2" s="62"/>
      <c r="BMK2" s="62"/>
      <c r="BML2" s="62"/>
      <c r="BMM2" s="62"/>
      <c r="BMN2" s="62"/>
      <c r="BMO2" s="62"/>
      <c r="BMP2" s="62"/>
      <c r="BMQ2" s="62"/>
      <c r="BMR2" s="62"/>
      <c r="BMS2" s="62"/>
      <c r="BMT2" s="62"/>
      <c r="BMU2" s="62"/>
      <c r="BMV2" s="62"/>
      <c r="BMW2" s="62"/>
      <c r="BMX2" s="62"/>
      <c r="BMY2" s="62"/>
      <c r="BMZ2" s="62"/>
      <c r="BNA2" s="62"/>
      <c r="BNB2" s="62"/>
      <c r="BNC2" s="62"/>
      <c r="BND2" s="62"/>
      <c r="BNE2" s="62"/>
      <c r="BNF2" s="62"/>
      <c r="BNG2" s="62"/>
      <c r="BNH2" s="62"/>
      <c r="BNI2" s="62"/>
      <c r="BNJ2" s="62"/>
      <c r="BNK2" s="62"/>
      <c r="BNL2" s="62"/>
      <c r="BNM2" s="62"/>
      <c r="BNN2" s="62"/>
      <c r="BNO2" s="62"/>
      <c r="BNP2" s="62"/>
      <c r="BNQ2" s="62"/>
      <c r="BNR2" s="62"/>
      <c r="BNS2" s="62"/>
      <c r="BNT2" s="62"/>
      <c r="BNU2" s="62"/>
      <c r="BNV2" s="62"/>
      <c r="BNW2" s="62"/>
      <c r="BNX2" s="62"/>
      <c r="BNY2" s="62"/>
      <c r="BNZ2" s="62"/>
      <c r="BOA2" s="62"/>
      <c r="BOB2" s="62"/>
      <c r="BOC2" s="62"/>
      <c r="BOD2" s="62"/>
      <c r="BOE2" s="62"/>
      <c r="BOF2" s="62"/>
      <c r="BOG2" s="62"/>
      <c r="BOH2" s="62"/>
      <c r="BOI2" s="62"/>
      <c r="BOJ2" s="62"/>
      <c r="BOK2" s="62"/>
      <c r="BOL2" s="62"/>
      <c r="BOM2" s="62"/>
      <c r="BON2" s="62"/>
      <c r="BOO2" s="62"/>
      <c r="BOP2" s="62"/>
      <c r="BOQ2" s="62"/>
      <c r="BOR2" s="62"/>
      <c r="BOS2" s="62"/>
      <c r="BOT2" s="62"/>
      <c r="BOU2" s="62"/>
      <c r="BOV2" s="62"/>
      <c r="BOW2" s="62"/>
      <c r="BOX2" s="62"/>
      <c r="BOY2" s="62"/>
      <c r="BOZ2" s="62"/>
      <c r="BPA2" s="62"/>
      <c r="BPB2" s="62"/>
      <c r="BPC2" s="62"/>
      <c r="BPD2" s="62"/>
      <c r="BPE2" s="62"/>
      <c r="BPF2" s="62"/>
      <c r="BPG2" s="62"/>
      <c r="BPH2" s="62"/>
      <c r="BPI2" s="62"/>
      <c r="BPJ2" s="62"/>
      <c r="BPK2" s="62"/>
      <c r="BPL2" s="62"/>
      <c r="BPM2" s="62"/>
      <c r="BPN2" s="62"/>
      <c r="BPO2" s="62"/>
      <c r="BPP2" s="62"/>
      <c r="BPQ2" s="62"/>
      <c r="BPR2" s="62"/>
      <c r="BPS2" s="62"/>
      <c r="BPT2" s="62"/>
      <c r="BPU2" s="62"/>
      <c r="BPV2" s="62"/>
      <c r="BPW2" s="62"/>
      <c r="BPX2" s="62"/>
      <c r="BPY2" s="62"/>
      <c r="BPZ2" s="62"/>
      <c r="BQA2" s="62"/>
      <c r="BQB2" s="62"/>
      <c r="BQC2" s="62"/>
      <c r="BQD2" s="62"/>
      <c r="BQE2" s="62"/>
      <c r="BQF2" s="62"/>
      <c r="BQG2" s="62"/>
      <c r="BQH2" s="62"/>
      <c r="BQI2" s="62"/>
      <c r="BQJ2" s="62"/>
      <c r="BQK2" s="62"/>
      <c r="BQL2" s="62"/>
      <c r="BQM2" s="62"/>
      <c r="BQN2" s="62"/>
      <c r="BQO2" s="62"/>
      <c r="BQP2" s="62"/>
      <c r="BQQ2" s="62"/>
      <c r="BQR2" s="62"/>
      <c r="BQS2" s="62"/>
      <c r="BQT2" s="62"/>
      <c r="BQU2" s="62"/>
      <c r="BQV2" s="62"/>
      <c r="BQW2" s="62"/>
      <c r="BQX2" s="62"/>
      <c r="BQY2" s="62"/>
      <c r="BQZ2" s="62"/>
      <c r="BRA2" s="62"/>
      <c r="BRB2" s="62"/>
      <c r="BRC2" s="62"/>
      <c r="BRD2" s="62"/>
      <c r="BRE2" s="62"/>
      <c r="BRF2" s="62"/>
      <c r="BRG2" s="62"/>
      <c r="BRH2" s="62"/>
      <c r="BRI2" s="62"/>
      <c r="BRJ2" s="62"/>
      <c r="BRK2" s="62"/>
      <c r="BRL2" s="62"/>
      <c r="BRM2" s="62"/>
      <c r="BRN2" s="62"/>
      <c r="BRO2" s="62"/>
      <c r="BRP2" s="62"/>
      <c r="BRQ2" s="62"/>
      <c r="BRR2" s="62"/>
      <c r="BRS2" s="62"/>
      <c r="BRT2" s="62"/>
      <c r="BRU2" s="62"/>
      <c r="BRV2" s="62"/>
      <c r="BRW2" s="62"/>
      <c r="BRX2" s="62"/>
      <c r="BRY2" s="62"/>
      <c r="BRZ2" s="62"/>
      <c r="BSA2" s="62"/>
      <c r="BSB2" s="62"/>
      <c r="BSC2" s="62"/>
      <c r="BSD2" s="62"/>
      <c r="BSE2" s="62"/>
      <c r="BSF2" s="62"/>
      <c r="BSG2" s="62"/>
      <c r="BSH2" s="62"/>
      <c r="BSI2" s="62"/>
      <c r="BSJ2" s="62"/>
      <c r="BSK2" s="62"/>
      <c r="BSL2" s="62"/>
      <c r="BSM2" s="62"/>
      <c r="BSN2" s="62"/>
      <c r="BSO2" s="62"/>
      <c r="BSP2" s="62"/>
      <c r="BSQ2" s="62"/>
      <c r="BSR2" s="62"/>
      <c r="BSS2" s="62"/>
      <c r="BST2" s="62"/>
      <c r="BSU2" s="62"/>
      <c r="BSV2" s="62"/>
      <c r="BSW2" s="62"/>
      <c r="BSX2" s="62"/>
      <c r="BSY2" s="62"/>
      <c r="BSZ2" s="62"/>
      <c r="BTA2" s="62"/>
      <c r="BTB2" s="62"/>
      <c r="BTC2" s="62"/>
      <c r="BTD2" s="62"/>
      <c r="BTE2" s="62"/>
      <c r="BTF2" s="62"/>
      <c r="BTG2" s="62"/>
      <c r="BTH2" s="62"/>
      <c r="BTI2" s="62"/>
      <c r="BTJ2" s="62"/>
      <c r="BTK2" s="62"/>
      <c r="BTL2" s="62"/>
      <c r="BTM2" s="62"/>
      <c r="BTN2" s="62"/>
      <c r="BTO2" s="62"/>
      <c r="BTP2" s="62"/>
      <c r="BTQ2" s="62"/>
      <c r="BTR2" s="62"/>
      <c r="BTS2" s="62"/>
      <c r="BTT2" s="62"/>
      <c r="BTU2" s="62"/>
      <c r="BTV2" s="62"/>
      <c r="BTW2" s="62"/>
      <c r="BTX2" s="62"/>
      <c r="BTY2" s="62"/>
      <c r="BTZ2" s="62"/>
      <c r="BUA2" s="62"/>
      <c r="BUB2" s="62"/>
      <c r="BUC2" s="62"/>
      <c r="BUD2" s="62"/>
      <c r="BUE2" s="62"/>
      <c r="BUF2" s="62"/>
      <c r="BUG2" s="62"/>
      <c r="BUH2" s="62"/>
      <c r="BUI2" s="62"/>
      <c r="BUJ2" s="62"/>
      <c r="BUK2" s="62"/>
      <c r="BUL2" s="62"/>
      <c r="BUM2" s="62"/>
      <c r="BUN2" s="62"/>
      <c r="BUO2" s="62"/>
      <c r="BUP2" s="62"/>
      <c r="BUQ2" s="62"/>
      <c r="BUR2" s="62"/>
      <c r="BUS2" s="62"/>
      <c r="BUT2" s="62"/>
      <c r="BUU2" s="62"/>
      <c r="BUV2" s="62"/>
      <c r="BUW2" s="62"/>
      <c r="BUX2" s="62"/>
      <c r="BUY2" s="62"/>
      <c r="BUZ2" s="62"/>
      <c r="BVA2" s="62"/>
      <c r="BVB2" s="62"/>
      <c r="BVC2" s="62"/>
      <c r="BVD2" s="62"/>
      <c r="BVE2" s="62"/>
      <c r="BVF2" s="62"/>
      <c r="BVG2" s="62"/>
      <c r="BVH2" s="62"/>
      <c r="BVI2" s="62"/>
      <c r="BVJ2" s="62"/>
      <c r="BVK2" s="62"/>
      <c r="BVL2" s="62"/>
      <c r="BVM2" s="62"/>
      <c r="BVN2" s="62"/>
      <c r="BVO2" s="62"/>
      <c r="BVP2" s="62"/>
      <c r="BVQ2" s="62"/>
      <c r="BVR2" s="62"/>
      <c r="BVS2" s="62"/>
      <c r="BVT2" s="62"/>
      <c r="BVU2" s="62"/>
      <c r="BVV2" s="62"/>
      <c r="BVW2" s="62"/>
      <c r="BVX2" s="62"/>
      <c r="BVY2" s="62"/>
      <c r="BVZ2" s="62"/>
      <c r="BWA2" s="62"/>
      <c r="BWB2" s="62"/>
      <c r="BWC2" s="62"/>
      <c r="BWD2" s="62"/>
      <c r="BWE2" s="62"/>
      <c r="BWF2" s="62"/>
      <c r="BWG2" s="62"/>
      <c r="BWH2" s="62"/>
      <c r="BWI2" s="62"/>
      <c r="BWJ2" s="62"/>
      <c r="BWK2" s="62"/>
      <c r="BWL2" s="62"/>
      <c r="BWM2" s="62"/>
      <c r="BWN2" s="62"/>
      <c r="BWO2" s="62"/>
      <c r="BWP2" s="62"/>
      <c r="BWQ2" s="62"/>
      <c r="BWR2" s="62"/>
      <c r="BWS2" s="62"/>
      <c r="BWT2" s="62"/>
      <c r="BWU2" s="62"/>
      <c r="BWV2" s="62"/>
      <c r="BWW2" s="62"/>
      <c r="BWX2" s="62"/>
      <c r="BWY2" s="62"/>
      <c r="BWZ2" s="62"/>
      <c r="BXA2" s="62"/>
      <c r="BXB2" s="62"/>
      <c r="BXC2" s="62"/>
      <c r="BXD2" s="62"/>
      <c r="BXE2" s="62"/>
      <c r="BXF2" s="62"/>
      <c r="BXG2" s="62"/>
      <c r="BXH2" s="62"/>
      <c r="BXI2" s="62"/>
      <c r="BXJ2" s="62"/>
      <c r="BXK2" s="62"/>
      <c r="BXL2" s="62"/>
      <c r="BXM2" s="62"/>
      <c r="BXN2" s="62"/>
      <c r="BXO2" s="62"/>
      <c r="BXP2" s="62"/>
      <c r="BXQ2" s="62"/>
      <c r="BXR2" s="62"/>
      <c r="BXS2" s="62"/>
      <c r="BXT2" s="62"/>
      <c r="BXU2" s="62"/>
      <c r="BXV2" s="62"/>
      <c r="BXW2" s="62"/>
      <c r="BXX2" s="62"/>
      <c r="BXY2" s="62"/>
      <c r="BXZ2" s="62"/>
      <c r="BYA2" s="62"/>
      <c r="BYB2" s="62"/>
      <c r="BYC2" s="62"/>
      <c r="BYD2" s="62"/>
      <c r="BYE2" s="62"/>
      <c r="BYF2" s="62"/>
      <c r="BYG2" s="62"/>
      <c r="BYH2" s="62"/>
      <c r="BYI2" s="62"/>
      <c r="BYJ2" s="62"/>
      <c r="BYK2" s="62"/>
      <c r="BYL2" s="62"/>
      <c r="BYM2" s="62"/>
      <c r="BYN2" s="62"/>
      <c r="BYO2" s="62"/>
      <c r="BYP2" s="62"/>
      <c r="BYQ2" s="62"/>
      <c r="BYR2" s="62"/>
      <c r="BYS2" s="62"/>
      <c r="BYT2" s="62"/>
      <c r="BYU2" s="62"/>
      <c r="BYV2" s="62"/>
      <c r="BYW2" s="62"/>
      <c r="BYX2" s="62"/>
      <c r="BYY2" s="62"/>
      <c r="BYZ2" s="62"/>
      <c r="BZA2" s="62"/>
      <c r="BZB2" s="62"/>
      <c r="BZC2" s="62"/>
      <c r="BZD2" s="62"/>
      <c r="BZE2" s="62"/>
      <c r="BZF2" s="62"/>
      <c r="BZG2" s="62"/>
      <c r="BZH2" s="62"/>
      <c r="BZI2" s="62"/>
      <c r="BZJ2" s="62"/>
      <c r="BZK2" s="62"/>
      <c r="BZL2" s="62"/>
      <c r="BZM2" s="62"/>
      <c r="BZN2" s="62"/>
      <c r="BZO2" s="62"/>
      <c r="BZP2" s="62"/>
      <c r="BZQ2" s="62"/>
      <c r="BZR2" s="62"/>
      <c r="BZS2" s="62"/>
      <c r="BZT2" s="62"/>
      <c r="BZU2" s="62"/>
      <c r="BZV2" s="62"/>
      <c r="BZW2" s="62"/>
      <c r="BZX2" s="62"/>
      <c r="BZY2" s="62"/>
      <c r="BZZ2" s="62"/>
      <c r="CAA2" s="62"/>
      <c r="CAB2" s="62"/>
      <c r="CAC2" s="62"/>
      <c r="CAD2" s="62"/>
      <c r="CAE2" s="62"/>
      <c r="CAF2" s="62"/>
      <c r="CAG2" s="62"/>
      <c r="CAH2" s="62"/>
      <c r="CAI2" s="62"/>
      <c r="CAJ2" s="62"/>
      <c r="CAK2" s="62"/>
      <c r="CAL2" s="62"/>
      <c r="CAM2" s="62"/>
      <c r="CAN2" s="62"/>
      <c r="CAO2" s="62"/>
      <c r="CAP2" s="62"/>
      <c r="CAQ2" s="62"/>
      <c r="CAR2" s="62"/>
      <c r="CAS2" s="62"/>
      <c r="CAT2" s="62"/>
      <c r="CAU2" s="62"/>
      <c r="CAV2" s="62"/>
      <c r="CAW2" s="62"/>
      <c r="CAX2" s="62"/>
      <c r="CAY2" s="62"/>
      <c r="CAZ2" s="62"/>
      <c r="CBA2" s="62"/>
      <c r="CBB2" s="62"/>
      <c r="CBC2" s="62"/>
      <c r="CBD2" s="62"/>
      <c r="CBE2" s="62"/>
      <c r="CBF2" s="62"/>
      <c r="CBG2" s="62"/>
      <c r="CBH2" s="62"/>
      <c r="CBI2" s="62"/>
      <c r="CBJ2" s="62"/>
      <c r="CBK2" s="62"/>
      <c r="CBL2" s="62"/>
      <c r="CBM2" s="62"/>
      <c r="CBN2" s="62"/>
      <c r="CBO2" s="62"/>
      <c r="CBP2" s="62"/>
      <c r="CBQ2" s="62"/>
      <c r="CBR2" s="62"/>
      <c r="CBS2" s="62"/>
      <c r="CBT2" s="62"/>
      <c r="CBU2" s="62"/>
      <c r="CBV2" s="62"/>
      <c r="CBW2" s="62"/>
      <c r="CBX2" s="62"/>
      <c r="CBY2" s="62"/>
      <c r="CBZ2" s="62"/>
      <c r="CCA2" s="62"/>
      <c r="CCB2" s="62"/>
      <c r="CCC2" s="62"/>
      <c r="CCD2" s="62"/>
      <c r="CCE2" s="62"/>
      <c r="CCF2" s="62"/>
      <c r="CCG2" s="62"/>
      <c r="CCH2" s="62"/>
      <c r="CCI2" s="62"/>
      <c r="CCJ2" s="62"/>
      <c r="CCK2" s="62"/>
      <c r="CCL2" s="62"/>
      <c r="CCM2" s="62"/>
      <c r="CCN2" s="62"/>
      <c r="CCO2" s="62"/>
      <c r="CCP2" s="62"/>
      <c r="CCQ2" s="62"/>
      <c r="CCR2" s="62"/>
      <c r="CCS2" s="62"/>
      <c r="CCT2" s="62"/>
      <c r="CCU2" s="62"/>
      <c r="CCV2" s="62"/>
      <c r="CCW2" s="62"/>
      <c r="CCX2" s="62"/>
      <c r="CCY2" s="62"/>
      <c r="CCZ2" s="62"/>
      <c r="CDA2" s="62"/>
      <c r="CDB2" s="62"/>
      <c r="CDC2" s="62"/>
      <c r="CDD2" s="62"/>
      <c r="CDE2" s="62"/>
      <c r="CDF2" s="62"/>
      <c r="CDG2" s="62"/>
      <c r="CDH2" s="62"/>
      <c r="CDI2" s="62"/>
      <c r="CDJ2" s="62"/>
      <c r="CDK2" s="62"/>
      <c r="CDL2" s="62"/>
      <c r="CDM2" s="62"/>
      <c r="CDN2" s="62"/>
      <c r="CDO2" s="62"/>
      <c r="CDP2" s="62"/>
      <c r="CDQ2" s="62"/>
      <c r="CDR2" s="62"/>
      <c r="CDS2" s="62"/>
      <c r="CDT2" s="62"/>
      <c r="CDU2" s="62"/>
      <c r="CDV2" s="62"/>
      <c r="CDW2" s="62"/>
      <c r="CDX2" s="62"/>
      <c r="CDY2" s="62"/>
      <c r="CDZ2" s="62"/>
      <c r="CEA2" s="62"/>
      <c r="CEB2" s="62"/>
      <c r="CEC2" s="62"/>
      <c r="CED2" s="62"/>
      <c r="CEE2" s="62"/>
      <c r="CEF2" s="62"/>
      <c r="CEG2" s="62"/>
      <c r="CEH2" s="62"/>
      <c r="CEI2" s="62"/>
      <c r="CEJ2" s="62"/>
      <c r="CEK2" s="62"/>
      <c r="CEL2" s="62"/>
      <c r="CEM2" s="62"/>
      <c r="CEN2" s="62"/>
      <c r="CEO2" s="62"/>
      <c r="CEP2" s="62"/>
      <c r="CEQ2" s="62"/>
      <c r="CER2" s="62"/>
      <c r="CES2" s="62"/>
      <c r="CET2" s="62"/>
      <c r="CEU2" s="62"/>
      <c r="CEV2" s="62"/>
      <c r="CEW2" s="62"/>
      <c r="CEX2" s="62"/>
      <c r="CEY2" s="62"/>
      <c r="CEZ2" s="62"/>
      <c r="CFA2" s="62"/>
      <c r="CFB2" s="62"/>
      <c r="CFC2" s="62"/>
      <c r="CFD2" s="62"/>
      <c r="CFE2" s="62"/>
      <c r="CFF2" s="62"/>
      <c r="CFG2" s="62"/>
      <c r="CFH2" s="62"/>
      <c r="CFI2" s="62"/>
      <c r="CFJ2" s="62"/>
      <c r="CFK2" s="62"/>
      <c r="CFL2" s="62"/>
      <c r="CFM2" s="62"/>
      <c r="CFN2" s="62"/>
      <c r="CFO2" s="62"/>
      <c r="CFP2" s="62"/>
      <c r="CFQ2" s="62"/>
      <c r="CFR2" s="62"/>
      <c r="CFS2" s="62"/>
      <c r="CFT2" s="62"/>
      <c r="CFU2" s="62"/>
      <c r="CFV2" s="62"/>
      <c r="CFW2" s="62"/>
      <c r="CFX2" s="62"/>
      <c r="CFY2" s="62"/>
      <c r="CFZ2" s="62"/>
      <c r="CGA2" s="62"/>
      <c r="CGB2" s="62"/>
      <c r="CGC2" s="62"/>
      <c r="CGD2" s="62"/>
      <c r="CGE2" s="62"/>
      <c r="CGF2" s="62"/>
      <c r="CGG2" s="62"/>
      <c r="CGH2" s="62"/>
      <c r="CGI2" s="62"/>
      <c r="CGJ2" s="62"/>
      <c r="CGK2" s="62"/>
      <c r="CGL2" s="62"/>
      <c r="CGM2" s="62"/>
      <c r="CGN2" s="62"/>
      <c r="CGO2" s="62"/>
      <c r="CGP2" s="62"/>
      <c r="CGQ2" s="62"/>
      <c r="CGR2" s="62"/>
      <c r="CGS2" s="62"/>
      <c r="CGT2" s="62"/>
      <c r="CGU2" s="62"/>
      <c r="CGV2" s="62"/>
      <c r="CGW2" s="62"/>
      <c r="CGX2" s="62"/>
      <c r="CGY2" s="62"/>
      <c r="CGZ2" s="62"/>
      <c r="CHA2" s="62"/>
      <c r="CHB2" s="62"/>
      <c r="CHC2" s="62"/>
      <c r="CHD2" s="62"/>
      <c r="CHE2" s="62"/>
      <c r="CHF2" s="62"/>
      <c r="CHG2" s="62"/>
      <c r="CHH2" s="62"/>
      <c r="CHI2" s="62"/>
      <c r="CHJ2" s="62"/>
      <c r="CHK2" s="62"/>
      <c r="CHL2" s="62"/>
      <c r="CHM2" s="62"/>
      <c r="CHN2" s="62"/>
      <c r="CHO2" s="62"/>
      <c r="CHP2" s="62"/>
      <c r="CHQ2" s="62"/>
      <c r="CHR2" s="62"/>
      <c r="CHS2" s="62"/>
      <c r="CHT2" s="62"/>
      <c r="CHU2" s="62"/>
      <c r="CHV2" s="62"/>
      <c r="CHW2" s="62"/>
      <c r="CHX2" s="62"/>
      <c r="CHY2" s="62"/>
      <c r="CHZ2" s="62"/>
      <c r="CIA2" s="62"/>
      <c r="CIB2" s="62"/>
      <c r="CIC2" s="62"/>
      <c r="CID2" s="62"/>
      <c r="CIE2" s="62"/>
      <c r="CIF2" s="62"/>
      <c r="CIG2" s="62"/>
      <c r="CIH2" s="62"/>
      <c r="CII2" s="62"/>
      <c r="CIJ2" s="62"/>
      <c r="CIK2" s="62"/>
      <c r="CIL2" s="62"/>
      <c r="CIM2" s="62"/>
      <c r="CIN2" s="62"/>
      <c r="CIO2" s="62"/>
      <c r="CIP2" s="62"/>
      <c r="CIQ2" s="62"/>
      <c r="CIR2" s="62"/>
      <c r="CIS2" s="62"/>
      <c r="CIT2" s="62"/>
      <c r="CIU2" s="62"/>
      <c r="CIV2" s="62"/>
      <c r="CIW2" s="62"/>
      <c r="CIX2" s="62"/>
      <c r="CIY2" s="62"/>
      <c r="CIZ2" s="62"/>
      <c r="CJA2" s="62"/>
      <c r="CJB2" s="62"/>
      <c r="CJC2" s="62"/>
      <c r="CJD2" s="62"/>
      <c r="CJE2" s="62"/>
      <c r="CJF2" s="62"/>
      <c r="CJG2" s="62"/>
      <c r="CJH2" s="62"/>
      <c r="CJI2" s="62"/>
      <c r="CJJ2" s="62"/>
      <c r="CJK2" s="62"/>
      <c r="CJL2" s="62"/>
      <c r="CJM2" s="62"/>
      <c r="CJN2" s="62"/>
      <c r="CJO2" s="62"/>
      <c r="CJP2" s="62"/>
      <c r="CJQ2" s="62"/>
      <c r="CJR2" s="62"/>
      <c r="CJS2" s="62"/>
      <c r="CJT2" s="62"/>
      <c r="CJU2" s="62"/>
      <c r="CJV2" s="62"/>
      <c r="CJW2" s="62"/>
      <c r="CJX2" s="62"/>
      <c r="CJY2" s="62"/>
      <c r="CJZ2" s="62"/>
      <c r="CKA2" s="62"/>
      <c r="CKB2" s="62"/>
      <c r="CKC2" s="62"/>
      <c r="CKD2" s="62"/>
      <c r="CKE2" s="62"/>
      <c r="CKF2" s="62"/>
      <c r="CKG2" s="62"/>
      <c r="CKH2" s="62"/>
      <c r="CKI2" s="62"/>
      <c r="CKJ2" s="62"/>
      <c r="CKK2" s="62"/>
      <c r="CKL2" s="62"/>
      <c r="CKM2" s="62"/>
      <c r="CKN2" s="62"/>
      <c r="CKO2" s="62"/>
      <c r="CKP2" s="62"/>
      <c r="CKQ2" s="62"/>
      <c r="CKR2" s="62"/>
      <c r="CKS2" s="62"/>
      <c r="CKT2" s="62"/>
      <c r="CKU2" s="62"/>
      <c r="CKV2" s="62"/>
      <c r="CKW2" s="62"/>
      <c r="CKX2" s="62"/>
      <c r="CKY2" s="62"/>
      <c r="CKZ2" s="62"/>
      <c r="CLA2" s="62"/>
      <c r="CLB2" s="62"/>
      <c r="CLC2" s="62"/>
      <c r="CLD2" s="62"/>
      <c r="CLE2" s="62"/>
      <c r="CLF2" s="62"/>
      <c r="CLG2" s="62"/>
      <c r="CLH2" s="62"/>
      <c r="CLI2" s="62"/>
      <c r="CLJ2" s="62"/>
      <c r="CLK2" s="62"/>
      <c r="CLL2" s="62"/>
      <c r="CLM2" s="62"/>
      <c r="CLN2" s="62"/>
      <c r="CLO2" s="62"/>
      <c r="CLP2" s="62"/>
      <c r="CLQ2" s="62"/>
      <c r="CLR2" s="62"/>
      <c r="CLS2" s="62"/>
      <c r="CLT2" s="62"/>
      <c r="CLU2" s="62"/>
      <c r="CLV2" s="62"/>
      <c r="CLW2" s="62"/>
      <c r="CLX2" s="62"/>
      <c r="CLY2" s="62"/>
      <c r="CLZ2" s="62"/>
      <c r="CMA2" s="62"/>
      <c r="CMB2" s="62"/>
      <c r="CMC2" s="62"/>
      <c r="CMD2" s="62"/>
      <c r="CME2" s="62"/>
      <c r="CMF2" s="62"/>
      <c r="CMG2" s="62"/>
      <c r="CMH2" s="62"/>
      <c r="CMI2" s="62"/>
      <c r="CMJ2" s="62"/>
      <c r="CMK2" s="62"/>
      <c r="CML2" s="62"/>
      <c r="CMM2" s="62"/>
      <c r="CMN2" s="62"/>
      <c r="CMO2" s="62"/>
      <c r="CMP2" s="62"/>
      <c r="CMQ2" s="62"/>
      <c r="CMR2" s="62"/>
      <c r="CMS2" s="62"/>
      <c r="CMT2" s="62"/>
      <c r="CMU2" s="62"/>
      <c r="CMV2" s="62"/>
      <c r="CMW2" s="62"/>
      <c r="CMX2" s="62"/>
      <c r="CMY2" s="62"/>
      <c r="CMZ2" s="62"/>
      <c r="CNA2" s="62"/>
      <c r="CNB2" s="62"/>
      <c r="CNC2" s="62"/>
      <c r="CND2" s="62"/>
      <c r="CNE2" s="62"/>
      <c r="CNF2" s="62"/>
      <c r="CNG2" s="62"/>
      <c r="CNH2" s="62"/>
      <c r="CNI2" s="62"/>
      <c r="CNJ2" s="62"/>
      <c r="CNK2" s="62"/>
      <c r="CNL2" s="62"/>
      <c r="CNM2" s="62"/>
      <c r="CNN2" s="62"/>
      <c r="CNO2" s="62"/>
      <c r="CNP2" s="62"/>
      <c r="CNQ2" s="62"/>
      <c r="CNR2" s="62"/>
      <c r="CNS2" s="62"/>
      <c r="CNT2" s="62"/>
      <c r="CNU2" s="62"/>
      <c r="CNV2" s="62"/>
      <c r="CNW2" s="62"/>
      <c r="CNX2" s="62"/>
      <c r="CNY2" s="62"/>
      <c r="CNZ2" s="62"/>
      <c r="COA2" s="62"/>
      <c r="COB2" s="62"/>
      <c r="COC2" s="62"/>
      <c r="COD2" s="62"/>
      <c r="COE2" s="62"/>
      <c r="COF2" s="62"/>
      <c r="COG2" s="62"/>
      <c r="COH2" s="62"/>
      <c r="COI2" s="62"/>
      <c r="COJ2" s="62"/>
      <c r="COK2" s="62"/>
      <c r="COL2" s="62"/>
      <c r="COM2" s="62"/>
      <c r="CON2" s="62"/>
      <c r="COO2" s="62"/>
      <c r="COP2" s="62"/>
      <c r="COQ2" s="62"/>
      <c r="COR2" s="62"/>
      <c r="COS2" s="62"/>
      <c r="COT2" s="62"/>
      <c r="COU2" s="62"/>
      <c r="COV2" s="62"/>
      <c r="COW2" s="62"/>
      <c r="COX2" s="62"/>
      <c r="COY2" s="62"/>
      <c r="COZ2" s="62"/>
      <c r="CPA2" s="62"/>
      <c r="CPB2" s="62"/>
      <c r="CPC2" s="62"/>
      <c r="CPD2" s="62"/>
      <c r="CPE2" s="62"/>
      <c r="CPF2" s="62"/>
      <c r="CPG2" s="62"/>
      <c r="CPH2" s="62"/>
      <c r="CPI2" s="62"/>
      <c r="CPJ2" s="62"/>
      <c r="CPK2" s="62"/>
      <c r="CPL2" s="62"/>
      <c r="CPM2" s="62"/>
      <c r="CPN2" s="62"/>
      <c r="CPO2" s="62"/>
      <c r="CPP2" s="62"/>
      <c r="CPQ2" s="62"/>
      <c r="CPR2" s="62"/>
      <c r="CPS2" s="62"/>
      <c r="CPT2" s="62"/>
      <c r="CPU2" s="62"/>
      <c r="CPV2" s="62"/>
      <c r="CPW2" s="62"/>
      <c r="CPX2" s="62"/>
      <c r="CPY2" s="62"/>
      <c r="CPZ2" s="62"/>
      <c r="CQA2" s="62"/>
      <c r="CQB2" s="62"/>
      <c r="CQC2" s="62"/>
      <c r="CQD2" s="62"/>
      <c r="CQE2" s="62"/>
      <c r="CQF2" s="62"/>
      <c r="CQG2" s="62"/>
      <c r="CQH2" s="62"/>
      <c r="CQI2" s="62"/>
      <c r="CQJ2" s="62"/>
      <c r="CQK2" s="62"/>
      <c r="CQL2" s="62"/>
      <c r="CQM2" s="62"/>
      <c r="CQN2" s="62"/>
      <c r="CQO2" s="62"/>
      <c r="CQP2" s="62"/>
      <c r="CQQ2" s="62"/>
      <c r="CQR2" s="62"/>
      <c r="CQS2" s="62"/>
      <c r="CQT2" s="62"/>
      <c r="CQU2" s="62"/>
      <c r="CQV2" s="62"/>
      <c r="CQW2" s="62"/>
      <c r="CQX2" s="62"/>
      <c r="CQY2" s="62"/>
      <c r="CQZ2" s="62"/>
      <c r="CRA2" s="62"/>
      <c r="CRB2" s="62"/>
      <c r="CRC2" s="62"/>
      <c r="CRD2" s="62"/>
      <c r="CRE2" s="62"/>
      <c r="CRF2" s="62"/>
      <c r="CRG2" s="62"/>
      <c r="CRH2" s="62"/>
      <c r="CRI2" s="62"/>
      <c r="CRJ2" s="62"/>
      <c r="CRK2" s="62"/>
      <c r="CRL2" s="62"/>
      <c r="CRM2" s="62"/>
      <c r="CRN2" s="62"/>
      <c r="CRO2" s="62"/>
      <c r="CRP2" s="62"/>
      <c r="CRQ2" s="62"/>
      <c r="CRR2" s="62"/>
      <c r="CRS2" s="62"/>
      <c r="CRT2" s="62"/>
      <c r="CRU2" s="62"/>
      <c r="CRV2" s="62"/>
      <c r="CRW2" s="62"/>
      <c r="CRX2" s="62"/>
      <c r="CRY2" s="62"/>
      <c r="CRZ2" s="62"/>
      <c r="CSA2" s="62"/>
      <c r="CSB2" s="62"/>
      <c r="CSC2" s="62"/>
      <c r="CSD2" s="62"/>
      <c r="CSE2" s="62"/>
      <c r="CSF2" s="62"/>
      <c r="CSG2" s="62"/>
      <c r="CSH2" s="62"/>
      <c r="CSI2" s="62"/>
      <c r="CSJ2" s="62"/>
      <c r="CSK2" s="62"/>
      <c r="CSL2" s="62"/>
      <c r="CSM2" s="62"/>
      <c r="CSN2" s="62"/>
      <c r="CSO2" s="62"/>
      <c r="CSP2" s="62"/>
      <c r="CSQ2" s="62"/>
      <c r="CSR2" s="62"/>
      <c r="CSS2" s="62"/>
      <c r="CST2" s="62"/>
      <c r="CSU2" s="62"/>
      <c r="CSV2" s="62"/>
      <c r="CSW2" s="62"/>
      <c r="CSX2" s="62"/>
      <c r="CSY2" s="62"/>
      <c r="CSZ2" s="62"/>
      <c r="CTA2" s="62"/>
      <c r="CTB2" s="62"/>
      <c r="CTC2" s="62"/>
      <c r="CTD2" s="62"/>
      <c r="CTE2" s="62"/>
      <c r="CTF2" s="62"/>
      <c r="CTG2" s="62"/>
      <c r="CTH2" s="62"/>
      <c r="CTI2" s="62"/>
      <c r="CTJ2" s="62"/>
      <c r="CTK2" s="62"/>
      <c r="CTL2" s="62"/>
      <c r="CTM2" s="62"/>
      <c r="CTN2" s="62"/>
      <c r="CTO2" s="62"/>
      <c r="CTP2" s="62"/>
      <c r="CTQ2" s="62"/>
      <c r="CTR2" s="62"/>
      <c r="CTS2" s="62"/>
      <c r="CTT2" s="62"/>
      <c r="CTU2" s="62"/>
      <c r="CTV2" s="62"/>
      <c r="CTW2" s="62"/>
      <c r="CTX2" s="62"/>
      <c r="CTY2" s="62"/>
      <c r="CTZ2" s="62"/>
      <c r="CUA2" s="62"/>
      <c r="CUB2" s="62"/>
      <c r="CUC2" s="62"/>
      <c r="CUD2" s="62"/>
      <c r="CUE2" s="62"/>
      <c r="CUF2" s="62"/>
      <c r="CUG2" s="62"/>
      <c r="CUH2" s="62"/>
      <c r="CUI2" s="62"/>
      <c r="CUJ2" s="62"/>
      <c r="CUK2" s="62"/>
      <c r="CUL2" s="62"/>
      <c r="CUM2" s="62"/>
      <c r="CUN2" s="62"/>
      <c r="CUO2" s="62"/>
      <c r="CUP2" s="62"/>
      <c r="CUQ2" s="62"/>
      <c r="CUR2" s="62"/>
      <c r="CUS2" s="62"/>
      <c r="CUT2" s="62"/>
      <c r="CUU2" s="62"/>
      <c r="CUV2" s="62"/>
      <c r="CUW2" s="62"/>
      <c r="CUX2" s="62"/>
      <c r="CUY2" s="62"/>
      <c r="CUZ2" s="62"/>
      <c r="CVA2" s="62"/>
      <c r="CVB2" s="62"/>
      <c r="CVC2" s="62"/>
      <c r="CVD2" s="62"/>
      <c r="CVE2" s="62"/>
      <c r="CVF2" s="62"/>
      <c r="CVG2" s="62"/>
      <c r="CVH2" s="62"/>
      <c r="CVI2" s="62"/>
      <c r="CVJ2" s="62"/>
      <c r="CVK2" s="62"/>
      <c r="CVL2" s="62"/>
      <c r="CVM2" s="62"/>
      <c r="CVN2" s="62"/>
      <c r="CVO2" s="62"/>
      <c r="CVP2" s="62"/>
      <c r="CVQ2" s="62"/>
      <c r="CVR2" s="62"/>
      <c r="CVS2" s="62"/>
      <c r="CVT2" s="62"/>
      <c r="CVU2" s="62"/>
      <c r="CVV2" s="62"/>
      <c r="CVW2" s="62"/>
      <c r="CVX2" s="62"/>
      <c r="CVY2" s="62"/>
      <c r="CVZ2" s="62"/>
      <c r="CWA2" s="62"/>
      <c r="CWB2" s="62"/>
      <c r="CWC2" s="62"/>
      <c r="CWD2" s="62"/>
      <c r="CWE2" s="62"/>
      <c r="CWF2" s="62"/>
      <c r="CWG2" s="62"/>
      <c r="CWH2" s="62"/>
      <c r="CWI2" s="62"/>
      <c r="CWJ2" s="62"/>
      <c r="CWK2" s="62"/>
      <c r="CWL2" s="62"/>
      <c r="CWM2" s="62"/>
      <c r="CWN2" s="62"/>
      <c r="CWO2" s="62"/>
      <c r="CWP2" s="62"/>
      <c r="CWQ2" s="62"/>
      <c r="CWR2" s="62"/>
      <c r="CWS2" s="62"/>
      <c r="CWT2" s="62"/>
      <c r="CWU2" s="62"/>
      <c r="CWV2" s="62"/>
      <c r="CWW2" s="62"/>
      <c r="CWX2" s="62"/>
      <c r="CWY2" s="62"/>
      <c r="CWZ2" s="62"/>
      <c r="CXA2" s="62"/>
      <c r="CXB2" s="62"/>
      <c r="CXC2" s="62"/>
      <c r="CXD2" s="62"/>
      <c r="CXE2" s="62"/>
      <c r="CXF2" s="62"/>
      <c r="CXG2" s="62"/>
      <c r="CXH2" s="62"/>
      <c r="CXI2" s="62"/>
      <c r="CXJ2" s="62"/>
      <c r="CXK2" s="62"/>
      <c r="CXL2" s="62"/>
      <c r="CXM2" s="62"/>
      <c r="CXN2" s="62"/>
      <c r="CXO2" s="62"/>
      <c r="CXP2" s="62"/>
      <c r="CXQ2" s="62"/>
      <c r="CXR2" s="62"/>
      <c r="CXS2" s="62"/>
      <c r="CXT2" s="62"/>
      <c r="CXU2" s="62"/>
      <c r="CXV2" s="62"/>
      <c r="CXW2" s="62"/>
      <c r="CXX2" s="62"/>
      <c r="CXY2" s="62"/>
      <c r="CXZ2" s="62"/>
      <c r="CYA2" s="62"/>
      <c r="CYB2" s="62"/>
      <c r="CYC2" s="62"/>
      <c r="CYD2" s="62"/>
      <c r="CYE2" s="62"/>
      <c r="CYF2" s="62"/>
      <c r="CYG2" s="62"/>
      <c r="CYH2" s="62"/>
      <c r="CYI2" s="62"/>
      <c r="CYJ2" s="62"/>
      <c r="CYK2" s="62"/>
      <c r="CYL2" s="62"/>
      <c r="CYM2" s="62"/>
      <c r="CYN2" s="62"/>
      <c r="CYO2" s="62"/>
      <c r="CYP2" s="62"/>
      <c r="CYQ2" s="62"/>
      <c r="CYR2" s="62"/>
      <c r="CYS2" s="62"/>
      <c r="CYT2" s="62"/>
      <c r="CYU2" s="62"/>
      <c r="CYV2" s="62"/>
      <c r="CYW2" s="62"/>
      <c r="CYX2" s="62"/>
      <c r="CYY2" s="62"/>
      <c r="CYZ2" s="62"/>
      <c r="CZA2" s="62"/>
      <c r="CZB2" s="62"/>
      <c r="CZC2" s="62"/>
      <c r="CZD2" s="62"/>
      <c r="CZE2" s="62"/>
      <c r="CZF2" s="62"/>
      <c r="CZG2" s="62"/>
      <c r="CZH2" s="62"/>
      <c r="CZI2" s="62"/>
      <c r="CZJ2" s="62"/>
      <c r="CZK2" s="62"/>
      <c r="CZL2" s="62"/>
      <c r="CZM2" s="62"/>
      <c r="CZN2" s="62"/>
      <c r="CZO2" s="62"/>
      <c r="CZP2" s="62"/>
      <c r="CZQ2" s="62"/>
      <c r="CZR2" s="62"/>
      <c r="CZS2" s="62"/>
      <c r="CZT2" s="62"/>
      <c r="CZU2" s="62"/>
      <c r="CZV2" s="62"/>
      <c r="CZW2" s="62"/>
      <c r="CZX2" s="62"/>
      <c r="CZY2" s="62"/>
      <c r="CZZ2" s="62"/>
      <c r="DAA2" s="62"/>
      <c r="DAB2" s="62"/>
      <c r="DAC2" s="62"/>
      <c r="DAD2" s="62"/>
      <c r="DAE2" s="62"/>
      <c r="DAF2" s="62"/>
      <c r="DAG2" s="62"/>
      <c r="DAH2" s="62"/>
      <c r="DAI2" s="62"/>
      <c r="DAJ2" s="62"/>
      <c r="DAK2" s="62"/>
      <c r="DAL2" s="62"/>
      <c r="DAM2" s="62"/>
      <c r="DAN2" s="62"/>
      <c r="DAO2" s="62"/>
      <c r="DAP2" s="62"/>
      <c r="DAQ2" s="62"/>
      <c r="DAR2" s="62"/>
      <c r="DAS2" s="62"/>
      <c r="DAT2" s="62"/>
      <c r="DAU2" s="62"/>
      <c r="DAV2" s="62"/>
      <c r="DAW2" s="62"/>
      <c r="DAX2" s="62"/>
      <c r="DAY2" s="62"/>
      <c r="DAZ2" s="62"/>
      <c r="DBA2" s="62"/>
      <c r="DBB2" s="62"/>
      <c r="DBC2" s="62"/>
      <c r="DBD2" s="62"/>
      <c r="DBE2" s="62"/>
      <c r="DBF2" s="62"/>
      <c r="DBG2" s="62"/>
      <c r="DBH2" s="62"/>
      <c r="DBI2" s="62"/>
      <c r="DBJ2" s="62"/>
      <c r="DBK2" s="62"/>
      <c r="DBL2" s="62"/>
      <c r="DBM2" s="62"/>
      <c r="DBN2" s="62"/>
      <c r="DBO2" s="62"/>
      <c r="DBP2" s="62"/>
      <c r="DBQ2" s="62"/>
      <c r="DBR2" s="62"/>
      <c r="DBS2" s="62"/>
      <c r="DBT2" s="62"/>
      <c r="DBU2" s="62"/>
      <c r="DBV2" s="62"/>
      <c r="DBW2" s="62"/>
      <c r="DBX2" s="62"/>
      <c r="DBY2" s="62"/>
      <c r="DBZ2" s="62"/>
      <c r="DCA2" s="62"/>
      <c r="DCB2" s="62"/>
      <c r="DCC2" s="62"/>
      <c r="DCD2" s="62"/>
      <c r="DCE2" s="62"/>
      <c r="DCF2" s="62"/>
      <c r="DCG2" s="62"/>
      <c r="DCH2" s="62"/>
      <c r="DCI2" s="62"/>
      <c r="DCJ2" s="62"/>
      <c r="DCK2" s="62"/>
      <c r="DCL2" s="62"/>
      <c r="DCM2" s="62"/>
      <c r="DCN2" s="62"/>
      <c r="DCO2" s="62"/>
      <c r="DCP2" s="62"/>
      <c r="DCQ2" s="62"/>
      <c r="DCR2" s="62"/>
      <c r="DCS2" s="62"/>
      <c r="DCT2" s="62"/>
      <c r="DCU2" s="62"/>
      <c r="DCV2" s="62"/>
      <c r="DCW2" s="62"/>
      <c r="DCX2" s="62"/>
      <c r="DCY2" s="62"/>
      <c r="DCZ2" s="62"/>
      <c r="DDA2" s="62"/>
      <c r="DDB2" s="62"/>
      <c r="DDC2" s="62"/>
      <c r="DDD2" s="62"/>
      <c r="DDE2" s="62"/>
      <c r="DDF2" s="62"/>
      <c r="DDG2" s="62"/>
      <c r="DDH2" s="62"/>
      <c r="DDI2" s="62"/>
      <c r="DDJ2" s="62"/>
      <c r="DDK2" s="62"/>
      <c r="DDL2" s="62"/>
      <c r="DDM2" s="62"/>
      <c r="DDN2" s="62"/>
      <c r="DDO2" s="62"/>
      <c r="DDP2" s="62"/>
      <c r="DDQ2" s="62"/>
      <c r="DDR2" s="62"/>
      <c r="DDS2" s="62"/>
      <c r="DDT2" s="62"/>
      <c r="DDU2" s="62"/>
      <c r="DDV2" s="62"/>
      <c r="DDW2" s="62"/>
      <c r="DDX2" s="62"/>
      <c r="DDY2" s="62"/>
      <c r="DDZ2" s="62"/>
      <c r="DEA2" s="62"/>
      <c r="DEB2" s="62"/>
      <c r="DEC2" s="62"/>
      <c r="DED2" s="62"/>
      <c r="DEE2" s="62"/>
      <c r="DEF2" s="62"/>
      <c r="DEG2" s="62"/>
      <c r="DEH2" s="62"/>
      <c r="DEI2" s="62"/>
      <c r="DEJ2" s="62"/>
      <c r="DEK2" s="62"/>
      <c r="DEL2" s="62"/>
      <c r="DEM2" s="62"/>
      <c r="DEN2" s="62"/>
      <c r="DEO2" s="62"/>
      <c r="DEP2" s="62"/>
      <c r="DEQ2" s="62"/>
      <c r="DER2" s="62"/>
      <c r="DES2" s="62"/>
      <c r="DET2" s="62"/>
      <c r="DEU2" s="62"/>
      <c r="DEV2" s="62"/>
      <c r="DEW2" s="62"/>
      <c r="DEX2" s="62"/>
      <c r="DEY2" s="62"/>
      <c r="DEZ2" s="62"/>
      <c r="DFA2" s="62"/>
      <c r="DFB2" s="62"/>
      <c r="DFC2" s="62"/>
      <c r="DFD2" s="62"/>
      <c r="DFE2" s="62"/>
      <c r="DFF2" s="62"/>
      <c r="DFG2" s="62"/>
      <c r="DFH2" s="62"/>
      <c r="DFI2" s="62"/>
      <c r="DFJ2" s="62"/>
      <c r="DFK2" s="62"/>
      <c r="DFL2" s="62"/>
      <c r="DFM2" s="62"/>
      <c r="DFN2" s="62"/>
      <c r="DFO2" s="62"/>
      <c r="DFP2" s="62"/>
      <c r="DFQ2" s="62"/>
      <c r="DFR2" s="62"/>
      <c r="DFS2" s="62"/>
      <c r="DFT2" s="62"/>
      <c r="DFU2" s="62"/>
      <c r="DFV2" s="62"/>
      <c r="DFW2" s="62"/>
      <c r="DFX2" s="62"/>
      <c r="DFY2" s="62"/>
      <c r="DFZ2" s="62"/>
      <c r="DGA2" s="62"/>
      <c r="DGB2" s="62"/>
      <c r="DGC2" s="62"/>
      <c r="DGD2" s="62"/>
      <c r="DGE2" s="62"/>
      <c r="DGF2" s="62"/>
      <c r="DGG2" s="62"/>
      <c r="DGH2" s="62"/>
      <c r="DGI2" s="62"/>
      <c r="DGJ2" s="62"/>
      <c r="DGK2" s="62"/>
      <c r="DGL2" s="62"/>
      <c r="DGM2" s="62"/>
      <c r="DGN2" s="62"/>
      <c r="DGO2" s="62"/>
      <c r="DGP2" s="62"/>
      <c r="DGQ2" s="62"/>
      <c r="DGR2" s="62"/>
      <c r="DGS2" s="62"/>
      <c r="DGT2" s="62"/>
      <c r="DGU2" s="62"/>
      <c r="DGV2" s="62"/>
      <c r="DGW2" s="62"/>
      <c r="DGX2" s="62"/>
      <c r="DGY2" s="62"/>
      <c r="DGZ2" s="62"/>
      <c r="DHA2" s="62"/>
      <c r="DHB2" s="62"/>
      <c r="DHC2" s="62"/>
      <c r="DHD2" s="62"/>
      <c r="DHE2" s="62"/>
      <c r="DHF2" s="62"/>
      <c r="DHG2" s="62"/>
      <c r="DHH2" s="62"/>
      <c r="DHI2" s="62"/>
      <c r="DHJ2" s="62"/>
      <c r="DHK2" s="62"/>
      <c r="DHL2" s="62"/>
      <c r="DHM2" s="62"/>
      <c r="DHN2" s="62"/>
      <c r="DHO2" s="62"/>
      <c r="DHP2" s="62"/>
      <c r="DHQ2" s="62"/>
      <c r="DHR2" s="62"/>
      <c r="DHS2" s="62"/>
      <c r="DHT2" s="62"/>
      <c r="DHU2" s="62"/>
      <c r="DHV2" s="62"/>
      <c r="DHW2" s="62"/>
      <c r="DHX2" s="62"/>
      <c r="DHY2" s="62"/>
      <c r="DHZ2" s="62"/>
      <c r="DIA2" s="62"/>
      <c r="DIB2" s="62"/>
      <c r="DIC2" s="62"/>
      <c r="DID2" s="62"/>
      <c r="DIE2" s="62"/>
      <c r="DIF2" s="62"/>
      <c r="DIG2" s="62"/>
      <c r="DIH2" s="62"/>
      <c r="DII2" s="62"/>
      <c r="DIJ2" s="62"/>
      <c r="DIK2" s="62"/>
      <c r="DIL2" s="62"/>
      <c r="DIM2" s="62"/>
      <c r="DIN2" s="62"/>
      <c r="DIO2" s="62"/>
      <c r="DIP2" s="62"/>
      <c r="DIQ2" s="62"/>
      <c r="DIR2" s="62"/>
      <c r="DIS2" s="62"/>
      <c r="DIT2" s="62"/>
      <c r="DIU2" s="62"/>
      <c r="DIV2" s="62"/>
      <c r="DIW2" s="62"/>
      <c r="DIX2" s="62"/>
      <c r="DIY2" s="62"/>
      <c r="DIZ2" s="62"/>
      <c r="DJA2" s="62"/>
      <c r="DJB2" s="62"/>
      <c r="DJC2" s="62"/>
      <c r="DJD2" s="62"/>
      <c r="DJE2" s="62"/>
      <c r="DJF2" s="62"/>
      <c r="DJG2" s="62"/>
      <c r="DJH2" s="62"/>
      <c r="DJI2" s="62"/>
      <c r="DJJ2" s="62"/>
      <c r="DJK2" s="62"/>
      <c r="DJL2" s="62"/>
      <c r="DJM2" s="62"/>
      <c r="DJN2" s="62"/>
      <c r="DJO2" s="62"/>
      <c r="DJP2" s="62"/>
      <c r="DJQ2" s="62"/>
      <c r="DJR2" s="62"/>
      <c r="DJS2" s="62"/>
      <c r="DJT2" s="62"/>
      <c r="DJU2" s="62"/>
      <c r="DJV2" s="62"/>
      <c r="DJW2" s="62"/>
      <c r="DJX2" s="62"/>
      <c r="DJY2" s="62"/>
      <c r="DJZ2" s="62"/>
      <c r="DKA2" s="62"/>
      <c r="DKB2" s="62"/>
      <c r="DKC2" s="62"/>
      <c r="DKD2" s="62"/>
      <c r="DKE2" s="62"/>
      <c r="DKF2" s="62"/>
      <c r="DKG2" s="62"/>
      <c r="DKH2" s="62"/>
      <c r="DKI2" s="62"/>
      <c r="DKJ2" s="62"/>
      <c r="DKK2" s="62"/>
      <c r="DKL2" s="62"/>
      <c r="DKM2" s="62"/>
      <c r="DKN2" s="62"/>
      <c r="DKO2" s="62"/>
      <c r="DKP2" s="62"/>
      <c r="DKQ2" s="62"/>
      <c r="DKR2" s="62"/>
      <c r="DKS2" s="62"/>
      <c r="DKT2" s="62"/>
      <c r="DKU2" s="62"/>
      <c r="DKV2" s="62"/>
      <c r="DKW2" s="62"/>
      <c r="DKX2" s="62"/>
      <c r="DKY2" s="62"/>
      <c r="DKZ2" s="62"/>
      <c r="DLA2" s="62"/>
      <c r="DLB2" s="62"/>
      <c r="DLC2" s="62"/>
      <c r="DLD2" s="62"/>
      <c r="DLE2" s="62"/>
      <c r="DLF2" s="62"/>
      <c r="DLG2" s="62"/>
      <c r="DLH2" s="62"/>
      <c r="DLI2" s="62"/>
      <c r="DLJ2" s="62"/>
      <c r="DLK2" s="62"/>
      <c r="DLL2" s="62"/>
      <c r="DLM2" s="62"/>
      <c r="DLN2" s="62"/>
      <c r="DLO2" s="62"/>
      <c r="DLP2" s="62"/>
      <c r="DLQ2" s="62"/>
      <c r="DLR2" s="62"/>
      <c r="DLS2" s="62"/>
      <c r="DLT2" s="62"/>
      <c r="DLU2" s="62"/>
      <c r="DLV2" s="62"/>
      <c r="DLW2" s="62"/>
      <c r="DLX2" s="62"/>
      <c r="DLY2" s="62"/>
      <c r="DLZ2" s="62"/>
      <c r="DMA2" s="62"/>
      <c r="DMB2" s="62"/>
      <c r="DMC2" s="62"/>
      <c r="DMD2" s="62"/>
      <c r="DME2" s="62"/>
      <c r="DMF2" s="62"/>
      <c r="DMG2" s="62"/>
      <c r="DMH2" s="62"/>
      <c r="DMI2" s="62"/>
      <c r="DMJ2" s="62"/>
      <c r="DMK2" s="62"/>
      <c r="DML2" s="62"/>
      <c r="DMM2" s="62"/>
      <c r="DMN2" s="62"/>
      <c r="DMO2" s="62"/>
      <c r="DMP2" s="62"/>
      <c r="DMQ2" s="62"/>
      <c r="DMR2" s="62"/>
      <c r="DMS2" s="62"/>
      <c r="DMT2" s="62"/>
      <c r="DMU2" s="62"/>
      <c r="DMV2" s="62"/>
      <c r="DMW2" s="62"/>
      <c r="DMX2" s="62"/>
      <c r="DMY2" s="62"/>
      <c r="DMZ2" s="62"/>
      <c r="DNA2" s="62"/>
      <c r="DNB2" s="62"/>
      <c r="DNC2" s="62"/>
      <c r="DND2" s="62"/>
      <c r="DNE2" s="62"/>
      <c r="DNF2" s="62"/>
      <c r="DNG2" s="62"/>
      <c r="DNH2" s="62"/>
      <c r="DNI2" s="62"/>
      <c r="DNJ2" s="62"/>
      <c r="DNK2" s="62"/>
      <c r="DNL2" s="62"/>
      <c r="DNM2" s="62"/>
      <c r="DNN2" s="62"/>
      <c r="DNO2" s="62"/>
      <c r="DNP2" s="62"/>
      <c r="DNQ2" s="62"/>
      <c r="DNR2" s="62"/>
      <c r="DNS2" s="62"/>
      <c r="DNT2" s="62"/>
      <c r="DNU2" s="62"/>
      <c r="DNV2" s="62"/>
      <c r="DNW2" s="62"/>
      <c r="DNX2" s="62"/>
      <c r="DNY2" s="62"/>
      <c r="DNZ2" s="62"/>
      <c r="DOA2" s="62"/>
      <c r="DOB2" s="62"/>
      <c r="DOC2" s="62"/>
      <c r="DOD2" s="62"/>
      <c r="DOE2" s="62"/>
      <c r="DOF2" s="62"/>
      <c r="DOG2" s="62"/>
      <c r="DOH2" s="62"/>
      <c r="DOI2" s="62"/>
      <c r="DOJ2" s="62"/>
      <c r="DOK2" s="62"/>
      <c r="DOL2" s="62"/>
      <c r="DOM2" s="62"/>
      <c r="DON2" s="62"/>
      <c r="DOO2" s="62"/>
      <c r="DOP2" s="62"/>
      <c r="DOQ2" s="62"/>
      <c r="DOR2" s="62"/>
      <c r="DOS2" s="62"/>
      <c r="DOT2" s="62"/>
      <c r="DOU2" s="62"/>
      <c r="DOV2" s="62"/>
      <c r="DOW2" s="62"/>
      <c r="DOX2" s="62"/>
      <c r="DOY2" s="62"/>
      <c r="DOZ2" s="62"/>
      <c r="DPA2" s="62"/>
      <c r="DPB2" s="62"/>
      <c r="DPC2" s="62"/>
      <c r="DPD2" s="62"/>
      <c r="DPE2" s="62"/>
      <c r="DPF2" s="62"/>
      <c r="DPG2" s="62"/>
      <c r="DPH2" s="62"/>
      <c r="DPI2" s="62"/>
      <c r="DPJ2" s="62"/>
      <c r="DPK2" s="62"/>
      <c r="DPL2" s="62"/>
      <c r="DPM2" s="62"/>
      <c r="DPN2" s="62"/>
      <c r="DPO2" s="62"/>
      <c r="DPP2" s="62"/>
      <c r="DPQ2" s="62"/>
      <c r="DPR2" s="62"/>
      <c r="DPS2" s="62"/>
      <c r="DPT2" s="62"/>
      <c r="DPU2" s="62"/>
      <c r="DPV2" s="62"/>
      <c r="DPW2" s="62"/>
      <c r="DPX2" s="62"/>
      <c r="DPY2" s="62"/>
      <c r="DPZ2" s="62"/>
      <c r="DQA2" s="62"/>
      <c r="DQB2" s="62"/>
      <c r="DQC2" s="62"/>
      <c r="DQD2" s="62"/>
      <c r="DQE2" s="62"/>
      <c r="DQF2" s="62"/>
      <c r="DQG2" s="62"/>
      <c r="DQH2" s="62"/>
      <c r="DQI2" s="62"/>
      <c r="DQJ2" s="62"/>
      <c r="DQK2" s="62"/>
      <c r="DQL2" s="62"/>
      <c r="DQM2" s="62"/>
      <c r="DQN2" s="62"/>
      <c r="DQO2" s="62"/>
      <c r="DQP2" s="62"/>
      <c r="DQQ2" s="62"/>
      <c r="DQR2" s="62"/>
      <c r="DQS2" s="62"/>
      <c r="DQT2" s="62"/>
      <c r="DQU2" s="62"/>
      <c r="DQV2" s="62"/>
      <c r="DQW2" s="62"/>
      <c r="DQX2" s="62"/>
      <c r="DQY2" s="62"/>
      <c r="DQZ2" s="62"/>
      <c r="DRA2" s="62"/>
      <c r="DRB2" s="62"/>
      <c r="DRC2" s="62"/>
      <c r="DRD2" s="62"/>
      <c r="DRE2" s="62"/>
      <c r="DRF2" s="62"/>
      <c r="DRG2" s="62"/>
      <c r="DRH2" s="62"/>
      <c r="DRI2" s="62"/>
      <c r="DRJ2" s="62"/>
      <c r="DRK2" s="62"/>
      <c r="DRL2" s="62"/>
      <c r="DRM2" s="62"/>
      <c r="DRN2" s="62"/>
      <c r="DRO2" s="62"/>
      <c r="DRP2" s="62"/>
      <c r="DRQ2" s="62"/>
      <c r="DRR2" s="62"/>
      <c r="DRS2" s="62"/>
      <c r="DRT2" s="62"/>
      <c r="DRU2" s="62"/>
      <c r="DRV2" s="62"/>
      <c r="DRW2" s="62"/>
      <c r="DRX2" s="62"/>
      <c r="DRY2" s="62"/>
      <c r="DRZ2" s="62"/>
      <c r="DSA2" s="62"/>
      <c r="DSB2" s="62"/>
      <c r="DSC2" s="62"/>
      <c r="DSD2" s="62"/>
      <c r="DSE2" s="62"/>
      <c r="DSF2" s="62"/>
      <c r="DSG2" s="62"/>
      <c r="DSH2" s="62"/>
      <c r="DSI2" s="62"/>
      <c r="DSJ2" s="62"/>
      <c r="DSK2" s="62"/>
      <c r="DSL2" s="62"/>
      <c r="DSM2" s="62"/>
      <c r="DSN2" s="62"/>
      <c r="DSO2" s="62"/>
      <c r="DSP2" s="62"/>
      <c r="DSQ2" s="62"/>
      <c r="DSR2" s="62"/>
      <c r="DSS2" s="62"/>
      <c r="DST2" s="62"/>
      <c r="DSU2" s="62"/>
      <c r="DSV2" s="62"/>
      <c r="DSW2" s="62"/>
      <c r="DSX2" s="62"/>
      <c r="DSY2" s="62"/>
      <c r="DSZ2" s="62"/>
      <c r="DTA2" s="62"/>
      <c r="DTB2" s="62"/>
      <c r="DTC2" s="62"/>
      <c r="DTD2" s="62"/>
      <c r="DTE2" s="62"/>
      <c r="DTF2" s="62"/>
      <c r="DTG2" s="62"/>
      <c r="DTH2" s="62"/>
      <c r="DTI2" s="62"/>
      <c r="DTJ2" s="62"/>
      <c r="DTK2" s="62"/>
      <c r="DTL2" s="62"/>
      <c r="DTM2" s="62"/>
      <c r="DTN2" s="62"/>
      <c r="DTO2" s="62"/>
      <c r="DTP2" s="62"/>
      <c r="DTQ2" s="62"/>
      <c r="DTR2" s="62"/>
      <c r="DTS2" s="62"/>
      <c r="DTT2" s="62"/>
      <c r="DTU2" s="62"/>
      <c r="DTV2" s="62"/>
      <c r="DTW2" s="62"/>
      <c r="DTX2" s="62"/>
      <c r="DTY2" s="62"/>
      <c r="DTZ2" s="62"/>
      <c r="DUA2" s="62"/>
      <c r="DUB2" s="62"/>
      <c r="DUC2" s="62"/>
      <c r="DUD2" s="62"/>
      <c r="DUE2" s="62"/>
      <c r="DUF2" s="62"/>
      <c r="DUG2" s="62"/>
      <c r="DUH2" s="62"/>
      <c r="DUI2" s="62"/>
      <c r="DUJ2" s="62"/>
      <c r="DUK2" s="62"/>
      <c r="DUL2" s="62"/>
      <c r="DUM2" s="62"/>
      <c r="DUN2" s="62"/>
      <c r="DUO2" s="62"/>
      <c r="DUP2" s="62"/>
      <c r="DUQ2" s="62"/>
      <c r="DUR2" s="62"/>
      <c r="DUS2" s="62"/>
      <c r="DUT2" s="62"/>
      <c r="DUU2" s="62"/>
      <c r="DUV2" s="62"/>
      <c r="DUW2" s="62"/>
      <c r="DUX2" s="62"/>
      <c r="DUY2" s="62"/>
      <c r="DUZ2" s="62"/>
      <c r="DVA2" s="62"/>
      <c r="DVB2" s="62"/>
      <c r="DVC2" s="62"/>
      <c r="DVD2" s="62"/>
      <c r="DVE2" s="62"/>
      <c r="DVF2" s="62"/>
      <c r="DVG2" s="62"/>
      <c r="DVH2" s="62"/>
      <c r="DVI2" s="62"/>
      <c r="DVJ2" s="62"/>
      <c r="DVK2" s="62"/>
      <c r="DVL2" s="62"/>
      <c r="DVM2" s="62"/>
      <c r="DVN2" s="62"/>
      <c r="DVO2" s="62"/>
      <c r="DVP2" s="62"/>
      <c r="DVQ2" s="62"/>
      <c r="DVR2" s="62"/>
      <c r="DVS2" s="62"/>
      <c r="DVT2" s="62"/>
      <c r="DVU2" s="62"/>
      <c r="DVV2" s="62"/>
      <c r="DVW2" s="62"/>
      <c r="DVX2" s="62"/>
      <c r="DVY2" s="62"/>
      <c r="DVZ2" s="62"/>
      <c r="DWA2" s="62"/>
      <c r="DWB2" s="62"/>
      <c r="DWC2" s="62"/>
      <c r="DWD2" s="62"/>
      <c r="DWE2" s="62"/>
      <c r="DWF2" s="62"/>
      <c r="DWG2" s="62"/>
      <c r="DWH2" s="62"/>
      <c r="DWI2" s="62"/>
      <c r="DWJ2" s="62"/>
      <c r="DWK2" s="62"/>
      <c r="DWL2" s="62"/>
      <c r="DWM2" s="62"/>
      <c r="DWN2" s="62"/>
      <c r="DWO2" s="62"/>
      <c r="DWP2" s="62"/>
      <c r="DWQ2" s="62"/>
      <c r="DWR2" s="62"/>
      <c r="DWS2" s="62"/>
      <c r="DWT2" s="62"/>
      <c r="DWU2" s="62"/>
      <c r="DWV2" s="62"/>
      <c r="DWW2" s="62"/>
      <c r="DWX2" s="62"/>
      <c r="DWY2" s="62"/>
      <c r="DWZ2" s="62"/>
      <c r="DXA2" s="62"/>
      <c r="DXB2" s="62"/>
      <c r="DXC2" s="62"/>
      <c r="DXD2" s="62"/>
      <c r="DXE2" s="62"/>
      <c r="DXF2" s="62"/>
      <c r="DXG2" s="62"/>
      <c r="DXH2" s="62"/>
      <c r="DXI2" s="62"/>
      <c r="DXJ2" s="62"/>
      <c r="DXK2" s="62"/>
      <c r="DXL2" s="62"/>
      <c r="DXM2" s="62"/>
      <c r="DXN2" s="62"/>
      <c r="DXO2" s="62"/>
      <c r="DXP2" s="62"/>
      <c r="DXQ2" s="62"/>
      <c r="DXR2" s="62"/>
      <c r="DXS2" s="62"/>
      <c r="DXT2" s="62"/>
      <c r="DXU2" s="62"/>
      <c r="DXV2" s="62"/>
      <c r="DXW2" s="62"/>
      <c r="DXX2" s="62"/>
      <c r="DXY2" s="62"/>
      <c r="DXZ2" s="62"/>
      <c r="DYA2" s="62"/>
      <c r="DYB2" s="62"/>
      <c r="DYC2" s="62"/>
      <c r="DYD2" s="62"/>
      <c r="DYE2" s="62"/>
      <c r="DYF2" s="62"/>
      <c r="DYG2" s="62"/>
      <c r="DYH2" s="62"/>
      <c r="DYI2" s="62"/>
      <c r="DYJ2" s="62"/>
      <c r="DYK2" s="62"/>
      <c r="DYL2" s="62"/>
      <c r="DYM2" s="62"/>
      <c r="DYN2" s="62"/>
      <c r="DYO2" s="62"/>
      <c r="DYP2" s="62"/>
      <c r="DYQ2" s="62"/>
      <c r="DYR2" s="62"/>
      <c r="DYS2" s="62"/>
      <c r="DYT2" s="62"/>
      <c r="DYU2" s="62"/>
      <c r="DYV2" s="62"/>
      <c r="DYW2" s="62"/>
      <c r="DYX2" s="62"/>
      <c r="DYY2" s="62"/>
      <c r="DYZ2" s="62"/>
      <c r="DZA2" s="62"/>
      <c r="DZB2" s="62"/>
      <c r="DZC2" s="62"/>
      <c r="DZD2" s="62"/>
      <c r="DZE2" s="62"/>
      <c r="DZF2" s="62"/>
      <c r="DZG2" s="62"/>
      <c r="DZH2" s="62"/>
      <c r="DZI2" s="62"/>
      <c r="DZJ2" s="62"/>
      <c r="DZK2" s="62"/>
      <c r="DZL2" s="62"/>
      <c r="DZM2" s="62"/>
      <c r="DZN2" s="62"/>
      <c r="DZO2" s="62"/>
      <c r="DZP2" s="62"/>
      <c r="DZQ2" s="62"/>
      <c r="DZR2" s="62"/>
      <c r="DZS2" s="62"/>
      <c r="DZT2" s="62"/>
      <c r="DZU2" s="62"/>
      <c r="DZV2" s="62"/>
      <c r="DZW2" s="62"/>
      <c r="DZX2" s="62"/>
      <c r="DZY2" s="62"/>
      <c r="DZZ2" s="62"/>
      <c r="EAA2" s="62"/>
      <c r="EAB2" s="62"/>
      <c r="EAC2" s="62"/>
      <c r="EAD2" s="62"/>
      <c r="EAE2" s="62"/>
      <c r="EAF2" s="62"/>
      <c r="EAG2" s="62"/>
      <c r="EAH2" s="62"/>
      <c r="EAI2" s="62"/>
      <c r="EAJ2" s="62"/>
      <c r="EAK2" s="62"/>
      <c r="EAL2" s="62"/>
      <c r="EAM2" s="62"/>
      <c r="EAN2" s="62"/>
      <c r="EAO2" s="62"/>
      <c r="EAP2" s="62"/>
      <c r="EAQ2" s="62"/>
      <c r="EAR2" s="62"/>
      <c r="EAS2" s="62"/>
      <c r="EAT2" s="62"/>
      <c r="EAU2" s="62"/>
      <c r="EAV2" s="62"/>
      <c r="EAW2" s="62"/>
      <c r="EAX2" s="62"/>
      <c r="EAY2" s="62"/>
      <c r="EAZ2" s="62"/>
      <c r="EBA2" s="62"/>
      <c r="EBB2" s="62"/>
      <c r="EBC2" s="62"/>
      <c r="EBD2" s="62"/>
      <c r="EBE2" s="62"/>
      <c r="EBF2" s="62"/>
      <c r="EBG2" s="62"/>
      <c r="EBH2" s="62"/>
      <c r="EBI2" s="62"/>
      <c r="EBJ2" s="62"/>
      <c r="EBK2" s="62"/>
      <c r="EBL2" s="62"/>
      <c r="EBM2" s="62"/>
      <c r="EBN2" s="62"/>
      <c r="EBO2" s="62"/>
      <c r="EBP2" s="62"/>
      <c r="EBQ2" s="62"/>
      <c r="EBR2" s="62"/>
      <c r="EBS2" s="62"/>
      <c r="EBT2" s="62"/>
      <c r="EBU2" s="62"/>
      <c r="EBV2" s="62"/>
      <c r="EBW2" s="62"/>
      <c r="EBX2" s="62"/>
      <c r="EBY2" s="62"/>
      <c r="EBZ2" s="62"/>
      <c r="ECA2" s="62"/>
      <c r="ECB2" s="62"/>
      <c r="ECC2" s="62"/>
      <c r="ECD2" s="62"/>
      <c r="ECE2" s="62"/>
      <c r="ECF2" s="62"/>
      <c r="ECG2" s="62"/>
      <c r="ECH2" s="62"/>
      <c r="ECI2" s="62"/>
      <c r="ECJ2" s="62"/>
      <c r="ECK2" s="62"/>
      <c r="ECL2" s="62"/>
      <c r="ECM2" s="62"/>
      <c r="ECN2" s="62"/>
      <c r="ECO2" s="62"/>
      <c r="ECP2" s="62"/>
      <c r="ECQ2" s="62"/>
      <c r="ECR2" s="62"/>
      <c r="ECS2" s="62"/>
      <c r="ECT2" s="62"/>
      <c r="ECU2" s="62"/>
      <c r="ECV2" s="62"/>
      <c r="ECW2" s="62"/>
      <c r="ECX2" s="62"/>
      <c r="ECY2" s="62"/>
      <c r="ECZ2" s="62"/>
      <c r="EDA2" s="62"/>
      <c r="EDB2" s="62"/>
      <c r="EDC2" s="62"/>
      <c r="EDD2" s="62"/>
      <c r="EDE2" s="62"/>
      <c r="EDF2" s="62"/>
      <c r="EDG2" s="62"/>
      <c r="EDH2" s="62"/>
      <c r="EDI2" s="62"/>
      <c r="EDJ2" s="62"/>
      <c r="EDK2" s="62"/>
      <c r="EDL2" s="62"/>
      <c r="EDM2" s="62"/>
      <c r="EDN2" s="62"/>
      <c r="EDO2" s="62"/>
      <c r="EDP2" s="62"/>
      <c r="EDQ2" s="62"/>
      <c r="EDR2" s="62"/>
      <c r="EDS2" s="62"/>
      <c r="EDT2" s="62"/>
      <c r="EDU2" s="62"/>
      <c r="EDV2" s="62"/>
      <c r="EDW2" s="62"/>
      <c r="EDX2" s="62"/>
      <c r="EDY2" s="62"/>
      <c r="EDZ2" s="62"/>
      <c r="EEA2" s="62"/>
      <c r="EEB2" s="62"/>
      <c r="EEC2" s="62"/>
      <c r="EED2" s="62"/>
      <c r="EEE2" s="62"/>
      <c r="EEF2" s="62"/>
      <c r="EEG2" s="62"/>
      <c r="EEH2" s="62"/>
      <c r="EEI2" s="62"/>
      <c r="EEJ2" s="62"/>
      <c r="EEK2" s="62"/>
      <c r="EEL2" s="62"/>
      <c r="EEM2" s="62"/>
      <c r="EEN2" s="62"/>
      <c r="EEO2" s="62"/>
      <c r="EEP2" s="62"/>
      <c r="EEQ2" s="62"/>
      <c r="EER2" s="62"/>
      <c r="EES2" s="62"/>
      <c r="EET2" s="62"/>
      <c r="EEU2" s="62"/>
      <c r="EEV2" s="62"/>
      <c r="EEW2" s="62"/>
      <c r="EEX2" s="62"/>
      <c r="EEY2" s="62"/>
      <c r="EEZ2" s="62"/>
      <c r="EFA2" s="62"/>
      <c r="EFB2" s="62"/>
      <c r="EFC2" s="62"/>
      <c r="EFD2" s="62"/>
      <c r="EFE2" s="62"/>
      <c r="EFF2" s="62"/>
      <c r="EFG2" s="62"/>
      <c r="EFH2" s="62"/>
      <c r="EFI2" s="62"/>
      <c r="EFJ2" s="62"/>
      <c r="EFK2" s="62"/>
      <c r="EFL2" s="62"/>
      <c r="EFM2" s="62"/>
      <c r="EFN2" s="62"/>
      <c r="EFO2" s="62"/>
      <c r="EFP2" s="62"/>
      <c r="EFQ2" s="62"/>
      <c r="EFR2" s="62"/>
      <c r="EFS2" s="62"/>
      <c r="EFT2" s="62"/>
      <c r="EFU2" s="62"/>
      <c r="EFV2" s="62"/>
      <c r="EFW2" s="62"/>
      <c r="EFX2" s="62"/>
      <c r="EFY2" s="62"/>
      <c r="EFZ2" s="62"/>
      <c r="EGA2" s="62"/>
      <c r="EGB2" s="62"/>
      <c r="EGC2" s="62"/>
      <c r="EGD2" s="62"/>
      <c r="EGE2" s="62"/>
      <c r="EGF2" s="62"/>
      <c r="EGG2" s="62"/>
      <c r="EGH2" s="62"/>
      <c r="EGI2" s="62"/>
      <c r="EGJ2" s="62"/>
      <c r="EGK2" s="62"/>
      <c r="EGL2" s="62"/>
      <c r="EGM2" s="62"/>
      <c r="EGN2" s="62"/>
      <c r="EGO2" s="62"/>
      <c r="EGP2" s="62"/>
      <c r="EGQ2" s="62"/>
      <c r="EGR2" s="62"/>
      <c r="EGS2" s="62"/>
      <c r="EGT2" s="62"/>
      <c r="EGU2" s="62"/>
      <c r="EGV2" s="62"/>
      <c r="EGW2" s="62"/>
      <c r="EGX2" s="62"/>
      <c r="EGY2" s="62"/>
      <c r="EGZ2" s="62"/>
      <c r="EHA2" s="62"/>
      <c r="EHB2" s="62"/>
      <c r="EHC2" s="62"/>
      <c r="EHD2" s="62"/>
      <c r="EHE2" s="62"/>
      <c r="EHF2" s="62"/>
      <c r="EHG2" s="62"/>
      <c r="EHH2" s="62"/>
      <c r="EHI2" s="62"/>
      <c r="EHJ2" s="62"/>
      <c r="EHK2" s="62"/>
      <c r="EHL2" s="62"/>
      <c r="EHM2" s="62"/>
      <c r="EHN2" s="62"/>
      <c r="EHO2" s="62"/>
      <c r="EHP2" s="62"/>
      <c r="EHQ2" s="62"/>
      <c r="EHR2" s="62"/>
      <c r="EHS2" s="62"/>
      <c r="EHT2" s="62"/>
      <c r="EHU2" s="62"/>
      <c r="EHV2" s="62"/>
      <c r="EHW2" s="62"/>
      <c r="EHX2" s="62"/>
      <c r="EHY2" s="62"/>
      <c r="EHZ2" s="62"/>
      <c r="EIA2" s="62"/>
      <c r="EIB2" s="62"/>
      <c r="EIC2" s="62"/>
      <c r="EID2" s="62"/>
      <c r="EIE2" s="62"/>
      <c r="EIF2" s="62"/>
      <c r="EIG2" s="62"/>
      <c r="EIH2" s="62"/>
      <c r="EII2" s="62"/>
      <c r="EIJ2" s="62"/>
      <c r="EIK2" s="62"/>
      <c r="EIL2" s="62"/>
      <c r="EIM2" s="62"/>
      <c r="EIN2" s="62"/>
      <c r="EIO2" s="62"/>
      <c r="EIP2" s="62"/>
      <c r="EIQ2" s="62"/>
      <c r="EIR2" s="62"/>
      <c r="EIS2" s="62"/>
      <c r="EIT2" s="62"/>
      <c r="EIU2" s="62"/>
      <c r="EIV2" s="62"/>
      <c r="EIW2" s="62"/>
      <c r="EIX2" s="62"/>
      <c r="EIY2" s="62"/>
      <c r="EIZ2" s="62"/>
      <c r="EJA2" s="62"/>
      <c r="EJB2" s="62"/>
      <c r="EJC2" s="62"/>
      <c r="EJD2" s="62"/>
      <c r="EJE2" s="62"/>
      <c r="EJF2" s="62"/>
      <c r="EJG2" s="62"/>
      <c r="EJH2" s="62"/>
      <c r="EJI2" s="62"/>
      <c r="EJJ2" s="62"/>
      <c r="EJK2" s="62"/>
      <c r="EJL2" s="62"/>
      <c r="EJM2" s="62"/>
      <c r="EJN2" s="62"/>
      <c r="EJO2" s="62"/>
      <c r="EJP2" s="62"/>
      <c r="EJQ2" s="62"/>
      <c r="EJR2" s="62"/>
      <c r="EJS2" s="62"/>
      <c r="EJT2" s="62"/>
      <c r="EJU2" s="62"/>
      <c r="EJV2" s="62"/>
      <c r="EJW2" s="62"/>
      <c r="EJX2" s="62"/>
      <c r="EJY2" s="62"/>
      <c r="EJZ2" s="62"/>
      <c r="EKA2" s="62"/>
      <c r="EKB2" s="62"/>
      <c r="EKC2" s="62"/>
      <c r="EKD2" s="62"/>
      <c r="EKE2" s="62"/>
      <c r="EKF2" s="62"/>
      <c r="EKG2" s="62"/>
      <c r="EKH2" s="62"/>
      <c r="EKI2" s="62"/>
      <c r="EKJ2" s="62"/>
      <c r="EKK2" s="62"/>
      <c r="EKL2" s="62"/>
      <c r="EKM2" s="62"/>
      <c r="EKN2" s="62"/>
      <c r="EKO2" s="62"/>
      <c r="EKP2" s="62"/>
      <c r="EKQ2" s="62"/>
      <c r="EKR2" s="62"/>
      <c r="EKS2" s="62"/>
      <c r="EKT2" s="62"/>
      <c r="EKU2" s="62"/>
      <c r="EKV2" s="62"/>
      <c r="EKW2" s="62"/>
      <c r="EKX2" s="62"/>
      <c r="EKY2" s="62"/>
      <c r="EKZ2" s="62"/>
      <c r="ELA2" s="62"/>
      <c r="ELB2" s="62"/>
      <c r="ELC2" s="62"/>
      <c r="ELD2" s="62"/>
      <c r="ELE2" s="62"/>
      <c r="ELF2" s="62"/>
      <c r="ELG2" s="62"/>
      <c r="ELH2" s="62"/>
      <c r="ELI2" s="62"/>
      <c r="ELJ2" s="62"/>
      <c r="ELK2" s="62"/>
      <c r="ELL2" s="62"/>
      <c r="ELM2" s="62"/>
      <c r="ELN2" s="62"/>
      <c r="ELO2" s="62"/>
      <c r="ELP2" s="62"/>
      <c r="ELQ2" s="62"/>
      <c r="ELR2" s="62"/>
      <c r="ELS2" s="62"/>
      <c r="ELT2" s="62"/>
      <c r="ELU2" s="62"/>
      <c r="ELV2" s="62"/>
      <c r="ELW2" s="62"/>
      <c r="ELX2" s="62"/>
      <c r="ELY2" s="62"/>
      <c r="ELZ2" s="62"/>
      <c r="EMA2" s="62"/>
      <c r="EMB2" s="62"/>
      <c r="EMC2" s="62"/>
      <c r="EMD2" s="62"/>
      <c r="EME2" s="62"/>
      <c r="EMF2" s="62"/>
      <c r="EMG2" s="62"/>
      <c r="EMH2" s="62"/>
      <c r="EMI2" s="62"/>
      <c r="EMJ2" s="62"/>
      <c r="EMK2" s="62"/>
      <c r="EML2" s="62"/>
      <c r="EMM2" s="62"/>
      <c r="EMN2" s="62"/>
      <c r="EMO2" s="62"/>
      <c r="EMP2" s="62"/>
      <c r="EMQ2" s="62"/>
      <c r="EMR2" s="62"/>
      <c r="EMS2" s="62"/>
      <c r="EMT2" s="62"/>
      <c r="EMU2" s="62"/>
      <c r="EMV2" s="62"/>
      <c r="EMW2" s="62"/>
      <c r="EMX2" s="62"/>
      <c r="EMY2" s="62"/>
      <c r="EMZ2" s="62"/>
      <c r="ENA2" s="62"/>
      <c r="ENB2" s="62"/>
      <c r="ENC2" s="62"/>
      <c r="END2" s="62"/>
      <c r="ENE2" s="62"/>
      <c r="ENF2" s="62"/>
      <c r="ENG2" s="62"/>
      <c r="ENH2" s="62"/>
      <c r="ENI2" s="62"/>
      <c r="ENJ2" s="62"/>
      <c r="ENK2" s="62"/>
      <c r="ENL2" s="62"/>
      <c r="ENM2" s="62"/>
      <c r="ENN2" s="62"/>
      <c r="ENO2" s="62"/>
      <c r="ENP2" s="62"/>
      <c r="ENQ2" s="62"/>
      <c r="ENR2" s="62"/>
      <c r="ENS2" s="62"/>
      <c r="ENT2" s="62"/>
      <c r="ENU2" s="62"/>
      <c r="ENV2" s="62"/>
      <c r="ENW2" s="62"/>
      <c r="ENX2" s="62"/>
      <c r="ENY2" s="62"/>
      <c r="ENZ2" s="62"/>
      <c r="EOA2" s="62"/>
      <c r="EOB2" s="62"/>
      <c r="EOC2" s="62"/>
      <c r="EOD2" s="62"/>
      <c r="EOE2" s="62"/>
      <c r="EOF2" s="62"/>
      <c r="EOG2" s="62"/>
      <c r="EOH2" s="62"/>
      <c r="EOI2" s="62"/>
      <c r="EOJ2" s="62"/>
      <c r="EOK2" s="62"/>
      <c r="EOL2" s="62"/>
      <c r="EOM2" s="62"/>
      <c r="EON2" s="62"/>
      <c r="EOO2" s="62"/>
      <c r="EOP2" s="62"/>
      <c r="EOQ2" s="62"/>
      <c r="EOR2" s="62"/>
      <c r="EOS2" s="62"/>
      <c r="EOT2" s="62"/>
      <c r="EOU2" s="62"/>
      <c r="EOV2" s="62"/>
      <c r="EOW2" s="62"/>
      <c r="EOX2" s="62"/>
      <c r="EOY2" s="62"/>
      <c r="EOZ2" s="62"/>
      <c r="EPA2" s="62"/>
      <c r="EPB2" s="62"/>
      <c r="EPC2" s="62"/>
      <c r="EPD2" s="62"/>
      <c r="EPE2" s="62"/>
      <c r="EPF2" s="62"/>
      <c r="EPG2" s="62"/>
      <c r="EPH2" s="62"/>
      <c r="EPI2" s="62"/>
      <c r="EPJ2" s="62"/>
      <c r="EPK2" s="62"/>
      <c r="EPL2" s="62"/>
      <c r="EPM2" s="62"/>
      <c r="EPN2" s="62"/>
      <c r="EPO2" s="62"/>
      <c r="EPP2" s="62"/>
      <c r="EPQ2" s="62"/>
      <c r="EPR2" s="62"/>
      <c r="EPS2" s="62"/>
      <c r="EPT2" s="62"/>
      <c r="EPU2" s="62"/>
      <c r="EPV2" s="62"/>
      <c r="EPW2" s="62"/>
      <c r="EPX2" s="62"/>
      <c r="EPY2" s="62"/>
      <c r="EPZ2" s="62"/>
      <c r="EQA2" s="62"/>
      <c r="EQB2" s="62"/>
      <c r="EQC2" s="62"/>
      <c r="EQD2" s="62"/>
      <c r="EQE2" s="62"/>
      <c r="EQF2" s="62"/>
      <c r="EQG2" s="62"/>
      <c r="EQH2" s="62"/>
      <c r="EQI2" s="62"/>
      <c r="EQJ2" s="62"/>
      <c r="EQK2" s="62"/>
      <c r="EQL2" s="62"/>
      <c r="EQM2" s="62"/>
      <c r="EQN2" s="62"/>
      <c r="EQO2" s="62"/>
      <c r="EQP2" s="62"/>
      <c r="EQQ2" s="62"/>
      <c r="EQR2" s="62"/>
      <c r="EQS2" s="62"/>
      <c r="EQT2" s="62"/>
      <c r="EQU2" s="62"/>
      <c r="EQV2" s="62"/>
      <c r="EQW2" s="62"/>
      <c r="EQX2" s="62"/>
      <c r="EQY2" s="62"/>
      <c r="EQZ2" s="62"/>
      <c r="ERA2" s="62"/>
      <c r="ERB2" s="62"/>
      <c r="ERC2" s="62"/>
      <c r="ERD2" s="62"/>
      <c r="ERE2" s="62"/>
      <c r="ERF2" s="62"/>
      <c r="ERG2" s="62"/>
      <c r="ERH2" s="62"/>
      <c r="ERI2" s="62"/>
      <c r="ERJ2" s="62"/>
      <c r="ERK2" s="62"/>
      <c r="ERL2" s="62"/>
      <c r="ERM2" s="62"/>
      <c r="ERN2" s="62"/>
      <c r="ERO2" s="62"/>
      <c r="ERP2" s="62"/>
      <c r="ERQ2" s="62"/>
      <c r="ERR2" s="62"/>
      <c r="ERS2" s="62"/>
      <c r="ERT2" s="62"/>
      <c r="ERU2" s="62"/>
      <c r="ERV2" s="62"/>
      <c r="ERW2" s="62"/>
      <c r="ERX2" s="62"/>
      <c r="ERY2" s="62"/>
      <c r="ERZ2" s="62"/>
      <c r="ESA2" s="62"/>
      <c r="ESB2" s="62"/>
      <c r="ESC2" s="62"/>
      <c r="ESD2" s="62"/>
      <c r="ESE2" s="62"/>
      <c r="ESF2" s="62"/>
      <c r="ESG2" s="62"/>
      <c r="ESH2" s="62"/>
      <c r="ESI2" s="62"/>
      <c r="ESJ2" s="62"/>
      <c r="ESK2" s="62"/>
      <c r="ESL2" s="62"/>
      <c r="ESM2" s="62"/>
      <c r="ESN2" s="62"/>
      <c r="ESO2" s="62"/>
      <c r="ESP2" s="62"/>
      <c r="ESQ2" s="62"/>
      <c r="ESR2" s="62"/>
      <c r="ESS2" s="62"/>
      <c r="EST2" s="62"/>
      <c r="ESU2" s="62"/>
      <c r="ESV2" s="62"/>
      <c r="ESW2" s="62"/>
      <c r="ESX2" s="62"/>
      <c r="ESY2" s="62"/>
      <c r="ESZ2" s="62"/>
      <c r="ETA2" s="62"/>
      <c r="ETB2" s="62"/>
      <c r="ETC2" s="62"/>
      <c r="ETD2" s="62"/>
      <c r="ETE2" s="62"/>
      <c r="ETF2" s="62"/>
      <c r="ETG2" s="62"/>
      <c r="ETH2" s="62"/>
      <c r="ETI2" s="62"/>
      <c r="ETJ2" s="62"/>
      <c r="ETK2" s="62"/>
      <c r="ETL2" s="62"/>
      <c r="ETM2" s="62"/>
      <c r="ETN2" s="62"/>
      <c r="ETO2" s="62"/>
      <c r="ETP2" s="62"/>
      <c r="ETQ2" s="62"/>
      <c r="ETR2" s="62"/>
      <c r="ETS2" s="62"/>
      <c r="ETT2" s="62"/>
      <c r="ETU2" s="62"/>
      <c r="ETV2" s="62"/>
      <c r="ETW2" s="62"/>
      <c r="ETX2" s="62"/>
      <c r="ETY2" s="62"/>
      <c r="ETZ2" s="62"/>
      <c r="EUA2" s="62"/>
      <c r="EUB2" s="62"/>
      <c r="EUC2" s="62"/>
      <c r="EUD2" s="62"/>
      <c r="EUE2" s="62"/>
      <c r="EUF2" s="62"/>
      <c r="EUG2" s="62"/>
      <c r="EUH2" s="62"/>
      <c r="EUI2" s="62"/>
      <c r="EUJ2" s="62"/>
      <c r="EUK2" s="62"/>
      <c r="EUL2" s="62"/>
      <c r="EUM2" s="62"/>
      <c r="EUN2" s="62"/>
      <c r="EUO2" s="62"/>
      <c r="EUP2" s="62"/>
      <c r="EUQ2" s="62"/>
      <c r="EUR2" s="62"/>
      <c r="EUS2" s="62"/>
      <c r="EUT2" s="62"/>
      <c r="EUU2" s="62"/>
      <c r="EUV2" s="62"/>
      <c r="EUW2" s="62"/>
      <c r="EUX2" s="62"/>
      <c r="EUY2" s="62"/>
      <c r="EUZ2" s="62"/>
      <c r="EVA2" s="62"/>
      <c r="EVB2" s="62"/>
      <c r="EVC2" s="62"/>
      <c r="EVD2" s="62"/>
      <c r="EVE2" s="62"/>
      <c r="EVF2" s="62"/>
      <c r="EVG2" s="62"/>
      <c r="EVH2" s="62"/>
      <c r="EVI2" s="62"/>
      <c r="EVJ2" s="62"/>
      <c r="EVK2" s="62"/>
      <c r="EVL2" s="62"/>
      <c r="EVM2" s="62"/>
      <c r="EVN2" s="62"/>
      <c r="EVO2" s="62"/>
      <c r="EVP2" s="62"/>
      <c r="EVQ2" s="62"/>
      <c r="EVR2" s="62"/>
      <c r="EVS2" s="62"/>
      <c r="EVT2" s="62"/>
      <c r="EVU2" s="62"/>
      <c r="EVV2" s="62"/>
      <c r="EVW2" s="62"/>
      <c r="EVX2" s="62"/>
      <c r="EVY2" s="62"/>
      <c r="EVZ2" s="62"/>
      <c r="EWA2" s="62"/>
      <c r="EWB2" s="62"/>
      <c r="EWC2" s="62"/>
      <c r="EWD2" s="62"/>
      <c r="EWE2" s="62"/>
      <c r="EWF2" s="62"/>
      <c r="EWG2" s="62"/>
      <c r="EWH2" s="62"/>
      <c r="EWI2" s="62"/>
      <c r="EWJ2" s="62"/>
      <c r="EWK2" s="62"/>
      <c r="EWL2" s="62"/>
      <c r="EWM2" s="62"/>
      <c r="EWN2" s="62"/>
      <c r="EWO2" s="62"/>
      <c r="EWP2" s="62"/>
      <c r="EWQ2" s="62"/>
      <c r="EWR2" s="62"/>
      <c r="EWS2" s="62"/>
      <c r="EWT2" s="62"/>
      <c r="EWU2" s="62"/>
      <c r="EWV2" s="62"/>
      <c r="EWW2" s="62"/>
      <c r="EWX2" s="62"/>
      <c r="EWY2" s="62"/>
      <c r="EWZ2" s="62"/>
      <c r="EXA2" s="62"/>
      <c r="EXB2" s="62"/>
      <c r="EXC2" s="62"/>
      <c r="EXD2" s="62"/>
      <c r="EXE2" s="62"/>
      <c r="EXF2" s="62"/>
      <c r="EXG2" s="62"/>
      <c r="EXH2" s="62"/>
      <c r="EXI2" s="62"/>
      <c r="EXJ2" s="62"/>
      <c r="EXK2" s="62"/>
      <c r="EXL2" s="62"/>
      <c r="EXM2" s="62"/>
      <c r="EXN2" s="62"/>
      <c r="EXO2" s="62"/>
      <c r="EXP2" s="62"/>
      <c r="EXQ2" s="62"/>
      <c r="EXR2" s="62"/>
      <c r="EXS2" s="62"/>
      <c r="EXT2" s="62"/>
      <c r="EXU2" s="62"/>
      <c r="EXV2" s="62"/>
      <c r="EXW2" s="62"/>
      <c r="EXX2" s="62"/>
      <c r="EXY2" s="62"/>
      <c r="EXZ2" s="62"/>
      <c r="EYA2" s="62"/>
      <c r="EYB2" s="62"/>
      <c r="EYC2" s="62"/>
      <c r="EYD2" s="62"/>
      <c r="EYE2" s="62"/>
      <c r="EYF2" s="62"/>
      <c r="EYG2" s="62"/>
      <c r="EYH2" s="62"/>
      <c r="EYI2" s="62"/>
      <c r="EYJ2" s="62"/>
      <c r="EYK2" s="62"/>
      <c r="EYL2" s="62"/>
      <c r="EYM2" s="62"/>
      <c r="EYN2" s="62"/>
      <c r="EYO2" s="62"/>
      <c r="EYP2" s="62"/>
      <c r="EYQ2" s="62"/>
      <c r="EYR2" s="62"/>
      <c r="EYS2" s="62"/>
      <c r="EYT2" s="62"/>
      <c r="EYU2" s="62"/>
      <c r="EYV2" s="62"/>
      <c r="EYW2" s="62"/>
      <c r="EYX2" s="62"/>
      <c r="EYY2" s="62"/>
      <c r="EYZ2" s="62"/>
      <c r="EZA2" s="62"/>
      <c r="EZB2" s="62"/>
      <c r="EZC2" s="62"/>
      <c r="EZD2" s="62"/>
      <c r="EZE2" s="62"/>
      <c r="EZF2" s="62"/>
      <c r="EZG2" s="62"/>
      <c r="EZH2" s="62"/>
      <c r="EZI2" s="62"/>
      <c r="EZJ2" s="62"/>
      <c r="EZK2" s="62"/>
      <c r="EZL2" s="62"/>
      <c r="EZM2" s="62"/>
      <c r="EZN2" s="62"/>
      <c r="EZO2" s="62"/>
      <c r="EZP2" s="62"/>
      <c r="EZQ2" s="62"/>
      <c r="EZR2" s="62"/>
      <c r="EZS2" s="62"/>
      <c r="EZT2" s="62"/>
      <c r="EZU2" s="62"/>
      <c r="EZV2" s="62"/>
      <c r="EZW2" s="62"/>
      <c r="EZX2" s="62"/>
      <c r="EZY2" s="62"/>
      <c r="EZZ2" s="62"/>
      <c r="FAA2" s="62"/>
      <c r="FAB2" s="62"/>
      <c r="FAC2" s="62"/>
      <c r="FAD2" s="62"/>
      <c r="FAE2" s="62"/>
      <c r="FAF2" s="62"/>
      <c r="FAG2" s="62"/>
      <c r="FAH2" s="62"/>
      <c r="FAI2" s="62"/>
      <c r="FAJ2" s="62"/>
      <c r="FAK2" s="62"/>
      <c r="FAL2" s="62"/>
      <c r="FAM2" s="62"/>
      <c r="FAN2" s="62"/>
      <c r="FAO2" s="62"/>
      <c r="FAP2" s="62"/>
      <c r="FAQ2" s="62"/>
      <c r="FAR2" s="62"/>
      <c r="FAS2" s="62"/>
      <c r="FAT2" s="62"/>
      <c r="FAU2" s="62"/>
      <c r="FAV2" s="62"/>
      <c r="FAW2" s="62"/>
      <c r="FAX2" s="62"/>
      <c r="FAY2" s="62"/>
      <c r="FAZ2" s="62"/>
      <c r="FBA2" s="62"/>
      <c r="FBB2" s="62"/>
      <c r="FBC2" s="62"/>
      <c r="FBD2" s="62"/>
      <c r="FBE2" s="62"/>
      <c r="FBF2" s="62"/>
      <c r="FBG2" s="62"/>
      <c r="FBH2" s="62"/>
      <c r="FBI2" s="62"/>
      <c r="FBJ2" s="62"/>
      <c r="FBK2" s="62"/>
      <c r="FBL2" s="62"/>
      <c r="FBM2" s="62"/>
      <c r="FBN2" s="62"/>
      <c r="FBO2" s="62"/>
      <c r="FBP2" s="62"/>
      <c r="FBQ2" s="62"/>
      <c r="FBR2" s="62"/>
      <c r="FBS2" s="62"/>
      <c r="FBT2" s="62"/>
      <c r="FBU2" s="62"/>
      <c r="FBV2" s="62"/>
      <c r="FBW2" s="62"/>
      <c r="FBX2" s="62"/>
      <c r="FBY2" s="62"/>
      <c r="FBZ2" s="62"/>
      <c r="FCA2" s="62"/>
      <c r="FCB2" s="62"/>
      <c r="FCC2" s="62"/>
      <c r="FCD2" s="62"/>
      <c r="FCE2" s="62"/>
      <c r="FCF2" s="62"/>
      <c r="FCG2" s="62"/>
      <c r="FCH2" s="62"/>
      <c r="FCI2" s="62"/>
      <c r="FCJ2" s="62"/>
      <c r="FCK2" s="62"/>
      <c r="FCL2" s="62"/>
      <c r="FCM2" s="62"/>
      <c r="FCN2" s="62"/>
      <c r="FCO2" s="62"/>
      <c r="FCP2" s="62"/>
      <c r="FCQ2" s="62"/>
      <c r="FCR2" s="62"/>
      <c r="FCS2" s="62"/>
      <c r="FCT2" s="62"/>
      <c r="FCU2" s="62"/>
      <c r="FCV2" s="62"/>
      <c r="FCW2" s="62"/>
      <c r="FCX2" s="62"/>
      <c r="FCY2" s="62"/>
      <c r="FCZ2" s="62"/>
      <c r="FDA2" s="62"/>
      <c r="FDB2" s="62"/>
      <c r="FDC2" s="62"/>
      <c r="FDD2" s="62"/>
      <c r="FDE2" s="62"/>
      <c r="FDF2" s="62"/>
      <c r="FDG2" s="62"/>
      <c r="FDH2" s="62"/>
      <c r="FDI2" s="62"/>
      <c r="FDJ2" s="62"/>
      <c r="FDK2" s="62"/>
      <c r="FDL2" s="62"/>
      <c r="FDM2" s="62"/>
      <c r="FDN2" s="62"/>
      <c r="FDO2" s="62"/>
      <c r="FDP2" s="62"/>
      <c r="FDQ2" s="62"/>
      <c r="FDR2" s="62"/>
      <c r="FDS2" s="62"/>
      <c r="FDT2" s="62"/>
      <c r="FDU2" s="62"/>
      <c r="FDV2" s="62"/>
      <c r="FDW2" s="62"/>
      <c r="FDX2" s="62"/>
      <c r="FDY2" s="62"/>
      <c r="FDZ2" s="62"/>
      <c r="FEA2" s="62"/>
      <c r="FEB2" s="62"/>
      <c r="FEC2" s="62"/>
      <c r="FED2" s="62"/>
      <c r="FEE2" s="62"/>
      <c r="FEF2" s="62"/>
      <c r="FEG2" s="62"/>
      <c r="FEH2" s="62"/>
      <c r="FEI2" s="62"/>
      <c r="FEJ2" s="62"/>
      <c r="FEK2" s="62"/>
      <c r="FEL2" s="62"/>
      <c r="FEM2" s="62"/>
      <c r="FEN2" s="62"/>
      <c r="FEO2" s="62"/>
      <c r="FEP2" s="62"/>
      <c r="FEQ2" s="62"/>
      <c r="FER2" s="62"/>
      <c r="FES2" s="62"/>
      <c r="FET2" s="62"/>
      <c r="FEU2" s="62"/>
      <c r="FEV2" s="62"/>
      <c r="FEW2" s="62"/>
      <c r="FEX2" s="62"/>
      <c r="FEY2" s="62"/>
      <c r="FEZ2" s="62"/>
      <c r="FFA2" s="62"/>
      <c r="FFB2" s="62"/>
      <c r="FFC2" s="62"/>
      <c r="FFD2" s="62"/>
      <c r="FFE2" s="62"/>
      <c r="FFF2" s="62"/>
      <c r="FFG2" s="62"/>
      <c r="FFH2" s="62"/>
      <c r="FFI2" s="62"/>
      <c r="FFJ2" s="62"/>
      <c r="FFK2" s="62"/>
      <c r="FFL2" s="62"/>
      <c r="FFM2" s="62"/>
      <c r="FFN2" s="62"/>
      <c r="FFO2" s="62"/>
      <c r="FFP2" s="62"/>
      <c r="FFQ2" s="62"/>
      <c r="FFR2" s="62"/>
      <c r="FFS2" s="62"/>
      <c r="FFT2" s="62"/>
      <c r="FFU2" s="62"/>
      <c r="FFV2" s="62"/>
      <c r="FFW2" s="62"/>
      <c r="FFX2" s="62"/>
      <c r="FFY2" s="62"/>
      <c r="FFZ2" s="62"/>
      <c r="FGA2" s="62"/>
      <c r="FGB2" s="62"/>
      <c r="FGC2" s="62"/>
      <c r="FGD2" s="62"/>
      <c r="FGE2" s="62"/>
      <c r="FGF2" s="62"/>
      <c r="FGG2" s="62"/>
      <c r="FGH2" s="62"/>
      <c r="FGI2" s="62"/>
      <c r="FGJ2" s="62"/>
      <c r="FGK2" s="62"/>
      <c r="FGL2" s="62"/>
      <c r="FGM2" s="62"/>
      <c r="FGN2" s="62"/>
      <c r="FGO2" s="62"/>
      <c r="FGP2" s="62"/>
      <c r="FGQ2" s="62"/>
      <c r="FGR2" s="62"/>
      <c r="FGS2" s="62"/>
      <c r="FGT2" s="62"/>
      <c r="FGU2" s="62"/>
      <c r="FGV2" s="62"/>
      <c r="FGW2" s="62"/>
      <c r="FGX2" s="62"/>
      <c r="FGY2" s="62"/>
      <c r="FGZ2" s="62"/>
      <c r="FHA2" s="62"/>
      <c r="FHB2" s="62"/>
      <c r="FHC2" s="62"/>
      <c r="FHD2" s="62"/>
      <c r="FHE2" s="62"/>
      <c r="FHF2" s="62"/>
      <c r="FHG2" s="62"/>
      <c r="FHH2" s="62"/>
      <c r="FHI2" s="62"/>
      <c r="FHJ2" s="62"/>
      <c r="FHK2" s="62"/>
      <c r="FHL2" s="62"/>
      <c r="FHM2" s="62"/>
      <c r="FHN2" s="62"/>
      <c r="FHO2" s="62"/>
      <c r="FHP2" s="62"/>
      <c r="FHQ2" s="62"/>
      <c r="FHR2" s="62"/>
      <c r="FHS2" s="62"/>
      <c r="FHT2" s="62"/>
      <c r="FHU2" s="62"/>
      <c r="FHV2" s="62"/>
      <c r="FHW2" s="62"/>
      <c r="FHX2" s="62"/>
      <c r="FHY2" s="62"/>
      <c r="FHZ2" s="62"/>
      <c r="FIA2" s="62"/>
      <c r="FIB2" s="62"/>
      <c r="FIC2" s="62"/>
      <c r="FID2" s="62"/>
      <c r="FIE2" s="62"/>
      <c r="FIF2" s="62"/>
      <c r="FIG2" s="62"/>
      <c r="FIH2" s="62"/>
      <c r="FII2" s="62"/>
      <c r="FIJ2" s="62"/>
      <c r="FIK2" s="62"/>
      <c r="FIL2" s="62"/>
      <c r="FIM2" s="62"/>
      <c r="FIN2" s="62"/>
      <c r="FIO2" s="62"/>
      <c r="FIP2" s="62"/>
      <c r="FIQ2" s="62"/>
      <c r="FIR2" s="62"/>
      <c r="FIS2" s="62"/>
      <c r="FIT2" s="62"/>
      <c r="FIU2" s="62"/>
      <c r="FIV2" s="62"/>
      <c r="FIW2" s="62"/>
      <c r="FIX2" s="62"/>
      <c r="FIY2" s="62"/>
      <c r="FIZ2" s="62"/>
      <c r="FJA2" s="62"/>
      <c r="FJB2" s="62"/>
      <c r="FJC2" s="62"/>
      <c r="FJD2" s="62"/>
      <c r="FJE2" s="62"/>
      <c r="FJF2" s="62"/>
      <c r="FJG2" s="62"/>
      <c r="FJH2" s="62"/>
      <c r="FJI2" s="62"/>
      <c r="FJJ2" s="62"/>
      <c r="FJK2" s="62"/>
      <c r="FJL2" s="62"/>
      <c r="FJM2" s="62"/>
      <c r="FJN2" s="62"/>
      <c r="FJO2" s="62"/>
      <c r="FJP2" s="62"/>
      <c r="FJQ2" s="62"/>
      <c r="FJR2" s="62"/>
      <c r="FJS2" s="62"/>
      <c r="FJT2" s="62"/>
      <c r="FJU2" s="62"/>
      <c r="FJV2" s="62"/>
      <c r="FJW2" s="62"/>
      <c r="FJX2" s="62"/>
      <c r="FJY2" s="62"/>
      <c r="FJZ2" s="62"/>
      <c r="FKA2" s="62"/>
      <c r="FKB2" s="62"/>
      <c r="FKC2" s="62"/>
      <c r="FKD2" s="62"/>
      <c r="FKE2" s="62"/>
      <c r="FKF2" s="62"/>
      <c r="FKG2" s="62"/>
      <c r="FKH2" s="62"/>
      <c r="FKI2" s="62"/>
      <c r="FKJ2" s="62"/>
      <c r="FKK2" s="62"/>
      <c r="FKL2" s="62"/>
      <c r="FKM2" s="62"/>
      <c r="FKN2" s="62"/>
      <c r="FKO2" s="62"/>
      <c r="FKP2" s="62"/>
      <c r="FKQ2" s="62"/>
      <c r="FKR2" s="62"/>
      <c r="FKS2" s="62"/>
      <c r="FKT2" s="62"/>
      <c r="FKU2" s="62"/>
      <c r="FKV2" s="62"/>
      <c r="FKW2" s="62"/>
      <c r="FKX2" s="62"/>
      <c r="FKY2" s="62"/>
      <c r="FKZ2" s="62"/>
      <c r="FLA2" s="62"/>
      <c r="FLB2" s="62"/>
      <c r="FLC2" s="62"/>
      <c r="FLD2" s="62"/>
      <c r="FLE2" s="62"/>
      <c r="FLF2" s="62"/>
      <c r="FLG2" s="62"/>
      <c r="FLH2" s="62"/>
      <c r="FLI2" s="62"/>
      <c r="FLJ2" s="62"/>
      <c r="FLK2" s="62"/>
      <c r="FLL2" s="62"/>
      <c r="FLM2" s="62"/>
      <c r="FLN2" s="62"/>
      <c r="FLO2" s="62"/>
      <c r="FLP2" s="62"/>
      <c r="FLQ2" s="62"/>
      <c r="FLR2" s="62"/>
      <c r="FLS2" s="62"/>
      <c r="FLT2" s="62"/>
      <c r="FLU2" s="62"/>
      <c r="FLV2" s="62"/>
      <c r="FLW2" s="62"/>
      <c r="FLX2" s="62"/>
      <c r="FLY2" s="62"/>
      <c r="FLZ2" s="62"/>
      <c r="FMA2" s="62"/>
      <c r="FMB2" s="62"/>
      <c r="FMC2" s="62"/>
      <c r="FMD2" s="62"/>
      <c r="FME2" s="62"/>
      <c r="FMF2" s="62"/>
      <c r="FMG2" s="62"/>
      <c r="FMH2" s="62"/>
      <c r="FMI2" s="62"/>
      <c r="FMJ2" s="62"/>
      <c r="FMK2" s="62"/>
      <c r="FML2" s="62"/>
      <c r="FMM2" s="62"/>
      <c r="FMN2" s="62"/>
      <c r="FMO2" s="62"/>
      <c r="FMP2" s="62"/>
      <c r="FMQ2" s="62"/>
      <c r="FMR2" s="62"/>
      <c r="FMS2" s="62"/>
      <c r="FMT2" s="62"/>
      <c r="FMU2" s="62"/>
      <c r="FMV2" s="62"/>
      <c r="FMW2" s="62"/>
      <c r="FMX2" s="62"/>
      <c r="FMY2" s="62"/>
      <c r="FMZ2" s="62"/>
      <c r="FNA2" s="62"/>
      <c r="FNB2" s="62"/>
      <c r="FNC2" s="62"/>
      <c r="FND2" s="62"/>
      <c r="FNE2" s="62"/>
      <c r="FNF2" s="62"/>
      <c r="FNG2" s="62"/>
      <c r="FNH2" s="62"/>
      <c r="FNI2" s="62"/>
      <c r="FNJ2" s="62"/>
      <c r="FNK2" s="62"/>
      <c r="FNL2" s="62"/>
      <c r="FNM2" s="62"/>
      <c r="FNN2" s="62"/>
      <c r="FNO2" s="62"/>
      <c r="FNP2" s="62"/>
      <c r="FNQ2" s="62"/>
      <c r="FNR2" s="62"/>
      <c r="FNS2" s="62"/>
      <c r="FNT2" s="62"/>
      <c r="FNU2" s="62"/>
      <c r="FNV2" s="62"/>
      <c r="FNW2" s="62"/>
      <c r="FNX2" s="62"/>
      <c r="FNY2" s="62"/>
      <c r="FNZ2" s="62"/>
      <c r="FOA2" s="62"/>
      <c r="FOB2" s="62"/>
      <c r="FOC2" s="62"/>
      <c r="FOD2" s="62"/>
      <c r="FOE2" s="62"/>
      <c r="FOF2" s="62"/>
      <c r="FOG2" s="62"/>
      <c r="FOH2" s="62"/>
      <c r="FOI2" s="62"/>
      <c r="FOJ2" s="62"/>
      <c r="FOK2" s="62"/>
      <c r="FOL2" s="62"/>
      <c r="FOM2" s="62"/>
      <c r="FON2" s="62"/>
      <c r="FOO2" s="62"/>
      <c r="FOP2" s="62"/>
      <c r="FOQ2" s="62"/>
      <c r="FOR2" s="62"/>
      <c r="FOS2" s="62"/>
      <c r="FOT2" s="62"/>
      <c r="FOU2" s="62"/>
      <c r="FOV2" s="62"/>
      <c r="FOW2" s="62"/>
      <c r="FOX2" s="62"/>
      <c r="FOY2" s="62"/>
      <c r="FOZ2" s="62"/>
      <c r="FPA2" s="62"/>
      <c r="FPB2" s="62"/>
      <c r="FPC2" s="62"/>
      <c r="FPD2" s="62"/>
      <c r="FPE2" s="62"/>
      <c r="FPF2" s="62"/>
      <c r="FPG2" s="62"/>
      <c r="FPH2" s="62"/>
      <c r="FPI2" s="62"/>
      <c r="FPJ2" s="62"/>
      <c r="FPK2" s="62"/>
      <c r="FPL2" s="62"/>
      <c r="FPM2" s="62"/>
      <c r="FPN2" s="62"/>
      <c r="FPO2" s="62"/>
      <c r="FPP2" s="62"/>
      <c r="FPQ2" s="62"/>
      <c r="FPR2" s="62"/>
      <c r="FPS2" s="62"/>
      <c r="FPT2" s="62"/>
      <c r="FPU2" s="62"/>
      <c r="FPV2" s="62"/>
      <c r="FPW2" s="62"/>
      <c r="FPX2" s="62"/>
      <c r="FPY2" s="62"/>
      <c r="FPZ2" s="62"/>
      <c r="FQA2" s="62"/>
      <c r="FQB2" s="62"/>
      <c r="FQC2" s="62"/>
      <c r="FQD2" s="62"/>
      <c r="FQE2" s="62"/>
      <c r="FQF2" s="62"/>
      <c r="FQG2" s="62"/>
      <c r="FQH2" s="62"/>
      <c r="FQI2" s="62"/>
      <c r="FQJ2" s="62"/>
      <c r="FQK2" s="62"/>
      <c r="FQL2" s="62"/>
      <c r="FQM2" s="62"/>
      <c r="FQN2" s="62"/>
      <c r="FQO2" s="62"/>
      <c r="FQP2" s="62"/>
      <c r="FQQ2" s="62"/>
      <c r="FQR2" s="62"/>
      <c r="FQS2" s="62"/>
      <c r="FQT2" s="62"/>
      <c r="FQU2" s="62"/>
      <c r="FQV2" s="62"/>
      <c r="FQW2" s="62"/>
      <c r="FQX2" s="62"/>
      <c r="FQY2" s="62"/>
      <c r="FQZ2" s="62"/>
      <c r="FRA2" s="62"/>
      <c r="FRB2" s="62"/>
      <c r="FRC2" s="62"/>
      <c r="FRD2" s="62"/>
      <c r="FRE2" s="62"/>
      <c r="FRF2" s="62"/>
      <c r="FRG2" s="62"/>
      <c r="FRH2" s="62"/>
      <c r="FRI2" s="62"/>
      <c r="FRJ2" s="62"/>
      <c r="FRK2" s="62"/>
      <c r="FRL2" s="62"/>
      <c r="FRM2" s="62"/>
      <c r="FRN2" s="62"/>
      <c r="FRO2" s="62"/>
      <c r="FRP2" s="62"/>
      <c r="FRQ2" s="62"/>
      <c r="FRR2" s="62"/>
      <c r="FRS2" s="62"/>
      <c r="FRT2" s="62"/>
      <c r="FRU2" s="62"/>
      <c r="FRV2" s="62"/>
      <c r="FRW2" s="62"/>
      <c r="FRX2" s="62"/>
      <c r="FRY2" s="62"/>
      <c r="FRZ2" s="62"/>
      <c r="FSA2" s="62"/>
      <c r="FSB2" s="62"/>
      <c r="FSC2" s="62"/>
      <c r="FSD2" s="62"/>
      <c r="FSE2" s="62"/>
      <c r="FSF2" s="62"/>
      <c r="FSG2" s="62"/>
      <c r="FSH2" s="62"/>
      <c r="FSI2" s="62"/>
      <c r="FSJ2" s="62"/>
      <c r="FSK2" s="62"/>
      <c r="FSL2" s="62"/>
      <c r="FSM2" s="62"/>
      <c r="FSN2" s="62"/>
      <c r="FSO2" s="62"/>
      <c r="FSP2" s="62"/>
      <c r="FSQ2" s="62"/>
      <c r="FSR2" s="62"/>
      <c r="FSS2" s="62"/>
      <c r="FST2" s="62"/>
      <c r="FSU2" s="62"/>
      <c r="FSV2" s="62"/>
      <c r="FSW2" s="62"/>
      <c r="FSX2" s="62"/>
      <c r="FSY2" s="62"/>
      <c r="FSZ2" s="62"/>
      <c r="FTA2" s="62"/>
      <c r="FTB2" s="62"/>
      <c r="FTC2" s="62"/>
      <c r="FTD2" s="62"/>
      <c r="FTE2" s="62"/>
      <c r="FTF2" s="62"/>
      <c r="FTG2" s="62"/>
      <c r="FTH2" s="62"/>
      <c r="FTI2" s="62"/>
      <c r="FTJ2" s="62"/>
      <c r="FTK2" s="62"/>
      <c r="FTL2" s="62"/>
      <c r="FTM2" s="62"/>
      <c r="FTN2" s="62"/>
      <c r="FTO2" s="62"/>
      <c r="FTP2" s="62"/>
      <c r="FTQ2" s="62"/>
      <c r="FTR2" s="62"/>
      <c r="FTS2" s="62"/>
      <c r="FTT2" s="62"/>
      <c r="FTU2" s="62"/>
      <c r="FTV2" s="62"/>
      <c r="FTW2" s="62"/>
      <c r="FTX2" s="62"/>
      <c r="FTY2" s="62"/>
      <c r="FTZ2" s="62"/>
      <c r="FUA2" s="62"/>
      <c r="FUB2" s="62"/>
      <c r="FUC2" s="62"/>
      <c r="FUD2" s="62"/>
      <c r="FUE2" s="62"/>
      <c r="FUF2" s="62"/>
      <c r="FUG2" s="62"/>
      <c r="FUH2" s="62"/>
      <c r="FUI2" s="62"/>
      <c r="FUJ2" s="62"/>
      <c r="FUK2" s="62"/>
      <c r="FUL2" s="62"/>
      <c r="FUM2" s="62"/>
      <c r="FUN2" s="62"/>
      <c r="FUO2" s="62"/>
      <c r="FUP2" s="62"/>
      <c r="FUQ2" s="62"/>
      <c r="FUR2" s="62"/>
      <c r="FUS2" s="62"/>
      <c r="FUT2" s="62"/>
      <c r="FUU2" s="62"/>
      <c r="FUV2" s="62"/>
      <c r="FUW2" s="62"/>
      <c r="FUX2" s="62"/>
      <c r="FUY2" s="62"/>
      <c r="FUZ2" s="62"/>
      <c r="FVA2" s="62"/>
      <c r="FVB2" s="62"/>
      <c r="FVC2" s="62"/>
      <c r="FVD2" s="62"/>
      <c r="FVE2" s="62"/>
      <c r="FVF2" s="62"/>
      <c r="FVG2" s="62"/>
      <c r="FVH2" s="62"/>
      <c r="FVI2" s="62"/>
      <c r="FVJ2" s="62"/>
      <c r="FVK2" s="62"/>
      <c r="FVL2" s="62"/>
      <c r="FVM2" s="62"/>
      <c r="FVN2" s="62"/>
      <c r="FVO2" s="62"/>
      <c r="FVP2" s="62"/>
      <c r="FVQ2" s="62"/>
      <c r="FVR2" s="62"/>
      <c r="FVS2" s="62"/>
      <c r="FVT2" s="62"/>
      <c r="FVU2" s="62"/>
      <c r="FVV2" s="62"/>
      <c r="FVW2" s="62"/>
      <c r="FVX2" s="62"/>
      <c r="FVY2" s="62"/>
      <c r="FVZ2" s="62"/>
      <c r="FWA2" s="62"/>
      <c r="FWB2" s="62"/>
      <c r="FWC2" s="62"/>
      <c r="FWD2" s="62"/>
      <c r="FWE2" s="62"/>
      <c r="FWF2" s="62"/>
      <c r="FWG2" s="62"/>
      <c r="FWH2" s="62"/>
      <c r="FWI2" s="62"/>
      <c r="FWJ2" s="62"/>
      <c r="FWK2" s="62"/>
      <c r="FWL2" s="62"/>
      <c r="FWM2" s="62"/>
      <c r="FWN2" s="62"/>
      <c r="FWO2" s="62"/>
      <c r="FWP2" s="62"/>
      <c r="FWQ2" s="62"/>
      <c r="FWR2" s="62"/>
      <c r="FWS2" s="62"/>
      <c r="FWT2" s="62"/>
      <c r="FWU2" s="62"/>
      <c r="FWV2" s="62"/>
      <c r="FWW2" s="62"/>
      <c r="FWX2" s="62"/>
      <c r="FWY2" s="62"/>
      <c r="FWZ2" s="62"/>
      <c r="FXA2" s="62"/>
      <c r="FXB2" s="62"/>
      <c r="FXC2" s="62"/>
      <c r="FXD2" s="62"/>
      <c r="FXE2" s="62"/>
      <c r="FXF2" s="62"/>
      <c r="FXG2" s="62"/>
      <c r="FXH2" s="62"/>
      <c r="FXI2" s="62"/>
      <c r="FXJ2" s="62"/>
      <c r="FXK2" s="62"/>
      <c r="FXL2" s="62"/>
      <c r="FXM2" s="62"/>
      <c r="FXN2" s="62"/>
      <c r="FXO2" s="62"/>
      <c r="FXP2" s="62"/>
      <c r="FXQ2" s="62"/>
      <c r="FXR2" s="62"/>
      <c r="FXS2" s="62"/>
      <c r="FXT2" s="62"/>
      <c r="FXU2" s="62"/>
      <c r="FXV2" s="62"/>
      <c r="FXW2" s="62"/>
      <c r="FXX2" s="62"/>
      <c r="FXY2" s="62"/>
      <c r="FXZ2" s="62"/>
      <c r="FYA2" s="62"/>
      <c r="FYB2" s="62"/>
      <c r="FYC2" s="62"/>
      <c r="FYD2" s="62"/>
      <c r="FYE2" s="62"/>
      <c r="FYF2" s="62"/>
      <c r="FYG2" s="62"/>
      <c r="FYH2" s="62"/>
      <c r="FYI2" s="62"/>
      <c r="FYJ2" s="62"/>
      <c r="FYK2" s="62"/>
      <c r="FYL2" s="62"/>
      <c r="FYM2" s="62"/>
      <c r="FYN2" s="62"/>
      <c r="FYO2" s="62"/>
      <c r="FYP2" s="62"/>
      <c r="FYQ2" s="62"/>
      <c r="FYR2" s="62"/>
      <c r="FYS2" s="62"/>
      <c r="FYT2" s="62"/>
      <c r="FYU2" s="62"/>
      <c r="FYV2" s="62"/>
      <c r="FYW2" s="62"/>
      <c r="FYX2" s="62"/>
      <c r="FYY2" s="62"/>
      <c r="FYZ2" s="62"/>
      <c r="FZA2" s="62"/>
      <c r="FZB2" s="62"/>
      <c r="FZC2" s="62"/>
      <c r="FZD2" s="62"/>
      <c r="FZE2" s="62"/>
      <c r="FZF2" s="62"/>
      <c r="FZG2" s="62"/>
      <c r="FZH2" s="62"/>
      <c r="FZI2" s="62"/>
      <c r="FZJ2" s="62"/>
      <c r="FZK2" s="62"/>
      <c r="FZL2" s="62"/>
      <c r="FZM2" s="62"/>
      <c r="FZN2" s="62"/>
      <c r="FZO2" s="62"/>
      <c r="FZP2" s="62"/>
      <c r="FZQ2" s="62"/>
      <c r="FZR2" s="62"/>
      <c r="FZS2" s="62"/>
      <c r="FZT2" s="62"/>
      <c r="FZU2" s="62"/>
      <c r="FZV2" s="62"/>
      <c r="FZW2" s="62"/>
      <c r="FZX2" s="62"/>
      <c r="FZY2" s="62"/>
      <c r="FZZ2" s="62"/>
      <c r="GAA2" s="62"/>
      <c r="GAB2" s="62"/>
      <c r="GAC2" s="62"/>
      <c r="GAD2" s="62"/>
      <c r="GAE2" s="62"/>
      <c r="GAF2" s="62"/>
      <c r="GAG2" s="62"/>
      <c r="GAH2" s="62"/>
      <c r="GAI2" s="62"/>
      <c r="GAJ2" s="62"/>
      <c r="GAK2" s="62"/>
      <c r="GAL2" s="62"/>
      <c r="GAM2" s="62"/>
      <c r="GAN2" s="62"/>
      <c r="GAO2" s="62"/>
      <c r="GAP2" s="62"/>
      <c r="GAQ2" s="62"/>
      <c r="GAR2" s="62"/>
      <c r="GAS2" s="62"/>
      <c r="GAT2" s="62"/>
      <c r="GAU2" s="62"/>
      <c r="GAV2" s="62"/>
      <c r="GAW2" s="62"/>
      <c r="GAX2" s="62"/>
      <c r="GAY2" s="62"/>
      <c r="GAZ2" s="62"/>
      <c r="GBA2" s="62"/>
      <c r="GBB2" s="62"/>
      <c r="GBC2" s="62"/>
      <c r="GBD2" s="62"/>
      <c r="GBE2" s="62"/>
      <c r="GBF2" s="62"/>
      <c r="GBG2" s="62"/>
      <c r="GBH2" s="62"/>
      <c r="GBI2" s="62"/>
      <c r="GBJ2" s="62"/>
      <c r="GBK2" s="62"/>
      <c r="GBL2" s="62"/>
      <c r="GBM2" s="62"/>
      <c r="GBN2" s="62"/>
      <c r="GBO2" s="62"/>
      <c r="GBP2" s="62"/>
      <c r="GBQ2" s="62"/>
      <c r="GBR2" s="62"/>
      <c r="GBS2" s="62"/>
      <c r="GBT2" s="62"/>
      <c r="GBU2" s="62"/>
      <c r="GBV2" s="62"/>
      <c r="GBW2" s="62"/>
      <c r="GBX2" s="62"/>
      <c r="GBY2" s="62"/>
      <c r="GBZ2" s="62"/>
      <c r="GCA2" s="62"/>
      <c r="GCB2" s="62"/>
      <c r="GCC2" s="62"/>
      <c r="GCD2" s="62"/>
      <c r="GCE2" s="62"/>
      <c r="GCF2" s="62"/>
      <c r="GCG2" s="62"/>
      <c r="GCH2" s="62"/>
      <c r="GCI2" s="62"/>
      <c r="GCJ2" s="62"/>
      <c r="GCK2" s="62"/>
      <c r="GCL2" s="62"/>
      <c r="GCM2" s="62"/>
      <c r="GCN2" s="62"/>
      <c r="GCO2" s="62"/>
      <c r="GCP2" s="62"/>
      <c r="GCQ2" s="62"/>
      <c r="GCR2" s="62"/>
      <c r="GCS2" s="62"/>
      <c r="GCT2" s="62"/>
      <c r="GCU2" s="62"/>
      <c r="GCV2" s="62"/>
      <c r="GCW2" s="62"/>
      <c r="GCX2" s="62"/>
      <c r="GCY2" s="62"/>
      <c r="GCZ2" s="62"/>
      <c r="GDA2" s="62"/>
      <c r="GDB2" s="62"/>
      <c r="GDC2" s="62"/>
      <c r="GDD2" s="62"/>
      <c r="GDE2" s="62"/>
      <c r="GDF2" s="62"/>
      <c r="GDG2" s="62"/>
      <c r="GDH2" s="62"/>
      <c r="GDI2" s="62"/>
      <c r="GDJ2" s="62"/>
      <c r="GDK2" s="62"/>
      <c r="GDL2" s="62"/>
      <c r="GDM2" s="62"/>
      <c r="GDN2" s="62"/>
      <c r="GDO2" s="62"/>
      <c r="GDP2" s="62"/>
      <c r="GDQ2" s="62"/>
      <c r="GDR2" s="62"/>
      <c r="GDS2" s="62"/>
      <c r="GDT2" s="62"/>
      <c r="GDU2" s="62"/>
      <c r="GDV2" s="62"/>
      <c r="GDW2" s="62"/>
      <c r="GDX2" s="62"/>
      <c r="GDY2" s="62"/>
      <c r="GDZ2" s="62"/>
      <c r="GEA2" s="62"/>
      <c r="GEB2" s="62"/>
      <c r="GEC2" s="62"/>
      <c r="GED2" s="62"/>
      <c r="GEE2" s="62"/>
      <c r="GEF2" s="62"/>
      <c r="GEG2" s="62"/>
      <c r="GEH2" s="62"/>
      <c r="GEI2" s="62"/>
      <c r="GEJ2" s="62"/>
      <c r="GEK2" s="62"/>
      <c r="GEL2" s="62"/>
      <c r="GEM2" s="62"/>
      <c r="GEN2" s="62"/>
      <c r="GEO2" s="62"/>
      <c r="GEP2" s="62"/>
      <c r="GEQ2" s="62"/>
      <c r="GER2" s="62"/>
      <c r="GES2" s="62"/>
      <c r="GET2" s="62"/>
      <c r="GEU2" s="62"/>
      <c r="GEV2" s="62"/>
      <c r="GEW2" s="62"/>
      <c r="GEX2" s="62"/>
      <c r="GEY2" s="62"/>
      <c r="GEZ2" s="62"/>
      <c r="GFA2" s="62"/>
      <c r="GFB2" s="62"/>
      <c r="GFC2" s="62"/>
      <c r="GFD2" s="62"/>
      <c r="GFE2" s="62"/>
      <c r="GFF2" s="62"/>
      <c r="GFG2" s="62"/>
      <c r="GFH2" s="62"/>
      <c r="GFI2" s="62"/>
      <c r="GFJ2" s="62"/>
      <c r="GFK2" s="62"/>
      <c r="GFL2" s="62"/>
      <c r="GFM2" s="62"/>
      <c r="GFN2" s="62"/>
      <c r="GFO2" s="62"/>
      <c r="GFP2" s="62"/>
      <c r="GFQ2" s="62"/>
      <c r="GFR2" s="62"/>
      <c r="GFS2" s="62"/>
      <c r="GFT2" s="62"/>
      <c r="GFU2" s="62"/>
      <c r="GFV2" s="62"/>
      <c r="GFW2" s="62"/>
      <c r="GFX2" s="62"/>
      <c r="GFY2" s="62"/>
      <c r="GFZ2" s="62"/>
      <c r="GGA2" s="62"/>
      <c r="GGB2" s="62"/>
      <c r="GGC2" s="62"/>
      <c r="GGD2" s="62"/>
      <c r="GGE2" s="62"/>
      <c r="GGF2" s="62"/>
      <c r="GGG2" s="62"/>
      <c r="GGH2" s="62"/>
      <c r="GGI2" s="62"/>
      <c r="GGJ2" s="62"/>
      <c r="GGK2" s="62"/>
      <c r="GGL2" s="62"/>
      <c r="GGM2" s="62"/>
      <c r="GGN2" s="62"/>
      <c r="GGO2" s="62"/>
      <c r="GGP2" s="62"/>
      <c r="GGQ2" s="62"/>
      <c r="GGR2" s="62"/>
      <c r="GGS2" s="62"/>
      <c r="GGT2" s="62"/>
      <c r="GGU2" s="62"/>
      <c r="GGV2" s="62"/>
      <c r="GGW2" s="62"/>
      <c r="GGX2" s="62"/>
      <c r="GGY2" s="62"/>
      <c r="GGZ2" s="62"/>
      <c r="GHA2" s="62"/>
      <c r="GHB2" s="62"/>
      <c r="GHC2" s="62"/>
      <c r="GHD2" s="62"/>
      <c r="GHE2" s="62"/>
      <c r="GHF2" s="62"/>
      <c r="GHG2" s="62"/>
      <c r="GHH2" s="62"/>
      <c r="GHI2" s="62"/>
      <c r="GHJ2" s="62"/>
      <c r="GHK2" s="62"/>
      <c r="GHL2" s="62"/>
      <c r="GHM2" s="62"/>
      <c r="GHN2" s="62"/>
      <c r="GHO2" s="62"/>
      <c r="GHP2" s="62"/>
      <c r="GHQ2" s="62"/>
      <c r="GHR2" s="62"/>
      <c r="GHS2" s="62"/>
      <c r="GHT2" s="62"/>
      <c r="GHU2" s="62"/>
      <c r="GHV2" s="62"/>
      <c r="GHW2" s="62"/>
      <c r="GHX2" s="62"/>
      <c r="GHY2" s="62"/>
      <c r="GHZ2" s="62"/>
      <c r="GIA2" s="62"/>
      <c r="GIB2" s="62"/>
      <c r="GIC2" s="62"/>
      <c r="GID2" s="62"/>
      <c r="GIE2" s="62"/>
      <c r="GIF2" s="62"/>
      <c r="GIG2" s="62"/>
      <c r="GIH2" s="62"/>
      <c r="GII2" s="62"/>
      <c r="GIJ2" s="62"/>
      <c r="GIK2" s="62"/>
      <c r="GIL2" s="62"/>
      <c r="GIM2" s="62"/>
      <c r="GIN2" s="62"/>
      <c r="GIO2" s="62"/>
      <c r="GIP2" s="62"/>
      <c r="GIQ2" s="62"/>
      <c r="GIR2" s="62"/>
      <c r="GIS2" s="62"/>
      <c r="GIT2" s="62"/>
      <c r="GIU2" s="62"/>
      <c r="GIV2" s="62"/>
      <c r="GIW2" s="62"/>
      <c r="GIX2" s="62"/>
      <c r="GIY2" s="62"/>
      <c r="GIZ2" s="62"/>
      <c r="GJA2" s="62"/>
      <c r="GJB2" s="62"/>
      <c r="GJC2" s="62"/>
      <c r="GJD2" s="62"/>
      <c r="GJE2" s="62"/>
      <c r="GJF2" s="62"/>
      <c r="GJG2" s="62"/>
      <c r="GJH2" s="62"/>
      <c r="GJI2" s="62"/>
      <c r="GJJ2" s="62"/>
      <c r="GJK2" s="62"/>
      <c r="GJL2" s="62"/>
      <c r="GJM2" s="62"/>
      <c r="GJN2" s="62"/>
      <c r="GJO2" s="62"/>
      <c r="GJP2" s="62"/>
      <c r="GJQ2" s="62"/>
      <c r="GJR2" s="62"/>
      <c r="GJS2" s="62"/>
      <c r="GJT2" s="62"/>
      <c r="GJU2" s="62"/>
      <c r="GJV2" s="62"/>
      <c r="GJW2" s="62"/>
      <c r="GJX2" s="62"/>
      <c r="GJY2" s="62"/>
      <c r="GJZ2" s="62"/>
      <c r="GKA2" s="62"/>
      <c r="GKB2" s="62"/>
      <c r="GKC2" s="62"/>
      <c r="GKD2" s="62"/>
      <c r="GKE2" s="62"/>
      <c r="GKF2" s="62"/>
      <c r="GKG2" s="62"/>
      <c r="GKH2" s="62"/>
      <c r="GKI2" s="62"/>
      <c r="GKJ2" s="62"/>
      <c r="GKK2" s="62"/>
      <c r="GKL2" s="62"/>
      <c r="GKM2" s="62"/>
      <c r="GKN2" s="62"/>
      <c r="GKO2" s="62"/>
      <c r="GKP2" s="62"/>
      <c r="GKQ2" s="62"/>
      <c r="GKR2" s="62"/>
      <c r="GKS2" s="62"/>
      <c r="GKT2" s="62"/>
      <c r="GKU2" s="62"/>
      <c r="GKV2" s="62"/>
      <c r="GKW2" s="62"/>
      <c r="GKX2" s="62"/>
      <c r="GKY2" s="62"/>
      <c r="GKZ2" s="62"/>
      <c r="GLA2" s="62"/>
      <c r="GLB2" s="62"/>
      <c r="GLC2" s="62"/>
      <c r="GLD2" s="62"/>
      <c r="GLE2" s="62"/>
      <c r="GLF2" s="62"/>
      <c r="GLG2" s="62"/>
      <c r="GLH2" s="62"/>
      <c r="GLI2" s="62"/>
      <c r="GLJ2" s="62"/>
      <c r="GLK2" s="62"/>
      <c r="GLL2" s="62"/>
      <c r="GLM2" s="62"/>
      <c r="GLN2" s="62"/>
      <c r="GLO2" s="62"/>
      <c r="GLP2" s="62"/>
      <c r="GLQ2" s="62"/>
      <c r="GLR2" s="62"/>
      <c r="GLS2" s="62"/>
      <c r="GLT2" s="62"/>
      <c r="GLU2" s="62"/>
      <c r="GLV2" s="62"/>
      <c r="GLW2" s="62"/>
      <c r="GLX2" s="62"/>
      <c r="GLY2" s="62"/>
      <c r="GLZ2" s="62"/>
      <c r="GMA2" s="62"/>
      <c r="GMB2" s="62"/>
      <c r="GMC2" s="62"/>
      <c r="GMD2" s="62"/>
      <c r="GME2" s="62"/>
      <c r="GMF2" s="62"/>
      <c r="GMG2" s="62"/>
      <c r="GMH2" s="62"/>
      <c r="GMI2" s="62"/>
      <c r="GMJ2" s="62"/>
      <c r="GMK2" s="62"/>
      <c r="GML2" s="62"/>
      <c r="GMM2" s="62"/>
      <c r="GMN2" s="62"/>
      <c r="GMO2" s="62"/>
      <c r="GMP2" s="62"/>
      <c r="GMQ2" s="62"/>
      <c r="GMR2" s="62"/>
      <c r="GMS2" s="62"/>
      <c r="GMT2" s="62"/>
      <c r="GMU2" s="62"/>
      <c r="GMV2" s="62"/>
      <c r="GMW2" s="62"/>
      <c r="GMX2" s="62"/>
      <c r="GMY2" s="62"/>
      <c r="GMZ2" s="62"/>
      <c r="GNA2" s="62"/>
      <c r="GNB2" s="62"/>
      <c r="GNC2" s="62"/>
      <c r="GND2" s="62"/>
      <c r="GNE2" s="62"/>
      <c r="GNF2" s="62"/>
      <c r="GNG2" s="62"/>
      <c r="GNH2" s="62"/>
      <c r="GNI2" s="62"/>
      <c r="GNJ2" s="62"/>
      <c r="GNK2" s="62"/>
      <c r="GNL2" s="62"/>
      <c r="GNM2" s="62"/>
      <c r="GNN2" s="62"/>
      <c r="GNO2" s="62"/>
      <c r="GNP2" s="62"/>
      <c r="GNQ2" s="62"/>
      <c r="GNR2" s="62"/>
      <c r="GNS2" s="62"/>
      <c r="GNT2" s="62"/>
      <c r="GNU2" s="62"/>
      <c r="GNV2" s="62"/>
      <c r="GNW2" s="62"/>
      <c r="GNX2" s="62"/>
      <c r="GNY2" s="62"/>
      <c r="GNZ2" s="62"/>
      <c r="GOA2" s="62"/>
      <c r="GOB2" s="62"/>
      <c r="GOC2" s="62"/>
      <c r="GOD2" s="62"/>
      <c r="GOE2" s="62"/>
      <c r="GOF2" s="62"/>
      <c r="GOG2" s="62"/>
      <c r="GOH2" s="62"/>
      <c r="GOI2" s="62"/>
      <c r="GOJ2" s="62"/>
      <c r="GOK2" s="62"/>
      <c r="GOL2" s="62"/>
      <c r="GOM2" s="62"/>
      <c r="GON2" s="62"/>
      <c r="GOO2" s="62"/>
      <c r="GOP2" s="62"/>
      <c r="GOQ2" s="62"/>
      <c r="GOR2" s="62"/>
      <c r="GOS2" s="62"/>
      <c r="GOT2" s="62"/>
      <c r="GOU2" s="62"/>
      <c r="GOV2" s="62"/>
      <c r="GOW2" s="62"/>
      <c r="GOX2" s="62"/>
      <c r="GOY2" s="62"/>
      <c r="GOZ2" s="62"/>
      <c r="GPA2" s="62"/>
      <c r="GPB2" s="62"/>
      <c r="GPC2" s="62"/>
      <c r="GPD2" s="62"/>
      <c r="GPE2" s="62"/>
      <c r="GPF2" s="62"/>
      <c r="GPG2" s="62"/>
      <c r="GPH2" s="62"/>
      <c r="GPI2" s="62"/>
      <c r="GPJ2" s="62"/>
      <c r="GPK2" s="62"/>
      <c r="GPL2" s="62"/>
      <c r="GPM2" s="62"/>
      <c r="GPN2" s="62"/>
      <c r="GPO2" s="62"/>
      <c r="GPP2" s="62"/>
      <c r="GPQ2" s="62"/>
      <c r="GPR2" s="62"/>
      <c r="GPS2" s="62"/>
      <c r="GPT2" s="62"/>
      <c r="GPU2" s="62"/>
      <c r="GPV2" s="62"/>
      <c r="GPW2" s="62"/>
      <c r="GPX2" s="62"/>
      <c r="GPY2" s="62"/>
      <c r="GPZ2" s="62"/>
      <c r="GQA2" s="62"/>
      <c r="GQB2" s="62"/>
      <c r="GQC2" s="62"/>
      <c r="GQD2" s="62"/>
      <c r="GQE2" s="62"/>
      <c r="GQF2" s="62"/>
      <c r="GQG2" s="62"/>
      <c r="GQH2" s="62"/>
      <c r="GQI2" s="62"/>
      <c r="GQJ2" s="62"/>
      <c r="GQK2" s="62"/>
      <c r="GQL2" s="62"/>
      <c r="GQM2" s="62"/>
      <c r="GQN2" s="62"/>
      <c r="GQO2" s="62"/>
      <c r="GQP2" s="62"/>
      <c r="GQQ2" s="62"/>
      <c r="GQR2" s="62"/>
      <c r="GQS2" s="62"/>
      <c r="GQT2" s="62"/>
      <c r="GQU2" s="62"/>
      <c r="GQV2" s="62"/>
      <c r="GQW2" s="62"/>
      <c r="GQX2" s="62"/>
      <c r="GQY2" s="62"/>
      <c r="GQZ2" s="62"/>
      <c r="GRA2" s="62"/>
      <c r="GRB2" s="62"/>
      <c r="GRC2" s="62"/>
      <c r="GRD2" s="62"/>
      <c r="GRE2" s="62"/>
      <c r="GRF2" s="62"/>
      <c r="GRG2" s="62"/>
      <c r="GRH2" s="62"/>
      <c r="GRI2" s="62"/>
      <c r="GRJ2" s="62"/>
      <c r="GRK2" s="62"/>
      <c r="GRL2" s="62"/>
      <c r="GRM2" s="62"/>
      <c r="GRN2" s="62"/>
      <c r="GRO2" s="62"/>
      <c r="GRP2" s="62"/>
      <c r="GRQ2" s="62"/>
      <c r="GRR2" s="62"/>
      <c r="GRS2" s="62"/>
      <c r="GRT2" s="62"/>
      <c r="GRU2" s="62"/>
      <c r="GRV2" s="62"/>
      <c r="GRW2" s="62"/>
      <c r="GRX2" s="62"/>
      <c r="GRY2" s="62"/>
      <c r="GRZ2" s="62"/>
      <c r="GSA2" s="62"/>
      <c r="GSB2" s="62"/>
      <c r="GSC2" s="62"/>
      <c r="GSD2" s="62"/>
      <c r="GSE2" s="62"/>
      <c r="GSF2" s="62"/>
      <c r="GSG2" s="62"/>
      <c r="GSH2" s="62"/>
      <c r="GSI2" s="62"/>
      <c r="GSJ2" s="62"/>
      <c r="GSK2" s="62"/>
      <c r="GSL2" s="62"/>
      <c r="GSM2" s="62"/>
      <c r="GSN2" s="62"/>
      <c r="GSO2" s="62"/>
      <c r="GSP2" s="62"/>
      <c r="GSQ2" s="62"/>
      <c r="GSR2" s="62"/>
      <c r="GSS2" s="62"/>
      <c r="GST2" s="62"/>
      <c r="GSU2" s="62"/>
      <c r="GSV2" s="62"/>
      <c r="GSW2" s="62"/>
      <c r="GSX2" s="62"/>
      <c r="GSY2" s="62"/>
      <c r="GSZ2" s="62"/>
      <c r="GTA2" s="62"/>
      <c r="GTB2" s="62"/>
      <c r="GTC2" s="62"/>
      <c r="GTD2" s="62"/>
      <c r="GTE2" s="62"/>
      <c r="GTF2" s="62"/>
      <c r="GTG2" s="62"/>
      <c r="GTH2" s="62"/>
      <c r="GTI2" s="62"/>
      <c r="GTJ2" s="62"/>
      <c r="GTK2" s="62"/>
      <c r="GTL2" s="62"/>
      <c r="GTM2" s="62"/>
      <c r="GTN2" s="62"/>
      <c r="GTO2" s="62"/>
      <c r="GTP2" s="62"/>
      <c r="GTQ2" s="62"/>
      <c r="GTR2" s="62"/>
      <c r="GTS2" s="62"/>
      <c r="GTT2" s="62"/>
      <c r="GTU2" s="62"/>
      <c r="GTV2" s="62"/>
      <c r="GTW2" s="62"/>
      <c r="GTX2" s="62"/>
      <c r="GTY2" s="62"/>
      <c r="GTZ2" s="62"/>
      <c r="GUA2" s="62"/>
      <c r="GUB2" s="62"/>
      <c r="GUC2" s="62"/>
      <c r="GUD2" s="62"/>
      <c r="GUE2" s="62"/>
      <c r="GUF2" s="62"/>
      <c r="GUG2" s="62"/>
      <c r="GUH2" s="62"/>
      <c r="GUI2" s="62"/>
      <c r="GUJ2" s="62"/>
      <c r="GUK2" s="62"/>
      <c r="GUL2" s="62"/>
      <c r="GUM2" s="62"/>
      <c r="GUN2" s="62"/>
      <c r="GUO2" s="62"/>
      <c r="GUP2" s="62"/>
      <c r="GUQ2" s="62"/>
      <c r="GUR2" s="62"/>
      <c r="GUS2" s="62"/>
      <c r="GUT2" s="62"/>
      <c r="GUU2" s="62"/>
      <c r="GUV2" s="62"/>
      <c r="GUW2" s="62"/>
      <c r="GUX2" s="62"/>
      <c r="GUY2" s="62"/>
      <c r="GUZ2" s="62"/>
      <c r="GVA2" s="62"/>
      <c r="GVB2" s="62"/>
      <c r="GVC2" s="62"/>
      <c r="GVD2" s="62"/>
      <c r="GVE2" s="62"/>
      <c r="GVF2" s="62"/>
      <c r="GVG2" s="62"/>
      <c r="GVH2" s="62"/>
      <c r="GVI2" s="62"/>
      <c r="GVJ2" s="62"/>
      <c r="GVK2" s="62"/>
      <c r="GVL2" s="62"/>
      <c r="GVM2" s="62"/>
      <c r="GVN2" s="62"/>
      <c r="GVO2" s="62"/>
      <c r="GVP2" s="62"/>
      <c r="GVQ2" s="62"/>
      <c r="GVR2" s="62"/>
      <c r="GVS2" s="62"/>
      <c r="GVT2" s="62"/>
      <c r="GVU2" s="62"/>
      <c r="GVV2" s="62"/>
      <c r="GVW2" s="62"/>
      <c r="GVX2" s="62"/>
      <c r="GVY2" s="62"/>
      <c r="GVZ2" s="62"/>
      <c r="GWA2" s="62"/>
      <c r="GWB2" s="62"/>
      <c r="GWC2" s="62"/>
      <c r="GWD2" s="62"/>
      <c r="GWE2" s="62"/>
      <c r="GWF2" s="62"/>
      <c r="GWG2" s="62"/>
      <c r="GWH2" s="62"/>
      <c r="GWI2" s="62"/>
      <c r="GWJ2" s="62"/>
      <c r="GWK2" s="62"/>
      <c r="GWL2" s="62"/>
      <c r="GWM2" s="62"/>
      <c r="GWN2" s="62"/>
      <c r="GWO2" s="62"/>
      <c r="GWP2" s="62"/>
      <c r="GWQ2" s="62"/>
      <c r="GWR2" s="62"/>
      <c r="GWS2" s="62"/>
      <c r="GWT2" s="62"/>
      <c r="GWU2" s="62"/>
      <c r="GWV2" s="62"/>
      <c r="GWW2" s="62"/>
      <c r="GWX2" s="62"/>
      <c r="GWY2" s="62"/>
      <c r="GWZ2" s="62"/>
      <c r="GXA2" s="62"/>
      <c r="GXB2" s="62"/>
      <c r="GXC2" s="62"/>
      <c r="GXD2" s="62"/>
      <c r="GXE2" s="62"/>
      <c r="GXF2" s="62"/>
      <c r="GXG2" s="62"/>
      <c r="GXH2" s="62"/>
      <c r="GXI2" s="62"/>
      <c r="GXJ2" s="62"/>
      <c r="GXK2" s="62"/>
      <c r="GXL2" s="62"/>
      <c r="GXM2" s="62"/>
      <c r="GXN2" s="62"/>
      <c r="GXO2" s="62"/>
      <c r="GXP2" s="62"/>
      <c r="GXQ2" s="62"/>
      <c r="GXR2" s="62"/>
      <c r="GXS2" s="62"/>
      <c r="GXT2" s="62"/>
      <c r="GXU2" s="62"/>
      <c r="GXV2" s="62"/>
      <c r="GXW2" s="62"/>
      <c r="GXX2" s="62"/>
      <c r="GXY2" s="62"/>
      <c r="GXZ2" s="62"/>
      <c r="GYA2" s="62"/>
      <c r="GYB2" s="62"/>
      <c r="GYC2" s="62"/>
      <c r="GYD2" s="62"/>
      <c r="GYE2" s="62"/>
      <c r="GYF2" s="62"/>
      <c r="GYG2" s="62"/>
      <c r="GYH2" s="62"/>
      <c r="GYI2" s="62"/>
      <c r="GYJ2" s="62"/>
      <c r="GYK2" s="62"/>
      <c r="GYL2" s="62"/>
      <c r="GYM2" s="62"/>
      <c r="GYN2" s="62"/>
      <c r="GYO2" s="62"/>
      <c r="GYP2" s="62"/>
      <c r="GYQ2" s="62"/>
      <c r="GYR2" s="62"/>
      <c r="GYS2" s="62"/>
      <c r="GYT2" s="62"/>
      <c r="GYU2" s="62"/>
      <c r="GYV2" s="62"/>
      <c r="GYW2" s="62"/>
      <c r="GYX2" s="62"/>
      <c r="GYY2" s="62"/>
      <c r="GYZ2" s="62"/>
      <c r="GZA2" s="62"/>
      <c r="GZB2" s="62"/>
      <c r="GZC2" s="62"/>
      <c r="GZD2" s="62"/>
      <c r="GZE2" s="62"/>
      <c r="GZF2" s="62"/>
      <c r="GZG2" s="62"/>
      <c r="GZH2" s="62"/>
      <c r="GZI2" s="62"/>
      <c r="GZJ2" s="62"/>
      <c r="GZK2" s="62"/>
      <c r="GZL2" s="62"/>
      <c r="GZM2" s="62"/>
      <c r="GZN2" s="62"/>
      <c r="GZO2" s="62"/>
      <c r="GZP2" s="62"/>
      <c r="GZQ2" s="62"/>
      <c r="GZR2" s="62"/>
      <c r="GZS2" s="62"/>
      <c r="GZT2" s="62"/>
      <c r="GZU2" s="62"/>
      <c r="GZV2" s="62"/>
      <c r="GZW2" s="62"/>
      <c r="GZX2" s="62"/>
      <c r="GZY2" s="62"/>
      <c r="GZZ2" s="62"/>
      <c r="HAA2" s="62"/>
      <c r="HAB2" s="62"/>
      <c r="HAC2" s="62"/>
      <c r="HAD2" s="62"/>
      <c r="HAE2" s="62"/>
      <c r="HAF2" s="62"/>
      <c r="HAG2" s="62"/>
      <c r="HAH2" s="62"/>
      <c r="HAI2" s="62"/>
      <c r="HAJ2" s="62"/>
      <c r="HAK2" s="62"/>
      <c r="HAL2" s="62"/>
      <c r="HAM2" s="62"/>
      <c r="HAN2" s="62"/>
      <c r="HAO2" s="62"/>
      <c r="HAP2" s="62"/>
      <c r="HAQ2" s="62"/>
      <c r="HAR2" s="62"/>
      <c r="HAS2" s="62"/>
      <c r="HAT2" s="62"/>
      <c r="HAU2" s="62"/>
      <c r="HAV2" s="62"/>
      <c r="HAW2" s="62"/>
      <c r="HAX2" s="62"/>
      <c r="HAY2" s="62"/>
      <c r="HAZ2" s="62"/>
      <c r="HBA2" s="62"/>
      <c r="HBB2" s="62"/>
      <c r="HBC2" s="62"/>
      <c r="HBD2" s="62"/>
      <c r="HBE2" s="62"/>
      <c r="HBF2" s="62"/>
      <c r="HBG2" s="62"/>
      <c r="HBH2" s="62"/>
      <c r="HBI2" s="62"/>
      <c r="HBJ2" s="62"/>
      <c r="HBK2" s="62"/>
      <c r="HBL2" s="62"/>
      <c r="HBM2" s="62"/>
      <c r="HBN2" s="62"/>
      <c r="HBO2" s="62"/>
      <c r="HBP2" s="62"/>
      <c r="HBQ2" s="62"/>
      <c r="HBR2" s="62"/>
      <c r="HBS2" s="62"/>
      <c r="HBT2" s="62"/>
      <c r="HBU2" s="62"/>
      <c r="HBV2" s="62"/>
      <c r="HBW2" s="62"/>
      <c r="HBX2" s="62"/>
      <c r="HBY2" s="62"/>
      <c r="HBZ2" s="62"/>
      <c r="HCA2" s="62"/>
      <c r="HCB2" s="62"/>
      <c r="HCC2" s="62"/>
      <c r="HCD2" s="62"/>
      <c r="HCE2" s="62"/>
      <c r="HCF2" s="62"/>
      <c r="HCG2" s="62"/>
      <c r="HCH2" s="62"/>
      <c r="HCI2" s="62"/>
      <c r="HCJ2" s="62"/>
      <c r="HCK2" s="62"/>
      <c r="HCL2" s="62"/>
      <c r="HCM2" s="62"/>
      <c r="HCN2" s="62"/>
      <c r="HCO2" s="62"/>
      <c r="HCP2" s="62"/>
      <c r="HCQ2" s="62"/>
      <c r="HCR2" s="62"/>
      <c r="HCS2" s="62"/>
      <c r="HCT2" s="62"/>
      <c r="HCU2" s="62"/>
      <c r="HCV2" s="62"/>
      <c r="HCW2" s="62"/>
      <c r="HCX2" s="62"/>
      <c r="HCY2" s="62"/>
      <c r="HCZ2" s="62"/>
      <c r="HDA2" s="62"/>
      <c r="HDB2" s="62"/>
      <c r="HDC2" s="62"/>
      <c r="HDD2" s="62"/>
      <c r="HDE2" s="62"/>
      <c r="HDF2" s="62"/>
      <c r="HDG2" s="62"/>
      <c r="HDH2" s="62"/>
      <c r="HDI2" s="62"/>
      <c r="HDJ2" s="62"/>
      <c r="HDK2" s="62"/>
      <c r="HDL2" s="62"/>
      <c r="HDM2" s="62"/>
      <c r="HDN2" s="62"/>
      <c r="HDO2" s="62"/>
      <c r="HDP2" s="62"/>
      <c r="HDQ2" s="62"/>
      <c r="HDR2" s="62"/>
      <c r="HDS2" s="62"/>
      <c r="HDT2" s="62"/>
      <c r="HDU2" s="62"/>
      <c r="HDV2" s="62"/>
      <c r="HDW2" s="62"/>
      <c r="HDX2" s="62"/>
      <c r="HDY2" s="62"/>
      <c r="HDZ2" s="62"/>
      <c r="HEA2" s="62"/>
      <c r="HEB2" s="62"/>
      <c r="HEC2" s="62"/>
      <c r="HED2" s="62"/>
      <c r="HEE2" s="62"/>
      <c r="HEF2" s="62"/>
      <c r="HEG2" s="62"/>
      <c r="HEH2" s="62"/>
      <c r="HEI2" s="62"/>
      <c r="HEJ2" s="62"/>
      <c r="HEK2" s="62"/>
      <c r="HEL2" s="62"/>
      <c r="HEM2" s="62"/>
      <c r="HEN2" s="62"/>
      <c r="HEO2" s="62"/>
      <c r="HEP2" s="62"/>
      <c r="HEQ2" s="62"/>
      <c r="HER2" s="62"/>
      <c r="HES2" s="62"/>
      <c r="HET2" s="62"/>
      <c r="HEU2" s="62"/>
      <c r="HEV2" s="62"/>
      <c r="HEW2" s="62"/>
      <c r="HEX2" s="62"/>
      <c r="HEY2" s="62"/>
      <c r="HEZ2" s="62"/>
      <c r="HFA2" s="62"/>
      <c r="HFB2" s="62"/>
      <c r="HFC2" s="62"/>
      <c r="HFD2" s="62"/>
      <c r="HFE2" s="62"/>
      <c r="HFF2" s="62"/>
      <c r="HFG2" s="62"/>
      <c r="HFH2" s="62"/>
      <c r="HFI2" s="62"/>
      <c r="HFJ2" s="62"/>
      <c r="HFK2" s="62"/>
      <c r="HFL2" s="62"/>
      <c r="HFM2" s="62"/>
      <c r="HFN2" s="62"/>
      <c r="HFO2" s="62"/>
      <c r="HFP2" s="62"/>
      <c r="HFQ2" s="62"/>
      <c r="HFR2" s="62"/>
      <c r="HFS2" s="62"/>
      <c r="HFT2" s="62"/>
      <c r="HFU2" s="62"/>
      <c r="HFV2" s="62"/>
      <c r="HFW2" s="62"/>
      <c r="HFX2" s="62"/>
      <c r="HFY2" s="62"/>
      <c r="HFZ2" s="62"/>
      <c r="HGA2" s="62"/>
      <c r="HGB2" s="62"/>
      <c r="HGC2" s="62"/>
      <c r="HGD2" s="62"/>
      <c r="HGE2" s="62"/>
      <c r="HGF2" s="62"/>
      <c r="HGG2" s="62"/>
      <c r="HGH2" s="62"/>
      <c r="HGI2" s="62"/>
      <c r="HGJ2" s="62"/>
      <c r="HGK2" s="62"/>
      <c r="HGL2" s="62"/>
      <c r="HGM2" s="62"/>
      <c r="HGN2" s="62"/>
      <c r="HGO2" s="62"/>
      <c r="HGP2" s="62"/>
      <c r="HGQ2" s="62"/>
      <c r="HGR2" s="62"/>
      <c r="HGS2" s="62"/>
      <c r="HGT2" s="62"/>
      <c r="HGU2" s="62"/>
      <c r="HGV2" s="62"/>
      <c r="HGW2" s="62"/>
      <c r="HGX2" s="62"/>
      <c r="HGY2" s="62"/>
      <c r="HGZ2" s="62"/>
      <c r="HHA2" s="62"/>
      <c r="HHB2" s="62"/>
      <c r="HHC2" s="62"/>
      <c r="HHD2" s="62"/>
      <c r="HHE2" s="62"/>
      <c r="HHF2" s="62"/>
      <c r="HHG2" s="62"/>
      <c r="HHH2" s="62"/>
      <c r="HHI2" s="62"/>
      <c r="HHJ2" s="62"/>
      <c r="HHK2" s="62"/>
      <c r="HHL2" s="62"/>
      <c r="HHM2" s="62"/>
      <c r="HHN2" s="62"/>
      <c r="HHO2" s="62"/>
      <c r="HHP2" s="62"/>
      <c r="HHQ2" s="62"/>
      <c r="HHR2" s="62"/>
      <c r="HHS2" s="62"/>
      <c r="HHT2" s="62"/>
      <c r="HHU2" s="62"/>
      <c r="HHV2" s="62"/>
      <c r="HHW2" s="62"/>
      <c r="HHX2" s="62"/>
      <c r="HHY2" s="62"/>
      <c r="HHZ2" s="62"/>
      <c r="HIA2" s="62"/>
      <c r="HIB2" s="62"/>
      <c r="HIC2" s="62"/>
      <c r="HID2" s="62"/>
      <c r="HIE2" s="62"/>
      <c r="HIF2" s="62"/>
      <c r="HIG2" s="62"/>
      <c r="HIH2" s="62"/>
      <c r="HII2" s="62"/>
      <c r="HIJ2" s="62"/>
      <c r="HIK2" s="62"/>
      <c r="HIL2" s="62"/>
      <c r="HIM2" s="62"/>
      <c r="HIN2" s="62"/>
      <c r="HIO2" s="62"/>
      <c r="HIP2" s="62"/>
      <c r="HIQ2" s="62"/>
      <c r="HIR2" s="62"/>
      <c r="HIS2" s="62"/>
      <c r="HIT2" s="62"/>
      <c r="HIU2" s="62"/>
      <c r="HIV2" s="62"/>
      <c r="HIW2" s="62"/>
      <c r="HIX2" s="62"/>
      <c r="HIY2" s="62"/>
      <c r="HIZ2" s="62"/>
      <c r="HJA2" s="62"/>
      <c r="HJB2" s="62"/>
      <c r="HJC2" s="62"/>
      <c r="HJD2" s="62"/>
      <c r="HJE2" s="62"/>
      <c r="HJF2" s="62"/>
      <c r="HJG2" s="62"/>
      <c r="HJH2" s="62"/>
      <c r="HJI2" s="62"/>
      <c r="HJJ2" s="62"/>
      <c r="HJK2" s="62"/>
      <c r="HJL2" s="62"/>
      <c r="HJM2" s="62"/>
      <c r="HJN2" s="62"/>
      <c r="HJO2" s="62"/>
      <c r="HJP2" s="62"/>
      <c r="HJQ2" s="62"/>
      <c r="HJR2" s="62"/>
      <c r="HJS2" s="62"/>
      <c r="HJT2" s="62"/>
      <c r="HJU2" s="62"/>
      <c r="HJV2" s="62"/>
      <c r="HJW2" s="62"/>
      <c r="HJX2" s="62"/>
      <c r="HJY2" s="62"/>
      <c r="HJZ2" s="62"/>
      <c r="HKA2" s="62"/>
      <c r="HKB2" s="62"/>
      <c r="HKC2" s="62"/>
      <c r="HKD2" s="62"/>
      <c r="HKE2" s="62"/>
      <c r="HKF2" s="62"/>
      <c r="HKG2" s="62"/>
      <c r="HKH2" s="62"/>
      <c r="HKI2" s="62"/>
      <c r="HKJ2" s="62"/>
      <c r="HKK2" s="62"/>
      <c r="HKL2" s="62"/>
      <c r="HKM2" s="62"/>
      <c r="HKN2" s="62"/>
      <c r="HKO2" s="62"/>
      <c r="HKP2" s="62"/>
      <c r="HKQ2" s="62"/>
      <c r="HKR2" s="62"/>
      <c r="HKS2" s="62"/>
      <c r="HKT2" s="62"/>
      <c r="HKU2" s="62"/>
      <c r="HKV2" s="62"/>
      <c r="HKW2" s="62"/>
      <c r="HKX2" s="62"/>
      <c r="HKY2" s="62"/>
      <c r="HKZ2" s="62"/>
      <c r="HLA2" s="62"/>
      <c r="HLB2" s="62"/>
      <c r="HLC2" s="62"/>
      <c r="HLD2" s="62"/>
      <c r="HLE2" s="62"/>
      <c r="HLF2" s="62"/>
      <c r="HLG2" s="62"/>
      <c r="HLH2" s="62"/>
      <c r="HLI2" s="62"/>
      <c r="HLJ2" s="62"/>
      <c r="HLK2" s="62"/>
      <c r="HLL2" s="62"/>
      <c r="HLM2" s="62"/>
      <c r="HLN2" s="62"/>
      <c r="HLO2" s="62"/>
      <c r="HLP2" s="62"/>
      <c r="HLQ2" s="62"/>
      <c r="HLR2" s="62"/>
      <c r="HLS2" s="62"/>
      <c r="HLT2" s="62"/>
      <c r="HLU2" s="62"/>
      <c r="HLV2" s="62"/>
      <c r="HLW2" s="62"/>
      <c r="HLX2" s="62"/>
      <c r="HLY2" s="62"/>
      <c r="HLZ2" s="62"/>
      <c r="HMA2" s="62"/>
      <c r="HMB2" s="62"/>
      <c r="HMC2" s="62"/>
      <c r="HMD2" s="62"/>
      <c r="HME2" s="62"/>
      <c r="HMF2" s="62"/>
      <c r="HMG2" s="62"/>
      <c r="HMH2" s="62"/>
      <c r="HMI2" s="62"/>
      <c r="HMJ2" s="62"/>
      <c r="HMK2" s="62"/>
      <c r="HML2" s="62"/>
      <c r="HMM2" s="62"/>
      <c r="HMN2" s="62"/>
      <c r="HMO2" s="62"/>
      <c r="HMP2" s="62"/>
      <c r="HMQ2" s="62"/>
      <c r="HMR2" s="62"/>
      <c r="HMS2" s="62"/>
      <c r="HMT2" s="62"/>
      <c r="HMU2" s="62"/>
      <c r="HMV2" s="62"/>
      <c r="HMW2" s="62"/>
      <c r="HMX2" s="62"/>
      <c r="HMY2" s="62"/>
      <c r="HMZ2" s="62"/>
      <c r="HNA2" s="62"/>
      <c r="HNB2" s="62"/>
      <c r="HNC2" s="62"/>
      <c r="HND2" s="62"/>
      <c r="HNE2" s="62"/>
      <c r="HNF2" s="62"/>
      <c r="HNG2" s="62"/>
      <c r="HNH2" s="62"/>
      <c r="HNI2" s="62"/>
      <c r="HNJ2" s="62"/>
      <c r="HNK2" s="62"/>
      <c r="HNL2" s="62"/>
      <c r="HNM2" s="62"/>
      <c r="HNN2" s="62"/>
      <c r="HNO2" s="62"/>
      <c r="HNP2" s="62"/>
      <c r="HNQ2" s="62"/>
      <c r="HNR2" s="62"/>
      <c r="HNS2" s="62"/>
      <c r="HNT2" s="62"/>
      <c r="HNU2" s="62"/>
      <c r="HNV2" s="62"/>
      <c r="HNW2" s="62"/>
      <c r="HNX2" s="62"/>
      <c r="HNY2" s="62"/>
      <c r="HNZ2" s="62"/>
      <c r="HOA2" s="62"/>
      <c r="HOB2" s="62"/>
      <c r="HOC2" s="62"/>
      <c r="HOD2" s="62"/>
      <c r="HOE2" s="62"/>
      <c r="HOF2" s="62"/>
      <c r="HOG2" s="62"/>
      <c r="HOH2" s="62"/>
      <c r="HOI2" s="62"/>
      <c r="HOJ2" s="62"/>
      <c r="HOK2" s="62"/>
      <c r="HOL2" s="62"/>
      <c r="HOM2" s="62"/>
      <c r="HON2" s="62"/>
      <c r="HOO2" s="62"/>
      <c r="HOP2" s="62"/>
      <c r="HOQ2" s="62"/>
      <c r="HOR2" s="62"/>
      <c r="HOS2" s="62"/>
      <c r="HOT2" s="62"/>
      <c r="HOU2" s="62"/>
      <c r="HOV2" s="62"/>
      <c r="HOW2" s="62"/>
      <c r="HOX2" s="62"/>
      <c r="HOY2" s="62"/>
      <c r="HOZ2" s="62"/>
      <c r="HPA2" s="62"/>
      <c r="HPB2" s="62"/>
      <c r="HPC2" s="62"/>
      <c r="HPD2" s="62"/>
      <c r="HPE2" s="62"/>
      <c r="HPF2" s="62"/>
      <c r="HPG2" s="62"/>
      <c r="HPH2" s="62"/>
      <c r="HPI2" s="62"/>
      <c r="HPJ2" s="62"/>
      <c r="HPK2" s="62"/>
      <c r="HPL2" s="62"/>
      <c r="HPM2" s="62"/>
      <c r="HPN2" s="62"/>
      <c r="HPO2" s="62"/>
      <c r="HPP2" s="62"/>
      <c r="HPQ2" s="62"/>
      <c r="HPR2" s="62"/>
      <c r="HPS2" s="62"/>
      <c r="HPT2" s="62"/>
      <c r="HPU2" s="62"/>
      <c r="HPV2" s="62"/>
      <c r="HPW2" s="62"/>
      <c r="HPX2" s="62"/>
      <c r="HPY2" s="62"/>
      <c r="HPZ2" s="62"/>
      <c r="HQA2" s="62"/>
      <c r="HQB2" s="62"/>
      <c r="HQC2" s="62"/>
      <c r="HQD2" s="62"/>
      <c r="HQE2" s="62"/>
      <c r="HQF2" s="62"/>
      <c r="HQG2" s="62"/>
      <c r="HQH2" s="62"/>
      <c r="HQI2" s="62"/>
      <c r="HQJ2" s="62"/>
      <c r="HQK2" s="62"/>
      <c r="HQL2" s="62"/>
      <c r="HQM2" s="62"/>
      <c r="HQN2" s="62"/>
      <c r="HQO2" s="62"/>
      <c r="HQP2" s="62"/>
      <c r="HQQ2" s="62"/>
      <c r="HQR2" s="62"/>
      <c r="HQS2" s="62"/>
      <c r="HQT2" s="62"/>
      <c r="HQU2" s="62"/>
      <c r="HQV2" s="62"/>
      <c r="HQW2" s="62"/>
      <c r="HQX2" s="62"/>
      <c r="HQY2" s="62"/>
      <c r="HQZ2" s="62"/>
      <c r="HRA2" s="62"/>
      <c r="HRB2" s="62"/>
      <c r="HRC2" s="62"/>
      <c r="HRD2" s="62"/>
      <c r="HRE2" s="62"/>
      <c r="HRF2" s="62"/>
      <c r="HRG2" s="62"/>
      <c r="HRH2" s="62"/>
      <c r="HRI2" s="62"/>
      <c r="HRJ2" s="62"/>
      <c r="HRK2" s="62"/>
      <c r="HRL2" s="62"/>
      <c r="HRM2" s="62"/>
      <c r="HRN2" s="62"/>
      <c r="HRO2" s="62"/>
      <c r="HRP2" s="62"/>
      <c r="HRQ2" s="62"/>
      <c r="HRR2" s="62"/>
      <c r="HRS2" s="62"/>
      <c r="HRT2" s="62"/>
      <c r="HRU2" s="62"/>
      <c r="HRV2" s="62"/>
      <c r="HRW2" s="62"/>
      <c r="HRX2" s="62"/>
      <c r="HRY2" s="62"/>
      <c r="HRZ2" s="62"/>
      <c r="HSA2" s="62"/>
      <c r="HSB2" s="62"/>
      <c r="HSC2" s="62"/>
      <c r="HSD2" s="62"/>
      <c r="HSE2" s="62"/>
      <c r="HSF2" s="62"/>
      <c r="HSG2" s="62"/>
      <c r="HSH2" s="62"/>
      <c r="HSI2" s="62"/>
      <c r="HSJ2" s="62"/>
      <c r="HSK2" s="62"/>
      <c r="HSL2" s="62"/>
      <c r="HSM2" s="62"/>
      <c r="HSN2" s="62"/>
      <c r="HSO2" s="62"/>
      <c r="HSP2" s="62"/>
      <c r="HSQ2" s="62"/>
      <c r="HSR2" s="62"/>
      <c r="HSS2" s="62"/>
      <c r="HST2" s="62"/>
      <c r="HSU2" s="62"/>
      <c r="HSV2" s="62"/>
      <c r="HSW2" s="62"/>
      <c r="HSX2" s="62"/>
      <c r="HSY2" s="62"/>
      <c r="HSZ2" s="62"/>
      <c r="HTA2" s="62"/>
      <c r="HTB2" s="62"/>
      <c r="HTC2" s="62"/>
      <c r="HTD2" s="62"/>
      <c r="HTE2" s="62"/>
      <c r="HTF2" s="62"/>
      <c r="HTG2" s="62"/>
      <c r="HTH2" s="62"/>
      <c r="HTI2" s="62"/>
      <c r="HTJ2" s="62"/>
      <c r="HTK2" s="62"/>
      <c r="HTL2" s="62"/>
      <c r="HTM2" s="62"/>
      <c r="HTN2" s="62"/>
      <c r="HTO2" s="62"/>
      <c r="HTP2" s="62"/>
      <c r="HTQ2" s="62"/>
      <c r="HTR2" s="62"/>
      <c r="HTS2" s="62"/>
      <c r="HTT2" s="62"/>
      <c r="HTU2" s="62"/>
      <c r="HTV2" s="62"/>
      <c r="HTW2" s="62"/>
      <c r="HTX2" s="62"/>
      <c r="HTY2" s="62"/>
      <c r="HTZ2" s="62"/>
      <c r="HUA2" s="62"/>
      <c r="HUB2" s="62"/>
      <c r="HUC2" s="62"/>
      <c r="HUD2" s="62"/>
      <c r="HUE2" s="62"/>
      <c r="HUF2" s="62"/>
      <c r="HUG2" s="62"/>
      <c r="HUH2" s="62"/>
      <c r="HUI2" s="62"/>
      <c r="HUJ2" s="62"/>
      <c r="HUK2" s="62"/>
      <c r="HUL2" s="62"/>
      <c r="HUM2" s="62"/>
      <c r="HUN2" s="62"/>
      <c r="HUO2" s="62"/>
      <c r="HUP2" s="62"/>
      <c r="HUQ2" s="62"/>
      <c r="HUR2" s="62"/>
      <c r="HUS2" s="62"/>
      <c r="HUT2" s="62"/>
      <c r="HUU2" s="62"/>
      <c r="HUV2" s="62"/>
      <c r="HUW2" s="62"/>
      <c r="HUX2" s="62"/>
      <c r="HUY2" s="62"/>
      <c r="HUZ2" s="62"/>
      <c r="HVA2" s="62"/>
      <c r="HVB2" s="62"/>
      <c r="HVC2" s="62"/>
      <c r="HVD2" s="62"/>
      <c r="HVE2" s="62"/>
      <c r="HVF2" s="62"/>
      <c r="HVG2" s="62"/>
      <c r="HVH2" s="62"/>
      <c r="HVI2" s="62"/>
      <c r="HVJ2" s="62"/>
      <c r="HVK2" s="62"/>
      <c r="HVL2" s="62"/>
      <c r="HVM2" s="62"/>
      <c r="HVN2" s="62"/>
      <c r="HVO2" s="62"/>
      <c r="HVP2" s="62"/>
      <c r="HVQ2" s="62"/>
      <c r="HVR2" s="62"/>
      <c r="HVS2" s="62"/>
      <c r="HVT2" s="62"/>
      <c r="HVU2" s="62"/>
      <c r="HVV2" s="62"/>
      <c r="HVW2" s="62"/>
      <c r="HVX2" s="62"/>
      <c r="HVY2" s="62"/>
      <c r="HVZ2" s="62"/>
      <c r="HWA2" s="62"/>
      <c r="HWB2" s="62"/>
      <c r="HWC2" s="62"/>
      <c r="HWD2" s="62"/>
      <c r="HWE2" s="62"/>
      <c r="HWF2" s="62"/>
      <c r="HWG2" s="62"/>
      <c r="HWH2" s="62"/>
      <c r="HWI2" s="62"/>
      <c r="HWJ2" s="62"/>
      <c r="HWK2" s="62"/>
      <c r="HWL2" s="62"/>
      <c r="HWM2" s="62"/>
      <c r="HWN2" s="62"/>
      <c r="HWO2" s="62"/>
      <c r="HWP2" s="62"/>
      <c r="HWQ2" s="62"/>
      <c r="HWR2" s="62"/>
      <c r="HWS2" s="62"/>
      <c r="HWT2" s="62"/>
      <c r="HWU2" s="62"/>
      <c r="HWV2" s="62"/>
      <c r="HWW2" s="62"/>
      <c r="HWX2" s="62"/>
      <c r="HWY2" s="62"/>
      <c r="HWZ2" s="62"/>
      <c r="HXA2" s="62"/>
      <c r="HXB2" s="62"/>
      <c r="HXC2" s="62"/>
      <c r="HXD2" s="62"/>
      <c r="HXE2" s="62"/>
      <c r="HXF2" s="62"/>
      <c r="HXG2" s="62"/>
      <c r="HXH2" s="62"/>
      <c r="HXI2" s="62"/>
      <c r="HXJ2" s="62"/>
      <c r="HXK2" s="62"/>
      <c r="HXL2" s="62"/>
      <c r="HXM2" s="62"/>
      <c r="HXN2" s="62"/>
      <c r="HXO2" s="62"/>
      <c r="HXP2" s="62"/>
      <c r="HXQ2" s="62"/>
      <c r="HXR2" s="62"/>
      <c r="HXS2" s="62"/>
      <c r="HXT2" s="62"/>
      <c r="HXU2" s="62"/>
      <c r="HXV2" s="62"/>
      <c r="HXW2" s="62"/>
      <c r="HXX2" s="62"/>
      <c r="HXY2" s="62"/>
      <c r="HXZ2" s="62"/>
      <c r="HYA2" s="62"/>
      <c r="HYB2" s="62"/>
      <c r="HYC2" s="62"/>
      <c r="HYD2" s="62"/>
      <c r="HYE2" s="62"/>
      <c r="HYF2" s="62"/>
      <c r="HYG2" s="62"/>
      <c r="HYH2" s="62"/>
      <c r="HYI2" s="62"/>
      <c r="HYJ2" s="62"/>
      <c r="HYK2" s="62"/>
      <c r="HYL2" s="62"/>
      <c r="HYM2" s="62"/>
      <c r="HYN2" s="62"/>
      <c r="HYO2" s="62"/>
      <c r="HYP2" s="62"/>
      <c r="HYQ2" s="62"/>
      <c r="HYR2" s="62"/>
      <c r="HYS2" s="62"/>
      <c r="HYT2" s="62"/>
      <c r="HYU2" s="62"/>
      <c r="HYV2" s="62"/>
      <c r="HYW2" s="62"/>
      <c r="HYX2" s="62"/>
      <c r="HYY2" s="62"/>
      <c r="HYZ2" s="62"/>
      <c r="HZA2" s="62"/>
      <c r="HZB2" s="62"/>
      <c r="HZC2" s="62"/>
      <c r="HZD2" s="62"/>
      <c r="HZE2" s="62"/>
      <c r="HZF2" s="62"/>
      <c r="HZG2" s="62"/>
      <c r="HZH2" s="62"/>
      <c r="HZI2" s="62"/>
      <c r="HZJ2" s="62"/>
      <c r="HZK2" s="62"/>
      <c r="HZL2" s="62"/>
      <c r="HZM2" s="62"/>
      <c r="HZN2" s="62"/>
      <c r="HZO2" s="62"/>
      <c r="HZP2" s="62"/>
      <c r="HZQ2" s="62"/>
      <c r="HZR2" s="62"/>
      <c r="HZS2" s="62"/>
      <c r="HZT2" s="62"/>
      <c r="HZU2" s="62"/>
      <c r="HZV2" s="62"/>
      <c r="HZW2" s="62"/>
      <c r="HZX2" s="62"/>
      <c r="HZY2" s="62"/>
      <c r="HZZ2" s="62"/>
      <c r="IAA2" s="62"/>
      <c r="IAB2" s="62"/>
      <c r="IAC2" s="62"/>
      <c r="IAD2" s="62"/>
      <c r="IAE2" s="62"/>
      <c r="IAF2" s="62"/>
      <c r="IAG2" s="62"/>
      <c r="IAH2" s="62"/>
      <c r="IAI2" s="62"/>
      <c r="IAJ2" s="62"/>
      <c r="IAK2" s="62"/>
      <c r="IAL2" s="62"/>
      <c r="IAM2" s="62"/>
      <c r="IAN2" s="62"/>
      <c r="IAO2" s="62"/>
      <c r="IAP2" s="62"/>
      <c r="IAQ2" s="62"/>
      <c r="IAR2" s="62"/>
      <c r="IAS2" s="62"/>
      <c r="IAT2" s="62"/>
      <c r="IAU2" s="62"/>
      <c r="IAV2" s="62"/>
      <c r="IAW2" s="62"/>
      <c r="IAX2" s="62"/>
      <c r="IAY2" s="62"/>
      <c r="IAZ2" s="62"/>
      <c r="IBA2" s="62"/>
      <c r="IBB2" s="62"/>
      <c r="IBC2" s="62"/>
      <c r="IBD2" s="62"/>
      <c r="IBE2" s="62"/>
      <c r="IBF2" s="62"/>
      <c r="IBG2" s="62"/>
      <c r="IBH2" s="62"/>
      <c r="IBI2" s="62"/>
      <c r="IBJ2" s="62"/>
      <c r="IBK2" s="62"/>
      <c r="IBL2" s="62"/>
      <c r="IBM2" s="62"/>
      <c r="IBN2" s="62"/>
      <c r="IBO2" s="62"/>
      <c r="IBP2" s="62"/>
      <c r="IBQ2" s="62"/>
      <c r="IBR2" s="62"/>
      <c r="IBS2" s="62"/>
      <c r="IBT2" s="62"/>
      <c r="IBU2" s="62"/>
      <c r="IBV2" s="62"/>
      <c r="IBW2" s="62"/>
      <c r="IBX2" s="62"/>
      <c r="IBY2" s="62"/>
      <c r="IBZ2" s="62"/>
      <c r="ICA2" s="62"/>
      <c r="ICB2" s="62"/>
      <c r="ICC2" s="62"/>
      <c r="ICD2" s="62"/>
      <c r="ICE2" s="62"/>
      <c r="ICF2" s="62"/>
      <c r="ICG2" s="62"/>
      <c r="ICH2" s="62"/>
      <c r="ICI2" s="62"/>
      <c r="ICJ2" s="62"/>
      <c r="ICK2" s="62"/>
      <c r="ICL2" s="62"/>
      <c r="ICM2" s="62"/>
      <c r="ICN2" s="62"/>
      <c r="ICO2" s="62"/>
      <c r="ICP2" s="62"/>
      <c r="ICQ2" s="62"/>
      <c r="ICR2" s="62"/>
      <c r="ICS2" s="62"/>
      <c r="ICT2" s="62"/>
      <c r="ICU2" s="62"/>
      <c r="ICV2" s="62"/>
      <c r="ICW2" s="62"/>
      <c r="ICX2" s="62"/>
      <c r="ICY2" s="62"/>
      <c r="ICZ2" s="62"/>
      <c r="IDA2" s="62"/>
      <c r="IDB2" s="62"/>
      <c r="IDC2" s="62"/>
      <c r="IDD2" s="62"/>
      <c r="IDE2" s="62"/>
      <c r="IDF2" s="62"/>
      <c r="IDG2" s="62"/>
      <c r="IDH2" s="62"/>
      <c r="IDI2" s="62"/>
      <c r="IDJ2" s="62"/>
      <c r="IDK2" s="62"/>
      <c r="IDL2" s="62"/>
      <c r="IDM2" s="62"/>
      <c r="IDN2" s="62"/>
      <c r="IDO2" s="62"/>
      <c r="IDP2" s="62"/>
      <c r="IDQ2" s="62"/>
      <c r="IDR2" s="62"/>
      <c r="IDS2" s="62"/>
      <c r="IDT2" s="62"/>
      <c r="IDU2" s="62"/>
      <c r="IDV2" s="62"/>
      <c r="IDW2" s="62"/>
      <c r="IDX2" s="62"/>
      <c r="IDY2" s="62"/>
      <c r="IDZ2" s="62"/>
      <c r="IEA2" s="62"/>
      <c r="IEB2" s="62"/>
      <c r="IEC2" s="62"/>
      <c r="IED2" s="62"/>
      <c r="IEE2" s="62"/>
      <c r="IEF2" s="62"/>
      <c r="IEG2" s="62"/>
      <c r="IEH2" s="62"/>
      <c r="IEI2" s="62"/>
      <c r="IEJ2" s="62"/>
      <c r="IEK2" s="62"/>
      <c r="IEL2" s="62"/>
      <c r="IEM2" s="62"/>
      <c r="IEN2" s="62"/>
      <c r="IEO2" s="62"/>
      <c r="IEP2" s="62"/>
      <c r="IEQ2" s="62"/>
      <c r="IER2" s="62"/>
      <c r="IES2" s="62"/>
      <c r="IET2" s="62"/>
      <c r="IEU2" s="62"/>
      <c r="IEV2" s="62"/>
      <c r="IEW2" s="62"/>
      <c r="IEX2" s="62"/>
      <c r="IEY2" s="62"/>
      <c r="IEZ2" s="62"/>
      <c r="IFA2" s="62"/>
      <c r="IFB2" s="62"/>
      <c r="IFC2" s="62"/>
      <c r="IFD2" s="62"/>
      <c r="IFE2" s="62"/>
      <c r="IFF2" s="62"/>
      <c r="IFG2" s="62"/>
      <c r="IFH2" s="62"/>
      <c r="IFI2" s="62"/>
      <c r="IFJ2" s="62"/>
      <c r="IFK2" s="62"/>
      <c r="IFL2" s="62"/>
      <c r="IFM2" s="62"/>
      <c r="IFN2" s="62"/>
      <c r="IFO2" s="62"/>
      <c r="IFP2" s="62"/>
      <c r="IFQ2" s="62"/>
      <c r="IFR2" s="62"/>
      <c r="IFS2" s="62"/>
      <c r="IFT2" s="62"/>
      <c r="IFU2" s="62"/>
      <c r="IFV2" s="62"/>
      <c r="IFW2" s="62"/>
      <c r="IFX2" s="62"/>
      <c r="IFY2" s="62"/>
      <c r="IFZ2" s="62"/>
      <c r="IGA2" s="62"/>
      <c r="IGB2" s="62"/>
      <c r="IGC2" s="62"/>
      <c r="IGD2" s="62"/>
      <c r="IGE2" s="62"/>
      <c r="IGF2" s="62"/>
      <c r="IGG2" s="62"/>
      <c r="IGH2" s="62"/>
      <c r="IGI2" s="62"/>
      <c r="IGJ2" s="62"/>
      <c r="IGK2" s="62"/>
      <c r="IGL2" s="62"/>
      <c r="IGM2" s="62"/>
      <c r="IGN2" s="62"/>
      <c r="IGO2" s="62"/>
      <c r="IGP2" s="62"/>
      <c r="IGQ2" s="62"/>
      <c r="IGR2" s="62"/>
      <c r="IGS2" s="62"/>
      <c r="IGT2" s="62"/>
      <c r="IGU2" s="62"/>
      <c r="IGV2" s="62"/>
      <c r="IGW2" s="62"/>
      <c r="IGX2" s="62"/>
      <c r="IGY2" s="62"/>
      <c r="IGZ2" s="62"/>
      <c r="IHA2" s="62"/>
      <c r="IHB2" s="62"/>
      <c r="IHC2" s="62"/>
      <c r="IHD2" s="62"/>
      <c r="IHE2" s="62"/>
      <c r="IHF2" s="62"/>
      <c r="IHG2" s="62"/>
      <c r="IHH2" s="62"/>
      <c r="IHI2" s="62"/>
      <c r="IHJ2" s="62"/>
      <c r="IHK2" s="62"/>
      <c r="IHL2" s="62"/>
      <c r="IHM2" s="62"/>
      <c r="IHN2" s="62"/>
      <c r="IHO2" s="62"/>
      <c r="IHP2" s="62"/>
      <c r="IHQ2" s="62"/>
      <c r="IHR2" s="62"/>
      <c r="IHS2" s="62"/>
      <c r="IHT2" s="62"/>
      <c r="IHU2" s="62"/>
      <c r="IHV2" s="62"/>
      <c r="IHW2" s="62"/>
      <c r="IHX2" s="62"/>
      <c r="IHY2" s="62"/>
      <c r="IHZ2" s="62"/>
      <c r="IIA2" s="62"/>
      <c r="IIB2" s="62"/>
      <c r="IIC2" s="62"/>
      <c r="IID2" s="62"/>
      <c r="IIE2" s="62"/>
      <c r="IIF2" s="62"/>
      <c r="IIG2" s="62"/>
      <c r="IIH2" s="62"/>
      <c r="III2" s="62"/>
      <c r="IIJ2" s="62"/>
      <c r="IIK2" s="62"/>
      <c r="IIL2" s="62"/>
      <c r="IIM2" s="62"/>
      <c r="IIN2" s="62"/>
      <c r="IIO2" s="62"/>
      <c r="IIP2" s="62"/>
      <c r="IIQ2" s="62"/>
      <c r="IIR2" s="62"/>
      <c r="IIS2" s="62"/>
      <c r="IIT2" s="62"/>
      <c r="IIU2" s="62"/>
      <c r="IIV2" s="62"/>
      <c r="IIW2" s="62"/>
      <c r="IIX2" s="62"/>
      <c r="IIY2" s="62"/>
      <c r="IIZ2" s="62"/>
      <c r="IJA2" s="62"/>
      <c r="IJB2" s="62"/>
      <c r="IJC2" s="62"/>
      <c r="IJD2" s="62"/>
      <c r="IJE2" s="62"/>
      <c r="IJF2" s="62"/>
      <c r="IJG2" s="62"/>
      <c r="IJH2" s="62"/>
      <c r="IJI2" s="62"/>
      <c r="IJJ2" s="62"/>
      <c r="IJK2" s="62"/>
      <c r="IJL2" s="62"/>
      <c r="IJM2" s="62"/>
      <c r="IJN2" s="62"/>
      <c r="IJO2" s="62"/>
      <c r="IJP2" s="62"/>
      <c r="IJQ2" s="62"/>
      <c r="IJR2" s="62"/>
      <c r="IJS2" s="62"/>
      <c r="IJT2" s="62"/>
      <c r="IJU2" s="62"/>
      <c r="IJV2" s="62"/>
      <c r="IJW2" s="62"/>
      <c r="IJX2" s="62"/>
      <c r="IJY2" s="62"/>
      <c r="IJZ2" s="62"/>
      <c r="IKA2" s="62"/>
      <c r="IKB2" s="62"/>
      <c r="IKC2" s="62"/>
      <c r="IKD2" s="62"/>
      <c r="IKE2" s="62"/>
      <c r="IKF2" s="62"/>
      <c r="IKG2" s="62"/>
      <c r="IKH2" s="62"/>
      <c r="IKI2" s="62"/>
      <c r="IKJ2" s="62"/>
      <c r="IKK2" s="62"/>
      <c r="IKL2" s="62"/>
      <c r="IKM2" s="62"/>
      <c r="IKN2" s="62"/>
      <c r="IKO2" s="62"/>
      <c r="IKP2" s="62"/>
      <c r="IKQ2" s="62"/>
      <c r="IKR2" s="62"/>
      <c r="IKS2" s="62"/>
      <c r="IKT2" s="62"/>
      <c r="IKU2" s="62"/>
      <c r="IKV2" s="62"/>
      <c r="IKW2" s="62"/>
      <c r="IKX2" s="62"/>
      <c r="IKY2" s="62"/>
      <c r="IKZ2" s="62"/>
      <c r="ILA2" s="62"/>
      <c r="ILB2" s="62"/>
      <c r="ILC2" s="62"/>
      <c r="ILD2" s="62"/>
      <c r="ILE2" s="62"/>
      <c r="ILF2" s="62"/>
      <c r="ILG2" s="62"/>
      <c r="ILH2" s="62"/>
      <c r="ILI2" s="62"/>
      <c r="ILJ2" s="62"/>
      <c r="ILK2" s="62"/>
      <c r="ILL2" s="62"/>
      <c r="ILM2" s="62"/>
      <c r="ILN2" s="62"/>
      <c r="ILO2" s="62"/>
      <c r="ILP2" s="62"/>
      <c r="ILQ2" s="62"/>
      <c r="ILR2" s="62"/>
      <c r="ILS2" s="62"/>
      <c r="ILT2" s="62"/>
      <c r="ILU2" s="62"/>
      <c r="ILV2" s="62"/>
      <c r="ILW2" s="62"/>
      <c r="ILX2" s="62"/>
      <c r="ILY2" s="62"/>
      <c r="ILZ2" s="62"/>
      <c r="IMA2" s="62"/>
      <c r="IMB2" s="62"/>
      <c r="IMC2" s="62"/>
      <c r="IMD2" s="62"/>
      <c r="IME2" s="62"/>
      <c r="IMF2" s="62"/>
      <c r="IMG2" s="62"/>
      <c r="IMH2" s="62"/>
      <c r="IMI2" s="62"/>
      <c r="IMJ2" s="62"/>
      <c r="IMK2" s="62"/>
      <c r="IML2" s="62"/>
      <c r="IMM2" s="62"/>
      <c r="IMN2" s="62"/>
      <c r="IMO2" s="62"/>
      <c r="IMP2" s="62"/>
      <c r="IMQ2" s="62"/>
      <c r="IMR2" s="62"/>
      <c r="IMS2" s="62"/>
      <c r="IMT2" s="62"/>
      <c r="IMU2" s="62"/>
      <c r="IMV2" s="62"/>
      <c r="IMW2" s="62"/>
      <c r="IMX2" s="62"/>
      <c r="IMY2" s="62"/>
      <c r="IMZ2" s="62"/>
      <c r="INA2" s="62"/>
      <c r="INB2" s="62"/>
      <c r="INC2" s="62"/>
      <c r="IND2" s="62"/>
      <c r="INE2" s="62"/>
      <c r="INF2" s="62"/>
      <c r="ING2" s="62"/>
      <c r="INH2" s="62"/>
      <c r="INI2" s="62"/>
      <c r="INJ2" s="62"/>
      <c r="INK2" s="62"/>
      <c r="INL2" s="62"/>
      <c r="INM2" s="62"/>
      <c r="INN2" s="62"/>
      <c r="INO2" s="62"/>
      <c r="INP2" s="62"/>
      <c r="INQ2" s="62"/>
      <c r="INR2" s="62"/>
      <c r="INS2" s="62"/>
      <c r="INT2" s="62"/>
      <c r="INU2" s="62"/>
      <c r="INV2" s="62"/>
      <c r="INW2" s="62"/>
      <c r="INX2" s="62"/>
      <c r="INY2" s="62"/>
      <c r="INZ2" s="62"/>
      <c r="IOA2" s="62"/>
      <c r="IOB2" s="62"/>
      <c r="IOC2" s="62"/>
      <c r="IOD2" s="62"/>
      <c r="IOE2" s="62"/>
      <c r="IOF2" s="62"/>
      <c r="IOG2" s="62"/>
      <c r="IOH2" s="62"/>
      <c r="IOI2" s="62"/>
      <c r="IOJ2" s="62"/>
      <c r="IOK2" s="62"/>
      <c r="IOL2" s="62"/>
      <c r="IOM2" s="62"/>
      <c r="ION2" s="62"/>
      <c r="IOO2" s="62"/>
      <c r="IOP2" s="62"/>
      <c r="IOQ2" s="62"/>
      <c r="IOR2" s="62"/>
      <c r="IOS2" s="62"/>
      <c r="IOT2" s="62"/>
      <c r="IOU2" s="62"/>
      <c r="IOV2" s="62"/>
      <c r="IOW2" s="62"/>
      <c r="IOX2" s="62"/>
      <c r="IOY2" s="62"/>
      <c r="IOZ2" s="62"/>
      <c r="IPA2" s="62"/>
      <c r="IPB2" s="62"/>
      <c r="IPC2" s="62"/>
      <c r="IPD2" s="62"/>
      <c r="IPE2" s="62"/>
      <c r="IPF2" s="62"/>
      <c r="IPG2" s="62"/>
      <c r="IPH2" s="62"/>
      <c r="IPI2" s="62"/>
      <c r="IPJ2" s="62"/>
      <c r="IPK2" s="62"/>
      <c r="IPL2" s="62"/>
      <c r="IPM2" s="62"/>
      <c r="IPN2" s="62"/>
      <c r="IPO2" s="62"/>
      <c r="IPP2" s="62"/>
      <c r="IPQ2" s="62"/>
      <c r="IPR2" s="62"/>
      <c r="IPS2" s="62"/>
      <c r="IPT2" s="62"/>
      <c r="IPU2" s="62"/>
      <c r="IPV2" s="62"/>
      <c r="IPW2" s="62"/>
      <c r="IPX2" s="62"/>
      <c r="IPY2" s="62"/>
      <c r="IPZ2" s="62"/>
      <c r="IQA2" s="62"/>
      <c r="IQB2" s="62"/>
      <c r="IQC2" s="62"/>
      <c r="IQD2" s="62"/>
      <c r="IQE2" s="62"/>
      <c r="IQF2" s="62"/>
      <c r="IQG2" s="62"/>
      <c r="IQH2" s="62"/>
      <c r="IQI2" s="62"/>
      <c r="IQJ2" s="62"/>
      <c r="IQK2" s="62"/>
      <c r="IQL2" s="62"/>
      <c r="IQM2" s="62"/>
      <c r="IQN2" s="62"/>
      <c r="IQO2" s="62"/>
      <c r="IQP2" s="62"/>
      <c r="IQQ2" s="62"/>
      <c r="IQR2" s="62"/>
      <c r="IQS2" s="62"/>
      <c r="IQT2" s="62"/>
      <c r="IQU2" s="62"/>
      <c r="IQV2" s="62"/>
      <c r="IQW2" s="62"/>
      <c r="IQX2" s="62"/>
      <c r="IQY2" s="62"/>
      <c r="IQZ2" s="62"/>
      <c r="IRA2" s="62"/>
      <c r="IRB2" s="62"/>
      <c r="IRC2" s="62"/>
      <c r="IRD2" s="62"/>
      <c r="IRE2" s="62"/>
      <c r="IRF2" s="62"/>
      <c r="IRG2" s="62"/>
      <c r="IRH2" s="62"/>
      <c r="IRI2" s="62"/>
      <c r="IRJ2" s="62"/>
      <c r="IRK2" s="62"/>
      <c r="IRL2" s="62"/>
      <c r="IRM2" s="62"/>
      <c r="IRN2" s="62"/>
      <c r="IRO2" s="62"/>
      <c r="IRP2" s="62"/>
      <c r="IRQ2" s="62"/>
      <c r="IRR2" s="62"/>
      <c r="IRS2" s="62"/>
      <c r="IRT2" s="62"/>
      <c r="IRU2" s="62"/>
      <c r="IRV2" s="62"/>
      <c r="IRW2" s="62"/>
      <c r="IRX2" s="62"/>
      <c r="IRY2" s="62"/>
      <c r="IRZ2" s="62"/>
      <c r="ISA2" s="62"/>
      <c r="ISB2" s="62"/>
      <c r="ISC2" s="62"/>
      <c r="ISD2" s="62"/>
      <c r="ISE2" s="62"/>
      <c r="ISF2" s="62"/>
      <c r="ISG2" s="62"/>
      <c r="ISH2" s="62"/>
      <c r="ISI2" s="62"/>
      <c r="ISJ2" s="62"/>
      <c r="ISK2" s="62"/>
      <c r="ISL2" s="62"/>
      <c r="ISM2" s="62"/>
      <c r="ISN2" s="62"/>
      <c r="ISO2" s="62"/>
      <c r="ISP2" s="62"/>
      <c r="ISQ2" s="62"/>
      <c r="ISR2" s="62"/>
      <c r="ISS2" s="62"/>
      <c r="IST2" s="62"/>
      <c r="ISU2" s="62"/>
      <c r="ISV2" s="62"/>
      <c r="ISW2" s="62"/>
      <c r="ISX2" s="62"/>
      <c r="ISY2" s="62"/>
      <c r="ISZ2" s="62"/>
      <c r="ITA2" s="62"/>
      <c r="ITB2" s="62"/>
      <c r="ITC2" s="62"/>
      <c r="ITD2" s="62"/>
      <c r="ITE2" s="62"/>
      <c r="ITF2" s="62"/>
      <c r="ITG2" s="62"/>
      <c r="ITH2" s="62"/>
      <c r="ITI2" s="62"/>
      <c r="ITJ2" s="62"/>
      <c r="ITK2" s="62"/>
      <c r="ITL2" s="62"/>
      <c r="ITM2" s="62"/>
      <c r="ITN2" s="62"/>
      <c r="ITO2" s="62"/>
      <c r="ITP2" s="62"/>
      <c r="ITQ2" s="62"/>
      <c r="ITR2" s="62"/>
      <c r="ITS2" s="62"/>
      <c r="ITT2" s="62"/>
      <c r="ITU2" s="62"/>
      <c r="ITV2" s="62"/>
      <c r="ITW2" s="62"/>
      <c r="ITX2" s="62"/>
      <c r="ITY2" s="62"/>
      <c r="ITZ2" s="62"/>
      <c r="IUA2" s="62"/>
      <c r="IUB2" s="62"/>
      <c r="IUC2" s="62"/>
      <c r="IUD2" s="62"/>
      <c r="IUE2" s="62"/>
      <c r="IUF2" s="62"/>
      <c r="IUG2" s="62"/>
      <c r="IUH2" s="62"/>
      <c r="IUI2" s="62"/>
      <c r="IUJ2" s="62"/>
      <c r="IUK2" s="62"/>
      <c r="IUL2" s="62"/>
      <c r="IUM2" s="62"/>
      <c r="IUN2" s="62"/>
      <c r="IUO2" s="62"/>
      <c r="IUP2" s="62"/>
      <c r="IUQ2" s="62"/>
      <c r="IUR2" s="62"/>
      <c r="IUS2" s="62"/>
      <c r="IUT2" s="62"/>
      <c r="IUU2" s="62"/>
      <c r="IUV2" s="62"/>
      <c r="IUW2" s="62"/>
      <c r="IUX2" s="62"/>
      <c r="IUY2" s="62"/>
      <c r="IUZ2" s="62"/>
      <c r="IVA2" s="62"/>
      <c r="IVB2" s="62"/>
      <c r="IVC2" s="62"/>
      <c r="IVD2" s="62"/>
      <c r="IVE2" s="62"/>
      <c r="IVF2" s="62"/>
      <c r="IVG2" s="62"/>
      <c r="IVH2" s="62"/>
      <c r="IVI2" s="62"/>
      <c r="IVJ2" s="62"/>
      <c r="IVK2" s="62"/>
      <c r="IVL2" s="62"/>
      <c r="IVM2" s="62"/>
      <c r="IVN2" s="62"/>
      <c r="IVO2" s="62"/>
      <c r="IVP2" s="62"/>
      <c r="IVQ2" s="62"/>
      <c r="IVR2" s="62"/>
      <c r="IVS2" s="62"/>
      <c r="IVT2" s="62"/>
      <c r="IVU2" s="62"/>
      <c r="IVV2" s="62"/>
      <c r="IVW2" s="62"/>
      <c r="IVX2" s="62"/>
      <c r="IVY2" s="62"/>
      <c r="IVZ2" s="62"/>
      <c r="IWA2" s="62"/>
      <c r="IWB2" s="62"/>
      <c r="IWC2" s="62"/>
      <c r="IWD2" s="62"/>
      <c r="IWE2" s="62"/>
      <c r="IWF2" s="62"/>
      <c r="IWG2" s="62"/>
      <c r="IWH2" s="62"/>
      <c r="IWI2" s="62"/>
      <c r="IWJ2" s="62"/>
      <c r="IWK2" s="62"/>
      <c r="IWL2" s="62"/>
      <c r="IWM2" s="62"/>
      <c r="IWN2" s="62"/>
      <c r="IWO2" s="62"/>
      <c r="IWP2" s="62"/>
      <c r="IWQ2" s="62"/>
      <c r="IWR2" s="62"/>
      <c r="IWS2" s="62"/>
      <c r="IWT2" s="62"/>
      <c r="IWU2" s="62"/>
      <c r="IWV2" s="62"/>
      <c r="IWW2" s="62"/>
      <c r="IWX2" s="62"/>
      <c r="IWY2" s="62"/>
      <c r="IWZ2" s="62"/>
      <c r="IXA2" s="62"/>
      <c r="IXB2" s="62"/>
      <c r="IXC2" s="62"/>
      <c r="IXD2" s="62"/>
      <c r="IXE2" s="62"/>
      <c r="IXF2" s="62"/>
      <c r="IXG2" s="62"/>
      <c r="IXH2" s="62"/>
      <c r="IXI2" s="62"/>
      <c r="IXJ2" s="62"/>
      <c r="IXK2" s="62"/>
      <c r="IXL2" s="62"/>
      <c r="IXM2" s="62"/>
      <c r="IXN2" s="62"/>
      <c r="IXO2" s="62"/>
      <c r="IXP2" s="62"/>
      <c r="IXQ2" s="62"/>
      <c r="IXR2" s="62"/>
      <c r="IXS2" s="62"/>
      <c r="IXT2" s="62"/>
      <c r="IXU2" s="62"/>
      <c r="IXV2" s="62"/>
      <c r="IXW2" s="62"/>
      <c r="IXX2" s="62"/>
      <c r="IXY2" s="62"/>
      <c r="IXZ2" s="62"/>
      <c r="IYA2" s="62"/>
      <c r="IYB2" s="62"/>
      <c r="IYC2" s="62"/>
      <c r="IYD2" s="62"/>
      <c r="IYE2" s="62"/>
      <c r="IYF2" s="62"/>
      <c r="IYG2" s="62"/>
      <c r="IYH2" s="62"/>
      <c r="IYI2" s="62"/>
      <c r="IYJ2" s="62"/>
      <c r="IYK2" s="62"/>
      <c r="IYL2" s="62"/>
      <c r="IYM2" s="62"/>
      <c r="IYN2" s="62"/>
      <c r="IYO2" s="62"/>
      <c r="IYP2" s="62"/>
      <c r="IYQ2" s="62"/>
      <c r="IYR2" s="62"/>
      <c r="IYS2" s="62"/>
      <c r="IYT2" s="62"/>
      <c r="IYU2" s="62"/>
      <c r="IYV2" s="62"/>
      <c r="IYW2" s="62"/>
      <c r="IYX2" s="62"/>
      <c r="IYY2" s="62"/>
      <c r="IYZ2" s="62"/>
      <c r="IZA2" s="62"/>
      <c r="IZB2" s="62"/>
      <c r="IZC2" s="62"/>
      <c r="IZD2" s="62"/>
      <c r="IZE2" s="62"/>
      <c r="IZF2" s="62"/>
      <c r="IZG2" s="62"/>
      <c r="IZH2" s="62"/>
      <c r="IZI2" s="62"/>
      <c r="IZJ2" s="62"/>
      <c r="IZK2" s="62"/>
      <c r="IZL2" s="62"/>
      <c r="IZM2" s="62"/>
      <c r="IZN2" s="62"/>
      <c r="IZO2" s="62"/>
      <c r="IZP2" s="62"/>
      <c r="IZQ2" s="62"/>
      <c r="IZR2" s="62"/>
      <c r="IZS2" s="62"/>
      <c r="IZT2" s="62"/>
      <c r="IZU2" s="62"/>
      <c r="IZV2" s="62"/>
      <c r="IZW2" s="62"/>
      <c r="IZX2" s="62"/>
      <c r="IZY2" s="62"/>
      <c r="IZZ2" s="62"/>
      <c r="JAA2" s="62"/>
      <c r="JAB2" s="62"/>
      <c r="JAC2" s="62"/>
      <c r="JAD2" s="62"/>
      <c r="JAE2" s="62"/>
      <c r="JAF2" s="62"/>
      <c r="JAG2" s="62"/>
      <c r="JAH2" s="62"/>
      <c r="JAI2" s="62"/>
      <c r="JAJ2" s="62"/>
      <c r="JAK2" s="62"/>
      <c r="JAL2" s="62"/>
      <c r="JAM2" s="62"/>
      <c r="JAN2" s="62"/>
      <c r="JAO2" s="62"/>
      <c r="JAP2" s="62"/>
      <c r="JAQ2" s="62"/>
      <c r="JAR2" s="62"/>
      <c r="JAS2" s="62"/>
      <c r="JAT2" s="62"/>
      <c r="JAU2" s="62"/>
      <c r="JAV2" s="62"/>
      <c r="JAW2" s="62"/>
      <c r="JAX2" s="62"/>
      <c r="JAY2" s="62"/>
      <c r="JAZ2" s="62"/>
      <c r="JBA2" s="62"/>
      <c r="JBB2" s="62"/>
      <c r="JBC2" s="62"/>
      <c r="JBD2" s="62"/>
      <c r="JBE2" s="62"/>
      <c r="JBF2" s="62"/>
      <c r="JBG2" s="62"/>
      <c r="JBH2" s="62"/>
      <c r="JBI2" s="62"/>
      <c r="JBJ2" s="62"/>
      <c r="JBK2" s="62"/>
      <c r="JBL2" s="62"/>
      <c r="JBM2" s="62"/>
      <c r="JBN2" s="62"/>
      <c r="JBO2" s="62"/>
      <c r="JBP2" s="62"/>
      <c r="JBQ2" s="62"/>
      <c r="JBR2" s="62"/>
      <c r="JBS2" s="62"/>
      <c r="JBT2" s="62"/>
      <c r="JBU2" s="62"/>
      <c r="JBV2" s="62"/>
      <c r="JBW2" s="62"/>
      <c r="JBX2" s="62"/>
      <c r="JBY2" s="62"/>
      <c r="JBZ2" s="62"/>
      <c r="JCA2" s="62"/>
      <c r="JCB2" s="62"/>
      <c r="JCC2" s="62"/>
      <c r="JCD2" s="62"/>
      <c r="JCE2" s="62"/>
      <c r="JCF2" s="62"/>
      <c r="JCG2" s="62"/>
      <c r="JCH2" s="62"/>
      <c r="JCI2" s="62"/>
      <c r="JCJ2" s="62"/>
      <c r="JCK2" s="62"/>
      <c r="JCL2" s="62"/>
      <c r="JCM2" s="62"/>
      <c r="JCN2" s="62"/>
      <c r="JCO2" s="62"/>
      <c r="JCP2" s="62"/>
      <c r="JCQ2" s="62"/>
      <c r="JCR2" s="62"/>
      <c r="JCS2" s="62"/>
      <c r="JCT2" s="62"/>
      <c r="JCU2" s="62"/>
      <c r="JCV2" s="62"/>
      <c r="JCW2" s="62"/>
      <c r="JCX2" s="62"/>
      <c r="JCY2" s="62"/>
      <c r="JCZ2" s="62"/>
      <c r="JDA2" s="62"/>
      <c r="JDB2" s="62"/>
      <c r="JDC2" s="62"/>
      <c r="JDD2" s="62"/>
      <c r="JDE2" s="62"/>
      <c r="JDF2" s="62"/>
      <c r="JDG2" s="62"/>
      <c r="JDH2" s="62"/>
      <c r="JDI2" s="62"/>
      <c r="JDJ2" s="62"/>
      <c r="JDK2" s="62"/>
      <c r="JDL2" s="62"/>
      <c r="JDM2" s="62"/>
      <c r="JDN2" s="62"/>
      <c r="JDO2" s="62"/>
      <c r="JDP2" s="62"/>
      <c r="JDQ2" s="62"/>
      <c r="JDR2" s="62"/>
      <c r="JDS2" s="62"/>
      <c r="JDT2" s="62"/>
      <c r="JDU2" s="62"/>
      <c r="JDV2" s="62"/>
      <c r="JDW2" s="62"/>
      <c r="JDX2" s="62"/>
      <c r="JDY2" s="62"/>
      <c r="JDZ2" s="62"/>
      <c r="JEA2" s="62"/>
      <c r="JEB2" s="62"/>
      <c r="JEC2" s="62"/>
      <c r="JED2" s="62"/>
      <c r="JEE2" s="62"/>
      <c r="JEF2" s="62"/>
      <c r="JEG2" s="62"/>
      <c r="JEH2" s="62"/>
      <c r="JEI2" s="62"/>
      <c r="JEJ2" s="62"/>
      <c r="JEK2" s="62"/>
      <c r="JEL2" s="62"/>
      <c r="JEM2" s="62"/>
      <c r="JEN2" s="62"/>
      <c r="JEO2" s="62"/>
      <c r="JEP2" s="62"/>
      <c r="JEQ2" s="62"/>
      <c r="JER2" s="62"/>
      <c r="JES2" s="62"/>
      <c r="JET2" s="62"/>
      <c r="JEU2" s="62"/>
      <c r="JEV2" s="62"/>
      <c r="JEW2" s="62"/>
      <c r="JEX2" s="62"/>
      <c r="JEY2" s="62"/>
      <c r="JEZ2" s="62"/>
      <c r="JFA2" s="62"/>
      <c r="JFB2" s="62"/>
      <c r="JFC2" s="62"/>
      <c r="JFD2" s="62"/>
      <c r="JFE2" s="62"/>
      <c r="JFF2" s="62"/>
      <c r="JFG2" s="62"/>
      <c r="JFH2" s="62"/>
      <c r="JFI2" s="62"/>
      <c r="JFJ2" s="62"/>
      <c r="JFK2" s="62"/>
      <c r="JFL2" s="62"/>
      <c r="JFM2" s="62"/>
      <c r="JFN2" s="62"/>
      <c r="JFO2" s="62"/>
      <c r="JFP2" s="62"/>
      <c r="JFQ2" s="62"/>
      <c r="JFR2" s="62"/>
      <c r="JFS2" s="62"/>
      <c r="JFT2" s="62"/>
      <c r="JFU2" s="62"/>
      <c r="JFV2" s="62"/>
      <c r="JFW2" s="62"/>
      <c r="JFX2" s="62"/>
      <c r="JFY2" s="62"/>
      <c r="JFZ2" s="62"/>
      <c r="JGA2" s="62"/>
      <c r="JGB2" s="62"/>
      <c r="JGC2" s="62"/>
      <c r="JGD2" s="62"/>
      <c r="JGE2" s="62"/>
      <c r="JGF2" s="62"/>
      <c r="JGG2" s="62"/>
      <c r="JGH2" s="62"/>
      <c r="JGI2" s="62"/>
      <c r="JGJ2" s="62"/>
      <c r="JGK2" s="62"/>
      <c r="JGL2" s="62"/>
      <c r="JGM2" s="62"/>
      <c r="JGN2" s="62"/>
      <c r="JGO2" s="62"/>
      <c r="JGP2" s="62"/>
      <c r="JGQ2" s="62"/>
      <c r="JGR2" s="62"/>
      <c r="JGS2" s="62"/>
      <c r="JGT2" s="62"/>
      <c r="JGU2" s="62"/>
      <c r="JGV2" s="62"/>
      <c r="JGW2" s="62"/>
      <c r="JGX2" s="62"/>
      <c r="JGY2" s="62"/>
      <c r="JGZ2" s="62"/>
      <c r="JHA2" s="62"/>
      <c r="JHB2" s="62"/>
      <c r="JHC2" s="62"/>
      <c r="JHD2" s="62"/>
      <c r="JHE2" s="62"/>
      <c r="JHF2" s="62"/>
      <c r="JHG2" s="62"/>
      <c r="JHH2" s="62"/>
      <c r="JHI2" s="62"/>
      <c r="JHJ2" s="62"/>
      <c r="JHK2" s="62"/>
      <c r="JHL2" s="62"/>
      <c r="JHM2" s="62"/>
      <c r="JHN2" s="62"/>
      <c r="JHO2" s="62"/>
      <c r="JHP2" s="62"/>
      <c r="JHQ2" s="62"/>
      <c r="JHR2" s="62"/>
      <c r="JHS2" s="62"/>
      <c r="JHT2" s="62"/>
      <c r="JHU2" s="62"/>
      <c r="JHV2" s="62"/>
      <c r="JHW2" s="62"/>
      <c r="JHX2" s="62"/>
      <c r="JHY2" s="62"/>
      <c r="JHZ2" s="62"/>
      <c r="JIA2" s="62"/>
      <c r="JIB2" s="62"/>
      <c r="JIC2" s="62"/>
      <c r="JID2" s="62"/>
      <c r="JIE2" s="62"/>
      <c r="JIF2" s="62"/>
      <c r="JIG2" s="62"/>
      <c r="JIH2" s="62"/>
      <c r="JII2" s="62"/>
      <c r="JIJ2" s="62"/>
      <c r="JIK2" s="62"/>
      <c r="JIL2" s="62"/>
      <c r="JIM2" s="62"/>
      <c r="JIN2" s="62"/>
      <c r="JIO2" s="62"/>
      <c r="JIP2" s="62"/>
      <c r="JIQ2" s="62"/>
      <c r="JIR2" s="62"/>
      <c r="JIS2" s="62"/>
      <c r="JIT2" s="62"/>
      <c r="JIU2" s="62"/>
      <c r="JIV2" s="62"/>
      <c r="JIW2" s="62"/>
      <c r="JIX2" s="62"/>
      <c r="JIY2" s="62"/>
      <c r="JIZ2" s="62"/>
      <c r="JJA2" s="62"/>
      <c r="JJB2" s="62"/>
      <c r="JJC2" s="62"/>
      <c r="JJD2" s="62"/>
      <c r="JJE2" s="62"/>
      <c r="JJF2" s="62"/>
      <c r="JJG2" s="62"/>
      <c r="JJH2" s="62"/>
      <c r="JJI2" s="62"/>
      <c r="JJJ2" s="62"/>
      <c r="JJK2" s="62"/>
      <c r="JJL2" s="62"/>
      <c r="JJM2" s="62"/>
      <c r="JJN2" s="62"/>
      <c r="JJO2" s="62"/>
      <c r="JJP2" s="62"/>
      <c r="JJQ2" s="62"/>
      <c r="JJR2" s="62"/>
      <c r="JJS2" s="62"/>
      <c r="JJT2" s="62"/>
      <c r="JJU2" s="62"/>
      <c r="JJV2" s="62"/>
      <c r="JJW2" s="62"/>
      <c r="JJX2" s="62"/>
      <c r="JJY2" s="62"/>
      <c r="JJZ2" s="62"/>
      <c r="JKA2" s="62"/>
      <c r="JKB2" s="62"/>
      <c r="JKC2" s="62"/>
      <c r="JKD2" s="62"/>
      <c r="JKE2" s="62"/>
      <c r="JKF2" s="62"/>
      <c r="JKG2" s="62"/>
      <c r="JKH2" s="62"/>
      <c r="JKI2" s="62"/>
      <c r="JKJ2" s="62"/>
      <c r="JKK2" s="62"/>
      <c r="JKL2" s="62"/>
      <c r="JKM2" s="62"/>
      <c r="JKN2" s="62"/>
      <c r="JKO2" s="62"/>
      <c r="JKP2" s="62"/>
      <c r="JKQ2" s="62"/>
      <c r="JKR2" s="62"/>
      <c r="JKS2" s="62"/>
      <c r="JKT2" s="62"/>
      <c r="JKU2" s="62"/>
      <c r="JKV2" s="62"/>
      <c r="JKW2" s="62"/>
      <c r="JKX2" s="62"/>
      <c r="JKY2" s="62"/>
      <c r="JKZ2" s="62"/>
      <c r="JLA2" s="62"/>
      <c r="JLB2" s="62"/>
      <c r="JLC2" s="62"/>
      <c r="JLD2" s="62"/>
      <c r="JLE2" s="62"/>
      <c r="JLF2" s="62"/>
      <c r="JLG2" s="62"/>
      <c r="JLH2" s="62"/>
      <c r="JLI2" s="62"/>
      <c r="JLJ2" s="62"/>
      <c r="JLK2" s="62"/>
      <c r="JLL2" s="62"/>
      <c r="JLM2" s="62"/>
      <c r="JLN2" s="62"/>
      <c r="JLO2" s="62"/>
      <c r="JLP2" s="62"/>
      <c r="JLQ2" s="62"/>
      <c r="JLR2" s="62"/>
      <c r="JLS2" s="62"/>
      <c r="JLT2" s="62"/>
      <c r="JLU2" s="62"/>
      <c r="JLV2" s="62"/>
      <c r="JLW2" s="62"/>
      <c r="JLX2" s="62"/>
      <c r="JLY2" s="62"/>
      <c r="JLZ2" s="62"/>
      <c r="JMA2" s="62"/>
      <c r="JMB2" s="62"/>
      <c r="JMC2" s="62"/>
      <c r="JMD2" s="62"/>
      <c r="JME2" s="62"/>
      <c r="JMF2" s="62"/>
      <c r="JMG2" s="62"/>
      <c r="JMH2" s="62"/>
      <c r="JMI2" s="62"/>
      <c r="JMJ2" s="62"/>
      <c r="JMK2" s="62"/>
      <c r="JML2" s="62"/>
      <c r="JMM2" s="62"/>
      <c r="JMN2" s="62"/>
      <c r="JMO2" s="62"/>
      <c r="JMP2" s="62"/>
      <c r="JMQ2" s="62"/>
      <c r="JMR2" s="62"/>
      <c r="JMS2" s="62"/>
      <c r="JMT2" s="62"/>
      <c r="JMU2" s="62"/>
      <c r="JMV2" s="62"/>
      <c r="JMW2" s="62"/>
      <c r="JMX2" s="62"/>
      <c r="JMY2" s="62"/>
      <c r="JMZ2" s="62"/>
      <c r="JNA2" s="62"/>
      <c r="JNB2" s="62"/>
      <c r="JNC2" s="62"/>
      <c r="JND2" s="62"/>
      <c r="JNE2" s="62"/>
      <c r="JNF2" s="62"/>
      <c r="JNG2" s="62"/>
      <c r="JNH2" s="62"/>
      <c r="JNI2" s="62"/>
      <c r="JNJ2" s="62"/>
      <c r="JNK2" s="62"/>
      <c r="JNL2" s="62"/>
      <c r="JNM2" s="62"/>
      <c r="JNN2" s="62"/>
      <c r="JNO2" s="62"/>
      <c r="JNP2" s="62"/>
      <c r="JNQ2" s="62"/>
      <c r="JNR2" s="62"/>
      <c r="JNS2" s="62"/>
      <c r="JNT2" s="62"/>
      <c r="JNU2" s="62"/>
      <c r="JNV2" s="62"/>
      <c r="JNW2" s="62"/>
      <c r="JNX2" s="62"/>
      <c r="JNY2" s="62"/>
      <c r="JNZ2" s="62"/>
      <c r="JOA2" s="62"/>
      <c r="JOB2" s="62"/>
      <c r="JOC2" s="62"/>
      <c r="JOD2" s="62"/>
      <c r="JOE2" s="62"/>
      <c r="JOF2" s="62"/>
      <c r="JOG2" s="62"/>
      <c r="JOH2" s="62"/>
      <c r="JOI2" s="62"/>
      <c r="JOJ2" s="62"/>
      <c r="JOK2" s="62"/>
      <c r="JOL2" s="62"/>
      <c r="JOM2" s="62"/>
      <c r="JON2" s="62"/>
      <c r="JOO2" s="62"/>
      <c r="JOP2" s="62"/>
      <c r="JOQ2" s="62"/>
      <c r="JOR2" s="62"/>
      <c r="JOS2" s="62"/>
      <c r="JOT2" s="62"/>
      <c r="JOU2" s="62"/>
      <c r="JOV2" s="62"/>
      <c r="JOW2" s="62"/>
      <c r="JOX2" s="62"/>
      <c r="JOY2" s="62"/>
      <c r="JOZ2" s="62"/>
      <c r="JPA2" s="62"/>
      <c r="JPB2" s="62"/>
      <c r="JPC2" s="62"/>
      <c r="JPD2" s="62"/>
      <c r="JPE2" s="62"/>
      <c r="JPF2" s="62"/>
      <c r="JPG2" s="62"/>
      <c r="JPH2" s="62"/>
      <c r="JPI2" s="62"/>
      <c r="JPJ2" s="62"/>
      <c r="JPK2" s="62"/>
      <c r="JPL2" s="62"/>
      <c r="JPM2" s="62"/>
      <c r="JPN2" s="62"/>
      <c r="JPO2" s="62"/>
      <c r="JPP2" s="62"/>
      <c r="JPQ2" s="62"/>
      <c r="JPR2" s="62"/>
      <c r="JPS2" s="62"/>
      <c r="JPT2" s="62"/>
      <c r="JPU2" s="62"/>
      <c r="JPV2" s="62"/>
      <c r="JPW2" s="62"/>
      <c r="JPX2" s="62"/>
      <c r="JPY2" s="62"/>
      <c r="JPZ2" s="62"/>
      <c r="JQA2" s="62"/>
      <c r="JQB2" s="62"/>
      <c r="JQC2" s="62"/>
      <c r="JQD2" s="62"/>
      <c r="JQE2" s="62"/>
      <c r="JQF2" s="62"/>
      <c r="JQG2" s="62"/>
      <c r="JQH2" s="62"/>
      <c r="JQI2" s="62"/>
      <c r="JQJ2" s="62"/>
      <c r="JQK2" s="62"/>
      <c r="JQL2" s="62"/>
      <c r="JQM2" s="62"/>
      <c r="JQN2" s="62"/>
      <c r="JQO2" s="62"/>
      <c r="JQP2" s="62"/>
      <c r="JQQ2" s="62"/>
      <c r="JQR2" s="62"/>
      <c r="JQS2" s="62"/>
      <c r="JQT2" s="62"/>
      <c r="JQU2" s="62"/>
      <c r="JQV2" s="62"/>
      <c r="JQW2" s="62"/>
      <c r="JQX2" s="62"/>
      <c r="JQY2" s="62"/>
      <c r="JQZ2" s="62"/>
      <c r="JRA2" s="62"/>
      <c r="JRB2" s="62"/>
      <c r="JRC2" s="62"/>
      <c r="JRD2" s="62"/>
      <c r="JRE2" s="62"/>
      <c r="JRF2" s="62"/>
      <c r="JRG2" s="62"/>
      <c r="JRH2" s="62"/>
      <c r="JRI2" s="62"/>
      <c r="JRJ2" s="62"/>
      <c r="JRK2" s="62"/>
      <c r="JRL2" s="62"/>
      <c r="JRM2" s="62"/>
      <c r="JRN2" s="62"/>
      <c r="JRO2" s="62"/>
      <c r="JRP2" s="62"/>
      <c r="JRQ2" s="62"/>
      <c r="JRR2" s="62"/>
      <c r="JRS2" s="62"/>
      <c r="JRT2" s="62"/>
      <c r="JRU2" s="62"/>
      <c r="JRV2" s="62"/>
      <c r="JRW2" s="62"/>
      <c r="JRX2" s="62"/>
      <c r="JRY2" s="62"/>
      <c r="JRZ2" s="62"/>
      <c r="JSA2" s="62"/>
      <c r="JSB2" s="62"/>
      <c r="JSC2" s="62"/>
      <c r="JSD2" s="62"/>
      <c r="JSE2" s="62"/>
      <c r="JSF2" s="62"/>
      <c r="JSG2" s="62"/>
      <c r="JSH2" s="62"/>
      <c r="JSI2" s="62"/>
      <c r="JSJ2" s="62"/>
      <c r="JSK2" s="62"/>
      <c r="JSL2" s="62"/>
      <c r="JSM2" s="62"/>
      <c r="JSN2" s="62"/>
      <c r="JSO2" s="62"/>
      <c r="JSP2" s="62"/>
      <c r="JSQ2" s="62"/>
      <c r="JSR2" s="62"/>
      <c r="JSS2" s="62"/>
      <c r="JST2" s="62"/>
      <c r="JSU2" s="62"/>
      <c r="JSV2" s="62"/>
      <c r="JSW2" s="62"/>
      <c r="JSX2" s="62"/>
      <c r="JSY2" s="62"/>
      <c r="JSZ2" s="62"/>
      <c r="JTA2" s="62"/>
      <c r="JTB2" s="62"/>
      <c r="JTC2" s="62"/>
      <c r="JTD2" s="62"/>
      <c r="JTE2" s="62"/>
      <c r="JTF2" s="62"/>
      <c r="JTG2" s="62"/>
      <c r="JTH2" s="62"/>
      <c r="JTI2" s="62"/>
      <c r="JTJ2" s="62"/>
      <c r="JTK2" s="62"/>
      <c r="JTL2" s="62"/>
      <c r="JTM2" s="62"/>
      <c r="JTN2" s="62"/>
      <c r="JTO2" s="62"/>
      <c r="JTP2" s="62"/>
      <c r="JTQ2" s="62"/>
      <c r="JTR2" s="62"/>
      <c r="JTS2" s="62"/>
      <c r="JTT2" s="62"/>
      <c r="JTU2" s="62"/>
      <c r="JTV2" s="62"/>
      <c r="JTW2" s="62"/>
      <c r="JTX2" s="62"/>
      <c r="JTY2" s="62"/>
      <c r="JTZ2" s="62"/>
      <c r="JUA2" s="62"/>
      <c r="JUB2" s="62"/>
      <c r="JUC2" s="62"/>
      <c r="JUD2" s="62"/>
      <c r="JUE2" s="62"/>
      <c r="JUF2" s="62"/>
      <c r="JUG2" s="62"/>
      <c r="JUH2" s="62"/>
      <c r="JUI2" s="62"/>
      <c r="JUJ2" s="62"/>
      <c r="JUK2" s="62"/>
      <c r="JUL2" s="62"/>
      <c r="JUM2" s="62"/>
      <c r="JUN2" s="62"/>
      <c r="JUO2" s="62"/>
      <c r="JUP2" s="62"/>
      <c r="JUQ2" s="62"/>
      <c r="JUR2" s="62"/>
      <c r="JUS2" s="62"/>
      <c r="JUT2" s="62"/>
      <c r="JUU2" s="62"/>
      <c r="JUV2" s="62"/>
      <c r="JUW2" s="62"/>
      <c r="JUX2" s="62"/>
      <c r="JUY2" s="62"/>
      <c r="JUZ2" s="62"/>
      <c r="JVA2" s="62"/>
      <c r="JVB2" s="62"/>
      <c r="JVC2" s="62"/>
      <c r="JVD2" s="62"/>
      <c r="JVE2" s="62"/>
      <c r="JVF2" s="62"/>
      <c r="JVG2" s="62"/>
      <c r="JVH2" s="62"/>
      <c r="JVI2" s="62"/>
      <c r="JVJ2" s="62"/>
      <c r="JVK2" s="62"/>
      <c r="JVL2" s="62"/>
      <c r="JVM2" s="62"/>
      <c r="JVN2" s="62"/>
      <c r="JVO2" s="62"/>
      <c r="JVP2" s="62"/>
      <c r="JVQ2" s="62"/>
      <c r="JVR2" s="62"/>
      <c r="JVS2" s="62"/>
      <c r="JVT2" s="62"/>
      <c r="JVU2" s="62"/>
      <c r="JVV2" s="62"/>
      <c r="JVW2" s="62"/>
      <c r="JVX2" s="62"/>
      <c r="JVY2" s="62"/>
      <c r="JVZ2" s="62"/>
      <c r="JWA2" s="62"/>
      <c r="JWB2" s="62"/>
      <c r="JWC2" s="62"/>
      <c r="JWD2" s="62"/>
      <c r="JWE2" s="62"/>
      <c r="JWF2" s="62"/>
      <c r="JWG2" s="62"/>
      <c r="JWH2" s="62"/>
      <c r="JWI2" s="62"/>
      <c r="JWJ2" s="62"/>
      <c r="JWK2" s="62"/>
      <c r="JWL2" s="62"/>
      <c r="JWM2" s="62"/>
      <c r="JWN2" s="62"/>
      <c r="JWO2" s="62"/>
      <c r="JWP2" s="62"/>
      <c r="JWQ2" s="62"/>
      <c r="JWR2" s="62"/>
      <c r="JWS2" s="62"/>
      <c r="JWT2" s="62"/>
      <c r="JWU2" s="62"/>
      <c r="JWV2" s="62"/>
      <c r="JWW2" s="62"/>
      <c r="JWX2" s="62"/>
      <c r="JWY2" s="62"/>
      <c r="JWZ2" s="62"/>
      <c r="JXA2" s="62"/>
      <c r="JXB2" s="62"/>
      <c r="JXC2" s="62"/>
      <c r="JXD2" s="62"/>
      <c r="JXE2" s="62"/>
      <c r="JXF2" s="62"/>
      <c r="JXG2" s="62"/>
      <c r="JXH2" s="62"/>
      <c r="JXI2" s="62"/>
      <c r="JXJ2" s="62"/>
      <c r="JXK2" s="62"/>
      <c r="JXL2" s="62"/>
      <c r="JXM2" s="62"/>
      <c r="JXN2" s="62"/>
      <c r="JXO2" s="62"/>
      <c r="JXP2" s="62"/>
      <c r="JXQ2" s="62"/>
      <c r="JXR2" s="62"/>
      <c r="JXS2" s="62"/>
      <c r="JXT2" s="62"/>
      <c r="JXU2" s="62"/>
      <c r="JXV2" s="62"/>
      <c r="JXW2" s="62"/>
      <c r="JXX2" s="62"/>
      <c r="JXY2" s="62"/>
      <c r="JXZ2" s="62"/>
      <c r="JYA2" s="62"/>
      <c r="JYB2" s="62"/>
      <c r="JYC2" s="62"/>
      <c r="JYD2" s="62"/>
      <c r="JYE2" s="62"/>
      <c r="JYF2" s="62"/>
      <c r="JYG2" s="62"/>
      <c r="JYH2" s="62"/>
      <c r="JYI2" s="62"/>
      <c r="JYJ2" s="62"/>
      <c r="JYK2" s="62"/>
      <c r="JYL2" s="62"/>
      <c r="JYM2" s="62"/>
      <c r="JYN2" s="62"/>
      <c r="JYO2" s="62"/>
      <c r="JYP2" s="62"/>
      <c r="JYQ2" s="62"/>
      <c r="JYR2" s="62"/>
      <c r="JYS2" s="62"/>
      <c r="JYT2" s="62"/>
      <c r="JYU2" s="62"/>
      <c r="JYV2" s="62"/>
      <c r="JYW2" s="62"/>
      <c r="JYX2" s="62"/>
      <c r="JYY2" s="62"/>
      <c r="JYZ2" s="62"/>
      <c r="JZA2" s="62"/>
      <c r="JZB2" s="62"/>
      <c r="JZC2" s="62"/>
      <c r="JZD2" s="62"/>
      <c r="JZE2" s="62"/>
      <c r="JZF2" s="62"/>
      <c r="JZG2" s="62"/>
      <c r="JZH2" s="62"/>
      <c r="JZI2" s="62"/>
      <c r="JZJ2" s="62"/>
      <c r="JZK2" s="62"/>
      <c r="JZL2" s="62"/>
      <c r="JZM2" s="62"/>
      <c r="JZN2" s="62"/>
      <c r="JZO2" s="62"/>
      <c r="JZP2" s="62"/>
      <c r="JZQ2" s="62"/>
      <c r="JZR2" s="62"/>
      <c r="JZS2" s="62"/>
      <c r="JZT2" s="62"/>
      <c r="JZU2" s="62"/>
      <c r="JZV2" s="62"/>
      <c r="JZW2" s="62"/>
      <c r="JZX2" s="62"/>
      <c r="JZY2" s="62"/>
      <c r="JZZ2" s="62"/>
      <c r="KAA2" s="62"/>
      <c r="KAB2" s="62"/>
      <c r="KAC2" s="62"/>
      <c r="KAD2" s="62"/>
      <c r="KAE2" s="62"/>
      <c r="KAF2" s="62"/>
      <c r="KAG2" s="62"/>
      <c r="KAH2" s="62"/>
      <c r="KAI2" s="62"/>
      <c r="KAJ2" s="62"/>
      <c r="KAK2" s="62"/>
      <c r="KAL2" s="62"/>
      <c r="KAM2" s="62"/>
      <c r="KAN2" s="62"/>
      <c r="KAO2" s="62"/>
      <c r="KAP2" s="62"/>
      <c r="KAQ2" s="62"/>
      <c r="KAR2" s="62"/>
      <c r="KAS2" s="62"/>
      <c r="KAT2" s="62"/>
      <c r="KAU2" s="62"/>
      <c r="KAV2" s="62"/>
      <c r="KAW2" s="62"/>
      <c r="KAX2" s="62"/>
      <c r="KAY2" s="62"/>
      <c r="KAZ2" s="62"/>
      <c r="KBA2" s="62"/>
      <c r="KBB2" s="62"/>
      <c r="KBC2" s="62"/>
      <c r="KBD2" s="62"/>
      <c r="KBE2" s="62"/>
      <c r="KBF2" s="62"/>
      <c r="KBG2" s="62"/>
      <c r="KBH2" s="62"/>
      <c r="KBI2" s="62"/>
      <c r="KBJ2" s="62"/>
      <c r="KBK2" s="62"/>
      <c r="KBL2" s="62"/>
      <c r="KBM2" s="62"/>
      <c r="KBN2" s="62"/>
      <c r="KBO2" s="62"/>
      <c r="KBP2" s="62"/>
      <c r="KBQ2" s="62"/>
      <c r="KBR2" s="62"/>
      <c r="KBS2" s="62"/>
      <c r="KBT2" s="62"/>
      <c r="KBU2" s="62"/>
      <c r="KBV2" s="62"/>
      <c r="KBW2" s="62"/>
      <c r="KBX2" s="62"/>
      <c r="KBY2" s="62"/>
      <c r="KBZ2" s="62"/>
      <c r="KCA2" s="62"/>
      <c r="KCB2" s="62"/>
      <c r="KCC2" s="62"/>
      <c r="KCD2" s="62"/>
      <c r="KCE2" s="62"/>
      <c r="KCF2" s="62"/>
      <c r="KCG2" s="62"/>
      <c r="KCH2" s="62"/>
      <c r="KCI2" s="62"/>
      <c r="KCJ2" s="62"/>
      <c r="KCK2" s="62"/>
      <c r="KCL2" s="62"/>
      <c r="KCM2" s="62"/>
      <c r="KCN2" s="62"/>
      <c r="KCO2" s="62"/>
      <c r="KCP2" s="62"/>
      <c r="KCQ2" s="62"/>
      <c r="KCR2" s="62"/>
      <c r="KCS2" s="62"/>
      <c r="KCT2" s="62"/>
      <c r="KCU2" s="62"/>
      <c r="KCV2" s="62"/>
      <c r="KCW2" s="62"/>
      <c r="KCX2" s="62"/>
      <c r="KCY2" s="62"/>
      <c r="KCZ2" s="62"/>
      <c r="KDA2" s="62"/>
      <c r="KDB2" s="62"/>
      <c r="KDC2" s="62"/>
      <c r="KDD2" s="62"/>
      <c r="KDE2" s="62"/>
      <c r="KDF2" s="62"/>
      <c r="KDG2" s="62"/>
      <c r="KDH2" s="62"/>
      <c r="KDI2" s="62"/>
      <c r="KDJ2" s="62"/>
      <c r="KDK2" s="62"/>
      <c r="KDL2" s="62"/>
      <c r="KDM2" s="62"/>
      <c r="KDN2" s="62"/>
      <c r="KDO2" s="62"/>
      <c r="KDP2" s="62"/>
      <c r="KDQ2" s="62"/>
      <c r="KDR2" s="62"/>
      <c r="KDS2" s="62"/>
      <c r="KDT2" s="62"/>
      <c r="KDU2" s="62"/>
      <c r="KDV2" s="62"/>
      <c r="KDW2" s="62"/>
      <c r="KDX2" s="62"/>
      <c r="KDY2" s="62"/>
      <c r="KDZ2" s="62"/>
      <c r="KEA2" s="62"/>
      <c r="KEB2" s="62"/>
      <c r="KEC2" s="62"/>
      <c r="KED2" s="62"/>
      <c r="KEE2" s="62"/>
      <c r="KEF2" s="62"/>
      <c r="KEG2" s="62"/>
      <c r="KEH2" s="62"/>
      <c r="KEI2" s="62"/>
      <c r="KEJ2" s="62"/>
      <c r="KEK2" s="62"/>
      <c r="KEL2" s="62"/>
      <c r="KEM2" s="62"/>
      <c r="KEN2" s="62"/>
      <c r="KEO2" s="62"/>
      <c r="KEP2" s="62"/>
      <c r="KEQ2" s="62"/>
      <c r="KER2" s="62"/>
      <c r="KES2" s="62"/>
      <c r="KET2" s="62"/>
      <c r="KEU2" s="62"/>
      <c r="KEV2" s="62"/>
      <c r="KEW2" s="62"/>
      <c r="KEX2" s="62"/>
      <c r="KEY2" s="62"/>
      <c r="KEZ2" s="62"/>
      <c r="KFA2" s="62"/>
      <c r="KFB2" s="62"/>
      <c r="KFC2" s="62"/>
      <c r="KFD2" s="62"/>
      <c r="KFE2" s="62"/>
      <c r="KFF2" s="62"/>
      <c r="KFG2" s="62"/>
      <c r="KFH2" s="62"/>
      <c r="KFI2" s="62"/>
      <c r="KFJ2" s="62"/>
      <c r="KFK2" s="62"/>
      <c r="KFL2" s="62"/>
      <c r="KFM2" s="62"/>
      <c r="KFN2" s="62"/>
      <c r="KFO2" s="62"/>
      <c r="KFP2" s="62"/>
      <c r="KFQ2" s="62"/>
      <c r="KFR2" s="62"/>
      <c r="KFS2" s="62"/>
      <c r="KFT2" s="62"/>
      <c r="KFU2" s="62"/>
      <c r="KFV2" s="62"/>
      <c r="KFW2" s="62"/>
      <c r="KFX2" s="62"/>
      <c r="KFY2" s="62"/>
      <c r="KFZ2" s="62"/>
      <c r="KGA2" s="62"/>
      <c r="KGB2" s="62"/>
      <c r="KGC2" s="62"/>
      <c r="KGD2" s="62"/>
      <c r="KGE2" s="62"/>
      <c r="KGF2" s="62"/>
      <c r="KGG2" s="62"/>
      <c r="KGH2" s="62"/>
      <c r="KGI2" s="62"/>
      <c r="KGJ2" s="62"/>
      <c r="KGK2" s="62"/>
      <c r="KGL2" s="62"/>
      <c r="KGM2" s="62"/>
      <c r="KGN2" s="62"/>
      <c r="KGO2" s="62"/>
      <c r="KGP2" s="62"/>
      <c r="KGQ2" s="62"/>
      <c r="KGR2" s="62"/>
      <c r="KGS2" s="62"/>
      <c r="KGT2" s="62"/>
      <c r="KGU2" s="62"/>
      <c r="KGV2" s="62"/>
      <c r="KGW2" s="62"/>
      <c r="KGX2" s="62"/>
      <c r="KGY2" s="62"/>
      <c r="KGZ2" s="62"/>
      <c r="KHA2" s="62"/>
      <c r="KHB2" s="62"/>
      <c r="KHC2" s="62"/>
      <c r="KHD2" s="62"/>
      <c r="KHE2" s="62"/>
      <c r="KHF2" s="62"/>
      <c r="KHG2" s="62"/>
      <c r="KHH2" s="62"/>
      <c r="KHI2" s="62"/>
      <c r="KHJ2" s="62"/>
      <c r="KHK2" s="62"/>
      <c r="KHL2" s="62"/>
      <c r="KHM2" s="62"/>
      <c r="KHN2" s="62"/>
      <c r="KHO2" s="62"/>
      <c r="KHP2" s="62"/>
      <c r="KHQ2" s="62"/>
      <c r="KHR2" s="62"/>
      <c r="KHS2" s="62"/>
      <c r="KHT2" s="62"/>
      <c r="KHU2" s="62"/>
      <c r="KHV2" s="62"/>
      <c r="KHW2" s="62"/>
      <c r="KHX2" s="62"/>
      <c r="KHY2" s="62"/>
      <c r="KHZ2" s="62"/>
      <c r="KIA2" s="62"/>
      <c r="KIB2" s="62"/>
      <c r="KIC2" s="62"/>
      <c r="KID2" s="62"/>
      <c r="KIE2" s="62"/>
      <c r="KIF2" s="62"/>
      <c r="KIG2" s="62"/>
      <c r="KIH2" s="62"/>
      <c r="KII2" s="62"/>
      <c r="KIJ2" s="62"/>
      <c r="KIK2" s="62"/>
      <c r="KIL2" s="62"/>
      <c r="KIM2" s="62"/>
      <c r="KIN2" s="62"/>
      <c r="KIO2" s="62"/>
      <c r="KIP2" s="62"/>
      <c r="KIQ2" s="62"/>
      <c r="KIR2" s="62"/>
      <c r="KIS2" s="62"/>
      <c r="KIT2" s="62"/>
      <c r="KIU2" s="62"/>
      <c r="KIV2" s="62"/>
      <c r="KIW2" s="62"/>
      <c r="KIX2" s="62"/>
      <c r="KIY2" s="62"/>
      <c r="KIZ2" s="62"/>
      <c r="KJA2" s="62"/>
      <c r="KJB2" s="62"/>
      <c r="KJC2" s="62"/>
      <c r="KJD2" s="62"/>
      <c r="KJE2" s="62"/>
      <c r="KJF2" s="62"/>
      <c r="KJG2" s="62"/>
      <c r="KJH2" s="62"/>
      <c r="KJI2" s="62"/>
      <c r="KJJ2" s="62"/>
      <c r="KJK2" s="62"/>
      <c r="KJL2" s="62"/>
      <c r="KJM2" s="62"/>
      <c r="KJN2" s="62"/>
      <c r="KJO2" s="62"/>
      <c r="KJP2" s="62"/>
      <c r="KJQ2" s="62"/>
      <c r="KJR2" s="62"/>
      <c r="KJS2" s="62"/>
      <c r="KJT2" s="62"/>
      <c r="KJU2" s="62"/>
      <c r="KJV2" s="62"/>
      <c r="KJW2" s="62"/>
      <c r="KJX2" s="62"/>
      <c r="KJY2" s="62"/>
      <c r="KJZ2" s="62"/>
      <c r="KKA2" s="62"/>
      <c r="KKB2" s="62"/>
      <c r="KKC2" s="62"/>
      <c r="KKD2" s="62"/>
      <c r="KKE2" s="62"/>
      <c r="KKF2" s="62"/>
      <c r="KKG2" s="62"/>
      <c r="KKH2" s="62"/>
      <c r="KKI2" s="62"/>
      <c r="KKJ2" s="62"/>
      <c r="KKK2" s="62"/>
      <c r="KKL2" s="62"/>
      <c r="KKM2" s="62"/>
      <c r="KKN2" s="62"/>
      <c r="KKO2" s="62"/>
      <c r="KKP2" s="62"/>
      <c r="KKQ2" s="62"/>
      <c r="KKR2" s="62"/>
      <c r="KKS2" s="62"/>
      <c r="KKT2" s="62"/>
      <c r="KKU2" s="62"/>
      <c r="KKV2" s="62"/>
      <c r="KKW2" s="62"/>
      <c r="KKX2" s="62"/>
      <c r="KKY2" s="62"/>
      <c r="KKZ2" s="62"/>
      <c r="KLA2" s="62"/>
      <c r="KLB2" s="62"/>
      <c r="KLC2" s="62"/>
      <c r="KLD2" s="62"/>
      <c r="KLE2" s="62"/>
      <c r="KLF2" s="62"/>
      <c r="KLG2" s="62"/>
      <c r="KLH2" s="62"/>
      <c r="KLI2" s="62"/>
      <c r="KLJ2" s="62"/>
      <c r="KLK2" s="62"/>
      <c r="KLL2" s="62"/>
      <c r="KLM2" s="62"/>
      <c r="KLN2" s="62"/>
      <c r="KLO2" s="62"/>
      <c r="KLP2" s="62"/>
      <c r="KLQ2" s="62"/>
      <c r="KLR2" s="62"/>
      <c r="KLS2" s="62"/>
      <c r="KLT2" s="62"/>
      <c r="KLU2" s="62"/>
      <c r="KLV2" s="62"/>
      <c r="KLW2" s="62"/>
      <c r="KLX2" s="62"/>
      <c r="KLY2" s="62"/>
      <c r="KLZ2" s="62"/>
      <c r="KMA2" s="62"/>
      <c r="KMB2" s="62"/>
      <c r="KMC2" s="62"/>
      <c r="KMD2" s="62"/>
      <c r="KME2" s="62"/>
      <c r="KMF2" s="62"/>
      <c r="KMG2" s="62"/>
      <c r="KMH2" s="62"/>
      <c r="KMI2" s="62"/>
      <c r="KMJ2" s="62"/>
      <c r="KMK2" s="62"/>
      <c r="KML2" s="62"/>
      <c r="KMM2" s="62"/>
      <c r="KMN2" s="62"/>
      <c r="KMO2" s="62"/>
      <c r="KMP2" s="62"/>
      <c r="KMQ2" s="62"/>
      <c r="KMR2" s="62"/>
      <c r="KMS2" s="62"/>
      <c r="KMT2" s="62"/>
      <c r="KMU2" s="62"/>
      <c r="KMV2" s="62"/>
      <c r="KMW2" s="62"/>
      <c r="KMX2" s="62"/>
      <c r="KMY2" s="62"/>
      <c r="KMZ2" s="62"/>
      <c r="KNA2" s="62"/>
      <c r="KNB2" s="62"/>
      <c r="KNC2" s="62"/>
      <c r="KND2" s="62"/>
      <c r="KNE2" s="62"/>
      <c r="KNF2" s="62"/>
      <c r="KNG2" s="62"/>
      <c r="KNH2" s="62"/>
      <c r="KNI2" s="62"/>
      <c r="KNJ2" s="62"/>
      <c r="KNK2" s="62"/>
      <c r="KNL2" s="62"/>
      <c r="KNM2" s="62"/>
      <c r="KNN2" s="62"/>
      <c r="KNO2" s="62"/>
      <c r="KNP2" s="62"/>
      <c r="KNQ2" s="62"/>
      <c r="KNR2" s="62"/>
      <c r="KNS2" s="62"/>
      <c r="KNT2" s="62"/>
      <c r="KNU2" s="62"/>
      <c r="KNV2" s="62"/>
      <c r="KNW2" s="62"/>
      <c r="KNX2" s="62"/>
      <c r="KNY2" s="62"/>
      <c r="KNZ2" s="62"/>
      <c r="KOA2" s="62"/>
      <c r="KOB2" s="62"/>
      <c r="KOC2" s="62"/>
      <c r="KOD2" s="62"/>
      <c r="KOE2" s="62"/>
      <c r="KOF2" s="62"/>
      <c r="KOG2" s="62"/>
      <c r="KOH2" s="62"/>
      <c r="KOI2" s="62"/>
      <c r="KOJ2" s="62"/>
      <c r="KOK2" s="62"/>
      <c r="KOL2" s="62"/>
      <c r="KOM2" s="62"/>
      <c r="KON2" s="62"/>
      <c r="KOO2" s="62"/>
      <c r="KOP2" s="62"/>
      <c r="KOQ2" s="62"/>
      <c r="KOR2" s="62"/>
      <c r="KOS2" s="62"/>
      <c r="KOT2" s="62"/>
      <c r="KOU2" s="62"/>
      <c r="KOV2" s="62"/>
      <c r="KOW2" s="62"/>
      <c r="KOX2" s="62"/>
      <c r="KOY2" s="62"/>
      <c r="KOZ2" s="62"/>
      <c r="KPA2" s="62"/>
      <c r="KPB2" s="62"/>
      <c r="KPC2" s="62"/>
      <c r="KPD2" s="62"/>
      <c r="KPE2" s="62"/>
      <c r="KPF2" s="62"/>
      <c r="KPG2" s="62"/>
      <c r="KPH2" s="62"/>
      <c r="KPI2" s="62"/>
      <c r="KPJ2" s="62"/>
      <c r="KPK2" s="62"/>
      <c r="KPL2" s="62"/>
      <c r="KPM2" s="62"/>
      <c r="KPN2" s="62"/>
      <c r="KPO2" s="62"/>
      <c r="KPP2" s="62"/>
      <c r="KPQ2" s="62"/>
      <c r="KPR2" s="62"/>
      <c r="KPS2" s="62"/>
      <c r="KPT2" s="62"/>
      <c r="KPU2" s="62"/>
      <c r="KPV2" s="62"/>
      <c r="KPW2" s="62"/>
      <c r="KPX2" s="62"/>
      <c r="KPY2" s="62"/>
      <c r="KPZ2" s="62"/>
      <c r="KQA2" s="62"/>
      <c r="KQB2" s="62"/>
      <c r="KQC2" s="62"/>
      <c r="KQD2" s="62"/>
      <c r="KQE2" s="62"/>
      <c r="KQF2" s="62"/>
      <c r="KQG2" s="62"/>
      <c r="KQH2" s="62"/>
      <c r="KQI2" s="62"/>
      <c r="KQJ2" s="62"/>
      <c r="KQK2" s="62"/>
      <c r="KQL2" s="62"/>
      <c r="KQM2" s="62"/>
      <c r="KQN2" s="62"/>
      <c r="KQO2" s="62"/>
      <c r="KQP2" s="62"/>
      <c r="KQQ2" s="62"/>
      <c r="KQR2" s="62"/>
      <c r="KQS2" s="62"/>
      <c r="KQT2" s="62"/>
      <c r="KQU2" s="62"/>
      <c r="KQV2" s="62"/>
      <c r="KQW2" s="62"/>
      <c r="KQX2" s="62"/>
      <c r="KQY2" s="62"/>
      <c r="KQZ2" s="62"/>
      <c r="KRA2" s="62"/>
      <c r="KRB2" s="62"/>
      <c r="KRC2" s="62"/>
      <c r="KRD2" s="62"/>
      <c r="KRE2" s="62"/>
      <c r="KRF2" s="62"/>
      <c r="KRG2" s="62"/>
      <c r="KRH2" s="62"/>
      <c r="KRI2" s="62"/>
      <c r="KRJ2" s="62"/>
      <c r="KRK2" s="62"/>
      <c r="KRL2" s="62"/>
      <c r="KRM2" s="62"/>
      <c r="KRN2" s="62"/>
      <c r="KRO2" s="62"/>
      <c r="KRP2" s="62"/>
      <c r="KRQ2" s="62"/>
      <c r="KRR2" s="62"/>
      <c r="KRS2" s="62"/>
      <c r="KRT2" s="62"/>
      <c r="KRU2" s="62"/>
      <c r="KRV2" s="62"/>
      <c r="KRW2" s="62"/>
      <c r="KRX2" s="62"/>
      <c r="KRY2" s="62"/>
      <c r="KRZ2" s="62"/>
      <c r="KSA2" s="62"/>
      <c r="KSB2" s="62"/>
      <c r="KSC2" s="62"/>
      <c r="KSD2" s="62"/>
      <c r="KSE2" s="62"/>
      <c r="KSF2" s="62"/>
      <c r="KSG2" s="62"/>
      <c r="KSH2" s="62"/>
      <c r="KSI2" s="62"/>
      <c r="KSJ2" s="62"/>
      <c r="KSK2" s="62"/>
      <c r="KSL2" s="62"/>
      <c r="KSM2" s="62"/>
      <c r="KSN2" s="62"/>
      <c r="KSO2" s="62"/>
      <c r="KSP2" s="62"/>
      <c r="KSQ2" s="62"/>
      <c r="KSR2" s="62"/>
      <c r="KSS2" s="62"/>
      <c r="KST2" s="62"/>
      <c r="KSU2" s="62"/>
      <c r="KSV2" s="62"/>
      <c r="KSW2" s="62"/>
      <c r="KSX2" s="62"/>
      <c r="KSY2" s="62"/>
      <c r="KSZ2" s="62"/>
      <c r="KTA2" s="62"/>
      <c r="KTB2" s="62"/>
      <c r="KTC2" s="62"/>
      <c r="KTD2" s="62"/>
      <c r="KTE2" s="62"/>
      <c r="KTF2" s="62"/>
      <c r="KTG2" s="62"/>
      <c r="KTH2" s="62"/>
      <c r="KTI2" s="62"/>
      <c r="KTJ2" s="62"/>
      <c r="KTK2" s="62"/>
      <c r="KTL2" s="62"/>
      <c r="KTM2" s="62"/>
      <c r="KTN2" s="62"/>
      <c r="KTO2" s="62"/>
      <c r="KTP2" s="62"/>
      <c r="KTQ2" s="62"/>
      <c r="KTR2" s="62"/>
      <c r="KTS2" s="62"/>
      <c r="KTT2" s="62"/>
      <c r="KTU2" s="62"/>
      <c r="KTV2" s="62"/>
      <c r="KTW2" s="62"/>
      <c r="KTX2" s="62"/>
      <c r="KTY2" s="62"/>
      <c r="KTZ2" s="62"/>
      <c r="KUA2" s="62"/>
      <c r="KUB2" s="62"/>
      <c r="KUC2" s="62"/>
      <c r="KUD2" s="62"/>
      <c r="KUE2" s="62"/>
      <c r="KUF2" s="62"/>
      <c r="KUG2" s="62"/>
      <c r="KUH2" s="62"/>
      <c r="KUI2" s="62"/>
      <c r="KUJ2" s="62"/>
      <c r="KUK2" s="62"/>
      <c r="KUL2" s="62"/>
      <c r="KUM2" s="62"/>
      <c r="KUN2" s="62"/>
      <c r="KUO2" s="62"/>
      <c r="KUP2" s="62"/>
      <c r="KUQ2" s="62"/>
      <c r="KUR2" s="62"/>
      <c r="KUS2" s="62"/>
      <c r="KUT2" s="62"/>
      <c r="KUU2" s="62"/>
      <c r="KUV2" s="62"/>
      <c r="KUW2" s="62"/>
      <c r="KUX2" s="62"/>
      <c r="KUY2" s="62"/>
      <c r="KUZ2" s="62"/>
      <c r="KVA2" s="62"/>
      <c r="KVB2" s="62"/>
      <c r="KVC2" s="62"/>
      <c r="KVD2" s="62"/>
      <c r="KVE2" s="62"/>
      <c r="KVF2" s="62"/>
      <c r="KVG2" s="62"/>
      <c r="KVH2" s="62"/>
      <c r="KVI2" s="62"/>
      <c r="KVJ2" s="62"/>
      <c r="KVK2" s="62"/>
      <c r="KVL2" s="62"/>
      <c r="KVM2" s="62"/>
      <c r="KVN2" s="62"/>
      <c r="KVO2" s="62"/>
      <c r="KVP2" s="62"/>
      <c r="KVQ2" s="62"/>
      <c r="KVR2" s="62"/>
      <c r="KVS2" s="62"/>
      <c r="KVT2" s="62"/>
      <c r="KVU2" s="62"/>
      <c r="KVV2" s="62"/>
      <c r="KVW2" s="62"/>
      <c r="KVX2" s="62"/>
      <c r="KVY2" s="62"/>
      <c r="KVZ2" s="62"/>
      <c r="KWA2" s="62"/>
      <c r="KWB2" s="62"/>
      <c r="KWC2" s="62"/>
      <c r="KWD2" s="62"/>
      <c r="KWE2" s="62"/>
      <c r="KWF2" s="62"/>
      <c r="KWG2" s="62"/>
      <c r="KWH2" s="62"/>
      <c r="KWI2" s="62"/>
      <c r="KWJ2" s="62"/>
      <c r="KWK2" s="62"/>
      <c r="KWL2" s="62"/>
      <c r="KWM2" s="62"/>
      <c r="KWN2" s="62"/>
      <c r="KWO2" s="62"/>
      <c r="KWP2" s="62"/>
      <c r="KWQ2" s="62"/>
      <c r="KWR2" s="62"/>
      <c r="KWS2" s="62"/>
      <c r="KWT2" s="62"/>
      <c r="KWU2" s="62"/>
      <c r="KWV2" s="62"/>
      <c r="KWW2" s="62"/>
      <c r="KWX2" s="62"/>
      <c r="KWY2" s="62"/>
      <c r="KWZ2" s="62"/>
      <c r="KXA2" s="62"/>
      <c r="KXB2" s="62"/>
      <c r="KXC2" s="62"/>
      <c r="KXD2" s="62"/>
      <c r="KXE2" s="62"/>
      <c r="KXF2" s="62"/>
      <c r="KXG2" s="62"/>
      <c r="KXH2" s="62"/>
      <c r="KXI2" s="62"/>
      <c r="KXJ2" s="62"/>
      <c r="KXK2" s="62"/>
      <c r="KXL2" s="62"/>
      <c r="KXM2" s="62"/>
      <c r="KXN2" s="62"/>
      <c r="KXO2" s="62"/>
      <c r="KXP2" s="62"/>
      <c r="KXQ2" s="62"/>
      <c r="KXR2" s="62"/>
      <c r="KXS2" s="62"/>
      <c r="KXT2" s="62"/>
      <c r="KXU2" s="62"/>
      <c r="KXV2" s="62"/>
      <c r="KXW2" s="62"/>
      <c r="KXX2" s="62"/>
      <c r="KXY2" s="62"/>
      <c r="KXZ2" s="62"/>
      <c r="KYA2" s="62"/>
      <c r="KYB2" s="62"/>
      <c r="KYC2" s="62"/>
      <c r="KYD2" s="62"/>
      <c r="KYE2" s="62"/>
      <c r="KYF2" s="62"/>
      <c r="KYG2" s="62"/>
      <c r="KYH2" s="62"/>
      <c r="KYI2" s="62"/>
      <c r="KYJ2" s="62"/>
      <c r="KYK2" s="62"/>
      <c r="KYL2" s="62"/>
      <c r="KYM2" s="62"/>
      <c r="KYN2" s="62"/>
      <c r="KYO2" s="62"/>
      <c r="KYP2" s="62"/>
      <c r="KYQ2" s="62"/>
      <c r="KYR2" s="62"/>
      <c r="KYS2" s="62"/>
      <c r="KYT2" s="62"/>
      <c r="KYU2" s="62"/>
      <c r="KYV2" s="62"/>
      <c r="KYW2" s="62"/>
      <c r="KYX2" s="62"/>
      <c r="KYY2" s="62"/>
      <c r="KYZ2" s="62"/>
      <c r="KZA2" s="62"/>
      <c r="KZB2" s="62"/>
      <c r="KZC2" s="62"/>
      <c r="KZD2" s="62"/>
      <c r="KZE2" s="62"/>
      <c r="KZF2" s="62"/>
      <c r="KZG2" s="62"/>
      <c r="KZH2" s="62"/>
      <c r="KZI2" s="62"/>
      <c r="KZJ2" s="62"/>
      <c r="KZK2" s="62"/>
      <c r="KZL2" s="62"/>
      <c r="KZM2" s="62"/>
      <c r="KZN2" s="62"/>
      <c r="KZO2" s="62"/>
      <c r="KZP2" s="62"/>
      <c r="KZQ2" s="62"/>
      <c r="KZR2" s="62"/>
      <c r="KZS2" s="62"/>
      <c r="KZT2" s="62"/>
      <c r="KZU2" s="62"/>
      <c r="KZV2" s="62"/>
      <c r="KZW2" s="62"/>
      <c r="KZX2" s="62"/>
      <c r="KZY2" s="62"/>
      <c r="KZZ2" s="62"/>
      <c r="LAA2" s="62"/>
      <c r="LAB2" s="62"/>
      <c r="LAC2" s="62"/>
      <c r="LAD2" s="62"/>
      <c r="LAE2" s="62"/>
      <c r="LAF2" s="62"/>
      <c r="LAG2" s="62"/>
      <c r="LAH2" s="62"/>
      <c r="LAI2" s="62"/>
      <c r="LAJ2" s="62"/>
      <c r="LAK2" s="62"/>
      <c r="LAL2" s="62"/>
      <c r="LAM2" s="62"/>
      <c r="LAN2" s="62"/>
      <c r="LAO2" s="62"/>
      <c r="LAP2" s="62"/>
      <c r="LAQ2" s="62"/>
      <c r="LAR2" s="62"/>
      <c r="LAS2" s="62"/>
      <c r="LAT2" s="62"/>
      <c r="LAU2" s="62"/>
      <c r="LAV2" s="62"/>
      <c r="LAW2" s="62"/>
      <c r="LAX2" s="62"/>
      <c r="LAY2" s="62"/>
      <c r="LAZ2" s="62"/>
      <c r="LBA2" s="62"/>
      <c r="LBB2" s="62"/>
      <c r="LBC2" s="62"/>
      <c r="LBD2" s="62"/>
      <c r="LBE2" s="62"/>
      <c r="LBF2" s="62"/>
      <c r="LBG2" s="62"/>
      <c r="LBH2" s="62"/>
      <c r="LBI2" s="62"/>
      <c r="LBJ2" s="62"/>
      <c r="LBK2" s="62"/>
      <c r="LBL2" s="62"/>
      <c r="LBM2" s="62"/>
      <c r="LBN2" s="62"/>
      <c r="LBO2" s="62"/>
      <c r="LBP2" s="62"/>
      <c r="LBQ2" s="62"/>
      <c r="LBR2" s="62"/>
      <c r="LBS2" s="62"/>
      <c r="LBT2" s="62"/>
      <c r="LBU2" s="62"/>
      <c r="LBV2" s="62"/>
      <c r="LBW2" s="62"/>
      <c r="LBX2" s="62"/>
      <c r="LBY2" s="62"/>
      <c r="LBZ2" s="62"/>
      <c r="LCA2" s="62"/>
      <c r="LCB2" s="62"/>
      <c r="LCC2" s="62"/>
      <c r="LCD2" s="62"/>
      <c r="LCE2" s="62"/>
      <c r="LCF2" s="62"/>
      <c r="LCG2" s="62"/>
      <c r="LCH2" s="62"/>
      <c r="LCI2" s="62"/>
      <c r="LCJ2" s="62"/>
      <c r="LCK2" s="62"/>
      <c r="LCL2" s="62"/>
      <c r="LCM2" s="62"/>
      <c r="LCN2" s="62"/>
      <c r="LCO2" s="62"/>
      <c r="LCP2" s="62"/>
      <c r="LCQ2" s="62"/>
      <c r="LCR2" s="62"/>
      <c r="LCS2" s="62"/>
      <c r="LCT2" s="62"/>
      <c r="LCU2" s="62"/>
      <c r="LCV2" s="62"/>
      <c r="LCW2" s="62"/>
      <c r="LCX2" s="62"/>
      <c r="LCY2" s="62"/>
      <c r="LCZ2" s="62"/>
      <c r="LDA2" s="62"/>
      <c r="LDB2" s="62"/>
      <c r="LDC2" s="62"/>
      <c r="LDD2" s="62"/>
      <c r="LDE2" s="62"/>
      <c r="LDF2" s="62"/>
      <c r="LDG2" s="62"/>
      <c r="LDH2" s="62"/>
      <c r="LDI2" s="62"/>
      <c r="LDJ2" s="62"/>
      <c r="LDK2" s="62"/>
      <c r="LDL2" s="62"/>
      <c r="LDM2" s="62"/>
      <c r="LDN2" s="62"/>
      <c r="LDO2" s="62"/>
      <c r="LDP2" s="62"/>
      <c r="LDQ2" s="62"/>
      <c r="LDR2" s="62"/>
      <c r="LDS2" s="62"/>
      <c r="LDT2" s="62"/>
      <c r="LDU2" s="62"/>
      <c r="LDV2" s="62"/>
      <c r="LDW2" s="62"/>
      <c r="LDX2" s="62"/>
      <c r="LDY2" s="62"/>
      <c r="LDZ2" s="62"/>
      <c r="LEA2" s="62"/>
      <c r="LEB2" s="62"/>
      <c r="LEC2" s="62"/>
      <c r="LED2" s="62"/>
      <c r="LEE2" s="62"/>
      <c r="LEF2" s="62"/>
      <c r="LEG2" s="62"/>
      <c r="LEH2" s="62"/>
      <c r="LEI2" s="62"/>
      <c r="LEJ2" s="62"/>
      <c r="LEK2" s="62"/>
      <c r="LEL2" s="62"/>
      <c r="LEM2" s="62"/>
      <c r="LEN2" s="62"/>
      <c r="LEO2" s="62"/>
      <c r="LEP2" s="62"/>
      <c r="LEQ2" s="62"/>
      <c r="LER2" s="62"/>
      <c r="LES2" s="62"/>
      <c r="LET2" s="62"/>
      <c r="LEU2" s="62"/>
      <c r="LEV2" s="62"/>
      <c r="LEW2" s="62"/>
      <c r="LEX2" s="62"/>
      <c r="LEY2" s="62"/>
      <c r="LEZ2" s="62"/>
      <c r="LFA2" s="62"/>
      <c r="LFB2" s="62"/>
      <c r="LFC2" s="62"/>
      <c r="LFD2" s="62"/>
      <c r="LFE2" s="62"/>
      <c r="LFF2" s="62"/>
      <c r="LFG2" s="62"/>
      <c r="LFH2" s="62"/>
      <c r="LFI2" s="62"/>
      <c r="LFJ2" s="62"/>
      <c r="LFK2" s="62"/>
      <c r="LFL2" s="62"/>
      <c r="LFM2" s="62"/>
      <c r="LFN2" s="62"/>
      <c r="LFO2" s="62"/>
      <c r="LFP2" s="62"/>
      <c r="LFQ2" s="62"/>
      <c r="LFR2" s="62"/>
      <c r="LFS2" s="62"/>
      <c r="LFT2" s="62"/>
      <c r="LFU2" s="62"/>
      <c r="LFV2" s="62"/>
      <c r="LFW2" s="62"/>
      <c r="LFX2" s="62"/>
      <c r="LFY2" s="62"/>
      <c r="LFZ2" s="62"/>
      <c r="LGA2" s="62"/>
      <c r="LGB2" s="62"/>
      <c r="LGC2" s="62"/>
      <c r="LGD2" s="62"/>
      <c r="LGE2" s="62"/>
      <c r="LGF2" s="62"/>
      <c r="LGG2" s="62"/>
      <c r="LGH2" s="62"/>
      <c r="LGI2" s="62"/>
      <c r="LGJ2" s="62"/>
      <c r="LGK2" s="62"/>
      <c r="LGL2" s="62"/>
      <c r="LGM2" s="62"/>
      <c r="LGN2" s="62"/>
      <c r="LGO2" s="62"/>
      <c r="LGP2" s="62"/>
      <c r="LGQ2" s="62"/>
      <c r="LGR2" s="62"/>
      <c r="LGS2" s="62"/>
      <c r="LGT2" s="62"/>
      <c r="LGU2" s="62"/>
      <c r="LGV2" s="62"/>
      <c r="LGW2" s="62"/>
      <c r="LGX2" s="62"/>
      <c r="LGY2" s="62"/>
      <c r="LGZ2" s="62"/>
      <c r="LHA2" s="62"/>
      <c r="LHB2" s="62"/>
      <c r="LHC2" s="62"/>
      <c r="LHD2" s="62"/>
      <c r="LHE2" s="62"/>
      <c r="LHF2" s="62"/>
      <c r="LHG2" s="62"/>
      <c r="LHH2" s="62"/>
      <c r="LHI2" s="62"/>
      <c r="LHJ2" s="62"/>
      <c r="LHK2" s="62"/>
      <c r="LHL2" s="62"/>
      <c r="LHM2" s="62"/>
      <c r="LHN2" s="62"/>
      <c r="LHO2" s="62"/>
      <c r="LHP2" s="62"/>
      <c r="LHQ2" s="62"/>
      <c r="LHR2" s="62"/>
      <c r="LHS2" s="62"/>
      <c r="LHT2" s="62"/>
      <c r="LHU2" s="62"/>
      <c r="LHV2" s="62"/>
      <c r="LHW2" s="62"/>
      <c r="LHX2" s="62"/>
      <c r="LHY2" s="62"/>
      <c r="LHZ2" s="62"/>
      <c r="LIA2" s="62"/>
      <c r="LIB2" s="62"/>
      <c r="LIC2" s="62"/>
      <c r="LID2" s="62"/>
      <c r="LIE2" s="62"/>
      <c r="LIF2" s="62"/>
      <c r="LIG2" s="62"/>
      <c r="LIH2" s="62"/>
      <c r="LII2" s="62"/>
      <c r="LIJ2" s="62"/>
      <c r="LIK2" s="62"/>
      <c r="LIL2" s="62"/>
      <c r="LIM2" s="62"/>
      <c r="LIN2" s="62"/>
      <c r="LIO2" s="62"/>
      <c r="LIP2" s="62"/>
      <c r="LIQ2" s="62"/>
      <c r="LIR2" s="62"/>
      <c r="LIS2" s="62"/>
      <c r="LIT2" s="62"/>
      <c r="LIU2" s="62"/>
      <c r="LIV2" s="62"/>
      <c r="LIW2" s="62"/>
      <c r="LIX2" s="62"/>
      <c r="LIY2" s="62"/>
      <c r="LIZ2" s="62"/>
      <c r="LJA2" s="62"/>
      <c r="LJB2" s="62"/>
      <c r="LJC2" s="62"/>
      <c r="LJD2" s="62"/>
      <c r="LJE2" s="62"/>
      <c r="LJF2" s="62"/>
      <c r="LJG2" s="62"/>
      <c r="LJH2" s="62"/>
      <c r="LJI2" s="62"/>
      <c r="LJJ2" s="62"/>
      <c r="LJK2" s="62"/>
      <c r="LJL2" s="62"/>
      <c r="LJM2" s="62"/>
      <c r="LJN2" s="62"/>
      <c r="LJO2" s="62"/>
      <c r="LJP2" s="62"/>
      <c r="LJQ2" s="62"/>
      <c r="LJR2" s="62"/>
      <c r="LJS2" s="62"/>
      <c r="LJT2" s="62"/>
      <c r="LJU2" s="62"/>
      <c r="LJV2" s="62"/>
      <c r="LJW2" s="62"/>
      <c r="LJX2" s="62"/>
      <c r="LJY2" s="62"/>
      <c r="LJZ2" s="62"/>
      <c r="LKA2" s="62"/>
      <c r="LKB2" s="62"/>
      <c r="LKC2" s="62"/>
      <c r="LKD2" s="62"/>
      <c r="LKE2" s="62"/>
      <c r="LKF2" s="62"/>
      <c r="LKG2" s="62"/>
      <c r="LKH2" s="62"/>
      <c r="LKI2" s="62"/>
      <c r="LKJ2" s="62"/>
      <c r="LKK2" s="62"/>
      <c r="LKL2" s="62"/>
      <c r="LKM2" s="62"/>
      <c r="LKN2" s="62"/>
      <c r="LKO2" s="62"/>
      <c r="LKP2" s="62"/>
      <c r="LKQ2" s="62"/>
      <c r="LKR2" s="62"/>
      <c r="LKS2" s="62"/>
      <c r="LKT2" s="62"/>
      <c r="LKU2" s="62"/>
      <c r="LKV2" s="62"/>
      <c r="LKW2" s="62"/>
      <c r="LKX2" s="62"/>
      <c r="LKY2" s="62"/>
      <c r="LKZ2" s="62"/>
      <c r="LLA2" s="62"/>
      <c r="LLB2" s="62"/>
      <c r="LLC2" s="62"/>
      <c r="LLD2" s="62"/>
      <c r="LLE2" s="62"/>
      <c r="LLF2" s="62"/>
      <c r="LLG2" s="62"/>
      <c r="LLH2" s="62"/>
      <c r="LLI2" s="62"/>
      <c r="LLJ2" s="62"/>
      <c r="LLK2" s="62"/>
      <c r="LLL2" s="62"/>
      <c r="LLM2" s="62"/>
      <c r="LLN2" s="62"/>
      <c r="LLO2" s="62"/>
      <c r="LLP2" s="62"/>
      <c r="LLQ2" s="62"/>
      <c r="LLR2" s="62"/>
      <c r="LLS2" s="62"/>
      <c r="LLT2" s="62"/>
      <c r="LLU2" s="62"/>
      <c r="LLV2" s="62"/>
      <c r="LLW2" s="62"/>
      <c r="LLX2" s="62"/>
      <c r="LLY2" s="62"/>
      <c r="LLZ2" s="62"/>
      <c r="LMA2" s="62"/>
      <c r="LMB2" s="62"/>
      <c r="LMC2" s="62"/>
      <c r="LMD2" s="62"/>
      <c r="LME2" s="62"/>
      <c r="LMF2" s="62"/>
      <c r="LMG2" s="62"/>
      <c r="LMH2" s="62"/>
      <c r="LMI2" s="62"/>
      <c r="LMJ2" s="62"/>
      <c r="LMK2" s="62"/>
      <c r="LML2" s="62"/>
      <c r="LMM2" s="62"/>
      <c r="LMN2" s="62"/>
      <c r="LMO2" s="62"/>
      <c r="LMP2" s="62"/>
      <c r="LMQ2" s="62"/>
      <c r="LMR2" s="62"/>
      <c r="LMS2" s="62"/>
      <c r="LMT2" s="62"/>
      <c r="LMU2" s="62"/>
      <c r="LMV2" s="62"/>
      <c r="LMW2" s="62"/>
      <c r="LMX2" s="62"/>
      <c r="LMY2" s="62"/>
      <c r="LMZ2" s="62"/>
      <c r="LNA2" s="62"/>
      <c r="LNB2" s="62"/>
      <c r="LNC2" s="62"/>
      <c r="LND2" s="62"/>
      <c r="LNE2" s="62"/>
      <c r="LNF2" s="62"/>
      <c r="LNG2" s="62"/>
      <c r="LNH2" s="62"/>
      <c r="LNI2" s="62"/>
      <c r="LNJ2" s="62"/>
      <c r="LNK2" s="62"/>
      <c r="LNL2" s="62"/>
      <c r="LNM2" s="62"/>
      <c r="LNN2" s="62"/>
      <c r="LNO2" s="62"/>
      <c r="LNP2" s="62"/>
      <c r="LNQ2" s="62"/>
      <c r="LNR2" s="62"/>
      <c r="LNS2" s="62"/>
      <c r="LNT2" s="62"/>
      <c r="LNU2" s="62"/>
      <c r="LNV2" s="62"/>
      <c r="LNW2" s="62"/>
      <c r="LNX2" s="62"/>
      <c r="LNY2" s="62"/>
      <c r="LNZ2" s="62"/>
      <c r="LOA2" s="62"/>
      <c r="LOB2" s="62"/>
      <c r="LOC2" s="62"/>
      <c r="LOD2" s="62"/>
      <c r="LOE2" s="62"/>
      <c r="LOF2" s="62"/>
      <c r="LOG2" s="62"/>
      <c r="LOH2" s="62"/>
      <c r="LOI2" s="62"/>
      <c r="LOJ2" s="62"/>
      <c r="LOK2" s="62"/>
      <c r="LOL2" s="62"/>
      <c r="LOM2" s="62"/>
      <c r="LON2" s="62"/>
      <c r="LOO2" s="62"/>
      <c r="LOP2" s="62"/>
      <c r="LOQ2" s="62"/>
      <c r="LOR2" s="62"/>
      <c r="LOS2" s="62"/>
      <c r="LOT2" s="62"/>
      <c r="LOU2" s="62"/>
      <c r="LOV2" s="62"/>
      <c r="LOW2" s="62"/>
      <c r="LOX2" s="62"/>
      <c r="LOY2" s="62"/>
      <c r="LOZ2" s="62"/>
      <c r="LPA2" s="62"/>
      <c r="LPB2" s="62"/>
      <c r="LPC2" s="62"/>
      <c r="LPD2" s="62"/>
      <c r="LPE2" s="62"/>
      <c r="LPF2" s="62"/>
      <c r="LPG2" s="62"/>
      <c r="LPH2" s="62"/>
      <c r="LPI2" s="62"/>
      <c r="LPJ2" s="62"/>
      <c r="LPK2" s="62"/>
      <c r="LPL2" s="62"/>
      <c r="LPM2" s="62"/>
      <c r="LPN2" s="62"/>
      <c r="LPO2" s="62"/>
      <c r="LPP2" s="62"/>
      <c r="LPQ2" s="62"/>
      <c r="LPR2" s="62"/>
      <c r="LPS2" s="62"/>
      <c r="LPT2" s="62"/>
      <c r="LPU2" s="62"/>
      <c r="LPV2" s="62"/>
      <c r="LPW2" s="62"/>
      <c r="LPX2" s="62"/>
      <c r="LPY2" s="62"/>
      <c r="LPZ2" s="62"/>
      <c r="LQA2" s="62"/>
      <c r="LQB2" s="62"/>
      <c r="LQC2" s="62"/>
      <c r="LQD2" s="62"/>
      <c r="LQE2" s="62"/>
      <c r="LQF2" s="62"/>
      <c r="LQG2" s="62"/>
      <c r="LQH2" s="62"/>
      <c r="LQI2" s="62"/>
      <c r="LQJ2" s="62"/>
      <c r="LQK2" s="62"/>
      <c r="LQL2" s="62"/>
      <c r="LQM2" s="62"/>
      <c r="LQN2" s="62"/>
      <c r="LQO2" s="62"/>
      <c r="LQP2" s="62"/>
      <c r="LQQ2" s="62"/>
      <c r="LQR2" s="62"/>
      <c r="LQS2" s="62"/>
      <c r="LQT2" s="62"/>
      <c r="LQU2" s="62"/>
      <c r="LQV2" s="62"/>
      <c r="LQW2" s="62"/>
      <c r="LQX2" s="62"/>
      <c r="LQY2" s="62"/>
      <c r="LQZ2" s="62"/>
      <c r="LRA2" s="62"/>
      <c r="LRB2" s="62"/>
      <c r="LRC2" s="62"/>
      <c r="LRD2" s="62"/>
      <c r="LRE2" s="62"/>
      <c r="LRF2" s="62"/>
      <c r="LRG2" s="62"/>
      <c r="LRH2" s="62"/>
      <c r="LRI2" s="62"/>
      <c r="LRJ2" s="62"/>
      <c r="LRK2" s="62"/>
      <c r="LRL2" s="62"/>
      <c r="LRM2" s="62"/>
      <c r="LRN2" s="62"/>
      <c r="LRO2" s="62"/>
      <c r="LRP2" s="62"/>
      <c r="LRQ2" s="62"/>
      <c r="LRR2" s="62"/>
      <c r="LRS2" s="62"/>
      <c r="LRT2" s="62"/>
      <c r="LRU2" s="62"/>
      <c r="LRV2" s="62"/>
      <c r="LRW2" s="62"/>
      <c r="LRX2" s="62"/>
      <c r="LRY2" s="62"/>
      <c r="LRZ2" s="62"/>
      <c r="LSA2" s="62"/>
      <c r="LSB2" s="62"/>
      <c r="LSC2" s="62"/>
      <c r="LSD2" s="62"/>
      <c r="LSE2" s="62"/>
      <c r="LSF2" s="62"/>
      <c r="LSG2" s="62"/>
      <c r="LSH2" s="62"/>
      <c r="LSI2" s="62"/>
      <c r="LSJ2" s="62"/>
      <c r="LSK2" s="62"/>
      <c r="LSL2" s="62"/>
      <c r="LSM2" s="62"/>
      <c r="LSN2" s="62"/>
      <c r="LSO2" s="62"/>
      <c r="LSP2" s="62"/>
      <c r="LSQ2" s="62"/>
      <c r="LSR2" s="62"/>
      <c r="LSS2" s="62"/>
      <c r="LST2" s="62"/>
      <c r="LSU2" s="62"/>
      <c r="LSV2" s="62"/>
      <c r="LSW2" s="62"/>
      <c r="LSX2" s="62"/>
      <c r="LSY2" s="62"/>
      <c r="LSZ2" s="62"/>
      <c r="LTA2" s="62"/>
      <c r="LTB2" s="62"/>
      <c r="LTC2" s="62"/>
      <c r="LTD2" s="62"/>
      <c r="LTE2" s="62"/>
      <c r="LTF2" s="62"/>
      <c r="LTG2" s="62"/>
      <c r="LTH2" s="62"/>
      <c r="LTI2" s="62"/>
      <c r="LTJ2" s="62"/>
      <c r="LTK2" s="62"/>
      <c r="LTL2" s="62"/>
      <c r="LTM2" s="62"/>
      <c r="LTN2" s="62"/>
      <c r="LTO2" s="62"/>
      <c r="LTP2" s="62"/>
      <c r="LTQ2" s="62"/>
      <c r="LTR2" s="62"/>
      <c r="LTS2" s="62"/>
      <c r="LTT2" s="62"/>
      <c r="LTU2" s="62"/>
      <c r="LTV2" s="62"/>
      <c r="LTW2" s="62"/>
      <c r="LTX2" s="62"/>
      <c r="LTY2" s="62"/>
      <c r="LTZ2" s="62"/>
      <c r="LUA2" s="62"/>
      <c r="LUB2" s="62"/>
      <c r="LUC2" s="62"/>
      <c r="LUD2" s="62"/>
      <c r="LUE2" s="62"/>
      <c r="LUF2" s="62"/>
      <c r="LUG2" s="62"/>
      <c r="LUH2" s="62"/>
      <c r="LUI2" s="62"/>
      <c r="LUJ2" s="62"/>
      <c r="LUK2" s="62"/>
      <c r="LUL2" s="62"/>
      <c r="LUM2" s="62"/>
      <c r="LUN2" s="62"/>
      <c r="LUO2" s="62"/>
      <c r="LUP2" s="62"/>
      <c r="LUQ2" s="62"/>
      <c r="LUR2" s="62"/>
      <c r="LUS2" s="62"/>
      <c r="LUT2" s="62"/>
      <c r="LUU2" s="62"/>
      <c r="LUV2" s="62"/>
      <c r="LUW2" s="62"/>
      <c r="LUX2" s="62"/>
      <c r="LUY2" s="62"/>
      <c r="LUZ2" s="62"/>
      <c r="LVA2" s="62"/>
      <c r="LVB2" s="62"/>
      <c r="LVC2" s="62"/>
      <c r="LVD2" s="62"/>
      <c r="LVE2" s="62"/>
      <c r="LVF2" s="62"/>
      <c r="LVG2" s="62"/>
      <c r="LVH2" s="62"/>
      <c r="LVI2" s="62"/>
      <c r="LVJ2" s="62"/>
      <c r="LVK2" s="62"/>
      <c r="LVL2" s="62"/>
      <c r="LVM2" s="62"/>
      <c r="LVN2" s="62"/>
      <c r="LVO2" s="62"/>
      <c r="LVP2" s="62"/>
      <c r="LVQ2" s="62"/>
      <c r="LVR2" s="62"/>
      <c r="LVS2" s="62"/>
      <c r="LVT2" s="62"/>
      <c r="LVU2" s="62"/>
      <c r="LVV2" s="62"/>
      <c r="LVW2" s="62"/>
      <c r="LVX2" s="62"/>
      <c r="LVY2" s="62"/>
      <c r="LVZ2" s="62"/>
      <c r="LWA2" s="62"/>
      <c r="LWB2" s="62"/>
      <c r="LWC2" s="62"/>
      <c r="LWD2" s="62"/>
      <c r="LWE2" s="62"/>
      <c r="LWF2" s="62"/>
      <c r="LWG2" s="62"/>
      <c r="LWH2" s="62"/>
      <c r="LWI2" s="62"/>
      <c r="LWJ2" s="62"/>
      <c r="LWK2" s="62"/>
      <c r="LWL2" s="62"/>
      <c r="LWM2" s="62"/>
      <c r="LWN2" s="62"/>
      <c r="LWO2" s="62"/>
      <c r="LWP2" s="62"/>
      <c r="LWQ2" s="62"/>
      <c r="LWR2" s="62"/>
      <c r="LWS2" s="62"/>
      <c r="LWT2" s="62"/>
      <c r="LWU2" s="62"/>
      <c r="LWV2" s="62"/>
      <c r="LWW2" s="62"/>
      <c r="LWX2" s="62"/>
      <c r="LWY2" s="62"/>
      <c r="LWZ2" s="62"/>
      <c r="LXA2" s="62"/>
      <c r="LXB2" s="62"/>
      <c r="LXC2" s="62"/>
      <c r="LXD2" s="62"/>
      <c r="LXE2" s="62"/>
      <c r="LXF2" s="62"/>
      <c r="LXG2" s="62"/>
      <c r="LXH2" s="62"/>
      <c r="LXI2" s="62"/>
      <c r="LXJ2" s="62"/>
      <c r="LXK2" s="62"/>
      <c r="LXL2" s="62"/>
      <c r="LXM2" s="62"/>
      <c r="LXN2" s="62"/>
      <c r="LXO2" s="62"/>
      <c r="LXP2" s="62"/>
      <c r="LXQ2" s="62"/>
      <c r="LXR2" s="62"/>
      <c r="LXS2" s="62"/>
      <c r="LXT2" s="62"/>
      <c r="LXU2" s="62"/>
      <c r="LXV2" s="62"/>
      <c r="LXW2" s="62"/>
      <c r="LXX2" s="62"/>
      <c r="LXY2" s="62"/>
      <c r="LXZ2" s="62"/>
      <c r="LYA2" s="62"/>
      <c r="LYB2" s="62"/>
      <c r="LYC2" s="62"/>
      <c r="LYD2" s="62"/>
      <c r="LYE2" s="62"/>
      <c r="LYF2" s="62"/>
      <c r="LYG2" s="62"/>
      <c r="LYH2" s="62"/>
      <c r="LYI2" s="62"/>
      <c r="LYJ2" s="62"/>
      <c r="LYK2" s="62"/>
      <c r="LYL2" s="62"/>
      <c r="LYM2" s="62"/>
      <c r="LYN2" s="62"/>
      <c r="LYO2" s="62"/>
      <c r="LYP2" s="62"/>
      <c r="LYQ2" s="62"/>
      <c r="LYR2" s="62"/>
      <c r="LYS2" s="62"/>
      <c r="LYT2" s="62"/>
      <c r="LYU2" s="62"/>
      <c r="LYV2" s="62"/>
      <c r="LYW2" s="62"/>
      <c r="LYX2" s="62"/>
      <c r="LYY2" s="62"/>
      <c r="LYZ2" s="62"/>
      <c r="LZA2" s="62"/>
      <c r="LZB2" s="62"/>
      <c r="LZC2" s="62"/>
      <c r="LZD2" s="62"/>
      <c r="LZE2" s="62"/>
      <c r="LZF2" s="62"/>
      <c r="LZG2" s="62"/>
      <c r="LZH2" s="62"/>
      <c r="LZI2" s="62"/>
      <c r="LZJ2" s="62"/>
      <c r="LZK2" s="62"/>
      <c r="LZL2" s="62"/>
      <c r="LZM2" s="62"/>
      <c r="LZN2" s="62"/>
      <c r="LZO2" s="62"/>
      <c r="LZP2" s="62"/>
      <c r="LZQ2" s="62"/>
      <c r="LZR2" s="62"/>
      <c r="LZS2" s="62"/>
      <c r="LZT2" s="62"/>
      <c r="LZU2" s="62"/>
      <c r="LZV2" s="62"/>
      <c r="LZW2" s="62"/>
      <c r="LZX2" s="62"/>
      <c r="LZY2" s="62"/>
      <c r="LZZ2" s="62"/>
      <c r="MAA2" s="62"/>
      <c r="MAB2" s="62"/>
      <c r="MAC2" s="62"/>
      <c r="MAD2" s="62"/>
      <c r="MAE2" s="62"/>
      <c r="MAF2" s="62"/>
      <c r="MAG2" s="62"/>
      <c r="MAH2" s="62"/>
      <c r="MAI2" s="62"/>
      <c r="MAJ2" s="62"/>
      <c r="MAK2" s="62"/>
      <c r="MAL2" s="62"/>
      <c r="MAM2" s="62"/>
      <c r="MAN2" s="62"/>
      <c r="MAO2" s="62"/>
      <c r="MAP2" s="62"/>
      <c r="MAQ2" s="62"/>
      <c r="MAR2" s="62"/>
      <c r="MAS2" s="62"/>
      <c r="MAT2" s="62"/>
      <c r="MAU2" s="62"/>
      <c r="MAV2" s="62"/>
      <c r="MAW2" s="62"/>
      <c r="MAX2" s="62"/>
      <c r="MAY2" s="62"/>
      <c r="MAZ2" s="62"/>
      <c r="MBA2" s="62"/>
      <c r="MBB2" s="62"/>
      <c r="MBC2" s="62"/>
      <c r="MBD2" s="62"/>
      <c r="MBE2" s="62"/>
      <c r="MBF2" s="62"/>
      <c r="MBG2" s="62"/>
      <c r="MBH2" s="62"/>
      <c r="MBI2" s="62"/>
      <c r="MBJ2" s="62"/>
      <c r="MBK2" s="62"/>
      <c r="MBL2" s="62"/>
      <c r="MBM2" s="62"/>
      <c r="MBN2" s="62"/>
      <c r="MBO2" s="62"/>
      <c r="MBP2" s="62"/>
      <c r="MBQ2" s="62"/>
      <c r="MBR2" s="62"/>
      <c r="MBS2" s="62"/>
      <c r="MBT2" s="62"/>
      <c r="MBU2" s="62"/>
      <c r="MBV2" s="62"/>
      <c r="MBW2" s="62"/>
      <c r="MBX2" s="62"/>
      <c r="MBY2" s="62"/>
      <c r="MBZ2" s="62"/>
      <c r="MCA2" s="62"/>
      <c r="MCB2" s="62"/>
      <c r="MCC2" s="62"/>
      <c r="MCD2" s="62"/>
      <c r="MCE2" s="62"/>
      <c r="MCF2" s="62"/>
      <c r="MCG2" s="62"/>
      <c r="MCH2" s="62"/>
      <c r="MCI2" s="62"/>
      <c r="MCJ2" s="62"/>
      <c r="MCK2" s="62"/>
      <c r="MCL2" s="62"/>
      <c r="MCM2" s="62"/>
      <c r="MCN2" s="62"/>
      <c r="MCO2" s="62"/>
      <c r="MCP2" s="62"/>
      <c r="MCQ2" s="62"/>
      <c r="MCR2" s="62"/>
      <c r="MCS2" s="62"/>
      <c r="MCT2" s="62"/>
      <c r="MCU2" s="62"/>
      <c r="MCV2" s="62"/>
      <c r="MCW2" s="62"/>
      <c r="MCX2" s="62"/>
      <c r="MCY2" s="62"/>
      <c r="MCZ2" s="62"/>
      <c r="MDA2" s="62"/>
      <c r="MDB2" s="62"/>
      <c r="MDC2" s="62"/>
      <c r="MDD2" s="62"/>
      <c r="MDE2" s="62"/>
      <c r="MDF2" s="62"/>
      <c r="MDG2" s="62"/>
      <c r="MDH2" s="62"/>
      <c r="MDI2" s="62"/>
      <c r="MDJ2" s="62"/>
      <c r="MDK2" s="62"/>
      <c r="MDL2" s="62"/>
      <c r="MDM2" s="62"/>
      <c r="MDN2" s="62"/>
      <c r="MDO2" s="62"/>
      <c r="MDP2" s="62"/>
      <c r="MDQ2" s="62"/>
      <c r="MDR2" s="62"/>
      <c r="MDS2" s="62"/>
      <c r="MDT2" s="62"/>
      <c r="MDU2" s="62"/>
      <c r="MDV2" s="62"/>
      <c r="MDW2" s="62"/>
      <c r="MDX2" s="62"/>
      <c r="MDY2" s="62"/>
      <c r="MDZ2" s="62"/>
      <c r="MEA2" s="62"/>
      <c r="MEB2" s="62"/>
      <c r="MEC2" s="62"/>
      <c r="MED2" s="62"/>
      <c r="MEE2" s="62"/>
      <c r="MEF2" s="62"/>
      <c r="MEG2" s="62"/>
      <c r="MEH2" s="62"/>
      <c r="MEI2" s="62"/>
      <c r="MEJ2" s="62"/>
      <c r="MEK2" s="62"/>
      <c r="MEL2" s="62"/>
      <c r="MEM2" s="62"/>
      <c r="MEN2" s="62"/>
      <c r="MEO2" s="62"/>
      <c r="MEP2" s="62"/>
      <c r="MEQ2" s="62"/>
      <c r="MER2" s="62"/>
      <c r="MES2" s="62"/>
      <c r="MET2" s="62"/>
      <c r="MEU2" s="62"/>
      <c r="MEV2" s="62"/>
      <c r="MEW2" s="62"/>
      <c r="MEX2" s="62"/>
      <c r="MEY2" s="62"/>
      <c r="MEZ2" s="62"/>
      <c r="MFA2" s="62"/>
      <c r="MFB2" s="62"/>
      <c r="MFC2" s="62"/>
      <c r="MFD2" s="62"/>
      <c r="MFE2" s="62"/>
      <c r="MFF2" s="62"/>
      <c r="MFG2" s="62"/>
      <c r="MFH2" s="62"/>
      <c r="MFI2" s="62"/>
      <c r="MFJ2" s="62"/>
      <c r="MFK2" s="62"/>
      <c r="MFL2" s="62"/>
      <c r="MFM2" s="62"/>
      <c r="MFN2" s="62"/>
      <c r="MFO2" s="62"/>
      <c r="MFP2" s="62"/>
      <c r="MFQ2" s="62"/>
      <c r="MFR2" s="62"/>
      <c r="MFS2" s="62"/>
      <c r="MFT2" s="62"/>
      <c r="MFU2" s="62"/>
      <c r="MFV2" s="62"/>
      <c r="MFW2" s="62"/>
      <c r="MFX2" s="62"/>
      <c r="MFY2" s="62"/>
      <c r="MFZ2" s="62"/>
      <c r="MGA2" s="62"/>
      <c r="MGB2" s="62"/>
      <c r="MGC2" s="62"/>
      <c r="MGD2" s="62"/>
      <c r="MGE2" s="62"/>
      <c r="MGF2" s="62"/>
      <c r="MGG2" s="62"/>
      <c r="MGH2" s="62"/>
      <c r="MGI2" s="62"/>
      <c r="MGJ2" s="62"/>
      <c r="MGK2" s="62"/>
      <c r="MGL2" s="62"/>
      <c r="MGM2" s="62"/>
      <c r="MGN2" s="62"/>
      <c r="MGO2" s="62"/>
      <c r="MGP2" s="62"/>
      <c r="MGQ2" s="62"/>
      <c r="MGR2" s="62"/>
      <c r="MGS2" s="62"/>
      <c r="MGT2" s="62"/>
      <c r="MGU2" s="62"/>
      <c r="MGV2" s="62"/>
      <c r="MGW2" s="62"/>
      <c r="MGX2" s="62"/>
      <c r="MGY2" s="62"/>
      <c r="MGZ2" s="62"/>
      <c r="MHA2" s="62"/>
      <c r="MHB2" s="62"/>
      <c r="MHC2" s="62"/>
      <c r="MHD2" s="62"/>
      <c r="MHE2" s="62"/>
      <c r="MHF2" s="62"/>
      <c r="MHG2" s="62"/>
      <c r="MHH2" s="62"/>
      <c r="MHI2" s="62"/>
      <c r="MHJ2" s="62"/>
      <c r="MHK2" s="62"/>
      <c r="MHL2" s="62"/>
      <c r="MHM2" s="62"/>
      <c r="MHN2" s="62"/>
      <c r="MHO2" s="62"/>
      <c r="MHP2" s="62"/>
      <c r="MHQ2" s="62"/>
      <c r="MHR2" s="62"/>
      <c r="MHS2" s="62"/>
      <c r="MHT2" s="62"/>
      <c r="MHU2" s="62"/>
      <c r="MHV2" s="62"/>
      <c r="MHW2" s="62"/>
      <c r="MHX2" s="62"/>
      <c r="MHY2" s="62"/>
      <c r="MHZ2" s="62"/>
      <c r="MIA2" s="62"/>
      <c r="MIB2" s="62"/>
      <c r="MIC2" s="62"/>
      <c r="MID2" s="62"/>
      <c r="MIE2" s="62"/>
      <c r="MIF2" s="62"/>
      <c r="MIG2" s="62"/>
      <c r="MIH2" s="62"/>
      <c r="MII2" s="62"/>
      <c r="MIJ2" s="62"/>
      <c r="MIK2" s="62"/>
      <c r="MIL2" s="62"/>
      <c r="MIM2" s="62"/>
      <c r="MIN2" s="62"/>
      <c r="MIO2" s="62"/>
      <c r="MIP2" s="62"/>
      <c r="MIQ2" s="62"/>
      <c r="MIR2" s="62"/>
      <c r="MIS2" s="62"/>
      <c r="MIT2" s="62"/>
      <c r="MIU2" s="62"/>
      <c r="MIV2" s="62"/>
      <c r="MIW2" s="62"/>
      <c r="MIX2" s="62"/>
      <c r="MIY2" s="62"/>
      <c r="MIZ2" s="62"/>
      <c r="MJA2" s="62"/>
      <c r="MJB2" s="62"/>
      <c r="MJC2" s="62"/>
      <c r="MJD2" s="62"/>
      <c r="MJE2" s="62"/>
      <c r="MJF2" s="62"/>
      <c r="MJG2" s="62"/>
      <c r="MJH2" s="62"/>
      <c r="MJI2" s="62"/>
      <c r="MJJ2" s="62"/>
      <c r="MJK2" s="62"/>
      <c r="MJL2" s="62"/>
      <c r="MJM2" s="62"/>
      <c r="MJN2" s="62"/>
      <c r="MJO2" s="62"/>
      <c r="MJP2" s="62"/>
      <c r="MJQ2" s="62"/>
      <c r="MJR2" s="62"/>
      <c r="MJS2" s="62"/>
      <c r="MJT2" s="62"/>
      <c r="MJU2" s="62"/>
      <c r="MJV2" s="62"/>
      <c r="MJW2" s="62"/>
      <c r="MJX2" s="62"/>
      <c r="MJY2" s="62"/>
      <c r="MJZ2" s="62"/>
      <c r="MKA2" s="62"/>
      <c r="MKB2" s="62"/>
      <c r="MKC2" s="62"/>
      <c r="MKD2" s="62"/>
      <c r="MKE2" s="62"/>
      <c r="MKF2" s="62"/>
      <c r="MKG2" s="62"/>
      <c r="MKH2" s="62"/>
      <c r="MKI2" s="62"/>
      <c r="MKJ2" s="62"/>
      <c r="MKK2" s="62"/>
      <c r="MKL2" s="62"/>
      <c r="MKM2" s="62"/>
      <c r="MKN2" s="62"/>
      <c r="MKO2" s="62"/>
      <c r="MKP2" s="62"/>
      <c r="MKQ2" s="62"/>
      <c r="MKR2" s="62"/>
      <c r="MKS2" s="62"/>
      <c r="MKT2" s="62"/>
      <c r="MKU2" s="62"/>
      <c r="MKV2" s="62"/>
      <c r="MKW2" s="62"/>
      <c r="MKX2" s="62"/>
      <c r="MKY2" s="62"/>
      <c r="MKZ2" s="62"/>
      <c r="MLA2" s="62"/>
      <c r="MLB2" s="62"/>
      <c r="MLC2" s="62"/>
      <c r="MLD2" s="62"/>
      <c r="MLE2" s="62"/>
      <c r="MLF2" s="62"/>
      <c r="MLG2" s="62"/>
      <c r="MLH2" s="62"/>
      <c r="MLI2" s="62"/>
      <c r="MLJ2" s="62"/>
      <c r="MLK2" s="62"/>
      <c r="MLL2" s="62"/>
      <c r="MLM2" s="62"/>
      <c r="MLN2" s="62"/>
      <c r="MLO2" s="62"/>
      <c r="MLP2" s="62"/>
      <c r="MLQ2" s="62"/>
      <c r="MLR2" s="62"/>
      <c r="MLS2" s="62"/>
      <c r="MLT2" s="62"/>
      <c r="MLU2" s="62"/>
      <c r="MLV2" s="62"/>
      <c r="MLW2" s="62"/>
      <c r="MLX2" s="62"/>
      <c r="MLY2" s="62"/>
      <c r="MLZ2" s="62"/>
      <c r="MMA2" s="62"/>
      <c r="MMB2" s="62"/>
      <c r="MMC2" s="62"/>
      <c r="MMD2" s="62"/>
      <c r="MME2" s="62"/>
      <c r="MMF2" s="62"/>
      <c r="MMG2" s="62"/>
      <c r="MMH2" s="62"/>
      <c r="MMI2" s="62"/>
      <c r="MMJ2" s="62"/>
      <c r="MMK2" s="62"/>
      <c r="MML2" s="62"/>
      <c r="MMM2" s="62"/>
      <c r="MMN2" s="62"/>
      <c r="MMO2" s="62"/>
      <c r="MMP2" s="62"/>
      <c r="MMQ2" s="62"/>
      <c r="MMR2" s="62"/>
      <c r="MMS2" s="62"/>
      <c r="MMT2" s="62"/>
      <c r="MMU2" s="62"/>
      <c r="MMV2" s="62"/>
      <c r="MMW2" s="62"/>
      <c r="MMX2" s="62"/>
      <c r="MMY2" s="62"/>
      <c r="MMZ2" s="62"/>
      <c r="MNA2" s="62"/>
      <c r="MNB2" s="62"/>
      <c r="MNC2" s="62"/>
      <c r="MND2" s="62"/>
      <c r="MNE2" s="62"/>
      <c r="MNF2" s="62"/>
      <c r="MNG2" s="62"/>
      <c r="MNH2" s="62"/>
      <c r="MNI2" s="62"/>
      <c r="MNJ2" s="62"/>
      <c r="MNK2" s="62"/>
      <c r="MNL2" s="62"/>
      <c r="MNM2" s="62"/>
      <c r="MNN2" s="62"/>
      <c r="MNO2" s="62"/>
      <c r="MNP2" s="62"/>
      <c r="MNQ2" s="62"/>
      <c r="MNR2" s="62"/>
      <c r="MNS2" s="62"/>
      <c r="MNT2" s="62"/>
      <c r="MNU2" s="62"/>
      <c r="MNV2" s="62"/>
      <c r="MNW2" s="62"/>
      <c r="MNX2" s="62"/>
      <c r="MNY2" s="62"/>
      <c r="MNZ2" s="62"/>
      <c r="MOA2" s="62"/>
      <c r="MOB2" s="62"/>
      <c r="MOC2" s="62"/>
      <c r="MOD2" s="62"/>
      <c r="MOE2" s="62"/>
      <c r="MOF2" s="62"/>
      <c r="MOG2" s="62"/>
      <c r="MOH2" s="62"/>
      <c r="MOI2" s="62"/>
      <c r="MOJ2" s="62"/>
      <c r="MOK2" s="62"/>
      <c r="MOL2" s="62"/>
      <c r="MOM2" s="62"/>
      <c r="MON2" s="62"/>
      <c r="MOO2" s="62"/>
      <c r="MOP2" s="62"/>
      <c r="MOQ2" s="62"/>
      <c r="MOR2" s="62"/>
      <c r="MOS2" s="62"/>
      <c r="MOT2" s="62"/>
      <c r="MOU2" s="62"/>
      <c r="MOV2" s="62"/>
      <c r="MOW2" s="62"/>
      <c r="MOX2" s="62"/>
      <c r="MOY2" s="62"/>
      <c r="MOZ2" s="62"/>
      <c r="MPA2" s="62"/>
      <c r="MPB2" s="62"/>
      <c r="MPC2" s="62"/>
      <c r="MPD2" s="62"/>
      <c r="MPE2" s="62"/>
      <c r="MPF2" s="62"/>
      <c r="MPG2" s="62"/>
      <c r="MPH2" s="62"/>
      <c r="MPI2" s="62"/>
      <c r="MPJ2" s="62"/>
      <c r="MPK2" s="62"/>
      <c r="MPL2" s="62"/>
      <c r="MPM2" s="62"/>
      <c r="MPN2" s="62"/>
      <c r="MPO2" s="62"/>
      <c r="MPP2" s="62"/>
      <c r="MPQ2" s="62"/>
      <c r="MPR2" s="62"/>
      <c r="MPS2" s="62"/>
      <c r="MPT2" s="62"/>
      <c r="MPU2" s="62"/>
      <c r="MPV2" s="62"/>
      <c r="MPW2" s="62"/>
      <c r="MPX2" s="62"/>
      <c r="MPY2" s="62"/>
      <c r="MPZ2" s="62"/>
      <c r="MQA2" s="62"/>
      <c r="MQB2" s="62"/>
      <c r="MQC2" s="62"/>
      <c r="MQD2" s="62"/>
      <c r="MQE2" s="62"/>
      <c r="MQF2" s="62"/>
      <c r="MQG2" s="62"/>
      <c r="MQH2" s="62"/>
      <c r="MQI2" s="62"/>
      <c r="MQJ2" s="62"/>
      <c r="MQK2" s="62"/>
      <c r="MQL2" s="62"/>
      <c r="MQM2" s="62"/>
      <c r="MQN2" s="62"/>
      <c r="MQO2" s="62"/>
      <c r="MQP2" s="62"/>
      <c r="MQQ2" s="62"/>
      <c r="MQR2" s="62"/>
      <c r="MQS2" s="62"/>
      <c r="MQT2" s="62"/>
      <c r="MQU2" s="62"/>
      <c r="MQV2" s="62"/>
      <c r="MQW2" s="62"/>
      <c r="MQX2" s="62"/>
      <c r="MQY2" s="62"/>
      <c r="MQZ2" s="62"/>
      <c r="MRA2" s="62"/>
      <c r="MRB2" s="62"/>
      <c r="MRC2" s="62"/>
      <c r="MRD2" s="62"/>
      <c r="MRE2" s="62"/>
      <c r="MRF2" s="62"/>
      <c r="MRG2" s="62"/>
      <c r="MRH2" s="62"/>
      <c r="MRI2" s="62"/>
      <c r="MRJ2" s="62"/>
      <c r="MRK2" s="62"/>
      <c r="MRL2" s="62"/>
      <c r="MRM2" s="62"/>
      <c r="MRN2" s="62"/>
      <c r="MRO2" s="62"/>
      <c r="MRP2" s="62"/>
      <c r="MRQ2" s="62"/>
      <c r="MRR2" s="62"/>
      <c r="MRS2" s="62"/>
      <c r="MRT2" s="62"/>
      <c r="MRU2" s="62"/>
      <c r="MRV2" s="62"/>
      <c r="MRW2" s="62"/>
      <c r="MRX2" s="62"/>
      <c r="MRY2" s="62"/>
      <c r="MRZ2" s="62"/>
      <c r="MSA2" s="62"/>
      <c r="MSB2" s="62"/>
      <c r="MSC2" s="62"/>
      <c r="MSD2" s="62"/>
      <c r="MSE2" s="62"/>
      <c r="MSF2" s="62"/>
      <c r="MSG2" s="62"/>
      <c r="MSH2" s="62"/>
      <c r="MSI2" s="62"/>
      <c r="MSJ2" s="62"/>
      <c r="MSK2" s="62"/>
      <c r="MSL2" s="62"/>
      <c r="MSM2" s="62"/>
      <c r="MSN2" s="62"/>
      <c r="MSO2" s="62"/>
      <c r="MSP2" s="62"/>
      <c r="MSQ2" s="62"/>
      <c r="MSR2" s="62"/>
      <c r="MSS2" s="62"/>
      <c r="MST2" s="62"/>
      <c r="MSU2" s="62"/>
      <c r="MSV2" s="62"/>
      <c r="MSW2" s="62"/>
      <c r="MSX2" s="62"/>
      <c r="MSY2" s="62"/>
      <c r="MSZ2" s="62"/>
      <c r="MTA2" s="62"/>
      <c r="MTB2" s="62"/>
      <c r="MTC2" s="62"/>
      <c r="MTD2" s="62"/>
      <c r="MTE2" s="62"/>
      <c r="MTF2" s="62"/>
      <c r="MTG2" s="62"/>
      <c r="MTH2" s="62"/>
      <c r="MTI2" s="62"/>
      <c r="MTJ2" s="62"/>
      <c r="MTK2" s="62"/>
      <c r="MTL2" s="62"/>
      <c r="MTM2" s="62"/>
      <c r="MTN2" s="62"/>
      <c r="MTO2" s="62"/>
      <c r="MTP2" s="62"/>
      <c r="MTQ2" s="62"/>
      <c r="MTR2" s="62"/>
      <c r="MTS2" s="62"/>
      <c r="MTT2" s="62"/>
      <c r="MTU2" s="62"/>
      <c r="MTV2" s="62"/>
      <c r="MTW2" s="62"/>
      <c r="MTX2" s="62"/>
      <c r="MTY2" s="62"/>
      <c r="MTZ2" s="62"/>
      <c r="MUA2" s="62"/>
      <c r="MUB2" s="62"/>
      <c r="MUC2" s="62"/>
      <c r="MUD2" s="62"/>
      <c r="MUE2" s="62"/>
      <c r="MUF2" s="62"/>
      <c r="MUG2" s="62"/>
      <c r="MUH2" s="62"/>
      <c r="MUI2" s="62"/>
      <c r="MUJ2" s="62"/>
      <c r="MUK2" s="62"/>
      <c r="MUL2" s="62"/>
      <c r="MUM2" s="62"/>
      <c r="MUN2" s="62"/>
      <c r="MUO2" s="62"/>
      <c r="MUP2" s="62"/>
      <c r="MUQ2" s="62"/>
      <c r="MUR2" s="62"/>
      <c r="MUS2" s="62"/>
      <c r="MUT2" s="62"/>
      <c r="MUU2" s="62"/>
      <c r="MUV2" s="62"/>
      <c r="MUW2" s="62"/>
      <c r="MUX2" s="62"/>
      <c r="MUY2" s="62"/>
      <c r="MUZ2" s="62"/>
      <c r="MVA2" s="62"/>
      <c r="MVB2" s="62"/>
      <c r="MVC2" s="62"/>
      <c r="MVD2" s="62"/>
      <c r="MVE2" s="62"/>
      <c r="MVF2" s="62"/>
      <c r="MVG2" s="62"/>
      <c r="MVH2" s="62"/>
      <c r="MVI2" s="62"/>
      <c r="MVJ2" s="62"/>
      <c r="MVK2" s="62"/>
      <c r="MVL2" s="62"/>
      <c r="MVM2" s="62"/>
      <c r="MVN2" s="62"/>
      <c r="MVO2" s="62"/>
      <c r="MVP2" s="62"/>
      <c r="MVQ2" s="62"/>
      <c r="MVR2" s="62"/>
      <c r="MVS2" s="62"/>
      <c r="MVT2" s="62"/>
      <c r="MVU2" s="62"/>
      <c r="MVV2" s="62"/>
      <c r="MVW2" s="62"/>
      <c r="MVX2" s="62"/>
      <c r="MVY2" s="62"/>
      <c r="MVZ2" s="62"/>
      <c r="MWA2" s="62"/>
      <c r="MWB2" s="62"/>
      <c r="MWC2" s="62"/>
      <c r="MWD2" s="62"/>
      <c r="MWE2" s="62"/>
      <c r="MWF2" s="62"/>
      <c r="MWG2" s="62"/>
      <c r="MWH2" s="62"/>
      <c r="MWI2" s="62"/>
      <c r="MWJ2" s="62"/>
      <c r="MWK2" s="62"/>
      <c r="MWL2" s="62"/>
      <c r="MWM2" s="62"/>
      <c r="MWN2" s="62"/>
      <c r="MWO2" s="62"/>
      <c r="MWP2" s="62"/>
      <c r="MWQ2" s="62"/>
      <c r="MWR2" s="62"/>
      <c r="MWS2" s="62"/>
      <c r="MWT2" s="62"/>
      <c r="MWU2" s="62"/>
      <c r="MWV2" s="62"/>
      <c r="MWW2" s="62"/>
      <c r="MWX2" s="62"/>
      <c r="MWY2" s="62"/>
      <c r="MWZ2" s="62"/>
      <c r="MXA2" s="62"/>
      <c r="MXB2" s="62"/>
      <c r="MXC2" s="62"/>
      <c r="MXD2" s="62"/>
      <c r="MXE2" s="62"/>
      <c r="MXF2" s="62"/>
      <c r="MXG2" s="62"/>
      <c r="MXH2" s="62"/>
      <c r="MXI2" s="62"/>
      <c r="MXJ2" s="62"/>
      <c r="MXK2" s="62"/>
      <c r="MXL2" s="62"/>
      <c r="MXM2" s="62"/>
      <c r="MXN2" s="62"/>
      <c r="MXO2" s="62"/>
      <c r="MXP2" s="62"/>
      <c r="MXQ2" s="62"/>
      <c r="MXR2" s="62"/>
      <c r="MXS2" s="62"/>
      <c r="MXT2" s="62"/>
      <c r="MXU2" s="62"/>
      <c r="MXV2" s="62"/>
      <c r="MXW2" s="62"/>
      <c r="MXX2" s="62"/>
      <c r="MXY2" s="62"/>
      <c r="MXZ2" s="62"/>
      <c r="MYA2" s="62"/>
      <c r="MYB2" s="62"/>
      <c r="MYC2" s="62"/>
      <c r="MYD2" s="62"/>
      <c r="MYE2" s="62"/>
      <c r="MYF2" s="62"/>
      <c r="MYG2" s="62"/>
      <c r="MYH2" s="62"/>
      <c r="MYI2" s="62"/>
      <c r="MYJ2" s="62"/>
      <c r="MYK2" s="62"/>
      <c r="MYL2" s="62"/>
      <c r="MYM2" s="62"/>
      <c r="MYN2" s="62"/>
      <c r="MYO2" s="62"/>
      <c r="MYP2" s="62"/>
      <c r="MYQ2" s="62"/>
      <c r="MYR2" s="62"/>
      <c r="MYS2" s="62"/>
      <c r="MYT2" s="62"/>
      <c r="MYU2" s="62"/>
      <c r="MYV2" s="62"/>
      <c r="MYW2" s="62"/>
      <c r="MYX2" s="62"/>
      <c r="MYY2" s="62"/>
      <c r="MYZ2" s="62"/>
      <c r="MZA2" s="62"/>
      <c r="MZB2" s="62"/>
      <c r="MZC2" s="62"/>
      <c r="MZD2" s="62"/>
      <c r="MZE2" s="62"/>
      <c r="MZF2" s="62"/>
      <c r="MZG2" s="62"/>
      <c r="MZH2" s="62"/>
      <c r="MZI2" s="62"/>
      <c r="MZJ2" s="62"/>
      <c r="MZK2" s="62"/>
      <c r="MZL2" s="62"/>
      <c r="MZM2" s="62"/>
      <c r="MZN2" s="62"/>
      <c r="MZO2" s="62"/>
      <c r="MZP2" s="62"/>
      <c r="MZQ2" s="62"/>
      <c r="MZR2" s="62"/>
      <c r="MZS2" s="62"/>
      <c r="MZT2" s="62"/>
      <c r="MZU2" s="62"/>
      <c r="MZV2" s="62"/>
      <c r="MZW2" s="62"/>
      <c r="MZX2" s="62"/>
      <c r="MZY2" s="62"/>
      <c r="MZZ2" s="62"/>
      <c r="NAA2" s="62"/>
      <c r="NAB2" s="62"/>
      <c r="NAC2" s="62"/>
      <c r="NAD2" s="62"/>
      <c r="NAE2" s="62"/>
      <c r="NAF2" s="62"/>
      <c r="NAG2" s="62"/>
      <c r="NAH2" s="62"/>
      <c r="NAI2" s="62"/>
      <c r="NAJ2" s="62"/>
      <c r="NAK2" s="62"/>
      <c r="NAL2" s="62"/>
      <c r="NAM2" s="62"/>
      <c r="NAN2" s="62"/>
      <c r="NAO2" s="62"/>
      <c r="NAP2" s="62"/>
      <c r="NAQ2" s="62"/>
      <c r="NAR2" s="62"/>
      <c r="NAS2" s="62"/>
      <c r="NAT2" s="62"/>
      <c r="NAU2" s="62"/>
      <c r="NAV2" s="62"/>
      <c r="NAW2" s="62"/>
      <c r="NAX2" s="62"/>
      <c r="NAY2" s="62"/>
      <c r="NAZ2" s="62"/>
      <c r="NBA2" s="62"/>
      <c r="NBB2" s="62"/>
      <c r="NBC2" s="62"/>
      <c r="NBD2" s="62"/>
      <c r="NBE2" s="62"/>
      <c r="NBF2" s="62"/>
      <c r="NBG2" s="62"/>
      <c r="NBH2" s="62"/>
      <c r="NBI2" s="62"/>
      <c r="NBJ2" s="62"/>
      <c r="NBK2" s="62"/>
      <c r="NBL2" s="62"/>
      <c r="NBM2" s="62"/>
      <c r="NBN2" s="62"/>
      <c r="NBO2" s="62"/>
      <c r="NBP2" s="62"/>
      <c r="NBQ2" s="62"/>
      <c r="NBR2" s="62"/>
      <c r="NBS2" s="62"/>
      <c r="NBT2" s="62"/>
      <c r="NBU2" s="62"/>
      <c r="NBV2" s="62"/>
      <c r="NBW2" s="62"/>
      <c r="NBX2" s="62"/>
      <c r="NBY2" s="62"/>
      <c r="NBZ2" s="62"/>
      <c r="NCA2" s="62"/>
      <c r="NCB2" s="62"/>
      <c r="NCC2" s="62"/>
      <c r="NCD2" s="62"/>
      <c r="NCE2" s="62"/>
      <c r="NCF2" s="62"/>
      <c r="NCG2" s="62"/>
      <c r="NCH2" s="62"/>
      <c r="NCI2" s="62"/>
      <c r="NCJ2" s="62"/>
      <c r="NCK2" s="62"/>
      <c r="NCL2" s="62"/>
      <c r="NCM2" s="62"/>
      <c r="NCN2" s="62"/>
      <c r="NCO2" s="62"/>
      <c r="NCP2" s="62"/>
      <c r="NCQ2" s="62"/>
      <c r="NCR2" s="62"/>
      <c r="NCS2" s="62"/>
      <c r="NCT2" s="62"/>
      <c r="NCU2" s="62"/>
      <c r="NCV2" s="62"/>
      <c r="NCW2" s="62"/>
      <c r="NCX2" s="62"/>
      <c r="NCY2" s="62"/>
      <c r="NCZ2" s="62"/>
      <c r="NDA2" s="62"/>
      <c r="NDB2" s="62"/>
      <c r="NDC2" s="62"/>
      <c r="NDD2" s="62"/>
      <c r="NDE2" s="62"/>
      <c r="NDF2" s="62"/>
      <c r="NDG2" s="62"/>
      <c r="NDH2" s="62"/>
      <c r="NDI2" s="62"/>
      <c r="NDJ2" s="62"/>
      <c r="NDK2" s="62"/>
      <c r="NDL2" s="62"/>
      <c r="NDM2" s="62"/>
      <c r="NDN2" s="62"/>
      <c r="NDO2" s="62"/>
      <c r="NDP2" s="62"/>
      <c r="NDQ2" s="62"/>
      <c r="NDR2" s="62"/>
      <c r="NDS2" s="62"/>
      <c r="NDT2" s="62"/>
      <c r="NDU2" s="62"/>
      <c r="NDV2" s="62"/>
      <c r="NDW2" s="62"/>
      <c r="NDX2" s="62"/>
      <c r="NDY2" s="62"/>
      <c r="NDZ2" s="62"/>
      <c r="NEA2" s="62"/>
      <c r="NEB2" s="62"/>
      <c r="NEC2" s="62"/>
      <c r="NED2" s="62"/>
      <c r="NEE2" s="62"/>
      <c r="NEF2" s="62"/>
      <c r="NEG2" s="62"/>
      <c r="NEH2" s="62"/>
      <c r="NEI2" s="62"/>
      <c r="NEJ2" s="62"/>
      <c r="NEK2" s="62"/>
      <c r="NEL2" s="62"/>
      <c r="NEM2" s="62"/>
      <c r="NEN2" s="62"/>
      <c r="NEO2" s="62"/>
      <c r="NEP2" s="62"/>
      <c r="NEQ2" s="62"/>
      <c r="NER2" s="62"/>
      <c r="NES2" s="62"/>
      <c r="NET2" s="62"/>
      <c r="NEU2" s="62"/>
      <c r="NEV2" s="62"/>
      <c r="NEW2" s="62"/>
      <c r="NEX2" s="62"/>
      <c r="NEY2" s="62"/>
      <c r="NEZ2" s="62"/>
      <c r="NFA2" s="62"/>
      <c r="NFB2" s="62"/>
      <c r="NFC2" s="62"/>
      <c r="NFD2" s="62"/>
      <c r="NFE2" s="62"/>
      <c r="NFF2" s="62"/>
      <c r="NFG2" s="62"/>
      <c r="NFH2" s="62"/>
      <c r="NFI2" s="62"/>
      <c r="NFJ2" s="62"/>
      <c r="NFK2" s="62"/>
      <c r="NFL2" s="62"/>
      <c r="NFM2" s="62"/>
      <c r="NFN2" s="62"/>
      <c r="NFO2" s="62"/>
      <c r="NFP2" s="62"/>
      <c r="NFQ2" s="62"/>
      <c r="NFR2" s="62"/>
      <c r="NFS2" s="62"/>
      <c r="NFT2" s="62"/>
      <c r="NFU2" s="62"/>
      <c r="NFV2" s="62"/>
      <c r="NFW2" s="62"/>
      <c r="NFX2" s="62"/>
      <c r="NFY2" s="62"/>
      <c r="NFZ2" s="62"/>
      <c r="NGA2" s="62"/>
      <c r="NGB2" s="62"/>
      <c r="NGC2" s="62"/>
      <c r="NGD2" s="62"/>
      <c r="NGE2" s="62"/>
      <c r="NGF2" s="62"/>
      <c r="NGG2" s="62"/>
      <c r="NGH2" s="62"/>
      <c r="NGI2" s="62"/>
      <c r="NGJ2" s="62"/>
      <c r="NGK2" s="62"/>
      <c r="NGL2" s="62"/>
      <c r="NGM2" s="62"/>
      <c r="NGN2" s="62"/>
      <c r="NGO2" s="62"/>
      <c r="NGP2" s="62"/>
      <c r="NGQ2" s="62"/>
      <c r="NGR2" s="62"/>
      <c r="NGS2" s="62"/>
      <c r="NGT2" s="62"/>
      <c r="NGU2" s="62"/>
      <c r="NGV2" s="62"/>
      <c r="NGW2" s="62"/>
      <c r="NGX2" s="62"/>
      <c r="NGY2" s="62"/>
      <c r="NGZ2" s="62"/>
      <c r="NHA2" s="62"/>
      <c r="NHB2" s="62"/>
      <c r="NHC2" s="62"/>
      <c r="NHD2" s="62"/>
      <c r="NHE2" s="62"/>
      <c r="NHF2" s="62"/>
      <c r="NHG2" s="62"/>
      <c r="NHH2" s="62"/>
      <c r="NHI2" s="62"/>
      <c r="NHJ2" s="62"/>
      <c r="NHK2" s="62"/>
      <c r="NHL2" s="62"/>
      <c r="NHM2" s="62"/>
      <c r="NHN2" s="62"/>
      <c r="NHO2" s="62"/>
      <c r="NHP2" s="62"/>
      <c r="NHQ2" s="62"/>
      <c r="NHR2" s="62"/>
      <c r="NHS2" s="62"/>
      <c r="NHT2" s="62"/>
      <c r="NHU2" s="62"/>
      <c r="NHV2" s="62"/>
      <c r="NHW2" s="62"/>
      <c r="NHX2" s="62"/>
      <c r="NHY2" s="62"/>
      <c r="NHZ2" s="62"/>
      <c r="NIA2" s="62"/>
      <c r="NIB2" s="62"/>
      <c r="NIC2" s="62"/>
      <c r="NID2" s="62"/>
      <c r="NIE2" s="62"/>
      <c r="NIF2" s="62"/>
      <c r="NIG2" s="62"/>
      <c r="NIH2" s="62"/>
      <c r="NII2" s="62"/>
      <c r="NIJ2" s="62"/>
      <c r="NIK2" s="62"/>
      <c r="NIL2" s="62"/>
      <c r="NIM2" s="62"/>
      <c r="NIN2" s="62"/>
      <c r="NIO2" s="62"/>
      <c r="NIP2" s="62"/>
      <c r="NIQ2" s="62"/>
      <c r="NIR2" s="62"/>
      <c r="NIS2" s="62"/>
      <c r="NIT2" s="62"/>
      <c r="NIU2" s="62"/>
      <c r="NIV2" s="62"/>
      <c r="NIW2" s="62"/>
      <c r="NIX2" s="62"/>
      <c r="NIY2" s="62"/>
      <c r="NIZ2" s="62"/>
      <c r="NJA2" s="62"/>
      <c r="NJB2" s="62"/>
      <c r="NJC2" s="62"/>
      <c r="NJD2" s="62"/>
      <c r="NJE2" s="62"/>
      <c r="NJF2" s="62"/>
      <c r="NJG2" s="62"/>
      <c r="NJH2" s="62"/>
      <c r="NJI2" s="62"/>
      <c r="NJJ2" s="62"/>
      <c r="NJK2" s="62"/>
      <c r="NJL2" s="62"/>
      <c r="NJM2" s="62"/>
      <c r="NJN2" s="62"/>
      <c r="NJO2" s="62"/>
      <c r="NJP2" s="62"/>
      <c r="NJQ2" s="62"/>
      <c r="NJR2" s="62"/>
      <c r="NJS2" s="62"/>
      <c r="NJT2" s="62"/>
      <c r="NJU2" s="62"/>
      <c r="NJV2" s="62"/>
      <c r="NJW2" s="62"/>
      <c r="NJX2" s="62"/>
      <c r="NJY2" s="62"/>
      <c r="NJZ2" s="62"/>
      <c r="NKA2" s="62"/>
      <c r="NKB2" s="62"/>
      <c r="NKC2" s="62"/>
      <c r="NKD2" s="62"/>
      <c r="NKE2" s="62"/>
      <c r="NKF2" s="62"/>
      <c r="NKG2" s="62"/>
      <c r="NKH2" s="62"/>
      <c r="NKI2" s="62"/>
      <c r="NKJ2" s="62"/>
      <c r="NKK2" s="62"/>
      <c r="NKL2" s="62"/>
      <c r="NKM2" s="62"/>
      <c r="NKN2" s="62"/>
      <c r="NKO2" s="62"/>
      <c r="NKP2" s="62"/>
      <c r="NKQ2" s="62"/>
      <c r="NKR2" s="62"/>
      <c r="NKS2" s="62"/>
      <c r="NKT2" s="62"/>
      <c r="NKU2" s="62"/>
      <c r="NKV2" s="62"/>
      <c r="NKW2" s="62"/>
      <c r="NKX2" s="62"/>
      <c r="NKY2" s="62"/>
      <c r="NKZ2" s="62"/>
      <c r="NLA2" s="62"/>
      <c r="NLB2" s="62"/>
      <c r="NLC2" s="62"/>
      <c r="NLD2" s="62"/>
      <c r="NLE2" s="62"/>
      <c r="NLF2" s="62"/>
      <c r="NLG2" s="62"/>
      <c r="NLH2" s="62"/>
      <c r="NLI2" s="62"/>
      <c r="NLJ2" s="62"/>
      <c r="NLK2" s="62"/>
      <c r="NLL2" s="62"/>
      <c r="NLM2" s="62"/>
      <c r="NLN2" s="62"/>
      <c r="NLO2" s="62"/>
      <c r="NLP2" s="62"/>
      <c r="NLQ2" s="62"/>
      <c r="NLR2" s="62"/>
      <c r="NLS2" s="62"/>
      <c r="NLT2" s="62"/>
      <c r="NLU2" s="62"/>
      <c r="NLV2" s="62"/>
      <c r="NLW2" s="62"/>
      <c r="NLX2" s="62"/>
      <c r="NLY2" s="62"/>
      <c r="NLZ2" s="62"/>
      <c r="NMA2" s="62"/>
      <c r="NMB2" s="62"/>
      <c r="NMC2" s="62"/>
      <c r="NMD2" s="62"/>
      <c r="NME2" s="62"/>
      <c r="NMF2" s="62"/>
      <c r="NMG2" s="62"/>
      <c r="NMH2" s="62"/>
      <c r="NMI2" s="62"/>
      <c r="NMJ2" s="62"/>
      <c r="NMK2" s="62"/>
      <c r="NML2" s="62"/>
      <c r="NMM2" s="62"/>
      <c r="NMN2" s="62"/>
      <c r="NMO2" s="62"/>
      <c r="NMP2" s="62"/>
      <c r="NMQ2" s="62"/>
      <c r="NMR2" s="62"/>
      <c r="NMS2" s="62"/>
      <c r="NMT2" s="62"/>
      <c r="NMU2" s="62"/>
      <c r="NMV2" s="62"/>
      <c r="NMW2" s="62"/>
      <c r="NMX2" s="62"/>
      <c r="NMY2" s="62"/>
      <c r="NMZ2" s="62"/>
      <c r="NNA2" s="62"/>
      <c r="NNB2" s="62"/>
      <c r="NNC2" s="62"/>
      <c r="NND2" s="62"/>
      <c r="NNE2" s="62"/>
      <c r="NNF2" s="62"/>
      <c r="NNG2" s="62"/>
      <c r="NNH2" s="62"/>
      <c r="NNI2" s="62"/>
      <c r="NNJ2" s="62"/>
      <c r="NNK2" s="62"/>
      <c r="NNL2" s="62"/>
      <c r="NNM2" s="62"/>
      <c r="NNN2" s="62"/>
      <c r="NNO2" s="62"/>
      <c r="NNP2" s="62"/>
      <c r="NNQ2" s="62"/>
      <c r="NNR2" s="62"/>
      <c r="NNS2" s="62"/>
      <c r="NNT2" s="62"/>
      <c r="NNU2" s="62"/>
      <c r="NNV2" s="62"/>
      <c r="NNW2" s="62"/>
      <c r="NNX2" s="62"/>
      <c r="NNY2" s="62"/>
      <c r="NNZ2" s="62"/>
      <c r="NOA2" s="62"/>
      <c r="NOB2" s="62"/>
      <c r="NOC2" s="62"/>
      <c r="NOD2" s="62"/>
      <c r="NOE2" s="62"/>
      <c r="NOF2" s="62"/>
      <c r="NOG2" s="62"/>
      <c r="NOH2" s="62"/>
      <c r="NOI2" s="62"/>
      <c r="NOJ2" s="62"/>
      <c r="NOK2" s="62"/>
      <c r="NOL2" s="62"/>
      <c r="NOM2" s="62"/>
      <c r="NON2" s="62"/>
      <c r="NOO2" s="62"/>
      <c r="NOP2" s="62"/>
      <c r="NOQ2" s="62"/>
      <c r="NOR2" s="62"/>
      <c r="NOS2" s="62"/>
      <c r="NOT2" s="62"/>
      <c r="NOU2" s="62"/>
      <c r="NOV2" s="62"/>
      <c r="NOW2" s="62"/>
      <c r="NOX2" s="62"/>
      <c r="NOY2" s="62"/>
      <c r="NOZ2" s="62"/>
      <c r="NPA2" s="62"/>
      <c r="NPB2" s="62"/>
      <c r="NPC2" s="62"/>
      <c r="NPD2" s="62"/>
      <c r="NPE2" s="62"/>
      <c r="NPF2" s="62"/>
      <c r="NPG2" s="62"/>
      <c r="NPH2" s="62"/>
      <c r="NPI2" s="62"/>
      <c r="NPJ2" s="62"/>
      <c r="NPK2" s="62"/>
      <c r="NPL2" s="62"/>
      <c r="NPM2" s="62"/>
      <c r="NPN2" s="62"/>
      <c r="NPO2" s="62"/>
      <c r="NPP2" s="62"/>
      <c r="NPQ2" s="62"/>
      <c r="NPR2" s="62"/>
      <c r="NPS2" s="62"/>
      <c r="NPT2" s="62"/>
      <c r="NPU2" s="62"/>
      <c r="NPV2" s="62"/>
      <c r="NPW2" s="62"/>
      <c r="NPX2" s="62"/>
      <c r="NPY2" s="62"/>
      <c r="NPZ2" s="62"/>
      <c r="NQA2" s="62"/>
      <c r="NQB2" s="62"/>
      <c r="NQC2" s="62"/>
      <c r="NQD2" s="62"/>
      <c r="NQE2" s="62"/>
      <c r="NQF2" s="62"/>
      <c r="NQG2" s="62"/>
      <c r="NQH2" s="62"/>
      <c r="NQI2" s="62"/>
      <c r="NQJ2" s="62"/>
      <c r="NQK2" s="62"/>
      <c r="NQL2" s="62"/>
      <c r="NQM2" s="62"/>
      <c r="NQN2" s="62"/>
      <c r="NQO2" s="62"/>
      <c r="NQP2" s="62"/>
      <c r="NQQ2" s="62"/>
      <c r="NQR2" s="62"/>
      <c r="NQS2" s="62"/>
      <c r="NQT2" s="62"/>
      <c r="NQU2" s="62"/>
      <c r="NQV2" s="62"/>
      <c r="NQW2" s="62"/>
      <c r="NQX2" s="62"/>
      <c r="NQY2" s="62"/>
      <c r="NQZ2" s="62"/>
      <c r="NRA2" s="62"/>
      <c r="NRB2" s="62"/>
      <c r="NRC2" s="62"/>
      <c r="NRD2" s="62"/>
      <c r="NRE2" s="62"/>
      <c r="NRF2" s="62"/>
      <c r="NRG2" s="62"/>
      <c r="NRH2" s="62"/>
      <c r="NRI2" s="62"/>
      <c r="NRJ2" s="62"/>
      <c r="NRK2" s="62"/>
      <c r="NRL2" s="62"/>
      <c r="NRM2" s="62"/>
      <c r="NRN2" s="62"/>
      <c r="NRO2" s="62"/>
      <c r="NRP2" s="62"/>
      <c r="NRQ2" s="62"/>
      <c r="NRR2" s="62"/>
      <c r="NRS2" s="62"/>
      <c r="NRT2" s="62"/>
      <c r="NRU2" s="62"/>
      <c r="NRV2" s="62"/>
      <c r="NRW2" s="62"/>
      <c r="NRX2" s="62"/>
      <c r="NRY2" s="62"/>
      <c r="NRZ2" s="62"/>
      <c r="NSA2" s="62"/>
      <c r="NSB2" s="62"/>
      <c r="NSC2" s="62"/>
      <c r="NSD2" s="62"/>
      <c r="NSE2" s="62"/>
      <c r="NSF2" s="62"/>
      <c r="NSG2" s="62"/>
      <c r="NSH2" s="62"/>
      <c r="NSI2" s="62"/>
      <c r="NSJ2" s="62"/>
      <c r="NSK2" s="62"/>
      <c r="NSL2" s="62"/>
      <c r="NSM2" s="62"/>
      <c r="NSN2" s="62"/>
      <c r="NSO2" s="62"/>
      <c r="NSP2" s="62"/>
      <c r="NSQ2" s="62"/>
      <c r="NSR2" s="62"/>
      <c r="NSS2" s="62"/>
      <c r="NST2" s="62"/>
      <c r="NSU2" s="62"/>
      <c r="NSV2" s="62"/>
      <c r="NSW2" s="62"/>
      <c r="NSX2" s="62"/>
      <c r="NSY2" s="62"/>
      <c r="NSZ2" s="62"/>
      <c r="NTA2" s="62"/>
      <c r="NTB2" s="62"/>
      <c r="NTC2" s="62"/>
      <c r="NTD2" s="62"/>
      <c r="NTE2" s="62"/>
      <c r="NTF2" s="62"/>
      <c r="NTG2" s="62"/>
      <c r="NTH2" s="62"/>
      <c r="NTI2" s="62"/>
      <c r="NTJ2" s="62"/>
      <c r="NTK2" s="62"/>
      <c r="NTL2" s="62"/>
      <c r="NTM2" s="62"/>
      <c r="NTN2" s="62"/>
      <c r="NTO2" s="62"/>
      <c r="NTP2" s="62"/>
      <c r="NTQ2" s="62"/>
      <c r="NTR2" s="62"/>
      <c r="NTS2" s="62"/>
      <c r="NTT2" s="62"/>
      <c r="NTU2" s="62"/>
      <c r="NTV2" s="62"/>
      <c r="NTW2" s="62"/>
      <c r="NTX2" s="62"/>
      <c r="NTY2" s="62"/>
      <c r="NTZ2" s="62"/>
      <c r="NUA2" s="62"/>
      <c r="NUB2" s="62"/>
      <c r="NUC2" s="62"/>
      <c r="NUD2" s="62"/>
      <c r="NUE2" s="62"/>
      <c r="NUF2" s="62"/>
      <c r="NUG2" s="62"/>
      <c r="NUH2" s="62"/>
      <c r="NUI2" s="62"/>
      <c r="NUJ2" s="62"/>
      <c r="NUK2" s="62"/>
      <c r="NUL2" s="62"/>
      <c r="NUM2" s="62"/>
      <c r="NUN2" s="62"/>
      <c r="NUO2" s="62"/>
      <c r="NUP2" s="62"/>
      <c r="NUQ2" s="62"/>
      <c r="NUR2" s="62"/>
      <c r="NUS2" s="62"/>
      <c r="NUT2" s="62"/>
      <c r="NUU2" s="62"/>
      <c r="NUV2" s="62"/>
      <c r="NUW2" s="62"/>
      <c r="NUX2" s="62"/>
      <c r="NUY2" s="62"/>
      <c r="NUZ2" s="62"/>
      <c r="NVA2" s="62"/>
      <c r="NVB2" s="62"/>
      <c r="NVC2" s="62"/>
      <c r="NVD2" s="62"/>
      <c r="NVE2" s="62"/>
      <c r="NVF2" s="62"/>
      <c r="NVG2" s="62"/>
      <c r="NVH2" s="62"/>
      <c r="NVI2" s="62"/>
      <c r="NVJ2" s="62"/>
      <c r="NVK2" s="62"/>
      <c r="NVL2" s="62"/>
      <c r="NVM2" s="62"/>
      <c r="NVN2" s="62"/>
      <c r="NVO2" s="62"/>
      <c r="NVP2" s="62"/>
      <c r="NVQ2" s="62"/>
      <c r="NVR2" s="62"/>
      <c r="NVS2" s="62"/>
      <c r="NVT2" s="62"/>
      <c r="NVU2" s="62"/>
      <c r="NVV2" s="62"/>
      <c r="NVW2" s="62"/>
      <c r="NVX2" s="62"/>
      <c r="NVY2" s="62"/>
      <c r="NVZ2" s="62"/>
      <c r="NWA2" s="62"/>
      <c r="NWB2" s="62"/>
      <c r="NWC2" s="62"/>
      <c r="NWD2" s="62"/>
      <c r="NWE2" s="62"/>
      <c r="NWF2" s="62"/>
      <c r="NWG2" s="62"/>
      <c r="NWH2" s="62"/>
      <c r="NWI2" s="62"/>
      <c r="NWJ2" s="62"/>
      <c r="NWK2" s="62"/>
      <c r="NWL2" s="62"/>
      <c r="NWM2" s="62"/>
      <c r="NWN2" s="62"/>
      <c r="NWO2" s="62"/>
      <c r="NWP2" s="62"/>
      <c r="NWQ2" s="62"/>
      <c r="NWR2" s="62"/>
      <c r="NWS2" s="62"/>
      <c r="NWT2" s="62"/>
      <c r="NWU2" s="62"/>
      <c r="NWV2" s="62"/>
      <c r="NWW2" s="62"/>
      <c r="NWX2" s="62"/>
      <c r="NWY2" s="62"/>
      <c r="NWZ2" s="62"/>
      <c r="NXA2" s="62"/>
      <c r="NXB2" s="62"/>
      <c r="NXC2" s="62"/>
      <c r="NXD2" s="62"/>
      <c r="NXE2" s="62"/>
      <c r="NXF2" s="62"/>
      <c r="NXG2" s="62"/>
      <c r="NXH2" s="62"/>
      <c r="NXI2" s="62"/>
      <c r="NXJ2" s="62"/>
      <c r="NXK2" s="62"/>
      <c r="NXL2" s="62"/>
      <c r="NXM2" s="62"/>
      <c r="NXN2" s="62"/>
      <c r="NXO2" s="62"/>
      <c r="NXP2" s="62"/>
      <c r="NXQ2" s="62"/>
      <c r="NXR2" s="62"/>
      <c r="NXS2" s="62"/>
      <c r="NXT2" s="62"/>
      <c r="NXU2" s="62"/>
      <c r="NXV2" s="62"/>
      <c r="NXW2" s="62"/>
      <c r="NXX2" s="62"/>
      <c r="NXY2" s="62"/>
      <c r="NXZ2" s="62"/>
      <c r="NYA2" s="62"/>
      <c r="NYB2" s="62"/>
      <c r="NYC2" s="62"/>
      <c r="NYD2" s="62"/>
      <c r="NYE2" s="62"/>
      <c r="NYF2" s="62"/>
      <c r="NYG2" s="62"/>
      <c r="NYH2" s="62"/>
      <c r="NYI2" s="62"/>
      <c r="NYJ2" s="62"/>
      <c r="NYK2" s="62"/>
      <c r="NYL2" s="62"/>
      <c r="NYM2" s="62"/>
      <c r="NYN2" s="62"/>
      <c r="NYO2" s="62"/>
      <c r="NYP2" s="62"/>
      <c r="NYQ2" s="62"/>
      <c r="NYR2" s="62"/>
      <c r="NYS2" s="62"/>
      <c r="NYT2" s="62"/>
      <c r="NYU2" s="62"/>
      <c r="NYV2" s="62"/>
      <c r="NYW2" s="62"/>
      <c r="NYX2" s="62"/>
      <c r="NYY2" s="62"/>
      <c r="NYZ2" s="62"/>
      <c r="NZA2" s="62"/>
      <c r="NZB2" s="62"/>
      <c r="NZC2" s="62"/>
      <c r="NZD2" s="62"/>
      <c r="NZE2" s="62"/>
      <c r="NZF2" s="62"/>
      <c r="NZG2" s="62"/>
      <c r="NZH2" s="62"/>
      <c r="NZI2" s="62"/>
      <c r="NZJ2" s="62"/>
      <c r="NZK2" s="62"/>
      <c r="NZL2" s="62"/>
      <c r="NZM2" s="62"/>
      <c r="NZN2" s="62"/>
      <c r="NZO2" s="62"/>
      <c r="NZP2" s="62"/>
      <c r="NZQ2" s="62"/>
      <c r="NZR2" s="62"/>
      <c r="NZS2" s="62"/>
      <c r="NZT2" s="62"/>
      <c r="NZU2" s="62"/>
      <c r="NZV2" s="62"/>
      <c r="NZW2" s="62"/>
      <c r="NZX2" s="62"/>
      <c r="NZY2" s="62"/>
      <c r="NZZ2" s="62"/>
      <c r="OAA2" s="62"/>
      <c r="OAB2" s="62"/>
      <c r="OAC2" s="62"/>
      <c r="OAD2" s="62"/>
      <c r="OAE2" s="62"/>
      <c r="OAF2" s="62"/>
      <c r="OAG2" s="62"/>
      <c r="OAH2" s="62"/>
      <c r="OAI2" s="62"/>
      <c r="OAJ2" s="62"/>
      <c r="OAK2" s="62"/>
      <c r="OAL2" s="62"/>
      <c r="OAM2" s="62"/>
      <c r="OAN2" s="62"/>
      <c r="OAO2" s="62"/>
      <c r="OAP2" s="62"/>
      <c r="OAQ2" s="62"/>
      <c r="OAR2" s="62"/>
      <c r="OAS2" s="62"/>
      <c r="OAT2" s="62"/>
      <c r="OAU2" s="62"/>
      <c r="OAV2" s="62"/>
      <c r="OAW2" s="62"/>
      <c r="OAX2" s="62"/>
      <c r="OAY2" s="62"/>
      <c r="OAZ2" s="62"/>
      <c r="OBA2" s="62"/>
      <c r="OBB2" s="62"/>
      <c r="OBC2" s="62"/>
      <c r="OBD2" s="62"/>
      <c r="OBE2" s="62"/>
      <c r="OBF2" s="62"/>
      <c r="OBG2" s="62"/>
      <c r="OBH2" s="62"/>
      <c r="OBI2" s="62"/>
      <c r="OBJ2" s="62"/>
      <c r="OBK2" s="62"/>
      <c r="OBL2" s="62"/>
      <c r="OBM2" s="62"/>
      <c r="OBN2" s="62"/>
      <c r="OBO2" s="62"/>
      <c r="OBP2" s="62"/>
      <c r="OBQ2" s="62"/>
      <c r="OBR2" s="62"/>
      <c r="OBS2" s="62"/>
      <c r="OBT2" s="62"/>
      <c r="OBU2" s="62"/>
      <c r="OBV2" s="62"/>
      <c r="OBW2" s="62"/>
      <c r="OBX2" s="62"/>
      <c r="OBY2" s="62"/>
      <c r="OBZ2" s="62"/>
      <c r="OCA2" s="62"/>
      <c r="OCB2" s="62"/>
      <c r="OCC2" s="62"/>
      <c r="OCD2" s="62"/>
      <c r="OCE2" s="62"/>
      <c r="OCF2" s="62"/>
      <c r="OCG2" s="62"/>
      <c r="OCH2" s="62"/>
      <c r="OCI2" s="62"/>
      <c r="OCJ2" s="62"/>
      <c r="OCK2" s="62"/>
      <c r="OCL2" s="62"/>
      <c r="OCM2" s="62"/>
      <c r="OCN2" s="62"/>
      <c r="OCO2" s="62"/>
      <c r="OCP2" s="62"/>
      <c r="OCQ2" s="62"/>
      <c r="OCR2" s="62"/>
      <c r="OCS2" s="62"/>
      <c r="OCT2" s="62"/>
      <c r="OCU2" s="62"/>
      <c r="OCV2" s="62"/>
      <c r="OCW2" s="62"/>
      <c r="OCX2" s="62"/>
      <c r="OCY2" s="62"/>
      <c r="OCZ2" s="62"/>
      <c r="ODA2" s="62"/>
      <c r="ODB2" s="62"/>
      <c r="ODC2" s="62"/>
      <c r="ODD2" s="62"/>
      <c r="ODE2" s="62"/>
      <c r="ODF2" s="62"/>
      <c r="ODG2" s="62"/>
      <c r="ODH2" s="62"/>
      <c r="ODI2" s="62"/>
      <c r="ODJ2" s="62"/>
      <c r="ODK2" s="62"/>
      <c r="ODL2" s="62"/>
      <c r="ODM2" s="62"/>
      <c r="ODN2" s="62"/>
      <c r="ODO2" s="62"/>
      <c r="ODP2" s="62"/>
      <c r="ODQ2" s="62"/>
      <c r="ODR2" s="62"/>
      <c r="ODS2" s="62"/>
      <c r="ODT2" s="62"/>
      <c r="ODU2" s="62"/>
      <c r="ODV2" s="62"/>
      <c r="ODW2" s="62"/>
      <c r="ODX2" s="62"/>
      <c r="ODY2" s="62"/>
      <c r="ODZ2" s="62"/>
      <c r="OEA2" s="62"/>
      <c r="OEB2" s="62"/>
      <c r="OEC2" s="62"/>
      <c r="OED2" s="62"/>
      <c r="OEE2" s="62"/>
      <c r="OEF2" s="62"/>
      <c r="OEG2" s="62"/>
      <c r="OEH2" s="62"/>
      <c r="OEI2" s="62"/>
      <c r="OEJ2" s="62"/>
      <c r="OEK2" s="62"/>
      <c r="OEL2" s="62"/>
      <c r="OEM2" s="62"/>
      <c r="OEN2" s="62"/>
      <c r="OEO2" s="62"/>
      <c r="OEP2" s="62"/>
      <c r="OEQ2" s="62"/>
      <c r="OER2" s="62"/>
      <c r="OES2" s="62"/>
      <c r="OET2" s="62"/>
      <c r="OEU2" s="62"/>
      <c r="OEV2" s="62"/>
      <c r="OEW2" s="62"/>
      <c r="OEX2" s="62"/>
      <c r="OEY2" s="62"/>
      <c r="OEZ2" s="62"/>
      <c r="OFA2" s="62"/>
      <c r="OFB2" s="62"/>
      <c r="OFC2" s="62"/>
      <c r="OFD2" s="62"/>
      <c r="OFE2" s="62"/>
      <c r="OFF2" s="62"/>
      <c r="OFG2" s="62"/>
      <c r="OFH2" s="62"/>
      <c r="OFI2" s="62"/>
      <c r="OFJ2" s="62"/>
      <c r="OFK2" s="62"/>
      <c r="OFL2" s="62"/>
      <c r="OFM2" s="62"/>
      <c r="OFN2" s="62"/>
      <c r="OFO2" s="62"/>
      <c r="OFP2" s="62"/>
      <c r="OFQ2" s="62"/>
      <c r="OFR2" s="62"/>
      <c r="OFS2" s="62"/>
      <c r="OFT2" s="62"/>
      <c r="OFU2" s="62"/>
      <c r="OFV2" s="62"/>
      <c r="OFW2" s="62"/>
      <c r="OFX2" s="62"/>
      <c r="OFY2" s="62"/>
      <c r="OFZ2" s="62"/>
      <c r="OGA2" s="62"/>
      <c r="OGB2" s="62"/>
      <c r="OGC2" s="62"/>
      <c r="OGD2" s="62"/>
      <c r="OGE2" s="62"/>
      <c r="OGF2" s="62"/>
      <c r="OGG2" s="62"/>
      <c r="OGH2" s="62"/>
      <c r="OGI2" s="62"/>
      <c r="OGJ2" s="62"/>
      <c r="OGK2" s="62"/>
      <c r="OGL2" s="62"/>
      <c r="OGM2" s="62"/>
      <c r="OGN2" s="62"/>
      <c r="OGO2" s="62"/>
      <c r="OGP2" s="62"/>
      <c r="OGQ2" s="62"/>
      <c r="OGR2" s="62"/>
      <c r="OGS2" s="62"/>
      <c r="OGT2" s="62"/>
      <c r="OGU2" s="62"/>
      <c r="OGV2" s="62"/>
      <c r="OGW2" s="62"/>
      <c r="OGX2" s="62"/>
      <c r="OGY2" s="62"/>
      <c r="OGZ2" s="62"/>
      <c r="OHA2" s="62"/>
      <c r="OHB2" s="62"/>
      <c r="OHC2" s="62"/>
      <c r="OHD2" s="62"/>
      <c r="OHE2" s="62"/>
      <c r="OHF2" s="62"/>
      <c r="OHG2" s="62"/>
      <c r="OHH2" s="62"/>
      <c r="OHI2" s="62"/>
      <c r="OHJ2" s="62"/>
      <c r="OHK2" s="62"/>
      <c r="OHL2" s="62"/>
      <c r="OHM2" s="62"/>
      <c r="OHN2" s="62"/>
      <c r="OHO2" s="62"/>
      <c r="OHP2" s="62"/>
      <c r="OHQ2" s="62"/>
      <c r="OHR2" s="62"/>
      <c r="OHS2" s="62"/>
      <c r="OHT2" s="62"/>
      <c r="OHU2" s="62"/>
      <c r="OHV2" s="62"/>
      <c r="OHW2" s="62"/>
      <c r="OHX2" s="62"/>
      <c r="OHY2" s="62"/>
      <c r="OHZ2" s="62"/>
      <c r="OIA2" s="62"/>
      <c r="OIB2" s="62"/>
      <c r="OIC2" s="62"/>
      <c r="OID2" s="62"/>
      <c r="OIE2" s="62"/>
      <c r="OIF2" s="62"/>
      <c r="OIG2" s="62"/>
      <c r="OIH2" s="62"/>
      <c r="OII2" s="62"/>
      <c r="OIJ2" s="62"/>
      <c r="OIK2" s="62"/>
      <c r="OIL2" s="62"/>
      <c r="OIM2" s="62"/>
      <c r="OIN2" s="62"/>
      <c r="OIO2" s="62"/>
      <c r="OIP2" s="62"/>
      <c r="OIQ2" s="62"/>
      <c r="OIR2" s="62"/>
      <c r="OIS2" s="62"/>
      <c r="OIT2" s="62"/>
      <c r="OIU2" s="62"/>
      <c r="OIV2" s="62"/>
      <c r="OIW2" s="62"/>
      <c r="OIX2" s="62"/>
      <c r="OIY2" s="62"/>
      <c r="OIZ2" s="62"/>
      <c r="OJA2" s="62"/>
      <c r="OJB2" s="62"/>
      <c r="OJC2" s="62"/>
      <c r="OJD2" s="62"/>
      <c r="OJE2" s="62"/>
      <c r="OJF2" s="62"/>
      <c r="OJG2" s="62"/>
      <c r="OJH2" s="62"/>
      <c r="OJI2" s="62"/>
      <c r="OJJ2" s="62"/>
      <c r="OJK2" s="62"/>
      <c r="OJL2" s="62"/>
      <c r="OJM2" s="62"/>
      <c r="OJN2" s="62"/>
      <c r="OJO2" s="62"/>
      <c r="OJP2" s="62"/>
      <c r="OJQ2" s="62"/>
      <c r="OJR2" s="62"/>
      <c r="OJS2" s="62"/>
      <c r="OJT2" s="62"/>
      <c r="OJU2" s="62"/>
      <c r="OJV2" s="62"/>
      <c r="OJW2" s="62"/>
      <c r="OJX2" s="62"/>
      <c r="OJY2" s="62"/>
      <c r="OJZ2" s="62"/>
      <c r="OKA2" s="62"/>
      <c r="OKB2" s="62"/>
      <c r="OKC2" s="62"/>
      <c r="OKD2" s="62"/>
      <c r="OKE2" s="62"/>
      <c r="OKF2" s="62"/>
      <c r="OKG2" s="62"/>
      <c r="OKH2" s="62"/>
      <c r="OKI2" s="62"/>
      <c r="OKJ2" s="62"/>
      <c r="OKK2" s="62"/>
      <c r="OKL2" s="62"/>
      <c r="OKM2" s="62"/>
      <c r="OKN2" s="62"/>
      <c r="OKO2" s="62"/>
      <c r="OKP2" s="62"/>
      <c r="OKQ2" s="62"/>
      <c r="OKR2" s="62"/>
      <c r="OKS2" s="62"/>
      <c r="OKT2" s="62"/>
      <c r="OKU2" s="62"/>
      <c r="OKV2" s="62"/>
      <c r="OKW2" s="62"/>
      <c r="OKX2" s="62"/>
      <c r="OKY2" s="62"/>
      <c r="OKZ2" s="62"/>
      <c r="OLA2" s="62"/>
      <c r="OLB2" s="62"/>
      <c r="OLC2" s="62"/>
      <c r="OLD2" s="62"/>
      <c r="OLE2" s="62"/>
      <c r="OLF2" s="62"/>
      <c r="OLG2" s="62"/>
      <c r="OLH2" s="62"/>
      <c r="OLI2" s="62"/>
      <c r="OLJ2" s="62"/>
      <c r="OLK2" s="62"/>
      <c r="OLL2" s="62"/>
      <c r="OLM2" s="62"/>
      <c r="OLN2" s="62"/>
      <c r="OLO2" s="62"/>
      <c r="OLP2" s="62"/>
      <c r="OLQ2" s="62"/>
      <c r="OLR2" s="62"/>
      <c r="OLS2" s="62"/>
      <c r="OLT2" s="62"/>
      <c r="OLU2" s="62"/>
      <c r="OLV2" s="62"/>
      <c r="OLW2" s="62"/>
      <c r="OLX2" s="62"/>
      <c r="OLY2" s="62"/>
      <c r="OLZ2" s="62"/>
      <c r="OMA2" s="62"/>
      <c r="OMB2" s="62"/>
      <c r="OMC2" s="62"/>
      <c r="OMD2" s="62"/>
      <c r="OME2" s="62"/>
      <c r="OMF2" s="62"/>
      <c r="OMG2" s="62"/>
      <c r="OMH2" s="62"/>
      <c r="OMI2" s="62"/>
      <c r="OMJ2" s="62"/>
      <c r="OMK2" s="62"/>
      <c r="OML2" s="62"/>
      <c r="OMM2" s="62"/>
      <c r="OMN2" s="62"/>
      <c r="OMO2" s="62"/>
      <c r="OMP2" s="62"/>
      <c r="OMQ2" s="62"/>
      <c r="OMR2" s="62"/>
      <c r="OMS2" s="62"/>
      <c r="OMT2" s="62"/>
      <c r="OMU2" s="62"/>
      <c r="OMV2" s="62"/>
      <c r="OMW2" s="62"/>
      <c r="OMX2" s="62"/>
      <c r="OMY2" s="62"/>
      <c r="OMZ2" s="62"/>
      <c r="ONA2" s="62"/>
      <c r="ONB2" s="62"/>
      <c r="ONC2" s="62"/>
      <c r="OND2" s="62"/>
      <c r="ONE2" s="62"/>
      <c r="ONF2" s="62"/>
      <c r="ONG2" s="62"/>
      <c r="ONH2" s="62"/>
      <c r="ONI2" s="62"/>
      <c r="ONJ2" s="62"/>
      <c r="ONK2" s="62"/>
      <c r="ONL2" s="62"/>
      <c r="ONM2" s="62"/>
      <c r="ONN2" s="62"/>
      <c r="ONO2" s="62"/>
      <c r="ONP2" s="62"/>
      <c r="ONQ2" s="62"/>
      <c r="ONR2" s="62"/>
      <c r="ONS2" s="62"/>
      <c r="ONT2" s="62"/>
      <c r="ONU2" s="62"/>
      <c r="ONV2" s="62"/>
      <c r="ONW2" s="62"/>
      <c r="ONX2" s="62"/>
      <c r="ONY2" s="62"/>
      <c r="ONZ2" s="62"/>
      <c r="OOA2" s="62"/>
      <c r="OOB2" s="62"/>
      <c r="OOC2" s="62"/>
      <c r="OOD2" s="62"/>
      <c r="OOE2" s="62"/>
      <c r="OOF2" s="62"/>
      <c r="OOG2" s="62"/>
      <c r="OOH2" s="62"/>
      <c r="OOI2" s="62"/>
      <c r="OOJ2" s="62"/>
      <c r="OOK2" s="62"/>
      <c r="OOL2" s="62"/>
      <c r="OOM2" s="62"/>
      <c r="OON2" s="62"/>
      <c r="OOO2" s="62"/>
      <c r="OOP2" s="62"/>
      <c r="OOQ2" s="62"/>
      <c r="OOR2" s="62"/>
      <c r="OOS2" s="62"/>
      <c r="OOT2" s="62"/>
      <c r="OOU2" s="62"/>
      <c r="OOV2" s="62"/>
      <c r="OOW2" s="62"/>
      <c r="OOX2" s="62"/>
      <c r="OOY2" s="62"/>
      <c r="OOZ2" s="62"/>
      <c r="OPA2" s="62"/>
      <c r="OPB2" s="62"/>
      <c r="OPC2" s="62"/>
      <c r="OPD2" s="62"/>
      <c r="OPE2" s="62"/>
      <c r="OPF2" s="62"/>
      <c r="OPG2" s="62"/>
      <c r="OPH2" s="62"/>
      <c r="OPI2" s="62"/>
      <c r="OPJ2" s="62"/>
      <c r="OPK2" s="62"/>
      <c r="OPL2" s="62"/>
      <c r="OPM2" s="62"/>
      <c r="OPN2" s="62"/>
      <c r="OPO2" s="62"/>
      <c r="OPP2" s="62"/>
      <c r="OPQ2" s="62"/>
      <c r="OPR2" s="62"/>
      <c r="OPS2" s="62"/>
      <c r="OPT2" s="62"/>
      <c r="OPU2" s="62"/>
      <c r="OPV2" s="62"/>
      <c r="OPW2" s="62"/>
      <c r="OPX2" s="62"/>
      <c r="OPY2" s="62"/>
      <c r="OPZ2" s="62"/>
      <c r="OQA2" s="62"/>
      <c r="OQB2" s="62"/>
      <c r="OQC2" s="62"/>
      <c r="OQD2" s="62"/>
      <c r="OQE2" s="62"/>
      <c r="OQF2" s="62"/>
      <c r="OQG2" s="62"/>
      <c r="OQH2" s="62"/>
      <c r="OQI2" s="62"/>
      <c r="OQJ2" s="62"/>
      <c r="OQK2" s="62"/>
      <c r="OQL2" s="62"/>
      <c r="OQM2" s="62"/>
      <c r="OQN2" s="62"/>
      <c r="OQO2" s="62"/>
      <c r="OQP2" s="62"/>
      <c r="OQQ2" s="62"/>
      <c r="OQR2" s="62"/>
      <c r="OQS2" s="62"/>
      <c r="OQT2" s="62"/>
      <c r="OQU2" s="62"/>
      <c r="OQV2" s="62"/>
      <c r="OQW2" s="62"/>
      <c r="OQX2" s="62"/>
      <c r="OQY2" s="62"/>
      <c r="OQZ2" s="62"/>
      <c r="ORA2" s="62"/>
      <c r="ORB2" s="62"/>
      <c r="ORC2" s="62"/>
      <c r="ORD2" s="62"/>
      <c r="ORE2" s="62"/>
      <c r="ORF2" s="62"/>
      <c r="ORG2" s="62"/>
      <c r="ORH2" s="62"/>
      <c r="ORI2" s="62"/>
      <c r="ORJ2" s="62"/>
      <c r="ORK2" s="62"/>
      <c r="ORL2" s="62"/>
      <c r="ORM2" s="62"/>
      <c r="ORN2" s="62"/>
      <c r="ORO2" s="62"/>
      <c r="ORP2" s="62"/>
      <c r="ORQ2" s="62"/>
      <c r="ORR2" s="62"/>
      <c r="ORS2" s="62"/>
      <c r="ORT2" s="62"/>
      <c r="ORU2" s="62"/>
      <c r="ORV2" s="62"/>
      <c r="ORW2" s="62"/>
      <c r="ORX2" s="62"/>
      <c r="ORY2" s="62"/>
      <c r="ORZ2" s="62"/>
      <c r="OSA2" s="62"/>
      <c r="OSB2" s="62"/>
      <c r="OSC2" s="62"/>
      <c r="OSD2" s="62"/>
      <c r="OSE2" s="62"/>
      <c r="OSF2" s="62"/>
      <c r="OSG2" s="62"/>
      <c r="OSH2" s="62"/>
      <c r="OSI2" s="62"/>
      <c r="OSJ2" s="62"/>
      <c r="OSK2" s="62"/>
      <c r="OSL2" s="62"/>
      <c r="OSM2" s="62"/>
      <c r="OSN2" s="62"/>
      <c r="OSO2" s="62"/>
      <c r="OSP2" s="62"/>
      <c r="OSQ2" s="62"/>
      <c r="OSR2" s="62"/>
      <c r="OSS2" s="62"/>
      <c r="OST2" s="62"/>
      <c r="OSU2" s="62"/>
      <c r="OSV2" s="62"/>
      <c r="OSW2" s="62"/>
      <c r="OSX2" s="62"/>
      <c r="OSY2" s="62"/>
      <c r="OSZ2" s="62"/>
      <c r="OTA2" s="62"/>
      <c r="OTB2" s="62"/>
      <c r="OTC2" s="62"/>
      <c r="OTD2" s="62"/>
      <c r="OTE2" s="62"/>
      <c r="OTF2" s="62"/>
      <c r="OTG2" s="62"/>
      <c r="OTH2" s="62"/>
      <c r="OTI2" s="62"/>
      <c r="OTJ2" s="62"/>
      <c r="OTK2" s="62"/>
      <c r="OTL2" s="62"/>
      <c r="OTM2" s="62"/>
      <c r="OTN2" s="62"/>
      <c r="OTO2" s="62"/>
      <c r="OTP2" s="62"/>
      <c r="OTQ2" s="62"/>
      <c r="OTR2" s="62"/>
      <c r="OTS2" s="62"/>
      <c r="OTT2" s="62"/>
      <c r="OTU2" s="62"/>
      <c r="OTV2" s="62"/>
      <c r="OTW2" s="62"/>
      <c r="OTX2" s="62"/>
      <c r="OTY2" s="62"/>
      <c r="OTZ2" s="62"/>
      <c r="OUA2" s="62"/>
      <c r="OUB2" s="62"/>
      <c r="OUC2" s="62"/>
      <c r="OUD2" s="62"/>
      <c r="OUE2" s="62"/>
      <c r="OUF2" s="62"/>
      <c r="OUG2" s="62"/>
      <c r="OUH2" s="62"/>
      <c r="OUI2" s="62"/>
      <c r="OUJ2" s="62"/>
      <c r="OUK2" s="62"/>
      <c r="OUL2" s="62"/>
      <c r="OUM2" s="62"/>
      <c r="OUN2" s="62"/>
      <c r="OUO2" s="62"/>
      <c r="OUP2" s="62"/>
      <c r="OUQ2" s="62"/>
      <c r="OUR2" s="62"/>
      <c r="OUS2" s="62"/>
      <c r="OUT2" s="62"/>
      <c r="OUU2" s="62"/>
      <c r="OUV2" s="62"/>
      <c r="OUW2" s="62"/>
      <c r="OUX2" s="62"/>
      <c r="OUY2" s="62"/>
      <c r="OUZ2" s="62"/>
      <c r="OVA2" s="62"/>
      <c r="OVB2" s="62"/>
      <c r="OVC2" s="62"/>
      <c r="OVD2" s="62"/>
      <c r="OVE2" s="62"/>
      <c r="OVF2" s="62"/>
      <c r="OVG2" s="62"/>
      <c r="OVH2" s="62"/>
      <c r="OVI2" s="62"/>
      <c r="OVJ2" s="62"/>
      <c r="OVK2" s="62"/>
      <c r="OVL2" s="62"/>
      <c r="OVM2" s="62"/>
      <c r="OVN2" s="62"/>
      <c r="OVO2" s="62"/>
      <c r="OVP2" s="62"/>
      <c r="OVQ2" s="62"/>
      <c r="OVR2" s="62"/>
      <c r="OVS2" s="62"/>
      <c r="OVT2" s="62"/>
      <c r="OVU2" s="62"/>
      <c r="OVV2" s="62"/>
      <c r="OVW2" s="62"/>
      <c r="OVX2" s="62"/>
      <c r="OVY2" s="62"/>
      <c r="OVZ2" s="62"/>
      <c r="OWA2" s="62"/>
      <c r="OWB2" s="62"/>
      <c r="OWC2" s="62"/>
      <c r="OWD2" s="62"/>
      <c r="OWE2" s="62"/>
      <c r="OWF2" s="62"/>
      <c r="OWG2" s="62"/>
      <c r="OWH2" s="62"/>
      <c r="OWI2" s="62"/>
      <c r="OWJ2" s="62"/>
      <c r="OWK2" s="62"/>
      <c r="OWL2" s="62"/>
      <c r="OWM2" s="62"/>
      <c r="OWN2" s="62"/>
      <c r="OWO2" s="62"/>
      <c r="OWP2" s="62"/>
      <c r="OWQ2" s="62"/>
      <c r="OWR2" s="62"/>
      <c r="OWS2" s="62"/>
      <c r="OWT2" s="62"/>
      <c r="OWU2" s="62"/>
      <c r="OWV2" s="62"/>
      <c r="OWW2" s="62"/>
      <c r="OWX2" s="62"/>
      <c r="OWY2" s="62"/>
      <c r="OWZ2" s="62"/>
      <c r="OXA2" s="62"/>
      <c r="OXB2" s="62"/>
      <c r="OXC2" s="62"/>
      <c r="OXD2" s="62"/>
      <c r="OXE2" s="62"/>
      <c r="OXF2" s="62"/>
      <c r="OXG2" s="62"/>
      <c r="OXH2" s="62"/>
      <c r="OXI2" s="62"/>
      <c r="OXJ2" s="62"/>
      <c r="OXK2" s="62"/>
      <c r="OXL2" s="62"/>
      <c r="OXM2" s="62"/>
      <c r="OXN2" s="62"/>
      <c r="OXO2" s="62"/>
      <c r="OXP2" s="62"/>
      <c r="OXQ2" s="62"/>
      <c r="OXR2" s="62"/>
      <c r="OXS2" s="62"/>
      <c r="OXT2" s="62"/>
      <c r="OXU2" s="62"/>
      <c r="OXV2" s="62"/>
      <c r="OXW2" s="62"/>
      <c r="OXX2" s="62"/>
      <c r="OXY2" s="62"/>
      <c r="OXZ2" s="62"/>
      <c r="OYA2" s="62"/>
      <c r="OYB2" s="62"/>
      <c r="OYC2" s="62"/>
      <c r="OYD2" s="62"/>
      <c r="OYE2" s="62"/>
      <c r="OYF2" s="62"/>
      <c r="OYG2" s="62"/>
      <c r="OYH2" s="62"/>
      <c r="OYI2" s="62"/>
      <c r="OYJ2" s="62"/>
      <c r="OYK2" s="62"/>
      <c r="OYL2" s="62"/>
      <c r="OYM2" s="62"/>
      <c r="OYN2" s="62"/>
      <c r="OYO2" s="62"/>
      <c r="OYP2" s="62"/>
      <c r="OYQ2" s="62"/>
      <c r="OYR2" s="62"/>
      <c r="OYS2" s="62"/>
      <c r="OYT2" s="62"/>
      <c r="OYU2" s="62"/>
      <c r="OYV2" s="62"/>
      <c r="OYW2" s="62"/>
      <c r="OYX2" s="62"/>
      <c r="OYY2" s="62"/>
      <c r="OYZ2" s="62"/>
      <c r="OZA2" s="62"/>
      <c r="OZB2" s="62"/>
      <c r="OZC2" s="62"/>
      <c r="OZD2" s="62"/>
      <c r="OZE2" s="62"/>
      <c r="OZF2" s="62"/>
      <c r="OZG2" s="62"/>
      <c r="OZH2" s="62"/>
      <c r="OZI2" s="62"/>
      <c r="OZJ2" s="62"/>
      <c r="OZK2" s="62"/>
      <c r="OZL2" s="62"/>
      <c r="OZM2" s="62"/>
      <c r="OZN2" s="62"/>
      <c r="OZO2" s="62"/>
      <c r="OZP2" s="62"/>
      <c r="OZQ2" s="62"/>
      <c r="OZR2" s="62"/>
      <c r="OZS2" s="62"/>
      <c r="OZT2" s="62"/>
      <c r="OZU2" s="62"/>
      <c r="OZV2" s="62"/>
      <c r="OZW2" s="62"/>
      <c r="OZX2" s="62"/>
      <c r="OZY2" s="62"/>
      <c r="OZZ2" s="62"/>
      <c r="PAA2" s="62"/>
      <c r="PAB2" s="62"/>
      <c r="PAC2" s="62"/>
      <c r="PAD2" s="62"/>
      <c r="PAE2" s="62"/>
      <c r="PAF2" s="62"/>
      <c r="PAG2" s="62"/>
      <c r="PAH2" s="62"/>
      <c r="PAI2" s="62"/>
      <c r="PAJ2" s="62"/>
      <c r="PAK2" s="62"/>
      <c r="PAL2" s="62"/>
      <c r="PAM2" s="62"/>
      <c r="PAN2" s="62"/>
      <c r="PAO2" s="62"/>
      <c r="PAP2" s="62"/>
      <c r="PAQ2" s="62"/>
      <c r="PAR2" s="62"/>
      <c r="PAS2" s="62"/>
      <c r="PAT2" s="62"/>
      <c r="PAU2" s="62"/>
      <c r="PAV2" s="62"/>
      <c r="PAW2" s="62"/>
      <c r="PAX2" s="62"/>
      <c r="PAY2" s="62"/>
      <c r="PAZ2" s="62"/>
      <c r="PBA2" s="62"/>
      <c r="PBB2" s="62"/>
      <c r="PBC2" s="62"/>
      <c r="PBD2" s="62"/>
      <c r="PBE2" s="62"/>
      <c r="PBF2" s="62"/>
      <c r="PBG2" s="62"/>
      <c r="PBH2" s="62"/>
      <c r="PBI2" s="62"/>
      <c r="PBJ2" s="62"/>
      <c r="PBK2" s="62"/>
      <c r="PBL2" s="62"/>
      <c r="PBM2" s="62"/>
      <c r="PBN2" s="62"/>
      <c r="PBO2" s="62"/>
      <c r="PBP2" s="62"/>
      <c r="PBQ2" s="62"/>
      <c r="PBR2" s="62"/>
      <c r="PBS2" s="62"/>
      <c r="PBT2" s="62"/>
      <c r="PBU2" s="62"/>
      <c r="PBV2" s="62"/>
      <c r="PBW2" s="62"/>
      <c r="PBX2" s="62"/>
      <c r="PBY2" s="62"/>
      <c r="PBZ2" s="62"/>
      <c r="PCA2" s="62"/>
      <c r="PCB2" s="62"/>
      <c r="PCC2" s="62"/>
      <c r="PCD2" s="62"/>
      <c r="PCE2" s="62"/>
      <c r="PCF2" s="62"/>
      <c r="PCG2" s="62"/>
      <c r="PCH2" s="62"/>
      <c r="PCI2" s="62"/>
      <c r="PCJ2" s="62"/>
      <c r="PCK2" s="62"/>
      <c r="PCL2" s="62"/>
      <c r="PCM2" s="62"/>
      <c r="PCN2" s="62"/>
      <c r="PCO2" s="62"/>
      <c r="PCP2" s="62"/>
      <c r="PCQ2" s="62"/>
      <c r="PCR2" s="62"/>
      <c r="PCS2" s="62"/>
      <c r="PCT2" s="62"/>
      <c r="PCU2" s="62"/>
      <c r="PCV2" s="62"/>
      <c r="PCW2" s="62"/>
      <c r="PCX2" s="62"/>
      <c r="PCY2" s="62"/>
      <c r="PCZ2" s="62"/>
      <c r="PDA2" s="62"/>
      <c r="PDB2" s="62"/>
      <c r="PDC2" s="62"/>
      <c r="PDD2" s="62"/>
      <c r="PDE2" s="62"/>
      <c r="PDF2" s="62"/>
      <c r="PDG2" s="62"/>
      <c r="PDH2" s="62"/>
      <c r="PDI2" s="62"/>
      <c r="PDJ2" s="62"/>
      <c r="PDK2" s="62"/>
      <c r="PDL2" s="62"/>
      <c r="PDM2" s="62"/>
      <c r="PDN2" s="62"/>
      <c r="PDO2" s="62"/>
      <c r="PDP2" s="62"/>
      <c r="PDQ2" s="62"/>
      <c r="PDR2" s="62"/>
      <c r="PDS2" s="62"/>
      <c r="PDT2" s="62"/>
      <c r="PDU2" s="62"/>
      <c r="PDV2" s="62"/>
      <c r="PDW2" s="62"/>
      <c r="PDX2" s="62"/>
      <c r="PDY2" s="62"/>
      <c r="PDZ2" s="62"/>
      <c r="PEA2" s="62"/>
      <c r="PEB2" s="62"/>
      <c r="PEC2" s="62"/>
      <c r="PED2" s="62"/>
      <c r="PEE2" s="62"/>
      <c r="PEF2" s="62"/>
      <c r="PEG2" s="62"/>
      <c r="PEH2" s="62"/>
      <c r="PEI2" s="62"/>
      <c r="PEJ2" s="62"/>
      <c r="PEK2" s="62"/>
      <c r="PEL2" s="62"/>
      <c r="PEM2" s="62"/>
      <c r="PEN2" s="62"/>
      <c r="PEO2" s="62"/>
      <c r="PEP2" s="62"/>
      <c r="PEQ2" s="62"/>
      <c r="PER2" s="62"/>
      <c r="PES2" s="62"/>
      <c r="PET2" s="62"/>
      <c r="PEU2" s="62"/>
      <c r="PEV2" s="62"/>
      <c r="PEW2" s="62"/>
      <c r="PEX2" s="62"/>
      <c r="PEY2" s="62"/>
      <c r="PEZ2" s="62"/>
      <c r="PFA2" s="62"/>
      <c r="PFB2" s="62"/>
      <c r="PFC2" s="62"/>
      <c r="PFD2" s="62"/>
      <c r="PFE2" s="62"/>
      <c r="PFF2" s="62"/>
      <c r="PFG2" s="62"/>
      <c r="PFH2" s="62"/>
      <c r="PFI2" s="62"/>
      <c r="PFJ2" s="62"/>
      <c r="PFK2" s="62"/>
      <c r="PFL2" s="62"/>
      <c r="PFM2" s="62"/>
      <c r="PFN2" s="62"/>
      <c r="PFO2" s="62"/>
      <c r="PFP2" s="62"/>
      <c r="PFQ2" s="62"/>
      <c r="PFR2" s="62"/>
      <c r="PFS2" s="62"/>
      <c r="PFT2" s="62"/>
      <c r="PFU2" s="62"/>
      <c r="PFV2" s="62"/>
      <c r="PFW2" s="62"/>
      <c r="PFX2" s="62"/>
      <c r="PFY2" s="62"/>
      <c r="PFZ2" s="62"/>
      <c r="PGA2" s="62"/>
      <c r="PGB2" s="62"/>
      <c r="PGC2" s="62"/>
      <c r="PGD2" s="62"/>
      <c r="PGE2" s="62"/>
      <c r="PGF2" s="62"/>
      <c r="PGG2" s="62"/>
      <c r="PGH2" s="62"/>
      <c r="PGI2" s="62"/>
      <c r="PGJ2" s="62"/>
      <c r="PGK2" s="62"/>
      <c r="PGL2" s="62"/>
      <c r="PGM2" s="62"/>
      <c r="PGN2" s="62"/>
      <c r="PGO2" s="62"/>
      <c r="PGP2" s="62"/>
      <c r="PGQ2" s="62"/>
      <c r="PGR2" s="62"/>
      <c r="PGS2" s="62"/>
      <c r="PGT2" s="62"/>
      <c r="PGU2" s="62"/>
      <c r="PGV2" s="62"/>
      <c r="PGW2" s="62"/>
      <c r="PGX2" s="62"/>
      <c r="PGY2" s="62"/>
      <c r="PGZ2" s="62"/>
      <c r="PHA2" s="62"/>
      <c r="PHB2" s="62"/>
      <c r="PHC2" s="62"/>
      <c r="PHD2" s="62"/>
      <c r="PHE2" s="62"/>
      <c r="PHF2" s="62"/>
      <c r="PHG2" s="62"/>
      <c r="PHH2" s="62"/>
      <c r="PHI2" s="62"/>
      <c r="PHJ2" s="62"/>
      <c r="PHK2" s="62"/>
      <c r="PHL2" s="62"/>
      <c r="PHM2" s="62"/>
      <c r="PHN2" s="62"/>
      <c r="PHO2" s="62"/>
      <c r="PHP2" s="62"/>
      <c r="PHQ2" s="62"/>
      <c r="PHR2" s="62"/>
      <c r="PHS2" s="62"/>
      <c r="PHT2" s="62"/>
      <c r="PHU2" s="62"/>
      <c r="PHV2" s="62"/>
      <c r="PHW2" s="62"/>
      <c r="PHX2" s="62"/>
      <c r="PHY2" s="62"/>
      <c r="PHZ2" s="62"/>
      <c r="PIA2" s="62"/>
      <c r="PIB2" s="62"/>
      <c r="PIC2" s="62"/>
      <c r="PID2" s="62"/>
      <c r="PIE2" s="62"/>
      <c r="PIF2" s="62"/>
      <c r="PIG2" s="62"/>
      <c r="PIH2" s="62"/>
      <c r="PII2" s="62"/>
      <c r="PIJ2" s="62"/>
      <c r="PIK2" s="62"/>
      <c r="PIL2" s="62"/>
      <c r="PIM2" s="62"/>
      <c r="PIN2" s="62"/>
      <c r="PIO2" s="62"/>
      <c r="PIP2" s="62"/>
      <c r="PIQ2" s="62"/>
      <c r="PIR2" s="62"/>
      <c r="PIS2" s="62"/>
      <c r="PIT2" s="62"/>
      <c r="PIU2" s="62"/>
      <c r="PIV2" s="62"/>
      <c r="PIW2" s="62"/>
      <c r="PIX2" s="62"/>
      <c r="PIY2" s="62"/>
      <c r="PIZ2" s="62"/>
      <c r="PJA2" s="62"/>
      <c r="PJB2" s="62"/>
      <c r="PJC2" s="62"/>
      <c r="PJD2" s="62"/>
      <c r="PJE2" s="62"/>
      <c r="PJF2" s="62"/>
      <c r="PJG2" s="62"/>
      <c r="PJH2" s="62"/>
      <c r="PJI2" s="62"/>
      <c r="PJJ2" s="62"/>
      <c r="PJK2" s="62"/>
      <c r="PJL2" s="62"/>
      <c r="PJM2" s="62"/>
      <c r="PJN2" s="62"/>
      <c r="PJO2" s="62"/>
      <c r="PJP2" s="62"/>
      <c r="PJQ2" s="62"/>
      <c r="PJR2" s="62"/>
      <c r="PJS2" s="62"/>
      <c r="PJT2" s="62"/>
      <c r="PJU2" s="62"/>
      <c r="PJV2" s="62"/>
      <c r="PJW2" s="62"/>
      <c r="PJX2" s="62"/>
      <c r="PJY2" s="62"/>
      <c r="PJZ2" s="62"/>
      <c r="PKA2" s="62"/>
      <c r="PKB2" s="62"/>
      <c r="PKC2" s="62"/>
      <c r="PKD2" s="62"/>
      <c r="PKE2" s="62"/>
      <c r="PKF2" s="62"/>
      <c r="PKG2" s="62"/>
      <c r="PKH2" s="62"/>
      <c r="PKI2" s="62"/>
      <c r="PKJ2" s="62"/>
      <c r="PKK2" s="62"/>
      <c r="PKL2" s="62"/>
      <c r="PKM2" s="62"/>
      <c r="PKN2" s="62"/>
      <c r="PKO2" s="62"/>
      <c r="PKP2" s="62"/>
      <c r="PKQ2" s="62"/>
      <c r="PKR2" s="62"/>
      <c r="PKS2" s="62"/>
      <c r="PKT2" s="62"/>
      <c r="PKU2" s="62"/>
      <c r="PKV2" s="62"/>
      <c r="PKW2" s="62"/>
      <c r="PKX2" s="62"/>
      <c r="PKY2" s="62"/>
      <c r="PKZ2" s="62"/>
      <c r="PLA2" s="62"/>
      <c r="PLB2" s="62"/>
      <c r="PLC2" s="62"/>
      <c r="PLD2" s="62"/>
      <c r="PLE2" s="62"/>
      <c r="PLF2" s="62"/>
      <c r="PLG2" s="62"/>
      <c r="PLH2" s="62"/>
      <c r="PLI2" s="62"/>
      <c r="PLJ2" s="62"/>
      <c r="PLK2" s="62"/>
      <c r="PLL2" s="62"/>
      <c r="PLM2" s="62"/>
      <c r="PLN2" s="62"/>
      <c r="PLO2" s="62"/>
      <c r="PLP2" s="62"/>
      <c r="PLQ2" s="62"/>
      <c r="PLR2" s="62"/>
      <c r="PLS2" s="62"/>
      <c r="PLT2" s="62"/>
      <c r="PLU2" s="62"/>
      <c r="PLV2" s="62"/>
      <c r="PLW2" s="62"/>
      <c r="PLX2" s="62"/>
      <c r="PLY2" s="62"/>
      <c r="PLZ2" s="62"/>
      <c r="PMA2" s="62"/>
      <c r="PMB2" s="62"/>
      <c r="PMC2" s="62"/>
      <c r="PMD2" s="62"/>
      <c r="PME2" s="62"/>
      <c r="PMF2" s="62"/>
      <c r="PMG2" s="62"/>
      <c r="PMH2" s="62"/>
      <c r="PMI2" s="62"/>
      <c r="PMJ2" s="62"/>
      <c r="PMK2" s="62"/>
      <c r="PML2" s="62"/>
      <c r="PMM2" s="62"/>
      <c r="PMN2" s="62"/>
      <c r="PMO2" s="62"/>
      <c r="PMP2" s="62"/>
      <c r="PMQ2" s="62"/>
      <c r="PMR2" s="62"/>
      <c r="PMS2" s="62"/>
      <c r="PMT2" s="62"/>
      <c r="PMU2" s="62"/>
      <c r="PMV2" s="62"/>
      <c r="PMW2" s="62"/>
      <c r="PMX2" s="62"/>
      <c r="PMY2" s="62"/>
      <c r="PMZ2" s="62"/>
      <c r="PNA2" s="62"/>
      <c r="PNB2" s="62"/>
      <c r="PNC2" s="62"/>
      <c r="PND2" s="62"/>
      <c r="PNE2" s="62"/>
      <c r="PNF2" s="62"/>
      <c r="PNG2" s="62"/>
      <c r="PNH2" s="62"/>
      <c r="PNI2" s="62"/>
      <c r="PNJ2" s="62"/>
      <c r="PNK2" s="62"/>
      <c r="PNL2" s="62"/>
      <c r="PNM2" s="62"/>
      <c r="PNN2" s="62"/>
      <c r="PNO2" s="62"/>
      <c r="PNP2" s="62"/>
      <c r="PNQ2" s="62"/>
      <c r="PNR2" s="62"/>
      <c r="PNS2" s="62"/>
      <c r="PNT2" s="62"/>
      <c r="PNU2" s="62"/>
      <c r="PNV2" s="62"/>
      <c r="PNW2" s="62"/>
      <c r="PNX2" s="62"/>
      <c r="PNY2" s="62"/>
      <c r="PNZ2" s="62"/>
      <c r="POA2" s="62"/>
      <c r="POB2" s="62"/>
      <c r="POC2" s="62"/>
      <c r="POD2" s="62"/>
      <c r="POE2" s="62"/>
      <c r="POF2" s="62"/>
      <c r="POG2" s="62"/>
      <c r="POH2" s="62"/>
      <c r="POI2" s="62"/>
      <c r="POJ2" s="62"/>
      <c r="POK2" s="62"/>
      <c r="POL2" s="62"/>
      <c r="POM2" s="62"/>
      <c r="PON2" s="62"/>
      <c r="POO2" s="62"/>
      <c r="POP2" s="62"/>
      <c r="POQ2" s="62"/>
      <c r="POR2" s="62"/>
      <c r="POS2" s="62"/>
      <c r="POT2" s="62"/>
      <c r="POU2" s="62"/>
      <c r="POV2" s="62"/>
      <c r="POW2" s="62"/>
      <c r="POX2" s="62"/>
      <c r="POY2" s="62"/>
      <c r="POZ2" s="62"/>
      <c r="PPA2" s="62"/>
      <c r="PPB2" s="62"/>
      <c r="PPC2" s="62"/>
      <c r="PPD2" s="62"/>
      <c r="PPE2" s="62"/>
      <c r="PPF2" s="62"/>
      <c r="PPG2" s="62"/>
      <c r="PPH2" s="62"/>
      <c r="PPI2" s="62"/>
      <c r="PPJ2" s="62"/>
      <c r="PPK2" s="62"/>
      <c r="PPL2" s="62"/>
      <c r="PPM2" s="62"/>
      <c r="PPN2" s="62"/>
      <c r="PPO2" s="62"/>
      <c r="PPP2" s="62"/>
      <c r="PPQ2" s="62"/>
      <c r="PPR2" s="62"/>
      <c r="PPS2" s="62"/>
      <c r="PPT2" s="62"/>
      <c r="PPU2" s="62"/>
      <c r="PPV2" s="62"/>
      <c r="PPW2" s="62"/>
      <c r="PPX2" s="62"/>
      <c r="PPY2" s="62"/>
      <c r="PPZ2" s="62"/>
      <c r="PQA2" s="62"/>
      <c r="PQB2" s="62"/>
      <c r="PQC2" s="62"/>
      <c r="PQD2" s="62"/>
      <c r="PQE2" s="62"/>
      <c r="PQF2" s="62"/>
      <c r="PQG2" s="62"/>
      <c r="PQH2" s="62"/>
      <c r="PQI2" s="62"/>
      <c r="PQJ2" s="62"/>
      <c r="PQK2" s="62"/>
      <c r="PQL2" s="62"/>
      <c r="PQM2" s="62"/>
      <c r="PQN2" s="62"/>
      <c r="PQO2" s="62"/>
      <c r="PQP2" s="62"/>
      <c r="PQQ2" s="62"/>
      <c r="PQR2" s="62"/>
      <c r="PQS2" s="62"/>
      <c r="PQT2" s="62"/>
      <c r="PQU2" s="62"/>
      <c r="PQV2" s="62"/>
      <c r="PQW2" s="62"/>
      <c r="PQX2" s="62"/>
      <c r="PQY2" s="62"/>
      <c r="PQZ2" s="62"/>
      <c r="PRA2" s="62"/>
      <c r="PRB2" s="62"/>
      <c r="PRC2" s="62"/>
      <c r="PRD2" s="62"/>
      <c r="PRE2" s="62"/>
      <c r="PRF2" s="62"/>
      <c r="PRG2" s="62"/>
      <c r="PRH2" s="62"/>
      <c r="PRI2" s="62"/>
      <c r="PRJ2" s="62"/>
      <c r="PRK2" s="62"/>
      <c r="PRL2" s="62"/>
      <c r="PRM2" s="62"/>
      <c r="PRN2" s="62"/>
      <c r="PRO2" s="62"/>
      <c r="PRP2" s="62"/>
      <c r="PRQ2" s="62"/>
      <c r="PRR2" s="62"/>
      <c r="PRS2" s="62"/>
      <c r="PRT2" s="62"/>
      <c r="PRU2" s="62"/>
      <c r="PRV2" s="62"/>
      <c r="PRW2" s="62"/>
      <c r="PRX2" s="62"/>
      <c r="PRY2" s="62"/>
      <c r="PRZ2" s="62"/>
      <c r="PSA2" s="62"/>
      <c r="PSB2" s="62"/>
      <c r="PSC2" s="62"/>
      <c r="PSD2" s="62"/>
      <c r="PSE2" s="62"/>
      <c r="PSF2" s="62"/>
      <c r="PSG2" s="62"/>
      <c r="PSH2" s="62"/>
      <c r="PSI2" s="62"/>
      <c r="PSJ2" s="62"/>
      <c r="PSK2" s="62"/>
      <c r="PSL2" s="62"/>
      <c r="PSM2" s="62"/>
      <c r="PSN2" s="62"/>
      <c r="PSO2" s="62"/>
      <c r="PSP2" s="62"/>
      <c r="PSQ2" s="62"/>
      <c r="PSR2" s="62"/>
      <c r="PSS2" s="62"/>
      <c r="PST2" s="62"/>
      <c r="PSU2" s="62"/>
      <c r="PSV2" s="62"/>
      <c r="PSW2" s="62"/>
      <c r="PSX2" s="62"/>
      <c r="PSY2" s="62"/>
      <c r="PSZ2" s="62"/>
      <c r="PTA2" s="62"/>
      <c r="PTB2" s="62"/>
      <c r="PTC2" s="62"/>
      <c r="PTD2" s="62"/>
      <c r="PTE2" s="62"/>
      <c r="PTF2" s="62"/>
      <c r="PTG2" s="62"/>
      <c r="PTH2" s="62"/>
      <c r="PTI2" s="62"/>
      <c r="PTJ2" s="62"/>
      <c r="PTK2" s="62"/>
      <c r="PTL2" s="62"/>
      <c r="PTM2" s="62"/>
      <c r="PTN2" s="62"/>
      <c r="PTO2" s="62"/>
      <c r="PTP2" s="62"/>
      <c r="PTQ2" s="62"/>
      <c r="PTR2" s="62"/>
      <c r="PTS2" s="62"/>
      <c r="PTT2" s="62"/>
      <c r="PTU2" s="62"/>
      <c r="PTV2" s="62"/>
      <c r="PTW2" s="62"/>
      <c r="PTX2" s="62"/>
      <c r="PTY2" s="62"/>
      <c r="PTZ2" s="62"/>
      <c r="PUA2" s="62"/>
      <c r="PUB2" s="62"/>
      <c r="PUC2" s="62"/>
      <c r="PUD2" s="62"/>
      <c r="PUE2" s="62"/>
      <c r="PUF2" s="62"/>
      <c r="PUG2" s="62"/>
      <c r="PUH2" s="62"/>
      <c r="PUI2" s="62"/>
      <c r="PUJ2" s="62"/>
      <c r="PUK2" s="62"/>
      <c r="PUL2" s="62"/>
      <c r="PUM2" s="62"/>
      <c r="PUN2" s="62"/>
      <c r="PUO2" s="62"/>
      <c r="PUP2" s="62"/>
      <c r="PUQ2" s="62"/>
      <c r="PUR2" s="62"/>
      <c r="PUS2" s="62"/>
      <c r="PUT2" s="62"/>
      <c r="PUU2" s="62"/>
      <c r="PUV2" s="62"/>
      <c r="PUW2" s="62"/>
      <c r="PUX2" s="62"/>
      <c r="PUY2" s="62"/>
      <c r="PUZ2" s="62"/>
      <c r="PVA2" s="62"/>
      <c r="PVB2" s="62"/>
      <c r="PVC2" s="62"/>
      <c r="PVD2" s="62"/>
      <c r="PVE2" s="62"/>
      <c r="PVF2" s="62"/>
      <c r="PVG2" s="62"/>
      <c r="PVH2" s="62"/>
      <c r="PVI2" s="62"/>
      <c r="PVJ2" s="62"/>
      <c r="PVK2" s="62"/>
      <c r="PVL2" s="62"/>
      <c r="PVM2" s="62"/>
      <c r="PVN2" s="62"/>
      <c r="PVO2" s="62"/>
      <c r="PVP2" s="62"/>
      <c r="PVQ2" s="62"/>
      <c r="PVR2" s="62"/>
      <c r="PVS2" s="62"/>
      <c r="PVT2" s="62"/>
      <c r="PVU2" s="62"/>
      <c r="PVV2" s="62"/>
      <c r="PVW2" s="62"/>
      <c r="PVX2" s="62"/>
      <c r="PVY2" s="62"/>
      <c r="PVZ2" s="62"/>
      <c r="PWA2" s="62"/>
      <c r="PWB2" s="62"/>
      <c r="PWC2" s="62"/>
      <c r="PWD2" s="62"/>
      <c r="PWE2" s="62"/>
      <c r="PWF2" s="62"/>
      <c r="PWG2" s="62"/>
      <c r="PWH2" s="62"/>
      <c r="PWI2" s="62"/>
      <c r="PWJ2" s="62"/>
      <c r="PWK2" s="62"/>
      <c r="PWL2" s="62"/>
      <c r="PWM2" s="62"/>
      <c r="PWN2" s="62"/>
      <c r="PWO2" s="62"/>
      <c r="PWP2" s="62"/>
      <c r="PWQ2" s="62"/>
      <c r="PWR2" s="62"/>
      <c r="PWS2" s="62"/>
      <c r="PWT2" s="62"/>
      <c r="PWU2" s="62"/>
      <c r="PWV2" s="62"/>
      <c r="PWW2" s="62"/>
      <c r="PWX2" s="62"/>
      <c r="PWY2" s="62"/>
      <c r="PWZ2" s="62"/>
      <c r="PXA2" s="62"/>
      <c r="PXB2" s="62"/>
      <c r="PXC2" s="62"/>
      <c r="PXD2" s="62"/>
      <c r="PXE2" s="62"/>
      <c r="PXF2" s="62"/>
      <c r="PXG2" s="62"/>
      <c r="PXH2" s="62"/>
      <c r="PXI2" s="62"/>
      <c r="PXJ2" s="62"/>
      <c r="PXK2" s="62"/>
      <c r="PXL2" s="62"/>
      <c r="PXM2" s="62"/>
      <c r="PXN2" s="62"/>
      <c r="PXO2" s="62"/>
      <c r="PXP2" s="62"/>
      <c r="PXQ2" s="62"/>
      <c r="PXR2" s="62"/>
      <c r="PXS2" s="62"/>
      <c r="PXT2" s="62"/>
      <c r="PXU2" s="62"/>
      <c r="PXV2" s="62"/>
      <c r="PXW2" s="62"/>
      <c r="PXX2" s="62"/>
      <c r="PXY2" s="62"/>
      <c r="PXZ2" s="62"/>
      <c r="PYA2" s="62"/>
      <c r="PYB2" s="62"/>
      <c r="PYC2" s="62"/>
      <c r="PYD2" s="62"/>
      <c r="PYE2" s="62"/>
      <c r="PYF2" s="62"/>
      <c r="PYG2" s="62"/>
      <c r="PYH2" s="62"/>
      <c r="PYI2" s="62"/>
      <c r="PYJ2" s="62"/>
      <c r="PYK2" s="62"/>
      <c r="PYL2" s="62"/>
      <c r="PYM2" s="62"/>
      <c r="PYN2" s="62"/>
      <c r="PYO2" s="62"/>
      <c r="PYP2" s="62"/>
      <c r="PYQ2" s="62"/>
      <c r="PYR2" s="62"/>
      <c r="PYS2" s="62"/>
      <c r="PYT2" s="62"/>
      <c r="PYU2" s="62"/>
      <c r="PYV2" s="62"/>
      <c r="PYW2" s="62"/>
      <c r="PYX2" s="62"/>
      <c r="PYY2" s="62"/>
      <c r="PYZ2" s="62"/>
      <c r="PZA2" s="62"/>
      <c r="PZB2" s="62"/>
      <c r="PZC2" s="62"/>
      <c r="PZD2" s="62"/>
      <c r="PZE2" s="62"/>
      <c r="PZF2" s="62"/>
      <c r="PZG2" s="62"/>
      <c r="PZH2" s="62"/>
      <c r="PZI2" s="62"/>
      <c r="PZJ2" s="62"/>
      <c r="PZK2" s="62"/>
      <c r="PZL2" s="62"/>
      <c r="PZM2" s="62"/>
      <c r="PZN2" s="62"/>
      <c r="PZO2" s="62"/>
      <c r="PZP2" s="62"/>
      <c r="PZQ2" s="62"/>
      <c r="PZR2" s="62"/>
      <c r="PZS2" s="62"/>
      <c r="PZT2" s="62"/>
      <c r="PZU2" s="62"/>
      <c r="PZV2" s="62"/>
      <c r="PZW2" s="62"/>
      <c r="PZX2" s="62"/>
      <c r="PZY2" s="62"/>
      <c r="PZZ2" s="62"/>
      <c r="QAA2" s="62"/>
      <c r="QAB2" s="62"/>
      <c r="QAC2" s="62"/>
      <c r="QAD2" s="62"/>
      <c r="QAE2" s="62"/>
      <c r="QAF2" s="62"/>
      <c r="QAG2" s="62"/>
      <c r="QAH2" s="62"/>
      <c r="QAI2" s="62"/>
      <c r="QAJ2" s="62"/>
      <c r="QAK2" s="62"/>
      <c r="QAL2" s="62"/>
      <c r="QAM2" s="62"/>
      <c r="QAN2" s="62"/>
      <c r="QAO2" s="62"/>
      <c r="QAP2" s="62"/>
      <c r="QAQ2" s="62"/>
      <c r="QAR2" s="62"/>
      <c r="QAS2" s="62"/>
      <c r="QAT2" s="62"/>
      <c r="QAU2" s="62"/>
      <c r="QAV2" s="62"/>
      <c r="QAW2" s="62"/>
      <c r="QAX2" s="62"/>
      <c r="QAY2" s="62"/>
      <c r="QAZ2" s="62"/>
      <c r="QBA2" s="62"/>
      <c r="QBB2" s="62"/>
      <c r="QBC2" s="62"/>
      <c r="QBD2" s="62"/>
      <c r="QBE2" s="62"/>
      <c r="QBF2" s="62"/>
      <c r="QBG2" s="62"/>
      <c r="QBH2" s="62"/>
      <c r="QBI2" s="62"/>
      <c r="QBJ2" s="62"/>
      <c r="QBK2" s="62"/>
      <c r="QBL2" s="62"/>
      <c r="QBM2" s="62"/>
      <c r="QBN2" s="62"/>
      <c r="QBO2" s="62"/>
      <c r="QBP2" s="62"/>
      <c r="QBQ2" s="62"/>
      <c r="QBR2" s="62"/>
      <c r="QBS2" s="62"/>
      <c r="QBT2" s="62"/>
      <c r="QBU2" s="62"/>
      <c r="QBV2" s="62"/>
      <c r="QBW2" s="62"/>
      <c r="QBX2" s="62"/>
      <c r="QBY2" s="62"/>
      <c r="QBZ2" s="62"/>
      <c r="QCA2" s="62"/>
      <c r="QCB2" s="62"/>
      <c r="QCC2" s="62"/>
      <c r="QCD2" s="62"/>
      <c r="QCE2" s="62"/>
      <c r="QCF2" s="62"/>
      <c r="QCG2" s="62"/>
      <c r="QCH2" s="62"/>
      <c r="QCI2" s="62"/>
      <c r="QCJ2" s="62"/>
      <c r="QCK2" s="62"/>
      <c r="QCL2" s="62"/>
      <c r="QCM2" s="62"/>
      <c r="QCN2" s="62"/>
      <c r="QCO2" s="62"/>
      <c r="QCP2" s="62"/>
      <c r="QCQ2" s="62"/>
      <c r="QCR2" s="62"/>
      <c r="QCS2" s="62"/>
      <c r="QCT2" s="62"/>
      <c r="QCU2" s="62"/>
      <c r="QCV2" s="62"/>
      <c r="QCW2" s="62"/>
      <c r="QCX2" s="62"/>
      <c r="QCY2" s="62"/>
      <c r="QCZ2" s="62"/>
      <c r="QDA2" s="62"/>
      <c r="QDB2" s="62"/>
      <c r="QDC2" s="62"/>
      <c r="QDD2" s="62"/>
      <c r="QDE2" s="62"/>
      <c r="QDF2" s="62"/>
      <c r="QDG2" s="62"/>
      <c r="QDH2" s="62"/>
      <c r="QDI2" s="62"/>
      <c r="QDJ2" s="62"/>
      <c r="QDK2" s="62"/>
      <c r="QDL2" s="62"/>
      <c r="QDM2" s="62"/>
      <c r="QDN2" s="62"/>
      <c r="QDO2" s="62"/>
      <c r="QDP2" s="62"/>
      <c r="QDQ2" s="62"/>
      <c r="QDR2" s="62"/>
      <c r="QDS2" s="62"/>
      <c r="QDT2" s="62"/>
      <c r="QDU2" s="62"/>
      <c r="QDV2" s="62"/>
      <c r="QDW2" s="62"/>
      <c r="QDX2" s="62"/>
      <c r="QDY2" s="62"/>
      <c r="QDZ2" s="62"/>
      <c r="QEA2" s="62"/>
      <c r="QEB2" s="62"/>
      <c r="QEC2" s="62"/>
      <c r="QED2" s="62"/>
      <c r="QEE2" s="62"/>
      <c r="QEF2" s="62"/>
      <c r="QEG2" s="62"/>
      <c r="QEH2" s="62"/>
      <c r="QEI2" s="62"/>
      <c r="QEJ2" s="62"/>
      <c r="QEK2" s="62"/>
      <c r="QEL2" s="62"/>
      <c r="QEM2" s="62"/>
      <c r="QEN2" s="62"/>
      <c r="QEO2" s="62"/>
      <c r="QEP2" s="62"/>
      <c r="QEQ2" s="62"/>
      <c r="QER2" s="62"/>
      <c r="QES2" s="62"/>
      <c r="QET2" s="62"/>
      <c r="QEU2" s="62"/>
      <c r="QEV2" s="62"/>
      <c r="QEW2" s="62"/>
      <c r="QEX2" s="62"/>
      <c r="QEY2" s="62"/>
      <c r="QEZ2" s="62"/>
      <c r="QFA2" s="62"/>
      <c r="QFB2" s="62"/>
      <c r="QFC2" s="62"/>
      <c r="QFD2" s="62"/>
      <c r="QFE2" s="62"/>
      <c r="QFF2" s="62"/>
      <c r="QFG2" s="62"/>
      <c r="QFH2" s="62"/>
      <c r="QFI2" s="62"/>
      <c r="QFJ2" s="62"/>
      <c r="QFK2" s="62"/>
      <c r="QFL2" s="62"/>
      <c r="QFM2" s="62"/>
      <c r="QFN2" s="62"/>
      <c r="QFO2" s="62"/>
      <c r="QFP2" s="62"/>
      <c r="QFQ2" s="62"/>
      <c r="QFR2" s="62"/>
      <c r="QFS2" s="62"/>
      <c r="QFT2" s="62"/>
      <c r="QFU2" s="62"/>
      <c r="QFV2" s="62"/>
      <c r="QFW2" s="62"/>
      <c r="QFX2" s="62"/>
      <c r="QFY2" s="62"/>
      <c r="QFZ2" s="62"/>
      <c r="QGA2" s="62"/>
      <c r="QGB2" s="62"/>
      <c r="QGC2" s="62"/>
      <c r="QGD2" s="62"/>
      <c r="QGE2" s="62"/>
      <c r="QGF2" s="62"/>
      <c r="QGG2" s="62"/>
      <c r="QGH2" s="62"/>
      <c r="QGI2" s="62"/>
      <c r="QGJ2" s="62"/>
      <c r="QGK2" s="62"/>
      <c r="QGL2" s="62"/>
      <c r="QGM2" s="62"/>
      <c r="QGN2" s="62"/>
      <c r="QGO2" s="62"/>
      <c r="QGP2" s="62"/>
      <c r="QGQ2" s="62"/>
      <c r="QGR2" s="62"/>
      <c r="QGS2" s="62"/>
      <c r="QGT2" s="62"/>
      <c r="QGU2" s="62"/>
      <c r="QGV2" s="62"/>
      <c r="QGW2" s="62"/>
      <c r="QGX2" s="62"/>
      <c r="QGY2" s="62"/>
      <c r="QGZ2" s="62"/>
      <c r="QHA2" s="62"/>
      <c r="QHB2" s="62"/>
      <c r="QHC2" s="62"/>
      <c r="QHD2" s="62"/>
      <c r="QHE2" s="62"/>
      <c r="QHF2" s="62"/>
      <c r="QHG2" s="62"/>
      <c r="QHH2" s="62"/>
      <c r="QHI2" s="62"/>
      <c r="QHJ2" s="62"/>
      <c r="QHK2" s="62"/>
      <c r="QHL2" s="62"/>
      <c r="QHM2" s="62"/>
      <c r="QHN2" s="62"/>
      <c r="QHO2" s="62"/>
      <c r="QHP2" s="62"/>
      <c r="QHQ2" s="62"/>
      <c r="QHR2" s="62"/>
      <c r="QHS2" s="62"/>
      <c r="QHT2" s="62"/>
      <c r="QHU2" s="62"/>
      <c r="QHV2" s="62"/>
      <c r="QHW2" s="62"/>
      <c r="QHX2" s="62"/>
      <c r="QHY2" s="62"/>
      <c r="QHZ2" s="62"/>
      <c r="QIA2" s="62"/>
      <c r="QIB2" s="62"/>
      <c r="QIC2" s="62"/>
      <c r="QID2" s="62"/>
      <c r="QIE2" s="62"/>
      <c r="QIF2" s="62"/>
      <c r="QIG2" s="62"/>
      <c r="QIH2" s="62"/>
      <c r="QII2" s="62"/>
      <c r="QIJ2" s="62"/>
      <c r="QIK2" s="62"/>
      <c r="QIL2" s="62"/>
      <c r="QIM2" s="62"/>
      <c r="QIN2" s="62"/>
      <c r="QIO2" s="62"/>
      <c r="QIP2" s="62"/>
      <c r="QIQ2" s="62"/>
      <c r="QIR2" s="62"/>
      <c r="QIS2" s="62"/>
      <c r="QIT2" s="62"/>
      <c r="QIU2" s="62"/>
      <c r="QIV2" s="62"/>
      <c r="QIW2" s="62"/>
      <c r="QIX2" s="62"/>
      <c r="QIY2" s="62"/>
      <c r="QIZ2" s="62"/>
      <c r="QJA2" s="62"/>
      <c r="QJB2" s="62"/>
      <c r="QJC2" s="62"/>
      <c r="QJD2" s="62"/>
      <c r="QJE2" s="62"/>
      <c r="QJF2" s="62"/>
      <c r="QJG2" s="62"/>
      <c r="QJH2" s="62"/>
      <c r="QJI2" s="62"/>
      <c r="QJJ2" s="62"/>
      <c r="QJK2" s="62"/>
      <c r="QJL2" s="62"/>
      <c r="QJM2" s="62"/>
      <c r="QJN2" s="62"/>
      <c r="QJO2" s="62"/>
      <c r="QJP2" s="62"/>
      <c r="QJQ2" s="62"/>
      <c r="QJR2" s="62"/>
      <c r="QJS2" s="62"/>
      <c r="QJT2" s="62"/>
      <c r="QJU2" s="62"/>
      <c r="QJV2" s="62"/>
      <c r="QJW2" s="62"/>
      <c r="QJX2" s="62"/>
      <c r="QJY2" s="62"/>
      <c r="QJZ2" s="62"/>
      <c r="QKA2" s="62"/>
      <c r="QKB2" s="62"/>
      <c r="QKC2" s="62"/>
      <c r="QKD2" s="62"/>
      <c r="QKE2" s="62"/>
      <c r="QKF2" s="62"/>
      <c r="QKG2" s="62"/>
      <c r="QKH2" s="62"/>
      <c r="QKI2" s="62"/>
      <c r="QKJ2" s="62"/>
      <c r="QKK2" s="62"/>
      <c r="QKL2" s="62"/>
      <c r="QKM2" s="62"/>
      <c r="QKN2" s="62"/>
      <c r="QKO2" s="62"/>
      <c r="QKP2" s="62"/>
      <c r="QKQ2" s="62"/>
      <c r="QKR2" s="62"/>
      <c r="QKS2" s="62"/>
      <c r="QKT2" s="62"/>
      <c r="QKU2" s="62"/>
      <c r="QKV2" s="62"/>
      <c r="QKW2" s="62"/>
      <c r="QKX2" s="62"/>
      <c r="QKY2" s="62"/>
      <c r="QKZ2" s="62"/>
      <c r="QLA2" s="62"/>
      <c r="QLB2" s="62"/>
      <c r="QLC2" s="62"/>
      <c r="QLD2" s="62"/>
      <c r="QLE2" s="62"/>
      <c r="QLF2" s="62"/>
      <c r="QLG2" s="62"/>
      <c r="QLH2" s="62"/>
      <c r="QLI2" s="62"/>
      <c r="QLJ2" s="62"/>
      <c r="QLK2" s="62"/>
      <c r="QLL2" s="62"/>
      <c r="QLM2" s="62"/>
      <c r="QLN2" s="62"/>
      <c r="QLO2" s="62"/>
      <c r="QLP2" s="62"/>
      <c r="QLQ2" s="62"/>
      <c r="QLR2" s="62"/>
      <c r="QLS2" s="62"/>
      <c r="QLT2" s="62"/>
      <c r="QLU2" s="62"/>
      <c r="QLV2" s="62"/>
      <c r="QLW2" s="62"/>
      <c r="QLX2" s="62"/>
      <c r="QLY2" s="62"/>
      <c r="QLZ2" s="62"/>
      <c r="QMA2" s="62"/>
      <c r="QMB2" s="62"/>
      <c r="QMC2" s="62"/>
      <c r="QMD2" s="62"/>
      <c r="QME2" s="62"/>
      <c r="QMF2" s="62"/>
      <c r="QMG2" s="62"/>
      <c r="QMH2" s="62"/>
      <c r="QMI2" s="62"/>
      <c r="QMJ2" s="62"/>
      <c r="QMK2" s="62"/>
      <c r="QML2" s="62"/>
      <c r="QMM2" s="62"/>
      <c r="QMN2" s="62"/>
      <c r="QMO2" s="62"/>
      <c r="QMP2" s="62"/>
      <c r="QMQ2" s="62"/>
      <c r="QMR2" s="62"/>
      <c r="QMS2" s="62"/>
      <c r="QMT2" s="62"/>
      <c r="QMU2" s="62"/>
      <c r="QMV2" s="62"/>
      <c r="QMW2" s="62"/>
      <c r="QMX2" s="62"/>
      <c r="QMY2" s="62"/>
      <c r="QMZ2" s="62"/>
      <c r="QNA2" s="62"/>
      <c r="QNB2" s="62"/>
      <c r="QNC2" s="62"/>
      <c r="QND2" s="62"/>
      <c r="QNE2" s="62"/>
      <c r="QNF2" s="62"/>
      <c r="QNG2" s="62"/>
      <c r="QNH2" s="62"/>
      <c r="QNI2" s="62"/>
      <c r="QNJ2" s="62"/>
      <c r="QNK2" s="62"/>
      <c r="QNL2" s="62"/>
      <c r="QNM2" s="62"/>
      <c r="QNN2" s="62"/>
      <c r="QNO2" s="62"/>
      <c r="QNP2" s="62"/>
      <c r="QNQ2" s="62"/>
      <c r="QNR2" s="62"/>
      <c r="QNS2" s="62"/>
      <c r="QNT2" s="62"/>
      <c r="QNU2" s="62"/>
      <c r="QNV2" s="62"/>
      <c r="QNW2" s="62"/>
      <c r="QNX2" s="62"/>
      <c r="QNY2" s="62"/>
      <c r="QNZ2" s="62"/>
      <c r="QOA2" s="62"/>
      <c r="QOB2" s="62"/>
      <c r="QOC2" s="62"/>
      <c r="QOD2" s="62"/>
      <c r="QOE2" s="62"/>
      <c r="QOF2" s="62"/>
      <c r="QOG2" s="62"/>
      <c r="QOH2" s="62"/>
      <c r="QOI2" s="62"/>
      <c r="QOJ2" s="62"/>
      <c r="QOK2" s="62"/>
      <c r="QOL2" s="62"/>
      <c r="QOM2" s="62"/>
      <c r="QON2" s="62"/>
      <c r="QOO2" s="62"/>
      <c r="QOP2" s="62"/>
      <c r="QOQ2" s="62"/>
      <c r="QOR2" s="62"/>
      <c r="QOS2" s="62"/>
      <c r="QOT2" s="62"/>
      <c r="QOU2" s="62"/>
      <c r="QOV2" s="62"/>
      <c r="QOW2" s="62"/>
      <c r="QOX2" s="62"/>
      <c r="QOY2" s="62"/>
      <c r="QOZ2" s="62"/>
      <c r="QPA2" s="62"/>
      <c r="QPB2" s="62"/>
      <c r="QPC2" s="62"/>
      <c r="QPD2" s="62"/>
      <c r="QPE2" s="62"/>
      <c r="QPF2" s="62"/>
      <c r="QPG2" s="62"/>
      <c r="QPH2" s="62"/>
      <c r="QPI2" s="62"/>
      <c r="QPJ2" s="62"/>
      <c r="QPK2" s="62"/>
      <c r="QPL2" s="62"/>
      <c r="QPM2" s="62"/>
      <c r="QPN2" s="62"/>
      <c r="QPO2" s="62"/>
      <c r="QPP2" s="62"/>
      <c r="QPQ2" s="62"/>
      <c r="QPR2" s="62"/>
      <c r="QPS2" s="62"/>
      <c r="QPT2" s="62"/>
      <c r="QPU2" s="62"/>
      <c r="QPV2" s="62"/>
      <c r="QPW2" s="62"/>
      <c r="QPX2" s="62"/>
      <c r="QPY2" s="62"/>
      <c r="QPZ2" s="62"/>
      <c r="QQA2" s="62"/>
      <c r="QQB2" s="62"/>
      <c r="QQC2" s="62"/>
      <c r="QQD2" s="62"/>
      <c r="QQE2" s="62"/>
      <c r="QQF2" s="62"/>
      <c r="QQG2" s="62"/>
      <c r="QQH2" s="62"/>
      <c r="QQI2" s="62"/>
      <c r="QQJ2" s="62"/>
      <c r="QQK2" s="62"/>
      <c r="QQL2" s="62"/>
      <c r="QQM2" s="62"/>
      <c r="QQN2" s="62"/>
      <c r="QQO2" s="62"/>
      <c r="QQP2" s="62"/>
      <c r="QQQ2" s="62"/>
      <c r="QQR2" s="62"/>
      <c r="QQS2" s="62"/>
      <c r="QQT2" s="62"/>
      <c r="QQU2" s="62"/>
      <c r="QQV2" s="62"/>
      <c r="QQW2" s="62"/>
      <c r="QQX2" s="62"/>
      <c r="QQY2" s="62"/>
      <c r="QQZ2" s="62"/>
      <c r="QRA2" s="62"/>
      <c r="QRB2" s="62"/>
      <c r="QRC2" s="62"/>
      <c r="QRD2" s="62"/>
      <c r="QRE2" s="62"/>
      <c r="QRF2" s="62"/>
      <c r="QRG2" s="62"/>
      <c r="QRH2" s="62"/>
      <c r="QRI2" s="62"/>
      <c r="QRJ2" s="62"/>
      <c r="QRK2" s="62"/>
      <c r="QRL2" s="62"/>
      <c r="QRM2" s="62"/>
      <c r="QRN2" s="62"/>
      <c r="QRO2" s="62"/>
      <c r="QRP2" s="62"/>
      <c r="QRQ2" s="62"/>
      <c r="QRR2" s="62"/>
      <c r="QRS2" s="62"/>
      <c r="QRT2" s="62"/>
      <c r="QRU2" s="62"/>
      <c r="QRV2" s="62"/>
      <c r="QRW2" s="62"/>
      <c r="QRX2" s="62"/>
      <c r="QRY2" s="62"/>
      <c r="QRZ2" s="62"/>
      <c r="QSA2" s="62"/>
      <c r="QSB2" s="62"/>
      <c r="QSC2" s="62"/>
      <c r="QSD2" s="62"/>
      <c r="QSE2" s="62"/>
      <c r="QSF2" s="62"/>
      <c r="QSG2" s="62"/>
      <c r="QSH2" s="62"/>
      <c r="QSI2" s="62"/>
      <c r="QSJ2" s="62"/>
      <c r="QSK2" s="62"/>
      <c r="QSL2" s="62"/>
      <c r="QSM2" s="62"/>
      <c r="QSN2" s="62"/>
      <c r="QSO2" s="62"/>
      <c r="QSP2" s="62"/>
      <c r="QSQ2" s="62"/>
      <c r="QSR2" s="62"/>
      <c r="QSS2" s="62"/>
      <c r="QST2" s="62"/>
      <c r="QSU2" s="62"/>
      <c r="QSV2" s="62"/>
      <c r="QSW2" s="62"/>
      <c r="QSX2" s="62"/>
      <c r="QSY2" s="62"/>
      <c r="QSZ2" s="62"/>
      <c r="QTA2" s="62"/>
      <c r="QTB2" s="62"/>
      <c r="QTC2" s="62"/>
      <c r="QTD2" s="62"/>
      <c r="QTE2" s="62"/>
      <c r="QTF2" s="62"/>
      <c r="QTG2" s="62"/>
      <c r="QTH2" s="62"/>
      <c r="QTI2" s="62"/>
      <c r="QTJ2" s="62"/>
      <c r="QTK2" s="62"/>
      <c r="QTL2" s="62"/>
      <c r="QTM2" s="62"/>
      <c r="QTN2" s="62"/>
      <c r="QTO2" s="62"/>
      <c r="QTP2" s="62"/>
      <c r="QTQ2" s="62"/>
      <c r="QTR2" s="62"/>
      <c r="QTS2" s="62"/>
      <c r="QTT2" s="62"/>
      <c r="QTU2" s="62"/>
      <c r="QTV2" s="62"/>
      <c r="QTW2" s="62"/>
      <c r="QTX2" s="62"/>
      <c r="QTY2" s="62"/>
      <c r="QTZ2" s="62"/>
      <c r="QUA2" s="62"/>
      <c r="QUB2" s="62"/>
      <c r="QUC2" s="62"/>
      <c r="QUD2" s="62"/>
      <c r="QUE2" s="62"/>
      <c r="QUF2" s="62"/>
      <c r="QUG2" s="62"/>
      <c r="QUH2" s="62"/>
      <c r="QUI2" s="62"/>
      <c r="QUJ2" s="62"/>
      <c r="QUK2" s="62"/>
      <c r="QUL2" s="62"/>
      <c r="QUM2" s="62"/>
      <c r="QUN2" s="62"/>
      <c r="QUO2" s="62"/>
      <c r="QUP2" s="62"/>
      <c r="QUQ2" s="62"/>
      <c r="QUR2" s="62"/>
      <c r="QUS2" s="62"/>
      <c r="QUT2" s="62"/>
      <c r="QUU2" s="62"/>
      <c r="QUV2" s="62"/>
      <c r="QUW2" s="62"/>
      <c r="QUX2" s="62"/>
      <c r="QUY2" s="62"/>
      <c r="QUZ2" s="62"/>
      <c r="QVA2" s="62"/>
      <c r="QVB2" s="62"/>
      <c r="QVC2" s="62"/>
      <c r="QVD2" s="62"/>
      <c r="QVE2" s="62"/>
      <c r="QVF2" s="62"/>
      <c r="QVG2" s="62"/>
      <c r="QVH2" s="62"/>
      <c r="QVI2" s="62"/>
      <c r="QVJ2" s="62"/>
      <c r="QVK2" s="62"/>
      <c r="QVL2" s="62"/>
      <c r="QVM2" s="62"/>
      <c r="QVN2" s="62"/>
      <c r="QVO2" s="62"/>
      <c r="QVP2" s="62"/>
      <c r="QVQ2" s="62"/>
      <c r="QVR2" s="62"/>
      <c r="QVS2" s="62"/>
      <c r="QVT2" s="62"/>
      <c r="QVU2" s="62"/>
      <c r="QVV2" s="62"/>
      <c r="QVW2" s="62"/>
      <c r="QVX2" s="62"/>
      <c r="QVY2" s="62"/>
      <c r="QVZ2" s="62"/>
      <c r="QWA2" s="62"/>
      <c r="QWB2" s="62"/>
      <c r="QWC2" s="62"/>
      <c r="QWD2" s="62"/>
      <c r="QWE2" s="62"/>
      <c r="QWF2" s="62"/>
      <c r="QWG2" s="62"/>
      <c r="QWH2" s="62"/>
      <c r="QWI2" s="62"/>
      <c r="QWJ2" s="62"/>
      <c r="QWK2" s="62"/>
      <c r="QWL2" s="62"/>
      <c r="QWM2" s="62"/>
      <c r="QWN2" s="62"/>
      <c r="QWO2" s="62"/>
      <c r="QWP2" s="62"/>
      <c r="QWQ2" s="62"/>
      <c r="QWR2" s="62"/>
      <c r="QWS2" s="62"/>
      <c r="QWT2" s="62"/>
      <c r="QWU2" s="62"/>
      <c r="QWV2" s="62"/>
      <c r="QWW2" s="62"/>
      <c r="QWX2" s="62"/>
      <c r="QWY2" s="62"/>
      <c r="QWZ2" s="62"/>
      <c r="QXA2" s="62"/>
      <c r="QXB2" s="62"/>
      <c r="QXC2" s="62"/>
      <c r="QXD2" s="62"/>
      <c r="QXE2" s="62"/>
      <c r="QXF2" s="62"/>
      <c r="QXG2" s="62"/>
      <c r="QXH2" s="62"/>
      <c r="QXI2" s="62"/>
      <c r="QXJ2" s="62"/>
      <c r="QXK2" s="62"/>
      <c r="QXL2" s="62"/>
      <c r="QXM2" s="62"/>
      <c r="QXN2" s="62"/>
      <c r="QXO2" s="62"/>
      <c r="QXP2" s="62"/>
      <c r="QXQ2" s="62"/>
      <c r="QXR2" s="62"/>
      <c r="QXS2" s="62"/>
      <c r="QXT2" s="62"/>
      <c r="QXU2" s="62"/>
      <c r="QXV2" s="62"/>
      <c r="QXW2" s="62"/>
      <c r="QXX2" s="62"/>
      <c r="QXY2" s="62"/>
      <c r="QXZ2" s="62"/>
      <c r="QYA2" s="62"/>
      <c r="QYB2" s="62"/>
      <c r="QYC2" s="62"/>
      <c r="QYD2" s="62"/>
      <c r="QYE2" s="62"/>
      <c r="QYF2" s="62"/>
      <c r="QYG2" s="62"/>
      <c r="QYH2" s="62"/>
      <c r="QYI2" s="62"/>
      <c r="QYJ2" s="62"/>
      <c r="QYK2" s="62"/>
      <c r="QYL2" s="62"/>
      <c r="QYM2" s="62"/>
      <c r="QYN2" s="62"/>
      <c r="QYO2" s="62"/>
      <c r="QYP2" s="62"/>
      <c r="QYQ2" s="62"/>
      <c r="QYR2" s="62"/>
      <c r="QYS2" s="62"/>
      <c r="QYT2" s="62"/>
      <c r="QYU2" s="62"/>
      <c r="QYV2" s="62"/>
      <c r="QYW2" s="62"/>
      <c r="QYX2" s="62"/>
      <c r="QYY2" s="62"/>
      <c r="QYZ2" s="62"/>
      <c r="QZA2" s="62"/>
      <c r="QZB2" s="62"/>
      <c r="QZC2" s="62"/>
      <c r="QZD2" s="62"/>
      <c r="QZE2" s="62"/>
      <c r="QZF2" s="62"/>
      <c r="QZG2" s="62"/>
      <c r="QZH2" s="62"/>
      <c r="QZI2" s="62"/>
      <c r="QZJ2" s="62"/>
      <c r="QZK2" s="62"/>
      <c r="QZL2" s="62"/>
      <c r="QZM2" s="62"/>
      <c r="QZN2" s="62"/>
      <c r="QZO2" s="62"/>
      <c r="QZP2" s="62"/>
      <c r="QZQ2" s="62"/>
      <c r="QZR2" s="62"/>
      <c r="QZS2" s="62"/>
      <c r="QZT2" s="62"/>
      <c r="QZU2" s="62"/>
      <c r="QZV2" s="62"/>
      <c r="QZW2" s="62"/>
      <c r="QZX2" s="62"/>
      <c r="QZY2" s="62"/>
      <c r="QZZ2" s="62"/>
      <c r="RAA2" s="62"/>
      <c r="RAB2" s="62"/>
      <c r="RAC2" s="62"/>
      <c r="RAD2" s="62"/>
      <c r="RAE2" s="62"/>
      <c r="RAF2" s="62"/>
      <c r="RAG2" s="62"/>
      <c r="RAH2" s="62"/>
      <c r="RAI2" s="62"/>
      <c r="RAJ2" s="62"/>
      <c r="RAK2" s="62"/>
      <c r="RAL2" s="62"/>
      <c r="RAM2" s="62"/>
      <c r="RAN2" s="62"/>
      <c r="RAO2" s="62"/>
      <c r="RAP2" s="62"/>
      <c r="RAQ2" s="62"/>
      <c r="RAR2" s="62"/>
      <c r="RAS2" s="62"/>
      <c r="RAT2" s="62"/>
      <c r="RAU2" s="62"/>
      <c r="RAV2" s="62"/>
      <c r="RAW2" s="62"/>
      <c r="RAX2" s="62"/>
      <c r="RAY2" s="62"/>
      <c r="RAZ2" s="62"/>
      <c r="RBA2" s="62"/>
      <c r="RBB2" s="62"/>
      <c r="RBC2" s="62"/>
      <c r="RBD2" s="62"/>
      <c r="RBE2" s="62"/>
      <c r="RBF2" s="62"/>
      <c r="RBG2" s="62"/>
      <c r="RBH2" s="62"/>
      <c r="RBI2" s="62"/>
      <c r="RBJ2" s="62"/>
      <c r="RBK2" s="62"/>
      <c r="RBL2" s="62"/>
      <c r="RBM2" s="62"/>
      <c r="RBN2" s="62"/>
      <c r="RBO2" s="62"/>
      <c r="RBP2" s="62"/>
      <c r="RBQ2" s="62"/>
      <c r="RBR2" s="62"/>
      <c r="RBS2" s="62"/>
      <c r="RBT2" s="62"/>
      <c r="RBU2" s="62"/>
      <c r="RBV2" s="62"/>
      <c r="RBW2" s="62"/>
      <c r="RBX2" s="62"/>
      <c r="RBY2" s="62"/>
      <c r="RBZ2" s="62"/>
      <c r="RCA2" s="62"/>
      <c r="RCB2" s="62"/>
      <c r="RCC2" s="62"/>
      <c r="RCD2" s="62"/>
      <c r="RCE2" s="62"/>
      <c r="RCF2" s="62"/>
      <c r="RCG2" s="62"/>
      <c r="RCH2" s="62"/>
      <c r="RCI2" s="62"/>
      <c r="RCJ2" s="62"/>
      <c r="RCK2" s="62"/>
      <c r="RCL2" s="62"/>
      <c r="RCM2" s="62"/>
      <c r="RCN2" s="62"/>
      <c r="RCO2" s="62"/>
      <c r="RCP2" s="62"/>
      <c r="RCQ2" s="62"/>
      <c r="RCR2" s="62"/>
      <c r="RCS2" s="62"/>
      <c r="RCT2" s="62"/>
      <c r="RCU2" s="62"/>
      <c r="RCV2" s="62"/>
      <c r="RCW2" s="62"/>
      <c r="RCX2" s="62"/>
      <c r="RCY2" s="62"/>
      <c r="RCZ2" s="62"/>
      <c r="RDA2" s="62"/>
      <c r="RDB2" s="62"/>
      <c r="RDC2" s="62"/>
      <c r="RDD2" s="62"/>
      <c r="RDE2" s="62"/>
      <c r="RDF2" s="62"/>
      <c r="RDG2" s="62"/>
      <c r="RDH2" s="62"/>
      <c r="RDI2" s="62"/>
      <c r="RDJ2" s="62"/>
      <c r="RDK2" s="62"/>
      <c r="RDL2" s="62"/>
      <c r="RDM2" s="62"/>
      <c r="RDN2" s="62"/>
      <c r="RDO2" s="62"/>
      <c r="RDP2" s="62"/>
      <c r="RDQ2" s="62"/>
      <c r="RDR2" s="62"/>
      <c r="RDS2" s="62"/>
      <c r="RDT2" s="62"/>
      <c r="RDU2" s="62"/>
      <c r="RDV2" s="62"/>
      <c r="RDW2" s="62"/>
      <c r="RDX2" s="62"/>
      <c r="RDY2" s="62"/>
      <c r="RDZ2" s="62"/>
      <c r="REA2" s="62"/>
      <c r="REB2" s="62"/>
      <c r="REC2" s="62"/>
      <c r="RED2" s="62"/>
      <c r="REE2" s="62"/>
      <c r="REF2" s="62"/>
      <c r="REG2" s="62"/>
      <c r="REH2" s="62"/>
      <c r="REI2" s="62"/>
      <c r="REJ2" s="62"/>
      <c r="REK2" s="62"/>
      <c r="REL2" s="62"/>
      <c r="REM2" s="62"/>
      <c r="REN2" s="62"/>
      <c r="REO2" s="62"/>
      <c r="REP2" s="62"/>
      <c r="REQ2" s="62"/>
      <c r="RER2" s="62"/>
      <c r="RES2" s="62"/>
      <c r="RET2" s="62"/>
      <c r="REU2" s="62"/>
      <c r="REV2" s="62"/>
      <c r="REW2" s="62"/>
      <c r="REX2" s="62"/>
      <c r="REY2" s="62"/>
      <c r="REZ2" s="62"/>
      <c r="RFA2" s="62"/>
      <c r="RFB2" s="62"/>
      <c r="RFC2" s="62"/>
      <c r="RFD2" s="62"/>
      <c r="RFE2" s="62"/>
      <c r="RFF2" s="62"/>
      <c r="RFG2" s="62"/>
      <c r="RFH2" s="62"/>
      <c r="RFI2" s="62"/>
      <c r="RFJ2" s="62"/>
      <c r="RFK2" s="62"/>
      <c r="RFL2" s="62"/>
      <c r="RFM2" s="62"/>
      <c r="RFN2" s="62"/>
      <c r="RFO2" s="62"/>
      <c r="RFP2" s="62"/>
      <c r="RFQ2" s="62"/>
      <c r="RFR2" s="62"/>
      <c r="RFS2" s="62"/>
      <c r="RFT2" s="62"/>
      <c r="RFU2" s="62"/>
      <c r="RFV2" s="62"/>
      <c r="RFW2" s="62"/>
      <c r="RFX2" s="62"/>
      <c r="RFY2" s="62"/>
      <c r="RFZ2" s="62"/>
      <c r="RGA2" s="62"/>
      <c r="RGB2" s="62"/>
      <c r="RGC2" s="62"/>
      <c r="RGD2" s="62"/>
      <c r="RGE2" s="62"/>
      <c r="RGF2" s="62"/>
      <c r="RGG2" s="62"/>
      <c r="RGH2" s="62"/>
      <c r="RGI2" s="62"/>
      <c r="RGJ2" s="62"/>
      <c r="RGK2" s="62"/>
      <c r="RGL2" s="62"/>
      <c r="RGM2" s="62"/>
      <c r="RGN2" s="62"/>
      <c r="RGO2" s="62"/>
      <c r="RGP2" s="62"/>
      <c r="RGQ2" s="62"/>
      <c r="RGR2" s="62"/>
      <c r="RGS2" s="62"/>
      <c r="RGT2" s="62"/>
      <c r="RGU2" s="62"/>
      <c r="RGV2" s="62"/>
      <c r="RGW2" s="62"/>
      <c r="RGX2" s="62"/>
      <c r="RGY2" s="62"/>
      <c r="RGZ2" s="62"/>
      <c r="RHA2" s="62"/>
      <c r="RHB2" s="62"/>
      <c r="RHC2" s="62"/>
      <c r="RHD2" s="62"/>
      <c r="RHE2" s="62"/>
      <c r="RHF2" s="62"/>
      <c r="RHG2" s="62"/>
      <c r="RHH2" s="62"/>
      <c r="RHI2" s="62"/>
      <c r="RHJ2" s="62"/>
      <c r="RHK2" s="62"/>
      <c r="RHL2" s="62"/>
      <c r="RHM2" s="62"/>
      <c r="RHN2" s="62"/>
      <c r="RHO2" s="62"/>
      <c r="RHP2" s="62"/>
      <c r="RHQ2" s="62"/>
      <c r="RHR2" s="62"/>
      <c r="RHS2" s="62"/>
      <c r="RHT2" s="62"/>
      <c r="RHU2" s="62"/>
      <c r="RHV2" s="62"/>
      <c r="RHW2" s="62"/>
      <c r="RHX2" s="62"/>
      <c r="RHY2" s="62"/>
      <c r="RHZ2" s="62"/>
      <c r="RIA2" s="62"/>
      <c r="RIB2" s="62"/>
      <c r="RIC2" s="62"/>
      <c r="RID2" s="62"/>
      <c r="RIE2" s="62"/>
      <c r="RIF2" s="62"/>
      <c r="RIG2" s="62"/>
      <c r="RIH2" s="62"/>
      <c r="RII2" s="62"/>
      <c r="RIJ2" s="62"/>
      <c r="RIK2" s="62"/>
      <c r="RIL2" s="62"/>
      <c r="RIM2" s="62"/>
      <c r="RIN2" s="62"/>
      <c r="RIO2" s="62"/>
      <c r="RIP2" s="62"/>
      <c r="RIQ2" s="62"/>
      <c r="RIR2" s="62"/>
      <c r="RIS2" s="62"/>
      <c r="RIT2" s="62"/>
      <c r="RIU2" s="62"/>
      <c r="RIV2" s="62"/>
      <c r="RIW2" s="62"/>
      <c r="RIX2" s="62"/>
      <c r="RIY2" s="62"/>
      <c r="RIZ2" s="62"/>
      <c r="RJA2" s="62"/>
      <c r="RJB2" s="62"/>
      <c r="RJC2" s="62"/>
      <c r="RJD2" s="62"/>
      <c r="RJE2" s="62"/>
      <c r="RJF2" s="62"/>
      <c r="RJG2" s="62"/>
      <c r="RJH2" s="62"/>
      <c r="RJI2" s="62"/>
      <c r="RJJ2" s="62"/>
      <c r="RJK2" s="62"/>
      <c r="RJL2" s="62"/>
      <c r="RJM2" s="62"/>
      <c r="RJN2" s="62"/>
      <c r="RJO2" s="62"/>
      <c r="RJP2" s="62"/>
      <c r="RJQ2" s="62"/>
      <c r="RJR2" s="62"/>
      <c r="RJS2" s="62"/>
      <c r="RJT2" s="62"/>
      <c r="RJU2" s="62"/>
      <c r="RJV2" s="62"/>
      <c r="RJW2" s="62"/>
      <c r="RJX2" s="62"/>
      <c r="RJY2" s="62"/>
      <c r="RJZ2" s="62"/>
      <c r="RKA2" s="62"/>
      <c r="RKB2" s="62"/>
      <c r="RKC2" s="62"/>
      <c r="RKD2" s="62"/>
      <c r="RKE2" s="62"/>
      <c r="RKF2" s="62"/>
      <c r="RKG2" s="62"/>
      <c r="RKH2" s="62"/>
      <c r="RKI2" s="62"/>
      <c r="RKJ2" s="62"/>
      <c r="RKK2" s="62"/>
      <c r="RKL2" s="62"/>
      <c r="RKM2" s="62"/>
      <c r="RKN2" s="62"/>
      <c r="RKO2" s="62"/>
      <c r="RKP2" s="62"/>
      <c r="RKQ2" s="62"/>
      <c r="RKR2" s="62"/>
      <c r="RKS2" s="62"/>
      <c r="RKT2" s="62"/>
      <c r="RKU2" s="62"/>
      <c r="RKV2" s="62"/>
      <c r="RKW2" s="62"/>
      <c r="RKX2" s="62"/>
      <c r="RKY2" s="62"/>
      <c r="RKZ2" s="62"/>
      <c r="RLA2" s="62"/>
      <c r="RLB2" s="62"/>
      <c r="RLC2" s="62"/>
      <c r="RLD2" s="62"/>
      <c r="RLE2" s="62"/>
      <c r="RLF2" s="62"/>
      <c r="RLG2" s="62"/>
      <c r="RLH2" s="62"/>
      <c r="RLI2" s="62"/>
      <c r="RLJ2" s="62"/>
      <c r="RLK2" s="62"/>
      <c r="RLL2" s="62"/>
      <c r="RLM2" s="62"/>
      <c r="RLN2" s="62"/>
      <c r="RLO2" s="62"/>
      <c r="RLP2" s="62"/>
      <c r="RLQ2" s="62"/>
      <c r="RLR2" s="62"/>
      <c r="RLS2" s="62"/>
      <c r="RLT2" s="62"/>
      <c r="RLU2" s="62"/>
      <c r="RLV2" s="62"/>
      <c r="RLW2" s="62"/>
      <c r="RLX2" s="62"/>
      <c r="RLY2" s="62"/>
      <c r="RLZ2" s="62"/>
      <c r="RMA2" s="62"/>
      <c r="RMB2" s="62"/>
      <c r="RMC2" s="62"/>
      <c r="RMD2" s="62"/>
      <c r="RME2" s="62"/>
      <c r="RMF2" s="62"/>
      <c r="RMG2" s="62"/>
      <c r="RMH2" s="62"/>
      <c r="RMI2" s="62"/>
      <c r="RMJ2" s="62"/>
      <c r="RMK2" s="62"/>
      <c r="RML2" s="62"/>
      <c r="RMM2" s="62"/>
      <c r="RMN2" s="62"/>
      <c r="RMO2" s="62"/>
      <c r="RMP2" s="62"/>
      <c r="RMQ2" s="62"/>
      <c r="RMR2" s="62"/>
      <c r="RMS2" s="62"/>
      <c r="RMT2" s="62"/>
      <c r="RMU2" s="62"/>
      <c r="RMV2" s="62"/>
      <c r="RMW2" s="62"/>
      <c r="RMX2" s="62"/>
      <c r="RMY2" s="62"/>
      <c r="RMZ2" s="62"/>
      <c r="RNA2" s="62"/>
      <c r="RNB2" s="62"/>
      <c r="RNC2" s="62"/>
      <c r="RND2" s="62"/>
      <c r="RNE2" s="62"/>
      <c r="RNF2" s="62"/>
      <c r="RNG2" s="62"/>
      <c r="RNH2" s="62"/>
      <c r="RNI2" s="62"/>
      <c r="RNJ2" s="62"/>
      <c r="RNK2" s="62"/>
      <c r="RNL2" s="62"/>
      <c r="RNM2" s="62"/>
      <c r="RNN2" s="62"/>
      <c r="RNO2" s="62"/>
      <c r="RNP2" s="62"/>
      <c r="RNQ2" s="62"/>
      <c r="RNR2" s="62"/>
      <c r="RNS2" s="62"/>
      <c r="RNT2" s="62"/>
      <c r="RNU2" s="62"/>
      <c r="RNV2" s="62"/>
      <c r="RNW2" s="62"/>
      <c r="RNX2" s="62"/>
      <c r="RNY2" s="62"/>
      <c r="RNZ2" s="62"/>
      <c r="ROA2" s="62"/>
      <c r="ROB2" s="62"/>
      <c r="ROC2" s="62"/>
      <c r="ROD2" s="62"/>
      <c r="ROE2" s="62"/>
      <c r="ROF2" s="62"/>
      <c r="ROG2" s="62"/>
      <c r="ROH2" s="62"/>
      <c r="ROI2" s="62"/>
      <c r="ROJ2" s="62"/>
      <c r="ROK2" s="62"/>
      <c r="ROL2" s="62"/>
      <c r="ROM2" s="62"/>
      <c r="RON2" s="62"/>
      <c r="ROO2" s="62"/>
      <c r="ROP2" s="62"/>
      <c r="ROQ2" s="62"/>
      <c r="ROR2" s="62"/>
      <c r="ROS2" s="62"/>
      <c r="ROT2" s="62"/>
      <c r="ROU2" s="62"/>
      <c r="ROV2" s="62"/>
      <c r="ROW2" s="62"/>
      <c r="ROX2" s="62"/>
      <c r="ROY2" s="62"/>
      <c r="ROZ2" s="62"/>
      <c r="RPA2" s="62"/>
      <c r="RPB2" s="62"/>
      <c r="RPC2" s="62"/>
      <c r="RPD2" s="62"/>
      <c r="RPE2" s="62"/>
      <c r="RPF2" s="62"/>
      <c r="RPG2" s="62"/>
      <c r="RPH2" s="62"/>
      <c r="RPI2" s="62"/>
      <c r="RPJ2" s="62"/>
      <c r="RPK2" s="62"/>
      <c r="RPL2" s="62"/>
      <c r="RPM2" s="62"/>
      <c r="RPN2" s="62"/>
      <c r="RPO2" s="62"/>
      <c r="RPP2" s="62"/>
      <c r="RPQ2" s="62"/>
      <c r="RPR2" s="62"/>
      <c r="RPS2" s="62"/>
      <c r="RPT2" s="62"/>
      <c r="RPU2" s="62"/>
      <c r="RPV2" s="62"/>
      <c r="RPW2" s="62"/>
      <c r="RPX2" s="62"/>
      <c r="RPY2" s="62"/>
      <c r="RPZ2" s="62"/>
      <c r="RQA2" s="62"/>
      <c r="RQB2" s="62"/>
      <c r="RQC2" s="62"/>
      <c r="RQD2" s="62"/>
      <c r="RQE2" s="62"/>
      <c r="RQF2" s="62"/>
      <c r="RQG2" s="62"/>
      <c r="RQH2" s="62"/>
      <c r="RQI2" s="62"/>
      <c r="RQJ2" s="62"/>
      <c r="RQK2" s="62"/>
      <c r="RQL2" s="62"/>
      <c r="RQM2" s="62"/>
      <c r="RQN2" s="62"/>
      <c r="RQO2" s="62"/>
      <c r="RQP2" s="62"/>
      <c r="RQQ2" s="62"/>
      <c r="RQR2" s="62"/>
      <c r="RQS2" s="62"/>
      <c r="RQT2" s="62"/>
      <c r="RQU2" s="62"/>
      <c r="RQV2" s="62"/>
      <c r="RQW2" s="62"/>
      <c r="RQX2" s="62"/>
      <c r="RQY2" s="62"/>
      <c r="RQZ2" s="62"/>
      <c r="RRA2" s="62"/>
      <c r="RRB2" s="62"/>
      <c r="RRC2" s="62"/>
      <c r="RRD2" s="62"/>
      <c r="RRE2" s="62"/>
      <c r="RRF2" s="62"/>
      <c r="RRG2" s="62"/>
      <c r="RRH2" s="62"/>
      <c r="RRI2" s="62"/>
      <c r="RRJ2" s="62"/>
      <c r="RRK2" s="62"/>
      <c r="RRL2" s="62"/>
      <c r="RRM2" s="62"/>
      <c r="RRN2" s="62"/>
      <c r="RRO2" s="62"/>
      <c r="RRP2" s="62"/>
      <c r="RRQ2" s="62"/>
      <c r="RRR2" s="62"/>
      <c r="RRS2" s="62"/>
      <c r="RRT2" s="62"/>
      <c r="RRU2" s="62"/>
      <c r="RRV2" s="62"/>
      <c r="RRW2" s="62"/>
      <c r="RRX2" s="62"/>
      <c r="RRY2" s="62"/>
      <c r="RRZ2" s="62"/>
      <c r="RSA2" s="62"/>
      <c r="RSB2" s="62"/>
      <c r="RSC2" s="62"/>
      <c r="RSD2" s="62"/>
      <c r="RSE2" s="62"/>
      <c r="RSF2" s="62"/>
      <c r="RSG2" s="62"/>
      <c r="RSH2" s="62"/>
      <c r="RSI2" s="62"/>
      <c r="RSJ2" s="62"/>
      <c r="RSK2" s="62"/>
      <c r="RSL2" s="62"/>
      <c r="RSM2" s="62"/>
      <c r="RSN2" s="62"/>
      <c r="RSO2" s="62"/>
      <c r="RSP2" s="62"/>
      <c r="RSQ2" s="62"/>
      <c r="RSR2" s="62"/>
      <c r="RSS2" s="62"/>
      <c r="RST2" s="62"/>
      <c r="RSU2" s="62"/>
      <c r="RSV2" s="62"/>
      <c r="RSW2" s="62"/>
      <c r="RSX2" s="62"/>
      <c r="RSY2" s="62"/>
      <c r="RSZ2" s="62"/>
      <c r="RTA2" s="62"/>
      <c r="RTB2" s="62"/>
      <c r="RTC2" s="62"/>
      <c r="RTD2" s="62"/>
      <c r="RTE2" s="62"/>
      <c r="RTF2" s="62"/>
      <c r="RTG2" s="62"/>
      <c r="RTH2" s="62"/>
      <c r="RTI2" s="62"/>
      <c r="RTJ2" s="62"/>
      <c r="RTK2" s="62"/>
      <c r="RTL2" s="62"/>
      <c r="RTM2" s="62"/>
      <c r="RTN2" s="62"/>
      <c r="RTO2" s="62"/>
      <c r="RTP2" s="62"/>
      <c r="RTQ2" s="62"/>
      <c r="RTR2" s="62"/>
      <c r="RTS2" s="62"/>
      <c r="RTT2" s="62"/>
      <c r="RTU2" s="62"/>
      <c r="RTV2" s="62"/>
      <c r="RTW2" s="62"/>
      <c r="RTX2" s="62"/>
      <c r="RTY2" s="62"/>
      <c r="RTZ2" s="62"/>
      <c r="RUA2" s="62"/>
      <c r="RUB2" s="62"/>
      <c r="RUC2" s="62"/>
      <c r="RUD2" s="62"/>
      <c r="RUE2" s="62"/>
      <c r="RUF2" s="62"/>
      <c r="RUG2" s="62"/>
      <c r="RUH2" s="62"/>
      <c r="RUI2" s="62"/>
      <c r="RUJ2" s="62"/>
      <c r="RUK2" s="62"/>
      <c r="RUL2" s="62"/>
      <c r="RUM2" s="62"/>
      <c r="RUN2" s="62"/>
      <c r="RUO2" s="62"/>
      <c r="RUP2" s="62"/>
      <c r="RUQ2" s="62"/>
      <c r="RUR2" s="62"/>
      <c r="RUS2" s="62"/>
      <c r="RUT2" s="62"/>
      <c r="RUU2" s="62"/>
      <c r="RUV2" s="62"/>
      <c r="RUW2" s="62"/>
      <c r="RUX2" s="62"/>
      <c r="RUY2" s="62"/>
      <c r="RUZ2" s="62"/>
      <c r="RVA2" s="62"/>
      <c r="RVB2" s="62"/>
      <c r="RVC2" s="62"/>
      <c r="RVD2" s="62"/>
      <c r="RVE2" s="62"/>
      <c r="RVF2" s="62"/>
      <c r="RVG2" s="62"/>
      <c r="RVH2" s="62"/>
      <c r="RVI2" s="62"/>
      <c r="RVJ2" s="62"/>
      <c r="RVK2" s="62"/>
      <c r="RVL2" s="62"/>
      <c r="RVM2" s="62"/>
      <c r="RVN2" s="62"/>
      <c r="RVO2" s="62"/>
      <c r="RVP2" s="62"/>
      <c r="RVQ2" s="62"/>
      <c r="RVR2" s="62"/>
      <c r="RVS2" s="62"/>
      <c r="RVT2" s="62"/>
      <c r="RVU2" s="62"/>
      <c r="RVV2" s="62"/>
      <c r="RVW2" s="62"/>
      <c r="RVX2" s="62"/>
      <c r="RVY2" s="62"/>
      <c r="RVZ2" s="62"/>
      <c r="RWA2" s="62"/>
      <c r="RWB2" s="62"/>
      <c r="RWC2" s="62"/>
      <c r="RWD2" s="62"/>
      <c r="RWE2" s="62"/>
      <c r="RWF2" s="62"/>
      <c r="RWG2" s="62"/>
      <c r="RWH2" s="62"/>
      <c r="RWI2" s="62"/>
      <c r="RWJ2" s="62"/>
      <c r="RWK2" s="62"/>
      <c r="RWL2" s="62"/>
      <c r="RWM2" s="62"/>
      <c r="RWN2" s="62"/>
      <c r="RWO2" s="62"/>
      <c r="RWP2" s="62"/>
      <c r="RWQ2" s="62"/>
      <c r="RWR2" s="62"/>
      <c r="RWS2" s="62"/>
      <c r="RWT2" s="62"/>
      <c r="RWU2" s="62"/>
      <c r="RWV2" s="62"/>
      <c r="RWW2" s="62"/>
      <c r="RWX2" s="62"/>
      <c r="RWY2" s="62"/>
      <c r="RWZ2" s="62"/>
      <c r="RXA2" s="62"/>
      <c r="RXB2" s="62"/>
      <c r="RXC2" s="62"/>
      <c r="RXD2" s="62"/>
      <c r="RXE2" s="62"/>
      <c r="RXF2" s="62"/>
      <c r="RXG2" s="62"/>
      <c r="RXH2" s="62"/>
      <c r="RXI2" s="62"/>
      <c r="RXJ2" s="62"/>
      <c r="RXK2" s="62"/>
      <c r="RXL2" s="62"/>
      <c r="RXM2" s="62"/>
      <c r="RXN2" s="62"/>
      <c r="RXO2" s="62"/>
      <c r="RXP2" s="62"/>
      <c r="RXQ2" s="62"/>
      <c r="RXR2" s="62"/>
      <c r="RXS2" s="62"/>
      <c r="RXT2" s="62"/>
      <c r="RXU2" s="62"/>
      <c r="RXV2" s="62"/>
      <c r="RXW2" s="62"/>
      <c r="RXX2" s="62"/>
      <c r="RXY2" s="62"/>
      <c r="RXZ2" s="62"/>
      <c r="RYA2" s="62"/>
      <c r="RYB2" s="62"/>
      <c r="RYC2" s="62"/>
      <c r="RYD2" s="62"/>
      <c r="RYE2" s="62"/>
      <c r="RYF2" s="62"/>
      <c r="RYG2" s="62"/>
      <c r="RYH2" s="62"/>
      <c r="RYI2" s="62"/>
      <c r="RYJ2" s="62"/>
      <c r="RYK2" s="62"/>
      <c r="RYL2" s="62"/>
      <c r="RYM2" s="62"/>
      <c r="RYN2" s="62"/>
      <c r="RYO2" s="62"/>
      <c r="RYP2" s="62"/>
      <c r="RYQ2" s="62"/>
      <c r="RYR2" s="62"/>
      <c r="RYS2" s="62"/>
      <c r="RYT2" s="62"/>
      <c r="RYU2" s="62"/>
      <c r="RYV2" s="62"/>
      <c r="RYW2" s="62"/>
      <c r="RYX2" s="62"/>
      <c r="RYY2" s="62"/>
      <c r="RYZ2" s="62"/>
      <c r="RZA2" s="62"/>
      <c r="RZB2" s="62"/>
      <c r="RZC2" s="62"/>
      <c r="RZD2" s="62"/>
      <c r="RZE2" s="62"/>
      <c r="RZF2" s="62"/>
      <c r="RZG2" s="62"/>
      <c r="RZH2" s="62"/>
      <c r="RZI2" s="62"/>
      <c r="RZJ2" s="62"/>
      <c r="RZK2" s="62"/>
      <c r="RZL2" s="62"/>
      <c r="RZM2" s="62"/>
      <c r="RZN2" s="62"/>
      <c r="RZO2" s="62"/>
      <c r="RZP2" s="62"/>
      <c r="RZQ2" s="62"/>
      <c r="RZR2" s="62"/>
      <c r="RZS2" s="62"/>
      <c r="RZT2" s="62"/>
      <c r="RZU2" s="62"/>
      <c r="RZV2" s="62"/>
      <c r="RZW2" s="62"/>
      <c r="RZX2" s="62"/>
      <c r="RZY2" s="62"/>
      <c r="RZZ2" s="62"/>
      <c r="SAA2" s="62"/>
      <c r="SAB2" s="62"/>
      <c r="SAC2" s="62"/>
      <c r="SAD2" s="62"/>
      <c r="SAE2" s="62"/>
      <c r="SAF2" s="62"/>
      <c r="SAG2" s="62"/>
      <c r="SAH2" s="62"/>
      <c r="SAI2" s="62"/>
      <c r="SAJ2" s="62"/>
      <c r="SAK2" s="62"/>
      <c r="SAL2" s="62"/>
      <c r="SAM2" s="62"/>
      <c r="SAN2" s="62"/>
      <c r="SAO2" s="62"/>
      <c r="SAP2" s="62"/>
      <c r="SAQ2" s="62"/>
      <c r="SAR2" s="62"/>
      <c r="SAS2" s="62"/>
      <c r="SAT2" s="62"/>
      <c r="SAU2" s="62"/>
      <c r="SAV2" s="62"/>
      <c r="SAW2" s="62"/>
      <c r="SAX2" s="62"/>
      <c r="SAY2" s="62"/>
      <c r="SAZ2" s="62"/>
      <c r="SBA2" s="62"/>
      <c r="SBB2" s="62"/>
      <c r="SBC2" s="62"/>
      <c r="SBD2" s="62"/>
      <c r="SBE2" s="62"/>
      <c r="SBF2" s="62"/>
      <c r="SBG2" s="62"/>
      <c r="SBH2" s="62"/>
      <c r="SBI2" s="62"/>
      <c r="SBJ2" s="62"/>
      <c r="SBK2" s="62"/>
      <c r="SBL2" s="62"/>
      <c r="SBM2" s="62"/>
      <c r="SBN2" s="62"/>
      <c r="SBO2" s="62"/>
      <c r="SBP2" s="62"/>
      <c r="SBQ2" s="62"/>
      <c r="SBR2" s="62"/>
      <c r="SBS2" s="62"/>
      <c r="SBT2" s="62"/>
      <c r="SBU2" s="62"/>
      <c r="SBV2" s="62"/>
      <c r="SBW2" s="62"/>
      <c r="SBX2" s="62"/>
      <c r="SBY2" s="62"/>
      <c r="SBZ2" s="62"/>
      <c r="SCA2" s="62"/>
      <c r="SCB2" s="62"/>
      <c r="SCC2" s="62"/>
      <c r="SCD2" s="62"/>
      <c r="SCE2" s="62"/>
      <c r="SCF2" s="62"/>
      <c r="SCG2" s="62"/>
      <c r="SCH2" s="62"/>
      <c r="SCI2" s="62"/>
      <c r="SCJ2" s="62"/>
      <c r="SCK2" s="62"/>
      <c r="SCL2" s="62"/>
      <c r="SCM2" s="62"/>
      <c r="SCN2" s="62"/>
      <c r="SCO2" s="62"/>
      <c r="SCP2" s="62"/>
      <c r="SCQ2" s="62"/>
      <c r="SCR2" s="62"/>
      <c r="SCS2" s="62"/>
      <c r="SCT2" s="62"/>
      <c r="SCU2" s="62"/>
      <c r="SCV2" s="62"/>
      <c r="SCW2" s="62"/>
      <c r="SCX2" s="62"/>
      <c r="SCY2" s="62"/>
      <c r="SCZ2" s="62"/>
      <c r="SDA2" s="62"/>
      <c r="SDB2" s="62"/>
      <c r="SDC2" s="62"/>
      <c r="SDD2" s="62"/>
      <c r="SDE2" s="62"/>
      <c r="SDF2" s="62"/>
      <c r="SDG2" s="62"/>
      <c r="SDH2" s="62"/>
      <c r="SDI2" s="62"/>
      <c r="SDJ2" s="62"/>
      <c r="SDK2" s="62"/>
      <c r="SDL2" s="62"/>
      <c r="SDM2" s="62"/>
      <c r="SDN2" s="62"/>
      <c r="SDO2" s="62"/>
      <c r="SDP2" s="62"/>
      <c r="SDQ2" s="62"/>
      <c r="SDR2" s="62"/>
      <c r="SDS2" s="62"/>
      <c r="SDT2" s="62"/>
      <c r="SDU2" s="62"/>
      <c r="SDV2" s="62"/>
      <c r="SDW2" s="62"/>
      <c r="SDX2" s="62"/>
      <c r="SDY2" s="62"/>
      <c r="SDZ2" s="62"/>
      <c r="SEA2" s="62"/>
      <c r="SEB2" s="62"/>
      <c r="SEC2" s="62"/>
      <c r="SED2" s="62"/>
      <c r="SEE2" s="62"/>
      <c r="SEF2" s="62"/>
      <c r="SEG2" s="62"/>
      <c r="SEH2" s="62"/>
      <c r="SEI2" s="62"/>
      <c r="SEJ2" s="62"/>
      <c r="SEK2" s="62"/>
      <c r="SEL2" s="62"/>
      <c r="SEM2" s="62"/>
      <c r="SEN2" s="62"/>
      <c r="SEO2" s="62"/>
      <c r="SEP2" s="62"/>
      <c r="SEQ2" s="62"/>
      <c r="SER2" s="62"/>
      <c r="SES2" s="62"/>
      <c r="SET2" s="62"/>
      <c r="SEU2" s="62"/>
      <c r="SEV2" s="62"/>
      <c r="SEW2" s="62"/>
      <c r="SEX2" s="62"/>
      <c r="SEY2" s="62"/>
      <c r="SEZ2" s="62"/>
      <c r="SFA2" s="62"/>
      <c r="SFB2" s="62"/>
      <c r="SFC2" s="62"/>
      <c r="SFD2" s="62"/>
      <c r="SFE2" s="62"/>
      <c r="SFF2" s="62"/>
      <c r="SFG2" s="62"/>
      <c r="SFH2" s="62"/>
      <c r="SFI2" s="62"/>
      <c r="SFJ2" s="62"/>
      <c r="SFK2" s="62"/>
      <c r="SFL2" s="62"/>
      <c r="SFM2" s="62"/>
      <c r="SFN2" s="62"/>
      <c r="SFO2" s="62"/>
      <c r="SFP2" s="62"/>
      <c r="SFQ2" s="62"/>
      <c r="SFR2" s="62"/>
      <c r="SFS2" s="62"/>
      <c r="SFT2" s="62"/>
      <c r="SFU2" s="62"/>
      <c r="SFV2" s="62"/>
      <c r="SFW2" s="62"/>
      <c r="SFX2" s="62"/>
      <c r="SFY2" s="62"/>
      <c r="SFZ2" s="62"/>
      <c r="SGA2" s="62"/>
      <c r="SGB2" s="62"/>
      <c r="SGC2" s="62"/>
      <c r="SGD2" s="62"/>
      <c r="SGE2" s="62"/>
      <c r="SGF2" s="62"/>
      <c r="SGG2" s="62"/>
      <c r="SGH2" s="62"/>
      <c r="SGI2" s="62"/>
      <c r="SGJ2" s="62"/>
      <c r="SGK2" s="62"/>
      <c r="SGL2" s="62"/>
      <c r="SGM2" s="62"/>
      <c r="SGN2" s="62"/>
      <c r="SGO2" s="62"/>
      <c r="SGP2" s="62"/>
      <c r="SGQ2" s="62"/>
      <c r="SGR2" s="62"/>
      <c r="SGS2" s="62"/>
      <c r="SGT2" s="62"/>
      <c r="SGU2" s="62"/>
      <c r="SGV2" s="62"/>
      <c r="SGW2" s="62"/>
      <c r="SGX2" s="62"/>
      <c r="SGY2" s="62"/>
      <c r="SGZ2" s="62"/>
      <c r="SHA2" s="62"/>
      <c r="SHB2" s="62"/>
      <c r="SHC2" s="62"/>
      <c r="SHD2" s="62"/>
      <c r="SHE2" s="62"/>
      <c r="SHF2" s="62"/>
      <c r="SHG2" s="62"/>
      <c r="SHH2" s="62"/>
      <c r="SHI2" s="62"/>
      <c r="SHJ2" s="62"/>
      <c r="SHK2" s="62"/>
      <c r="SHL2" s="62"/>
      <c r="SHM2" s="62"/>
      <c r="SHN2" s="62"/>
      <c r="SHO2" s="62"/>
      <c r="SHP2" s="62"/>
      <c r="SHQ2" s="62"/>
      <c r="SHR2" s="62"/>
      <c r="SHS2" s="62"/>
      <c r="SHT2" s="62"/>
      <c r="SHU2" s="62"/>
      <c r="SHV2" s="62"/>
      <c r="SHW2" s="62"/>
      <c r="SHX2" s="62"/>
      <c r="SHY2" s="62"/>
      <c r="SHZ2" s="62"/>
      <c r="SIA2" s="62"/>
      <c r="SIB2" s="62"/>
      <c r="SIC2" s="62"/>
      <c r="SID2" s="62"/>
      <c r="SIE2" s="62"/>
      <c r="SIF2" s="62"/>
      <c r="SIG2" s="62"/>
      <c r="SIH2" s="62"/>
      <c r="SII2" s="62"/>
      <c r="SIJ2" s="62"/>
      <c r="SIK2" s="62"/>
      <c r="SIL2" s="62"/>
      <c r="SIM2" s="62"/>
      <c r="SIN2" s="62"/>
      <c r="SIO2" s="62"/>
      <c r="SIP2" s="62"/>
      <c r="SIQ2" s="62"/>
      <c r="SIR2" s="62"/>
      <c r="SIS2" s="62"/>
      <c r="SIT2" s="62"/>
      <c r="SIU2" s="62"/>
      <c r="SIV2" s="62"/>
      <c r="SIW2" s="62"/>
      <c r="SIX2" s="62"/>
      <c r="SIY2" s="62"/>
      <c r="SIZ2" s="62"/>
      <c r="SJA2" s="62"/>
      <c r="SJB2" s="62"/>
      <c r="SJC2" s="62"/>
      <c r="SJD2" s="62"/>
      <c r="SJE2" s="62"/>
      <c r="SJF2" s="62"/>
      <c r="SJG2" s="62"/>
      <c r="SJH2" s="62"/>
      <c r="SJI2" s="62"/>
      <c r="SJJ2" s="62"/>
      <c r="SJK2" s="62"/>
      <c r="SJL2" s="62"/>
      <c r="SJM2" s="62"/>
      <c r="SJN2" s="62"/>
      <c r="SJO2" s="62"/>
      <c r="SJP2" s="62"/>
      <c r="SJQ2" s="62"/>
      <c r="SJR2" s="62"/>
      <c r="SJS2" s="62"/>
      <c r="SJT2" s="62"/>
      <c r="SJU2" s="62"/>
      <c r="SJV2" s="62"/>
      <c r="SJW2" s="62"/>
      <c r="SJX2" s="62"/>
      <c r="SJY2" s="62"/>
      <c r="SJZ2" s="62"/>
      <c r="SKA2" s="62"/>
      <c r="SKB2" s="62"/>
      <c r="SKC2" s="62"/>
      <c r="SKD2" s="62"/>
      <c r="SKE2" s="62"/>
      <c r="SKF2" s="62"/>
      <c r="SKG2" s="62"/>
      <c r="SKH2" s="62"/>
      <c r="SKI2" s="62"/>
      <c r="SKJ2" s="62"/>
      <c r="SKK2" s="62"/>
      <c r="SKL2" s="62"/>
      <c r="SKM2" s="62"/>
      <c r="SKN2" s="62"/>
      <c r="SKO2" s="62"/>
      <c r="SKP2" s="62"/>
      <c r="SKQ2" s="62"/>
      <c r="SKR2" s="62"/>
      <c r="SKS2" s="62"/>
      <c r="SKT2" s="62"/>
      <c r="SKU2" s="62"/>
      <c r="SKV2" s="62"/>
      <c r="SKW2" s="62"/>
      <c r="SKX2" s="62"/>
      <c r="SKY2" s="62"/>
      <c r="SKZ2" s="62"/>
      <c r="SLA2" s="62"/>
      <c r="SLB2" s="62"/>
      <c r="SLC2" s="62"/>
      <c r="SLD2" s="62"/>
      <c r="SLE2" s="62"/>
      <c r="SLF2" s="62"/>
      <c r="SLG2" s="62"/>
      <c r="SLH2" s="62"/>
      <c r="SLI2" s="62"/>
      <c r="SLJ2" s="62"/>
      <c r="SLK2" s="62"/>
      <c r="SLL2" s="62"/>
      <c r="SLM2" s="62"/>
      <c r="SLN2" s="62"/>
      <c r="SLO2" s="62"/>
      <c r="SLP2" s="62"/>
      <c r="SLQ2" s="62"/>
      <c r="SLR2" s="62"/>
      <c r="SLS2" s="62"/>
      <c r="SLT2" s="62"/>
      <c r="SLU2" s="62"/>
      <c r="SLV2" s="62"/>
      <c r="SLW2" s="62"/>
      <c r="SLX2" s="62"/>
      <c r="SLY2" s="62"/>
      <c r="SLZ2" s="62"/>
      <c r="SMA2" s="62"/>
      <c r="SMB2" s="62"/>
      <c r="SMC2" s="62"/>
      <c r="SMD2" s="62"/>
      <c r="SME2" s="62"/>
      <c r="SMF2" s="62"/>
      <c r="SMG2" s="62"/>
      <c r="SMH2" s="62"/>
      <c r="SMI2" s="62"/>
      <c r="SMJ2" s="62"/>
      <c r="SMK2" s="62"/>
      <c r="SML2" s="62"/>
      <c r="SMM2" s="62"/>
      <c r="SMN2" s="62"/>
      <c r="SMO2" s="62"/>
      <c r="SMP2" s="62"/>
      <c r="SMQ2" s="62"/>
      <c r="SMR2" s="62"/>
      <c r="SMS2" s="62"/>
      <c r="SMT2" s="62"/>
      <c r="SMU2" s="62"/>
      <c r="SMV2" s="62"/>
      <c r="SMW2" s="62"/>
      <c r="SMX2" s="62"/>
      <c r="SMY2" s="62"/>
      <c r="SMZ2" s="62"/>
      <c r="SNA2" s="62"/>
      <c r="SNB2" s="62"/>
      <c r="SNC2" s="62"/>
      <c r="SND2" s="62"/>
      <c r="SNE2" s="62"/>
      <c r="SNF2" s="62"/>
      <c r="SNG2" s="62"/>
      <c r="SNH2" s="62"/>
      <c r="SNI2" s="62"/>
      <c r="SNJ2" s="62"/>
      <c r="SNK2" s="62"/>
      <c r="SNL2" s="62"/>
      <c r="SNM2" s="62"/>
      <c r="SNN2" s="62"/>
      <c r="SNO2" s="62"/>
      <c r="SNP2" s="62"/>
      <c r="SNQ2" s="62"/>
      <c r="SNR2" s="62"/>
      <c r="SNS2" s="62"/>
      <c r="SNT2" s="62"/>
      <c r="SNU2" s="62"/>
      <c r="SNV2" s="62"/>
      <c r="SNW2" s="62"/>
      <c r="SNX2" s="62"/>
      <c r="SNY2" s="62"/>
      <c r="SNZ2" s="62"/>
      <c r="SOA2" s="62"/>
      <c r="SOB2" s="62"/>
      <c r="SOC2" s="62"/>
      <c r="SOD2" s="62"/>
      <c r="SOE2" s="62"/>
      <c r="SOF2" s="62"/>
      <c r="SOG2" s="62"/>
      <c r="SOH2" s="62"/>
      <c r="SOI2" s="62"/>
      <c r="SOJ2" s="62"/>
      <c r="SOK2" s="62"/>
      <c r="SOL2" s="62"/>
      <c r="SOM2" s="62"/>
      <c r="SON2" s="62"/>
      <c r="SOO2" s="62"/>
      <c r="SOP2" s="62"/>
      <c r="SOQ2" s="62"/>
      <c r="SOR2" s="62"/>
      <c r="SOS2" s="62"/>
      <c r="SOT2" s="62"/>
      <c r="SOU2" s="62"/>
      <c r="SOV2" s="62"/>
      <c r="SOW2" s="62"/>
      <c r="SOX2" s="62"/>
      <c r="SOY2" s="62"/>
      <c r="SOZ2" s="62"/>
      <c r="SPA2" s="62"/>
      <c r="SPB2" s="62"/>
      <c r="SPC2" s="62"/>
      <c r="SPD2" s="62"/>
      <c r="SPE2" s="62"/>
      <c r="SPF2" s="62"/>
      <c r="SPG2" s="62"/>
      <c r="SPH2" s="62"/>
      <c r="SPI2" s="62"/>
      <c r="SPJ2" s="62"/>
      <c r="SPK2" s="62"/>
      <c r="SPL2" s="62"/>
      <c r="SPM2" s="62"/>
      <c r="SPN2" s="62"/>
      <c r="SPO2" s="62"/>
      <c r="SPP2" s="62"/>
      <c r="SPQ2" s="62"/>
      <c r="SPR2" s="62"/>
      <c r="SPS2" s="62"/>
      <c r="SPT2" s="62"/>
      <c r="SPU2" s="62"/>
      <c r="SPV2" s="62"/>
      <c r="SPW2" s="62"/>
      <c r="SPX2" s="62"/>
      <c r="SPY2" s="62"/>
      <c r="SPZ2" s="62"/>
      <c r="SQA2" s="62"/>
      <c r="SQB2" s="62"/>
      <c r="SQC2" s="62"/>
      <c r="SQD2" s="62"/>
      <c r="SQE2" s="62"/>
      <c r="SQF2" s="62"/>
      <c r="SQG2" s="62"/>
      <c r="SQH2" s="62"/>
      <c r="SQI2" s="62"/>
      <c r="SQJ2" s="62"/>
      <c r="SQK2" s="62"/>
      <c r="SQL2" s="62"/>
      <c r="SQM2" s="62"/>
      <c r="SQN2" s="62"/>
      <c r="SQO2" s="62"/>
      <c r="SQP2" s="62"/>
      <c r="SQQ2" s="62"/>
      <c r="SQR2" s="62"/>
      <c r="SQS2" s="62"/>
      <c r="SQT2" s="62"/>
      <c r="SQU2" s="62"/>
      <c r="SQV2" s="62"/>
      <c r="SQW2" s="62"/>
      <c r="SQX2" s="62"/>
      <c r="SQY2" s="62"/>
      <c r="SQZ2" s="62"/>
      <c r="SRA2" s="62"/>
      <c r="SRB2" s="62"/>
      <c r="SRC2" s="62"/>
      <c r="SRD2" s="62"/>
      <c r="SRE2" s="62"/>
      <c r="SRF2" s="62"/>
      <c r="SRG2" s="62"/>
      <c r="SRH2" s="62"/>
      <c r="SRI2" s="62"/>
      <c r="SRJ2" s="62"/>
      <c r="SRK2" s="62"/>
      <c r="SRL2" s="62"/>
      <c r="SRM2" s="62"/>
      <c r="SRN2" s="62"/>
      <c r="SRO2" s="62"/>
      <c r="SRP2" s="62"/>
      <c r="SRQ2" s="62"/>
      <c r="SRR2" s="62"/>
      <c r="SRS2" s="62"/>
      <c r="SRT2" s="62"/>
      <c r="SRU2" s="62"/>
      <c r="SRV2" s="62"/>
      <c r="SRW2" s="62"/>
      <c r="SRX2" s="62"/>
      <c r="SRY2" s="62"/>
      <c r="SRZ2" s="62"/>
      <c r="SSA2" s="62"/>
      <c r="SSB2" s="62"/>
      <c r="SSC2" s="62"/>
      <c r="SSD2" s="62"/>
      <c r="SSE2" s="62"/>
      <c r="SSF2" s="62"/>
      <c r="SSG2" s="62"/>
      <c r="SSH2" s="62"/>
      <c r="SSI2" s="62"/>
      <c r="SSJ2" s="62"/>
      <c r="SSK2" s="62"/>
      <c r="SSL2" s="62"/>
      <c r="SSM2" s="62"/>
      <c r="SSN2" s="62"/>
      <c r="SSO2" s="62"/>
      <c r="SSP2" s="62"/>
      <c r="SSQ2" s="62"/>
      <c r="SSR2" s="62"/>
      <c r="SSS2" s="62"/>
      <c r="SST2" s="62"/>
      <c r="SSU2" s="62"/>
      <c r="SSV2" s="62"/>
      <c r="SSW2" s="62"/>
      <c r="SSX2" s="62"/>
      <c r="SSY2" s="62"/>
      <c r="SSZ2" s="62"/>
      <c r="STA2" s="62"/>
      <c r="STB2" s="62"/>
      <c r="STC2" s="62"/>
      <c r="STD2" s="62"/>
      <c r="STE2" s="62"/>
      <c r="STF2" s="62"/>
      <c r="STG2" s="62"/>
      <c r="STH2" s="62"/>
      <c r="STI2" s="62"/>
      <c r="STJ2" s="62"/>
      <c r="STK2" s="62"/>
      <c r="STL2" s="62"/>
      <c r="STM2" s="62"/>
      <c r="STN2" s="62"/>
      <c r="STO2" s="62"/>
      <c r="STP2" s="62"/>
      <c r="STQ2" s="62"/>
      <c r="STR2" s="62"/>
      <c r="STS2" s="62"/>
      <c r="STT2" s="62"/>
      <c r="STU2" s="62"/>
      <c r="STV2" s="62"/>
      <c r="STW2" s="62"/>
      <c r="STX2" s="62"/>
      <c r="STY2" s="62"/>
      <c r="STZ2" s="62"/>
      <c r="SUA2" s="62"/>
      <c r="SUB2" s="62"/>
      <c r="SUC2" s="62"/>
      <c r="SUD2" s="62"/>
      <c r="SUE2" s="62"/>
      <c r="SUF2" s="62"/>
      <c r="SUG2" s="62"/>
      <c r="SUH2" s="62"/>
      <c r="SUI2" s="62"/>
      <c r="SUJ2" s="62"/>
      <c r="SUK2" s="62"/>
      <c r="SUL2" s="62"/>
      <c r="SUM2" s="62"/>
      <c r="SUN2" s="62"/>
      <c r="SUO2" s="62"/>
      <c r="SUP2" s="62"/>
      <c r="SUQ2" s="62"/>
      <c r="SUR2" s="62"/>
      <c r="SUS2" s="62"/>
      <c r="SUT2" s="62"/>
      <c r="SUU2" s="62"/>
      <c r="SUV2" s="62"/>
      <c r="SUW2" s="62"/>
      <c r="SUX2" s="62"/>
      <c r="SUY2" s="62"/>
      <c r="SUZ2" s="62"/>
      <c r="SVA2" s="62"/>
      <c r="SVB2" s="62"/>
      <c r="SVC2" s="62"/>
      <c r="SVD2" s="62"/>
      <c r="SVE2" s="62"/>
      <c r="SVF2" s="62"/>
      <c r="SVG2" s="62"/>
      <c r="SVH2" s="62"/>
      <c r="SVI2" s="62"/>
      <c r="SVJ2" s="62"/>
      <c r="SVK2" s="62"/>
      <c r="SVL2" s="62"/>
      <c r="SVM2" s="62"/>
      <c r="SVN2" s="62"/>
      <c r="SVO2" s="62"/>
      <c r="SVP2" s="62"/>
      <c r="SVQ2" s="62"/>
      <c r="SVR2" s="62"/>
      <c r="SVS2" s="62"/>
      <c r="SVT2" s="62"/>
      <c r="SVU2" s="62"/>
      <c r="SVV2" s="62"/>
      <c r="SVW2" s="62"/>
      <c r="SVX2" s="62"/>
      <c r="SVY2" s="62"/>
      <c r="SVZ2" s="62"/>
      <c r="SWA2" s="62"/>
      <c r="SWB2" s="62"/>
      <c r="SWC2" s="62"/>
      <c r="SWD2" s="62"/>
      <c r="SWE2" s="62"/>
      <c r="SWF2" s="62"/>
      <c r="SWG2" s="62"/>
      <c r="SWH2" s="62"/>
      <c r="SWI2" s="62"/>
      <c r="SWJ2" s="62"/>
      <c r="SWK2" s="62"/>
      <c r="SWL2" s="62"/>
      <c r="SWM2" s="62"/>
      <c r="SWN2" s="62"/>
      <c r="SWO2" s="62"/>
      <c r="SWP2" s="62"/>
      <c r="SWQ2" s="62"/>
      <c r="SWR2" s="62"/>
      <c r="SWS2" s="62"/>
      <c r="SWT2" s="62"/>
      <c r="SWU2" s="62"/>
      <c r="SWV2" s="62"/>
      <c r="SWW2" s="62"/>
      <c r="SWX2" s="62"/>
      <c r="SWY2" s="62"/>
      <c r="SWZ2" s="62"/>
      <c r="SXA2" s="62"/>
      <c r="SXB2" s="62"/>
      <c r="SXC2" s="62"/>
      <c r="SXD2" s="62"/>
      <c r="SXE2" s="62"/>
      <c r="SXF2" s="62"/>
      <c r="SXG2" s="62"/>
      <c r="SXH2" s="62"/>
      <c r="SXI2" s="62"/>
      <c r="SXJ2" s="62"/>
      <c r="SXK2" s="62"/>
      <c r="SXL2" s="62"/>
      <c r="SXM2" s="62"/>
      <c r="SXN2" s="62"/>
      <c r="SXO2" s="62"/>
      <c r="SXP2" s="62"/>
      <c r="SXQ2" s="62"/>
      <c r="SXR2" s="62"/>
      <c r="SXS2" s="62"/>
      <c r="SXT2" s="62"/>
      <c r="SXU2" s="62"/>
      <c r="SXV2" s="62"/>
      <c r="SXW2" s="62"/>
      <c r="SXX2" s="62"/>
      <c r="SXY2" s="62"/>
      <c r="SXZ2" s="62"/>
      <c r="SYA2" s="62"/>
      <c r="SYB2" s="62"/>
      <c r="SYC2" s="62"/>
      <c r="SYD2" s="62"/>
      <c r="SYE2" s="62"/>
      <c r="SYF2" s="62"/>
      <c r="SYG2" s="62"/>
      <c r="SYH2" s="62"/>
      <c r="SYI2" s="62"/>
      <c r="SYJ2" s="62"/>
      <c r="SYK2" s="62"/>
      <c r="SYL2" s="62"/>
      <c r="SYM2" s="62"/>
      <c r="SYN2" s="62"/>
      <c r="SYO2" s="62"/>
      <c r="SYP2" s="62"/>
      <c r="SYQ2" s="62"/>
      <c r="SYR2" s="62"/>
      <c r="SYS2" s="62"/>
      <c r="SYT2" s="62"/>
      <c r="SYU2" s="62"/>
      <c r="SYV2" s="62"/>
      <c r="SYW2" s="62"/>
      <c r="SYX2" s="62"/>
      <c r="SYY2" s="62"/>
      <c r="SYZ2" s="62"/>
      <c r="SZA2" s="62"/>
      <c r="SZB2" s="62"/>
      <c r="SZC2" s="62"/>
      <c r="SZD2" s="62"/>
      <c r="SZE2" s="62"/>
      <c r="SZF2" s="62"/>
      <c r="SZG2" s="62"/>
      <c r="SZH2" s="62"/>
      <c r="SZI2" s="62"/>
      <c r="SZJ2" s="62"/>
      <c r="SZK2" s="62"/>
      <c r="SZL2" s="62"/>
      <c r="SZM2" s="62"/>
      <c r="SZN2" s="62"/>
      <c r="SZO2" s="62"/>
      <c r="SZP2" s="62"/>
      <c r="SZQ2" s="62"/>
      <c r="SZR2" s="62"/>
      <c r="SZS2" s="62"/>
      <c r="SZT2" s="62"/>
      <c r="SZU2" s="62"/>
      <c r="SZV2" s="62"/>
      <c r="SZW2" s="62"/>
      <c r="SZX2" s="62"/>
      <c r="SZY2" s="62"/>
      <c r="SZZ2" s="62"/>
      <c r="TAA2" s="62"/>
      <c r="TAB2" s="62"/>
      <c r="TAC2" s="62"/>
      <c r="TAD2" s="62"/>
      <c r="TAE2" s="62"/>
      <c r="TAF2" s="62"/>
      <c r="TAG2" s="62"/>
      <c r="TAH2" s="62"/>
      <c r="TAI2" s="62"/>
      <c r="TAJ2" s="62"/>
      <c r="TAK2" s="62"/>
      <c r="TAL2" s="62"/>
      <c r="TAM2" s="62"/>
      <c r="TAN2" s="62"/>
      <c r="TAO2" s="62"/>
      <c r="TAP2" s="62"/>
      <c r="TAQ2" s="62"/>
      <c r="TAR2" s="62"/>
      <c r="TAS2" s="62"/>
      <c r="TAT2" s="62"/>
      <c r="TAU2" s="62"/>
      <c r="TAV2" s="62"/>
      <c r="TAW2" s="62"/>
      <c r="TAX2" s="62"/>
      <c r="TAY2" s="62"/>
      <c r="TAZ2" s="62"/>
      <c r="TBA2" s="62"/>
      <c r="TBB2" s="62"/>
      <c r="TBC2" s="62"/>
      <c r="TBD2" s="62"/>
      <c r="TBE2" s="62"/>
      <c r="TBF2" s="62"/>
      <c r="TBG2" s="62"/>
      <c r="TBH2" s="62"/>
      <c r="TBI2" s="62"/>
      <c r="TBJ2" s="62"/>
      <c r="TBK2" s="62"/>
      <c r="TBL2" s="62"/>
      <c r="TBM2" s="62"/>
      <c r="TBN2" s="62"/>
      <c r="TBO2" s="62"/>
      <c r="TBP2" s="62"/>
      <c r="TBQ2" s="62"/>
      <c r="TBR2" s="62"/>
      <c r="TBS2" s="62"/>
      <c r="TBT2" s="62"/>
      <c r="TBU2" s="62"/>
      <c r="TBV2" s="62"/>
      <c r="TBW2" s="62"/>
      <c r="TBX2" s="62"/>
      <c r="TBY2" s="62"/>
      <c r="TBZ2" s="62"/>
      <c r="TCA2" s="62"/>
      <c r="TCB2" s="62"/>
      <c r="TCC2" s="62"/>
      <c r="TCD2" s="62"/>
      <c r="TCE2" s="62"/>
      <c r="TCF2" s="62"/>
      <c r="TCG2" s="62"/>
      <c r="TCH2" s="62"/>
      <c r="TCI2" s="62"/>
      <c r="TCJ2" s="62"/>
      <c r="TCK2" s="62"/>
      <c r="TCL2" s="62"/>
      <c r="TCM2" s="62"/>
      <c r="TCN2" s="62"/>
      <c r="TCO2" s="62"/>
      <c r="TCP2" s="62"/>
      <c r="TCQ2" s="62"/>
      <c r="TCR2" s="62"/>
      <c r="TCS2" s="62"/>
      <c r="TCT2" s="62"/>
      <c r="TCU2" s="62"/>
      <c r="TCV2" s="62"/>
      <c r="TCW2" s="62"/>
      <c r="TCX2" s="62"/>
      <c r="TCY2" s="62"/>
      <c r="TCZ2" s="62"/>
      <c r="TDA2" s="62"/>
      <c r="TDB2" s="62"/>
      <c r="TDC2" s="62"/>
      <c r="TDD2" s="62"/>
      <c r="TDE2" s="62"/>
      <c r="TDF2" s="62"/>
      <c r="TDG2" s="62"/>
      <c r="TDH2" s="62"/>
      <c r="TDI2" s="62"/>
      <c r="TDJ2" s="62"/>
      <c r="TDK2" s="62"/>
      <c r="TDL2" s="62"/>
      <c r="TDM2" s="62"/>
      <c r="TDN2" s="62"/>
      <c r="TDO2" s="62"/>
      <c r="TDP2" s="62"/>
      <c r="TDQ2" s="62"/>
      <c r="TDR2" s="62"/>
      <c r="TDS2" s="62"/>
      <c r="TDT2" s="62"/>
      <c r="TDU2" s="62"/>
      <c r="TDV2" s="62"/>
      <c r="TDW2" s="62"/>
      <c r="TDX2" s="62"/>
      <c r="TDY2" s="62"/>
      <c r="TDZ2" s="62"/>
      <c r="TEA2" s="62"/>
      <c r="TEB2" s="62"/>
      <c r="TEC2" s="62"/>
      <c r="TED2" s="62"/>
      <c r="TEE2" s="62"/>
      <c r="TEF2" s="62"/>
      <c r="TEG2" s="62"/>
      <c r="TEH2" s="62"/>
      <c r="TEI2" s="62"/>
      <c r="TEJ2" s="62"/>
      <c r="TEK2" s="62"/>
      <c r="TEL2" s="62"/>
      <c r="TEM2" s="62"/>
      <c r="TEN2" s="62"/>
      <c r="TEO2" s="62"/>
      <c r="TEP2" s="62"/>
      <c r="TEQ2" s="62"/>
      <c r="TER2" s="62"/>
      <c r="TES2" s="62"/>
      <c r="TET2" s="62"/>
      <c r="TEU2" s="62"/>
      <c r="TEV2" s="62"/>
      <c r="TEW2" s="62"/>
      <c r="TEX2" s="62"/>
      <c r="TEY2" s="62"/>
      <c r="TEZ2" s="62"/>
      <c r="TFA2" s="62"/>
      <c r="TFB2" s="62"/>
      <c r="TFC2" s="62"/>
      <c r="TFD2" s="62"/>
      <c r="TFE2" s="62"/>
      <c r="TFF2" s="62"/>
      <c r="TFG2" s="62"/>
      <c r="TFH2" s="62"/>
      <c r="TFI2" s="62"/>
      <c r="TFJ2" s="62"/>
      <c r="TFK2" s="62"/>
      <c r="TFL2" s="62"/>
      <c r="TFM2" s="62"/>
      <c r="TFN2" s="62"/>
      <c r="TFO2" s="62"/>
      <c r="TFP2" s="62"/>
      <c r="TFQ2" s="62"/>
      <c r="TFR2" s="62"/>
      <c r="TFS2" s="62"/>
      <c r="TFT2" s="62"/>
      <c r="TFU2" s="62"/>
      <c r="TFV2" s="62"/>
      <c r="TFW2" s="62"/>
      <c r="TFX2" s="62"/>
      <c r="TFY2" s="62"/>
      <c r="TFZ2" s="62"/>
      <c r="TGA2" s="62"/>
      <c r="TGB2" s="62"/>
      <c r="TGC2" s="62"/>
      <c r="TGD2" s="62"/>
      <c r="TGE2" s="62"/>
      <c r="TGF2" s="62"/>
      <c r="TGG2" s="62"/>
      <c r="TGH2" s="62"/>
      <c r="TGI2" s="62"/>
      <c r="TGJ2" s="62"/>
      <c r="TGK2" s="62"/>
      <c r="TGL2" s="62"/>
      <c r="TGM2" s="62"/>
      <c r="TGN2" s="62"/>
      <c r="TGO2" s="62"/>
      <c r="TGP2" s="62"/>
      <c r="TGQ2" s="62"/>
      <c r="TGR2" s="62"/>
      <c r="TGS2" s="62"/>
      <c r="TGT2" s="62"/>
      <c r="TGU2" s="62"/>
      <c r="TGV2" s="62"/>
      <c r="TGW2" s="62"/>
      <c r="TGX2" s="62"/>
      <c r="TGY2" s="62"/>
      <c r="TGZ2" s="62"/>
      <c r="THA2" s="62"/>
      <c r="THB2" s="62"/>
      <c r="THC2" s="62"/>
      <c r="THD2" s="62"/>
      <c r="THE2" s="62"/>
      <c r="THF2" s="62"/>
      <c r="THG2" s="62"/>
      <c r="THH2" s="62"/>
      <c r="THI2" s="62"/>
      <c r="THJ2" s="62"/>
      <c r="THK2" s="62"/>
      <c r="THL2" s="62"/>
      <c r="THM2" s="62"/>
      <c r="THN2" s="62"/>
      <c r="THO2" s="62"/>
      <c r="THP2" s="62"/>
      <c r="THQ2" s="62"/>
      <c r="THR2" s="62"/>
      <c r="THS2" s="62"/>
      <c r="THT2" s="62"/>
      <c r="THU2" s="62"/>
      <c r="THV2" s="62"/>
      <c r="THW2" s="62"/>
      <c r="THX2" s="62"/>
      <c r="THY2" s="62"/>
      <c r="THZ2" s="62"/>
      <c r="TIA2" s="62"/>
      <c r="TIB2" s="62"/>
      <c r="TIC2" s="62"/>
      <c r="TID2" s="62"/>
      <c r="TIE2" s="62"/>
      <c r="TIF2" s="62"/>
      <c r="TIG2" s="62"/>
      <c r="TIH2" s="62"/>
      <c r="TII2" s="62"/>
      <c r="TIJ2" s="62"/>
      <c r="TIK2" s="62"/>
      <c r="TIL2" s="62"/>
      <c r="TIM2" s="62"/>
      <c r="TIN2" s="62"/>
      <c r="TIO2" s="62"/>
      <c r="TIP2" s="62"/>
      <c r="TIQ2" s="62"/>
      <c r="TIR2" s="62"/>
      <c r="TIS2" s="62"/>
      <c r="TIT2" s="62"/>
      <c r="TIU2" s="62"/>
      <c r="TIV2" s="62"/>
      <c r="TIW2" s="62"/>
      <c r="TIX2" s="62"/>
      <c r="TIY2" s="62"/>
      <c r="TIZ2" s="62"/>
      <c r="TJA2" s="62"/>
      <c r="TJB2" s="62"/>
      <c r="TJC2" s="62"/>
      <c r="TJD2" s="62"/>
      <c r="TJE2" s="62"/>
      <c r="TJF2" s="62"/>
      <c r="TJG2" s="62"/>
      <c r="TJH2" s="62"/>
      <c r="TJI2" s="62"/>
      <c r="TJJ2" s="62"/>
      <c r="TJK2" s="62"/>
      <c r="TJL2" s="62"/>
      <c r="TJM2" s="62"/>
      <c r="TJN2" s="62"/>
      <c r="TJO2" s="62"/>
      <c r="TJP2" s="62"/>
      <c r="TJQ2" s="62"/>
      <c r="TJR2" s="62"/>
      <c r="TJS2" s="62"/>
      <c r="TJT2" s="62"/>
      <c r="TJU2" s="62"/>
      <c r="TJV2" s="62"/>
      <c r="TJW2" s="62"/>
      <c r="TJX2" s="62"/>
      <c r="TJY2" s="62"/>
      <c r="TJZ2" s="62"/>
      <c r="TKA2" s="62"/>
      <c r="TKB2" s="62"/>
      <c r="TKC2" s="62"/>
      <c r="TKD2" s="62"/>
      <c r="TKE2" s="62"/>
      <c r="TKF2" s="62"/>
      <c r="TKG2" s="62"/>
      <c r="TKH2" s="62"/>
      <c r="TKI2" s="62"/>
      <c r="TKJ2" s="62"/>
      <c r="TKK2" s="62"/>
      <c r="TKL2" s="62"/>
      <c r="TKM2" s="62"/>
      <c r="TKN2" s="62"/>
      <c r="TKO2" s="62"/>
      <c r="TKP2" s="62"/>
      <c r="TKQ2" s="62"/>
      <c r="TKR2" s="62"/>
      <c r="TKS2" s="62"/>
      <c r="TKT2" s="62"/>
      <c r="TKU2" s="62"/>
      <c r="TKV2" s="62"/>
      <c r="TKW2" s="62"/>
      <c r="TKX2" s="62"/>
      <c r="TKY2" s="62"/>
      <c r="TKZ2" s="62"/>
      <c r="TLA2" s="62"/>
      <c r="TLB2" s="62"/>
      <c r="TLC2" s="62"/>
      <c r="TLD2" s="62"/>
      <c r="TLE2" s="62"/>
      <c r="TLF2" s="62"/>
      <c r="TLG2" s="62"/>
      <c r="TLH2" s="62"/>
      <c r="TLI2" s="62"/>
      <c r="TLJ2" s="62"/>
      <c r="TLK2" s="62"/>
      <c r="TLL2" s="62"/>
      <c r="TLM2" s="62"/>
      <c r="TLN2" s="62"/>
      <c r="TLO2" s="62"/>
      <c r="TLP2" s="62"/>
      <c r="TLQ2" s="62"/>
      <c r="TLR2" s="62"/>
      <c r="TLS2" s="62"/>
      <c r="TLT2" s="62"/>
      <c r="TLU2" s="62"/>
      <c r="TLV2" s="62"/>
      <c r="TLW2" s="62"/>
      <c r="TLX2" s="62"/>
      <c r="TLY2" s="62"/>
      <c r="TLZ2" s="62"/>
      <c r="TMA2" s="62"/>
      <c r="TMB2" s="62"/>
      <c r="TMC2" s="62"/>
      <c r="TMD2" s="62"/>
      <c r="TME2" s="62"/>
      <c r="TMF2" s="62"/>
      <c r="TMG2" s="62"/>
      <c r="TMH2" s="62"/>
      <c r="TMI2" s="62"/>
      <c r="TMJ2" s="62"/>
      <c r="TMK2" s="62"/>
      <c r="TML2" s="62"/>
      <c r="TMM2" s="62"/>
      <c r="TMN2" s="62"/>
      <c r="TMO2" s="62"/>
      <c r="TMP2" s="62"/>
      <c r="TMQ2" s="62"/>
      <c r="TMR2" s="62"/>
      <c r="TMS2" s="62"/>
      <c r="TMT2" s="62"/>
      <c r="TMU2" s="62"/>
      <c r="TMV2" s="62"/>
      <c r="TMW2" s="62"/>
      <c r="TMX2" s="62"/>
      <c r="TMY2" s="62"/>
      <c r="TMZ2" s="62"/>
      <c r="TNA2" s="62"/>
      <c r="TNB2" s="62"/>
      <c r="TNC2" s="62"/>
      <c r="TND2" s="62"/>
      <c r="TNE2" s="62"/>
      <c r="TNF2" s="62"/>
      <c r="TNG2" s="62"/>
      <c r="TNH2" s="62"/>
      <c r="TNI2" s="62"/>
      <c r="TNJ2" s="62"/>
      <c r="TNK2" s="62"/>
      <c r="TNL2" s="62"/>
      <c r="TNM2" s="62"/>
      <c r="TNN2" s="62"/>
      <c r="TNO2" s="62"/>
      <c r="TNP2" s="62"/>
      <c r="TNQ2" s="62"/>
      <c r="TNR2" s="62"/>
      <c r="TNS2" s="62"/>
      <c r="TNT2" s="62"/>
      <c r="TNU2" s="62"/>
      <c r="TNV2" s="62"/>
      <c r="TNW2" s="62"/>
      <c r="TNX2" s="62"/>
      <c r="TNY2" s="62"/>
      <c r="TNZ2" s="62"/>
      <c r="TOA2" s="62"/>
      <c r="TOB2" s="62"/>
      <c r="TOC2" s="62"/>
      <c r="TOD2" s="62"/>
      <c r="TOE2" s="62"/>
      <c r="TOF2" s="62"/>
      <c r="TOG2" s="62"/>
      <c r="TOH2" s="62"/>
      <c r="TOI2" s="62"/>
      <c r="TOJ2" s="62"/>
      <c r="TOK2" s="62"/>
      <c r="TOL2" s="62"/>
      <c r="TOM2" s="62"/>
      <c r="TON2" s="62"/>
      <c r="TOO2" s="62"/>
      <c r="TOP2" s="62"/>
      <c r="TOQ2" s="62"/>
      <c r="TOR2" s="62"/>
      <c r="TOS2" s="62"/>
      <c r="TOT2" s="62"/>
      <c r="TOU2" s="62"/>
      <c r="TOV2" s="62"/>
      <c r="TOW2" s="62"/>
      <c r="TOX2" s="62"/>
      <c r="TOY2" s="62"/>
      <c r="TOZ2" s="62"/>
      <c r="TPA2" s="62"/>
      <c r="TPB2" s="62"/>
      <c r="TPC2" s="62"/>
      <c r="TPD2" s="62"/>
      <c r="TPE2" s="62"/>
      <c r="TPF2" s="62"/>
      <c r="TPG2" s="62"/>
      <c r="TPH2" s="62"/>
      <c r="TPI2" s="62"/>
      <c r="TPJ2" s="62"/>
      <c r="TPK2" s="62"/>
      <c r="TPL2" s="62"/>
      <c r="TPM2" s="62"/>
      <c r="TPN2" s="62"/>
      <c r="TPO2" s="62"/>
      <c r="TPP2" s="62"/>
      <c r="TPQ2" s="62"/>
      <c r="TPR2" s="62"/>
      <c r="TPS2" s="62"/>
      <c r="TPT2" s="62"/>
      <c r="TPU2" s="62"/>
      <c r="TPV2" s="62"/>
      <c r="TPW2" s="62"/>
      <c r="TPX2" s="62"/>
      <c r="TPY2" s="62"/>
      <c r="TPZ2" s="62"/>
      <c r="TQA2" s="62"/>
      <c r="TQB2" s="62"/>
      <c r="TQC2" s="62"/>
      <c r="TQD2" s="62"/>
      <c r="TQE2" s="62"/>
      <c r="TQF2" s="62"/>
      <c r="TQG2" s="62"/>
      <c r="TQH2" s="62"/>
      <c r="TQI2" s="62"/>
      <c r="TQJ2" s="62"/>
      <c r="TQK2" s="62"/>
      <c r="TQL2" s="62"/>
      <c r="TQM2" s="62"/>
      <c r="TQN2" s="62"/>
      <c r="TQO2" s="62"/>
      <c r="TQP2" s="62"/>
      <c r="TQQ2" s="62"/>
      <c r="TQR2" s="62"/>
      <c r="TQS2" s="62"/>
      <c r="TQT2" s="62"/>
      <c r="TQU2" s="62"/>
      <c r="TQV2" s="62"/>
      <c r="TQW2" s="62"/>
      <c r="TQX2" s="62"/>
      <c r="TQY2" s="62"/>
      <c r="TQZ2" s="62"/>
      <c r="TRA2" s="62"/>
      <c r="TRB2" s="62"/>
      <c r="TRC2" s="62"/>
      <c r="TRD2" s="62"/>
      <c r="TRE2" s="62"/>
      <c r="TRF2" s="62"/>
      <c r="TRG2" s="62"/>
      <c r="TRH2" s="62"/>
      <c r="TRI2" s="62"/>
      <c r="TRJ2" s="62"/>
      <c r="TRK2" s="62"/>
      <c r="TRL2" s="62"/>
      <c r="TRM2" s="62"/>
      <c r="TRN2" s="62"/>
      <c r="TRO2" s="62"/>
      <c r="TRP2" s="62"/>
      <c r="TRQ2" s="62"/>
      <c r="TRR2" s="62"/>
      <c r="TRS2" s="62"/>
      <c r="TRT2" s="62"/>
      <c r="TRU2" s="62"/>
      <c r="TRV2" s="62"/>
      <c r="TRW2" s="62"/>
      <c r="TRX2" s="62"/>
      <c r="TRY2" s="62"/>
      <c r="TRZ2" s="62"/>
      <c r="TSA2" s="62"/>
      <c r="TSB2" s="62"/>
      <c r="TSC2" s="62"/>
      <c r="TSD2" s="62"/>
      <c r="TSE2" s="62"/>
      <c r="TSF2" s="62"/>
      <c r="TSG2" s="62"/>
      <c r="TSH2" s="62"/>
      <c r="TSI2" s="62"/>
      <c r="TSJ2" s="62"/>
      <c r="TSK2" s="62"/>
      <c r="TSL2" s="62"/>
      <c r="TSM2" s="62"/>
      <c r="TSN2" s="62"/>
      <c r="TSO2" s="62"/>
      <c r="TSP2" s="62"/>
      <c r="TSQ2" s="62"/>
      <c r="TSR2" s="62"/>
      <c r="TSS2" s="62"/>
      <c r="TST2" s="62"/>
      <c r="TSU2" s="62"/>
      <c r="TSV2" s="62"/>
      <c r="TSW2" s="62"/>
      <c r="TSX2" s="62"/>
      <c r="TSY2" s="62"/>
      <c r="TSZ2" s="62"/>
      <c r="TTA2" s="62"/>
      <c r="TTB2" s="62"/>
      <c r="TTC2" s="62"/>
      <c r="TTD2" s="62"/>
      <c r="TTE2" s="62"/>
      <c r="TTF2" s="62"/>
      <c r="TTG2" s="62"/>
      <c r="TTH2" s="62"/>
      <c r="TTI2" s="62"/>
      <c r="TTJ2" s="62"/>
      <c r="TTK2" s="62"/>
      <c r="TTL2" s="62"/>
      <c r="TTM2" s="62"/>
      <c r="TTN2" s="62"/>
      <c r="TTO2" s="62"/>
      <c r="TTP2" s="62"/>
      <c r="TTQ2" s="62"/>
      <c r="TTR2" s="62"/>
      <c r="TTS2" s="62"/>
      <c r="TTT2" s="62"/>
      <c r="TTU2" s="62"/>
      <c r="TTV2" s="62"/>
      <c r="TTW2" s="62"/>
      <c r="TTX2" s="62"/>
      <c r="TTY2" s="62"/>
      <c r="TTZ2" s="62"/>
      <c r="TUA2" s="62"/>
      <c r="TUB2" s="62"/>
      <c r="TUC2" s="62"/>
      <c r="TUD2" s="62"/>
      <c r="TUE2" s="62"/>
      <c r="TUF2" s="62"/>
      <c r="TUG2" s="62"/>
      <c r="TUH2" s="62"/>
      <c r="TUI2" s="62"/>
      <c r="TUJ2" s="62"/>
      <c r="TUK2" s="62"/>
      <c r="TUL2" s="62"/>
      <c r="TUM2" s="62"/>
      <c r="TUN2" s="62"/>
      <c r="TUO2" s="62"/>
      <c r="TUP2" s="62"/>
      <c r="TUQ2" s="62"/>
      <c r="TUR2" s="62"/>
      <c r="TUS2" s="62"/>
      <c r="TUT2" s="62"/>
      <c r="TUU2" s="62"/>
      <c r="TUV2" s="62"/>
      <c r="TUW2" s="62"/>
      <c r="TUX2" s="62"/>
      <c r="TUY2" s="62"/>
      <c r="TUZ2" s="62"/>
      <c r="TVA2" s="62"/>
      <c r="TVB2" s="62"/>
      <c r="TVC2" s="62"/>
      <c r="TVD2" s="62"/>
      <c r="TVE2" s="62"/>
      <c r="TVF2" s="62"/>
      <c r="TVG2" s="62"/>
      <c r="TVH2" s="62"/>
      <c r="TVI2" s="62"/>
      <c r="TVJ2" s="62"/>
      <c r="TVK2" s="62"/>
      <c r="TVL2" s="62"/>
      <c r="TVM2" s="62"/>
      <c r="TVN2" s="62"/>
      <c r="TVO2" s="62"/>
      <c r="TVP2" s="62"/>
      <c r="TVQ2" s="62"/>
      <c r="TVR2" s="62"/>
      <c r="TVS2" s="62"/>
      <c r="TVT2" s="62"/>
      <c r="TVU2" s="62"/>
      <c r="TVV2" s="62"/>
      <c r="TVW2" s="62"/>
      <c r="TVX2" s="62"/>
      <c r="TVY2" s="62"/>
      <c r="TVZ2" s="62"/>
      <c r="TWA2" s="62"/>
      <c r="TWB2" s="62"/>
      <c r="TWC2" s="62"/>
      <c r="TWD2" s="62"/>
      <c r="TWE2" s="62"/>
      <c r="TWF2" s="62"/>
      <c r="TWG2" s="62"/>
      <c r="TWH2" s="62"/>
      <c r="TWI2" s="62"/>
      <c r="TWJ2" s="62"/>
      <c r="TWK2" s="62"/>
      <c r="TWL2" s="62"/>
      <c r="TWM2" s="62"/>
      <c r="TWN2" s="62"/>
      <c r="TWO2" s="62"/>
      <c r="TWP2" s="62"/>
      <c r="TWQ2" s="62"/>
      <c r="TWR2" s="62"/>
      <c r="TWS2" s="62"/>
      <c r="TWT2" s="62"/>
      <c r="TWU2" s="62"/>
      <c r="TWV2" s="62"/>
      <c r="TWW2" s="62"/>
      <c r="TWX2" s="62"/>
      <c r="TWY2" s="62"/>
      <c r="TWZ2" s="62"/>
      <c r="TXA2" s="62"/>
      <c r="TXB2" s="62"/>
      <c r="TXC2" s="62"/>
      <c r="TXD2" s="62"/>
      <c r="TXE2" s="62"/>
      <c r="TXF2" s="62"/>
      <c r="TXG2" s="62"/>
      <c r="TXH2" s="62"/>
      <c r="TXI2" s="62"/>
      <c r="TXJ2" s="62"/>
      <c r="TXK2" s="62"/>
      <c r="TXL2" s="62"/>
      <c r="TXM2" s="62"/>
      <c r="TXN2" s="62"/>
      <c r="TXO2" s="62"/>
      <c r="TXP2" s="62"/>
      <c r="TXQ2" s="62"/>
      <c r="TXR2" s="62"/>
      <c r="TXS2" s="62"/>
      <c r="TXT2" s="62"/>
      <c r="TXU2" s="62"/>
      <c r="TXV2" s="62"/>
      <c r="TXW2" s="62"/>
      <c r="TXX2" s="62"/>
      <c r="TXY2" s="62"/>
      <c r="TXZ2" s="62"/>
      <c r="TYA2" s="62"/>
      <c r="TYB2" s="62"/>
      <c r="TYC2" s="62"/>
      <c r="TYD2" s="62"/>
      <c r="TYE2" s="62"/>
      <c r="TYF2" s="62"/>
      <c r="TYG2" s="62"/>
      <c r="TYH2" s="62"/>
      <c r="TYI2" s="62"/>
      <c r="TYJ2" s="62"/>
      <c r="TYK2" s="62"/>
      <c r="TYL2" s="62"/>
      <c r="TYM2" s="62"/>
      <c r="TYN2" s="62"/>
      <c r="TYO2" s="62"/>
      <c r="TYP2" s="62"/>
      <c r="TYQ2" s="62"/>
      <c r="TYR2" s="62"/>
      <c r="TYS2" s="62"/>
      <c r="TYT2" s="62"/>
      <c r="TYU2" s="62"/>
      <c r="TYV2" s="62"/>
      <c r="TYW2" s="62"/>
      <c r="TYX2" s="62"/>
      <c r="TYY2" s="62"/>
      <c r="TYZ2" s="62"/>
      <c r="TZA2" s="62"/>
      <c r="TZB2" s="62"/>
      <c r="TZC2" s="62"/>
      <c r="TZD2" s="62"/>
      <c r="TZE2" s="62"/>
      <c r="TZF2" s="62"/>
      <c r="TZG2" s="62"/>
      <c r="TZH2" s="62"/>
      <c r="TZI2" s="62"/>
      <c r="TZJ2" s="62"/>
      <c r="TZK2" s="62"/>
      <c r="TZL2" s="62"/>
      <c r="TZM2" s="62"/>
      <c r="TZN2" s="62"/>
      <c r="TZO2" s="62"/>
      <c r="TZP2" s="62"/>
      <c r="TZQ2" s="62"/>
      <c r="TZR2" s="62"/>
      <c r="TZS2" s="62"/>
      <c r="TZT2" s="62"/>
      <c r="TZU2" s="62"/>
      <c r="TZV2" s="62"/>
      <c r="TZW2" s="62"/>
      <c r="TZX2" s="62"/>
      <c r="TZY2" s="62"/>
      <c r="TZZ2" s="62"/>
      <c r="UAA2" s="62"/>
      <c r="UAB2" s="62"/>
      <c r="UAC2" s="62"/>
      <c r="UAD2" s="62"/>
      <c r="UAE2" s="62"/>
      <c r="UAF2" s="62"/>
      <c r="UAG2" s="62"/>
      <c r="UAH2" s="62"/>
      <c r="UAI2" s="62"/>
      <c r="UAJ2" s="62"/>
      <c r="UAK2" s="62"/>
      <c r="UAL2" s="62"/>
      <c r="UAM2" s="62"/>
      <c r="UAN2" s="62"/>
      <c r="UAO2" s="62"/>
      <c r="UAP2" s="62"/>
      <c r="UAQ2" s="62"/>
      <c r="UAR2" s="62"/>
      <c r="UAS2" s="62"/>
      <c r="UAT2" s="62"/>
      <c r="UAU2" s="62"/>
      <c r="UAV2" s="62"/>
      <c r="UAW2" s="62"/>
      <c r="UAX2" s="62"/>
      <c r="UAY2" s="62"/>
      <c r="UAZ2" s="62"/>
      <c r="UBA2" s="62"/>
      <c r="UBB2" s="62"/>
      <c r="UBC2" s="62"/>
      <c r="UBD2" s="62"/>
      <c r="UBE2" s="62"/>
      <c r="UBF2" s="62"/>
      <c r="UBG2" s="62"/>
      <c r="UBH2" s="62"/>
      <c r="UBI2" s="62"/>
      <c r="UBJ2" s="62"/>
      <c r="UBK2" s="62"/>
      <c r="UBL2" s="62"/>
      <c r="UBM2" s="62"/>
      <c r="UBN2" s="62"/>
      <c r="UBO2" s="62"/>
      <c r="UBP2" s="62"/>
      <c r="UBQ2" s="62"/>
      <c r="UBR2" s="62"/>
      <c r="UBS2" s="62"/>
      <c r="UBT2" s="62"/>
      <c r="UBU2" s="62"/>
      <c r="UBV2" s="62"/>
      <c r="UBW2" s="62"/>
      <c r="UBX2" s="62"/>
      <c r="UBY2" s="62"/>
      <c r="UBZ2" s="62"/>
      <c r="UCA2" s="62"/>
      <c r="UCB2" s="62"/>
      <c r="UCC2" s="62"/>
      <c r="UCD2" s="62"/>
      <c r="UCE2" s="62"/>
      <c r="UCF2" s="62"/>
      <c r="UCG2" s="62"/>
      <c r="UCH2" s="62"/>
      <c r="UCI2" s="62"/>
      <c r="UCJ2" s="62"/>
      <c r="UCK2" s="62"/>
      <c r="UCL2" s="62"/>
      <c r="UCM2" s="62"/>
      <c r="UCN2" s="62"/>
      <c r="UCO2" s="62"/>
      <c r="UCP2" s="62"/>
      <c r="UCQ2" s="62"/>
      <c r="UCR2" s="62"/>
      <c r="UCS2" s="62"/>
      <c r="UCT2" s="62"/>
      <c r="UCU2" s="62"/>
      <c r="UCV2" s="62"/>
      <c r="UCW2" s="62"/>
      <c r="UCX2" s="62"/>
      <c r="UCY2" s="62"/>
      <c r="UCZ2" s="62"/>
      <c r="UDA2" s="62"/>
      <c r="UDB2" s="62"/>
      <c r="UDC2" s="62"/>
      <c r="UDD2" s="62"/>
      <c r="UDE2" s="62"/>
      <c r="UDF2" s="62"/>
      <c r="UDG2" s="62"/>
      <c r="UDH2" s="62"/>
      <c r="UDI2" s="62"/>
      <c r="UDJ2" s="62"/>
      <c r="UDK2" s="62"/>
      <c r="UDL2" s="62"/>
      <c r="UDM2" s="62"/>
      <c r="UDN2" s="62"/>
      <c r="UDO2" s="62"/>
      <c r="UDP2" s="62"/>
      <c r="UDQ2" s="62"/>
      <c r="UDR2" s="62"/>
      <c r="UDS2" s="62"/>
      <c r="UDT2" s="62"/>
      <c r="UDU2" s="62"/>
      <c r="UDV2" s="62"/>
      <c r="UDW2" s="62"/>
      <c r="UDX2" s="62"/>
      <c r="UDY2" s="62"/>
      <c r="UDZ2" s="62"/>
      <c r="UEA2" s="62"/>
      <c r="UEB2" s="62"/>
      <c r="UEC2" s="62"/>
      <c r="UED2" s="62"/>
      <c r="UEE2" s="62"/>
      <c r="UEF2" s="62"/>
      <c r="UEG2" s="62"/>
      <c r="UEH2" s="62"/>
      <c r="UEI2" s="62"/>
      <c r="UEJ2" s="62"/>
      <c r="UEK2" s="62"/>
      <c r="UEL2" s="62"/>
      <c r="UEM2" s="62"/>
      <c r="UEN2" s="62"/>
      <c r="UEO2" s="62"/>
      <c r="UEP2" s="62"/>
      <c r="UEQ2" s="62"/>
      <c r="UER2" s="62"/>
      <c r="UES2" s="62"/>
      <c r="UET2" s="62"/>
      <c r="UEU2" s="62"/>
      <c r="UEV2" s="62"/>
      <c r="UEW2" s="62"/>
      <c r="UEX2" s="62"/>
      <c r="UEY2" s="62"/>
      <c r="UEZ2" s="62"/>
      <c r="UFA2" s="62"/>
      <c r="UFB2" s="62"/>
      <c r="UFC2" s="62"/>
      <c r="UFD2" s="62"/>
      <c r="UFE2" s="62"/>
      <c r="UFF2" s="62"/>
      <c r="UFG2" s="62"/>
      <c r="UFH2" s="62"/>
      <c r="UFI2" s="62"/>
      <c r="UFJ2" s="62"/>
      <c r="UFK2" s="62"/>
      <c r="UFL2" s="62"/>
      <c r="UFM2" s="62"/>
      <c r="UFN2" s="62"/>
      <c r="UFO2" s="62"/>
      <c r="UFP2" s="62"/>
      <c r="UFQ2" s="62"/>
      <c r="UFR2" s="62"/>
      <c r="UFS2" s="62"/>
      <c r="UFT2" s="62"/>
      <c r="UFU2" s="62"/>
      <c r="UFV2" s="62"/>
      <c r="UFW2" s="62"/>
      <c r="UFX2" s="62"/>
      <c r="UFY2" s="62"/>
      <c r="UFZ2" s="62"/>
      <c r="UGA2" s="62"/>
      <c r="UGB2" s="62"/>
      <c r="UGC2" s="62"/>
      <c r="UGD2" s="62"/>
      <c r="UGE2" s="62"/>
      <c r="UGF2" s="62"/>
      <c r="UGG2" s="62"/>
      <c r="UGH2" s="62"/>
      <c r="UGI2" s="62"/>
      <c r="UGJ2" s="62"/>
      <c r="UGK2" s="62"/>
      <c r="UGL2" s="62"/>
      <c r="UGM2" s="62"/>
      <c r="UGN2" s="62"/>
      <c r="UGO2" s="62"/>
      <c r="UGP2" s="62"/>
      <c r="UGQ2" s="62"/>
      <c r="UGR2" s="62"/>
      <c r="UGS2" s="62"/>
      <c r="UGT2" s="62"/>
      <c r="UGU2" s="62"/>
      <c r="UGV2" s="62"/>
      <c r="UGW2" s="62"/>
      <c r="UGX2" s="62"/>
      <c r="UGY2" s="62"/>
      <c r="UGZ2" s="62"/>
      <c r="UHA2" s="62"/>
      <c r="UHB2" s="62"/>
      <c r="UHC2" s="62"/>
      <c r="UHD2" s="62"/>
      <c r="UHE2" s="62"/>
      <c r="UHF2" s="62"/>
      <c r="UHG2" s="62"/>
      <c r="UHH2" s="62"/>
      <c r="UHI2" s="62"/>
      <c r="UHJ2" s="62"/>
      <c r="UHK2" s="62"/>
      <c r="UHL2" s="62"/>
      <c r="UHM2" s="62"/>
      <c r="UHN2" s="62"/>
      <c r="UHO2" s="62"/>
      <c r="UHP2" s="62"/>
      <c r="UHQ2" s="62"/>
      <c r="UHR2" s="62"/>
      <c r="UHS2" s="62"/>
      <c r="UHT2" s="62"/>
      <c r="UHU2" s="62"/>
      <c r="UHV2" s="62"/>
      <c r="UHW2" s="62"/>
      <c r="UHX2" s="62"/>
      <c r="UHY2" s="62"/>
      <c r="UHZ2" s="62"/>
      <c r="UIA2" s="62"/>
      <c r="UIB2" s="62"/>
      <c r="UIC2" s="62"/>
      <c r="UID2" s="62"/>
      <c r="UIE2" s="62"/>
      <c r="UIF2" s="62"/>
      <c r="UIG2" s="62"/>
      <c r="UIH2" s="62"/>
      <c r="UII2" s="62"/>
      <c r="UIJ2" s="62"/>
      <c r="UIK2" s="62"/>
      <c r="UIL2" s="62"/>
      <c r="UIM2" s="62"/>
      <c r="UIN2" s="62"/>
      <c r="UIO2" s="62"/>
      <c r="UIP2" s="62"/>
      <c r="UIQ2" s="62"/>
      <c r="UIR2" s="62"/>
      <c r="UIS2" s="62"/>
      <c r="UIT2" s="62"/>
      <c r="UIU2" s="62"/>
      <c r="UIV2" s="62"/>
      <c r="UIW2" s="62"/>
      <c r="UIX2" s="62"/>
      <c r="UIY2" s="62"/>
      <c r="UIZ2" s="62"/>
      <c r="UJA2" s="62"/>
      <c r="UJB2" s="62"/>
      <c r="UJC2" s="62"/>
      <c r="UJD2" s="62"/>
      <c r="UJE2" s="62"/>
      <c r="UJF2" s="62"/>
      <c r="UJG2" s="62"/>
      <c r="UJH2" s="62"/>
      <c r="UJI2" s="62"/>
      <c r="UJJ2" s="62"/>
      <c r="UJK2" s="62"/>
      <c r="UJL2" s="62"/>
      <c r="UJM2" s="62"/>
      <c r="UJN2" s="62"/>
      <c r="UJO2" s="62"/>
      <c r="UJP2" s="62"/>
      <c r="UJQ2" s="62"/>
      <c r="UJR2" s="62"/>
      <c r="UJS2" s="62"/>
      <c r="UJT2" s="62"/>
      <c r="UJU2" s="62"/>
      <c r="UJV2" s="62"/>
      <c r="UJW2" s="62"/>
      <c r="UJX2" s="62"/>
      <c r="UJY2" s="62"/>
      <c r="UJZ2" s="62"/>
      <c r="UKA2" s="62"/>
      <c r="UKB2" s="62"/>
      <c r="UKC2" s="62"/>
      <c r="UKD2" s="62"/>
      <c r="UKE2" s="62"/>
      <c r="UKF2" s="62"/>
      <c r="UKG2" s="62"/>
      <c r="UKH2" s="62"/>
      <c r="UKI2" s="62"/>
      <c r="UKJ2" s="62"/>
      <c r="UKK2" s="62"/>
      <c r="UKL2" s="62"/>
      <c r="UKM2" s="62"/>
      <c r="UKN2" s="62"/>
      <c r="UKO2" s="62"/>
      <c r="UKP2" s="62"/>
      <c r="UKQ2" s="62"/>
      <c r="UKR2" s="62"/>
      <c r="UKS2" s="62"/>
      <c r="UKT2" s="62"/>
      <c r="UKU2" s="62"/>
      <c r="UKV2" s="62"/>
      <c r="UKW2" s="62"/>
      <c r="UKX2" s="62"/>
      <c r="UKY2" s="62"/>
      <c r="UKZ2" s="62"/>
      <c r="ULA2" s="62"/>
      <c r="ULB2" s="62"/>
      <c r="ULC2" s="62"/>
      <c r="ULD2" s="62"/>
      <c r="ULE2" s="62"/>
      <c r="ULF2" s="62"/>
      <c r="ULG2" s="62"/>
      <c r="ULH2" s="62"/>
      <c r="ULI2" s="62"/>
      <c r="ULJ2" s="62"/>
      <c r="ULK2" s="62"/>
      <c r="ULL2" s="62"/>
      <c r="ULM2" s="62"/>
      <c r="ULN2" s="62"/>
      <c r="ULO2" s="62"/>
      <c r="ULP2" s="62"/>
      <c r="ULQ2" s="62"/>
      <c r="ULR2" s="62"/>
      <c r="ULS2" s="62"/>
      <c r="ULT2" s="62"/>
      <c r="ULU2" s="62"/>
      <c r="ULV2" s="62"/>
      <c r="ULW2" s="62"/>
      <c r="ULX2" s="62"/>
      <c r="ULY2" s="62"/>
      <c r="ULZ2" s="62"/>
      <c r="UMA2" s="62"/>
      <c r="UMB2" s="62"/>
      <c r="UMC2" s="62"/>
      <c r="UMD2" s="62"/>
      <c r="UME2" s="62"/>
      <c r="UMF2" s="62"/>
      <c r="UMG2" s="62"/>
      <c r="UMH2" s="62"/>
      <c r="UMI2" s="62"/>
      <c r="UMJ2" s="62"/>
      <c r="UMK2" s="62"/>
      <c r="UML2" s="62"/>
      <c r="UMM2" s="62"/>
      <c r="UMN2" s="62"/>
      <c r="UMO2" s="62"/>
      <c r="UMP2" s="62"/>
      <c r="UMQ2" s="62"/>
      <c r="UMR2" s="62"/>
      <c r="UMS2" s="62"/>
      <c r="UMT2" s="62"/>
      <c r="UMU2" s="62"/>
      <c r="UMV2" s="62"/>
      <c r="UMW2" s="62"/>
      <c r="UMX2" s="62"/>
      <c r="UMY2" s="62"/>
      <c r="UMZ2" s="62"/>
      <c r="UNA2" s="62"/>
      <c r="UNB2" s="62"/>
      <c r="UNC2" s="62"/>
      <c r="UND2" s="62"/>
      <c r="UNE2" s="62"/>
      <c r="UNF2" s="62"/>
      <c r="UNG2" s="62"/>
      <c r="UNH2" s="62"/>
      <c r="UNI2" s="62"/>
      <c r="UNJ2" s="62"/>
      <c r="UNK2" s="62"/>
      <c r="UNL2" s="62"/>
      <c r="UNM2" s="62"/>
      <c r="UNN2" s="62"/>
      <c r="UNO2" s="62"/>
      <c r="UNP2" s="62"/>
      <c r="UNQ2" s="62"/>
      <c r="UNR2" s="62"/>
      <c r="UNS2" s="62"/>
      <c r="UNT2" s="62"/>
      <c r="UNU2" s="62"/>
      <c r="UNV2" s="62"/>
      <c r="UNW2" s="62"/>
      <c r="UNX2" s="62"/>
      <c r="UNY2" s="62"/>
      <c r="UNZ2" s="62"/>
      <c r="UOA2" s="62"/>
      <c r="UOB2" s="62"/>
      <c r="UOC2" s="62"/>
      <c r="UOD2" s="62"/>
      <c r="UOE2" s="62"/>
      <c r="UOF2" s="62"/>
      <c r="UOG2" s="62"/>
      <c r="UOH2" s="62"/>
      <c r="UOI2" s="62"/>
      <c r="UOJ2" s="62"/>
      <c r="UOK2" s="62"/>
      <c r="UOL2" s="62"/>
      <c r="UOM2" s="62"/>
      <c r="UON2" s="62"/>
      <c r="UOO2" s="62"/>
      <c r="UOP2" s="62"/>
      <c r="UOQ2" s="62"/>
      <c r="UOR2" s="62"/>
      <c r="UOS2" s="62"/>
      <c r="UOT2" s="62"/>
      <c r="UOU2" s="62"/>
      <c r="UOV2" s="62"/>
      <c r="UOW2" s="62"/>
      <c r="UOX2" s="62"/>
      <c r="UOY2" s="62"/>
      <c r="UOZ2" s="62"/>
      <c r="UPA2" s="62"/>
      <c r="UPB2" s="62"/>
      <c r="UPC2" s="62"/>
      <c r="UPD2" s="62"/>
      <c r="UPE2" s="62"/>
      <c r="UPF2" s="62"/>
      <c r="UPG2" s="62"/>
      <c r="UPH2" s="62"/>
      <c r="UPI2" s="62"/>
      <c r="UPJ2" s="62"/>
      <c r="UPK2" s="62"/>
      <c r="UPL2" s="62"/>
      <c r="UPM2" s="62"/>
      <c r="UPN2" s="62"/>
      <c r="UPO2" s="62"/>
      <c r="UPP2" s="62"/>
      <c r="UPQ2" s="62"/>
      <c r="UPR2" s="62"/>
      <c r="UPS2" s="62"/>
      <c r="UPT2" s="62"/>
      <c r="UPU2" s="62"/>
      <c r="UPV2" s="62"/>
      <c r="UPW2" s="62"/>
      <c r="UPX2" s="62"/>
      <c r="UPY2" s="62"/>
      <c r="UPZ2" s="62"/>
      <c r="UQA2" s="62"/>
      <c r="UQB2" s="62"/>
      <c r="UQC2" s="62"/>
      <c r="UQD2" s="62"/>
      <c r="UQE2" s="62"/>
      <c r="UQF2" s="62"/>
      <c r="UQG2" s="62"/>
      <c r="UQH2" s="62"/>
      <c r="UQI2" s="62"/>
      <c r="UQJ2" s="62"/>
      <c r="UQK2" s="62"/>
      <c r="UQL2" s="62"/>
      <c r="UQM2" s="62"/>
      <c r="UQN2" s="62"/>
      <c r="UQO2" s="62"/>
      <c r="UQP2" s="62"/>
      <c r="UQQ2" s="62"/>
      <c r="UQR2" s="62"/>
      <c r="UQS2" s="62"/>
      <c r="UQT2" s="62"/>
      <c r="UQU2" s="62"/>
      <c r="UQV2" s="62"/>
      <c r="UQW2" s="62"/>
      <c r="UQX2" s="62"/>
      <c r="UQY2" s="62"/>
      <c r="UQZ2" s="62"/>
      <c r="URA2" s="62"/>
      <c r="URB2" s="62"/>
      <c r="URC2" s="62"/>
      <c r="URD2" s="62"/>
      <c r="URE2" s="62"/>
      <c r="URF2" s="62"/>
      <c r="URG2" s="62"/>
      <c r="URH2" s="62"/>
      <c r="URI2" s="62"/>
      <c r="URJ2" s="62"/>
      <c r="URK2" s="62"/>
      <c r="URL2" s="62"/>
      <c r="URM2" s="62"/>
      <c r="URN2" s="62"/>
      <c r="URO2" s="62"/>
      <c r="URP2" s="62"/>
      <c r="URQ2" s="62"/>
      <c r="URR2" s="62"/>
      <c r="URS2" s="62"/>
      <c r="URT2" s="62"/>
      <c r="URU2" s="62"/>
      <c r="URV2" s="62"/>
      <c r="URW2" s="62"/>
      <c r="URX2" s="62"/>
      <c r="URY2" s="62"/>
      <c r="URZ2" s="62"/>
      <c r="USA2" s="62"/>
      <c r="USB2" s="62"/>
      <c r="USC2" s="62"/>
      <c r="USD2" s="62"/>
      <c r="USE2" s="62"/>
      <c r="USF2" s="62"/>
      <c r="USG2" s="62"/>
      <c r="USH2" s="62"/>
      <c r="USI2" s="62"/>
      <c r="USJ2" s="62"/>
      <c r="USK2" s="62"/>
      <c r="USL2" s="62"/>
      <c r="USM2" s="62"/>
      <c r="USN2" s="62"/>
      <c r="USO2" s="62"/>
      <c r="USP2" s="62"/>
      <c r="USQ2" s="62"/>
      <c r="USR2" s="62"/>
      <c r="USS2" s="62"/>
      <c r="UST2" s="62"/>
      <c r="USU2" s="62"/>
      <c r="USV2" s="62"/>
      <c r="USW2" s="62"/>
      <c r="USX2" s="62"/>
      <c r="USY2" s="62"/>
      <c r="USZ2" s="62"/>
      <c r="UTA2" s="62"/>
      <c r="UTB2" s="62"/>
      <c r="UTC2" s="62"/>
      <c r="UTD2" s="62"/>
      <c r="UTE2" s="62"/>
      <c r="UTF2" s="62"/>
      <c r="UTG2" s="62"/>
      <c r="UTH2" s="62"/>
      <c r="UTI2" s="62"/>
      <c r="UTJ2" s="62"/>
      <c r="UTK2" s="62"/>
      <c r="UTL2" s="62"/>
      <c r="UTM2" s="62"/>
      <c r="UTN2" s="62"/>
      <c r="UTO2" s="62"/>
      <c r="UTP2" s="62"/>
      <c r="UTQ2" s="62"/>
      <c r="UTR2" s="62"/>
      <c r="UTS2" s="62"/>
      <c r="UTT2" s="62"/>
      <c r="UTU2" s="62"/>
      <c r="UTV2" s="62"/>
      <c r="UTW2" s="62"/>
      <c r="UTX2" s="62"/>
      <c r="UTY2" s="62"/>
      <c r="UTZ2" s="62"/>
      <c r="UUA2" s="62"/>
      <c r="UUB2" s="62"/>
      <c r="UUC2" s="62"/>
      <c r="UUD2" s="62"/>
      <c r="UUE2" s="62"/>
      <c r="UUF2" s="62"/>
      <c r="UUG2" s="62"/>
      <c r="UUH2" s="62"/>
      <c r="UUI2" s="62"/>
      <c r="UUJ2" s="62"/>
      <c r="UUK2" s="62"/>
      <c r="UUL2" s="62"/>
      <c r="UUM2" s="62"/>
      <c r="UUN2" s="62"/>
      <c r="UUO2" s="62"/>
      <c r="UUP2" s="62"/>
      <c r="UUQ2" s="62"/>
      <c r="UUR2" s="62"/>
      <c r="UUS2" s="62"/>
      <c r="UUT2" s="62"/>
      <c r="UUU2" s="62"/>
      <c r="UUV2" s="62"/>
      <c r="UUW2" s="62"/>
      <c r="UUX2" s="62"/>
      <c r="UUY2" s="62"/>
      <c r="UUZ2" s="62"/>
      <c r="UVA2" s="62"/>
      <c r="UVB2" s="62"/>
      <c r="UVC2" s="62"/>
      <c r="UVD2" s="62"/>
      <c r="UVE2" s="62"/>
      <c r="UVF2" s="62"/>
      <c r="UVG2" s="62"/>
      <c r="UVH2" s="62"/>
      <c r="UVI2" s="62"/>
      <c r="UVJ2" s="62"/>
      <c r="UVK2" s="62"/>
      <c r="UVL2" s="62"/>
      <c r="UVM2" s="62"/>
      <c r="UVN2" s="62"/>
      <c r="UVO2" s="62"/>
      <c r="UVP2" s="62"/>
      <c r="UVQ2" s="62"/>
      <c r="UVR2" s="62"/>
      <c r="UVS2" s="62"/>
      <c r="UVT2" s="62"/>
      <c r="UVU2" s="62"/>
      <c r="UVV2" s="62"/>
      <c r="UVW2" s="62"/>
      <c r="UVX2" s="62"/>
      <c r="UVY2" s="62"/>
      <c r="UVZ2" s="62"/>
      <c r="UWA2" s="62"/>
      <c r="UWB2" s="62"/>
      <c r="UWC2" s="62"/>
      <c r="UWD2" s="62"/>
      <c r="UWE2" s="62"/>
      <c r="UWF2" s="62"/>
      <c r="UWG2" s="62"/>
      <c r="UWH2" s="62"/>
      <c r="UWI2" s="62"/>
      <c r="UWJ2" s="62"/>
      <c r="UWK2" s="62"/>
      <c r="UWL2" s="62"/>
      <c r="UWM2" s="62"/>
      <c r="UWN2" s="62"/>
      <c r="UWO2" s="62"/>
      <c r="UWP2" s="62"/>
      <c r="UWQ2" s="62"/>
      <c r="UWR2" s="62"/>
      <c r="UWS2" s="62"/>
      <c r="UWT2" s="62"/>
      <c r="UWU2" s="62"/>
      <c r="UWV2" s="62"/>
      <c r="UWW2" s="62"/>
      <c r="UWX2" s="62"/>
      <c r="UWY2" s="62"/>
      <c r="UWZ2" s="62"/>
      <c r="UXA2" s="62"/>
      <c r="UXB2" s="62"/>
      <c r="UXC2" s="62"/>
      <c r="UXD2" s="62"/>
      <c r="UXE2" s="62"/>
      <c r="UXF2" s="62"/>
      <c r="UXG2" s="62"/>
      <c r="UXH2" s="62"/>
      <c r="UXI2" s="62"/>
      <c r="UXJ2" s="62"/>
      <c r="UXK2" s="62"/>
      <c r="UXL2" s="62"/>
      <c r="UXM2" s="62"/>
      <c r="UXN2" s="62"/>
      <c r="UXO2" s="62"/>
      <c r="UXP2" s="62"/>
      <c r="UXQ2" s="62"/>
      <c r="UXR2" s="62"/>
      <c r="UXS2" s="62"/>
      <c r="UXT2" s="62"/>
      <c r="UXU2" s="62"/>
      <c r="UXV2" s="62"/>
      <c r="UXW2" s="62"/>
      <c r="UXX2" s="62"/>
      <c r="UXY2" s="62"/>
      <c r="UXZ2" s="62"/>
      <c r="UYA2" s="62"/>
      <c r="UYB2" s="62"/>
      <c r="UYC2" s="62"/>
      <c r="UYD2" s="62"/>
      <c r="UYE2" s="62"/>
      <c r="UYF2" s="62"/>
      <c r="UYG2" s="62"/>
      <c r="UYH2" s="62"/>
      <c r="UYI2" s="62"/>
      <c r="UYJ2" s="62"/>
      <c r="UYK2" s="62"/>
      <c r="UYL2" s="62"/>
      <c r="UYM2" s="62"/>
      <c r="UYN2" s="62"/>
      <c r="UYO2" s="62"/>
      <c r="UYP2" s="62"/>
      <c r="UYQ2" s="62"/>
      <c r="UYR2" s="62"/>
      <c r="UYS2" s="62"/>
      <c r="UYT2" s="62"/>
      <c r="UYU2" s="62"/>
      <c r="UYV2" s="62"/>
      <c r="UYW2" s="62"/>
      <c r="UYX2" s="62"/>
      <c r="UYY2" s="62"/>
      <c r="UYZ2" s="62"/>
      <c r="UZA2" s="62"/>
      <c r="UZB2" s="62"/>
      <c r="UZC2" s="62"/>
      <c r="UZD2" s="62"/>
      <c r="UZE2" s="62"/>
      <c r="UZF2" s="62"/>
      <c r="UZG2" s="62"/>
      <c r="UZH2" s="62"/>
      <c r="UZI2" s="62"/>
      <c r="UZJ2" s="62"/>
      <c r="UZK2" s="62"/>
      <c r="UZL2" s="62"/>
      <c r="UZM2" s="62"/>
      <c r="UZN2" s="62"/>
      <c r="UZO2" s="62"/>
      <c r="UZP2" s="62"/>
      <c r="UZQ2" s="62"/>
      <c r="UZR2" s="62"/>
      <c r="UZS2" s="62"/>
      <c r="UZT2" s="62"/>
      <c r="UZU2" s="62"/>
      <c r="UZV2" s="62"/>
      <c r="UZW2" s="62"/>
      <c r="UZX2" s="62"/>
      <c r="UZY2" s="62"/>
      <c r="UZZ2" s="62"/>
      <c r="VAA2" s="62"/>
      <c r="VAB2" s="62"/>
      <c r="VAC2" s="62"/>
      <c r="VAD2" s="62"/>
      <c r="VAE2" s="62"/>
      <c r="VAF2" s="62"/>
      <c r="VAG2" s="62"/>
      <c r="VAH2" s="62"/>
      <c r="VAI2" s="62"/>
      <c r="VAJ2" s="62"/>
      <c r="VAK2" s="62"/>
      <c r="VAL2" s="62"/>
      <c r="VAM2" s="62"/>
      <c r="VAN2" s="62"/>
      <c r="VAO2" s="62"/>
      <c r="VAP2" s="62"/>
      <c r="VAQ2" s="62"/>
      <c r="VAR2" s="62"/>
      <c r="VAS2" s="62"/>
      <c r="VAT2" s="62"/>
      <c r="VAU2" s="62"/>
      <c r="VAV2" s="62"/>
      <c r="VAW2" s="62"/>
      <c r="VAX2" s="62"/>
      <c r="VAY2" s="62"/>
      <c r="VAZ2" s="62"/>
      <c r="VBA2" s="62"/>
      <c r="VBB2" s="62"/>
      <c r="VBC2" s="62"/>
      <c r="VBD2" s="62"/>
      <c r="VBE2" s="62"/>
      <c r="VBF2" s="62"/>
      <c r="VBG2" s="62"/>
      <c r="VBH2" s="62"/>
      <c r="VBI2" s="62"/>
      <c r="VBJ2" s="62"/>
      <c r="VBK2" s="62"/>
      <c r="VBL2" s="62"/>
      <c r="VBM2" s="62"/>
      <c r="VBN2" s="62"/>
      <c r="VBO2" s="62"/>
      <c r="VBP2" s="62"/>
      <c r="VBQ2" s="62"/>
      <c r="VBR2" s="62"/>
      <c r="VBS2" s="62"/>
      <c r="VBT2" s="62"/>
      <c r="VBU2" s="62"/>
      <c r="VBV2" s="62"/>
      <c r="VBW2" s="62"/>
      <c r="VBX2" s="62"/>
      <c r="VBY2" s="62"/>
      <c r="VBZ2" s="62"/>
      <c r="VCA2" s="62"/>
      <c r="VCB2" s="62"/>
      <c r="VCC2" s="62"/>
      <c r="VCD2" s="62"/>
      <c r="VCE2" s="62"/>
      <c r="VCF2" s="62"/>
      <c r="VCG2" s="62"/>
      <c r="VCH2" s="62"/>
      <c r="VCI2" s="62"/>
      <c r="VCJ2" s="62"/>
      <c r="VCK2" s="62"/>
      <c r="VCL2" s="62"/>
      <c r="VCM2" s="62"/>
      <c r="VCN2" s="62"/>
      <c r="VCO2" s="62"/>
      <c r="VCP2" s="62"/>
      <c r="VCQ2" s="62"/>
      <c r="VCR2" s="62"/>
      <c r="VCS2" s="62"/>
      <c r="VCT2" s="62"/>
      <c r="VCU2" s="62"/>
      <c r="VCV2" s="62"/>
      <c r="VCW2" s="62"/>
      <c r="VCX2" s="62"/>
      <c r="VCY2" s="62"/>
      <c r="VCZ2" s="62"/>
      <c r="VDA2" s="62"/>
      <c r="VDB2" s="62"/>
      <c r="VDC2" s="62"/>
      <c r="VDD2" s="62"/>
      <c r="VDE2" s="62"/>
      <c r="VDF2" s="62"/>
      <c r="VDG2" s="62"/>
      <c r="VDH2" s="62"/>
      <c r="VDI2" s="62"/>
      <c r="VDJ2" s="62"/>
      <c r="VDK2" s="62"/>
      <c r="VDL2" s="62"/>
      <c r="VDM2" s="62"/>
      <c r="VDN2" s="62"/>
      <c r="VDO2" s="62"/>
      <c r="VDP2" s="62"/>
      <c r="VDQ2" s="62"/>
      <c r="VDR2" s="62"/>
      <c r="VDS2" s="62"/>
      <c r="VDT2" s="62"/>
      <c r="VDU2" s="62"/>
      <c r="VDV2" s="62"/>
      <c r="VDW2" s="62"/>
      <c r="VDX2" s="62"/>
      <c r="VDY2" s="62"/>
      <c r="VDZ2" s="62"/>
      <c r="VEA2" s="62"/>
      <c r="VEB2" s="62"/>
      <c r="VEC2" s="62"/>
      <c r="VED2" s="62"/>
      <c r="VEE2" s="62"/>
      <c r="VEF2" s="62"/>
      <c r="VEG2" s="62"/>
      <c r="VEH2" s="62"/>
      <c r="VEI2" s="62"/>
      <c r="VEJ2" s="62"/>
      <c r="VEK2" s="62"/>
      <c r="VEL2" s="62"/>
      <c r="VEM2" s="62"/>
      <c r="VEN2" s="62"/>
      <c r="VEO2" s="62"/>
      <c r="VEP2" s="62"/>
      <c r="VEQ2" s="62"/>
      <c r="VER2" s="62"/>
      <c r="VES2" s="62"/>
      <c r="VET2" s="62"/>
      <c r="VEU2" s="62"/>
      <c r="VEV2" s="62"/>
      <c r="VEW2" s="62"/>
      <c r="VEX2" s="62"/>
      <c r="VEY2" s="62"/>
      <c r="VEZ2" s="62"/>
      <c r="VFA2" s="62"/>
      <c r="VFB2" s="62"/>
      <c r="VFC2" s="62"/>
      <c r="VFD2" s="62"/>
      <c r="VFE2" s="62"/>
      <c r="VFF2" s="62"/>
      <c r="VFG2" s="62"/>
      <c r="VFH2" s="62"/>
      <c r="VFI2" s="62"/>
      <c r="VFJ2" s="62"/>
      <c r="VFK2" s="62"/>
      <c r="VFL2" s="62"/>
      <c r="VFM2" s="62"/>
      <c r="VFN2" s="62"/>
      <c r="VFO2" s="62"/>
      <c r="VFP2" s="62"/>
      <c r="VFQ2" s="62"/>
      <c r="VFR2" s="62"/>
      <c r="VFS2" s="62"/>
      <c r="VFT2" s="62"/>
      <c r="VFU2" s="62"/>
      <c r="VFV2" s="62"/>
      <c r="VFW2" s="62"/>
      <c r="VFX2" s="62"/>
      <c r="VFY2" s="62"/>
      <c r="VFZ2" s="62"/>
      <c r="VGA2" s="62"/>
      <c r="VGB2" s="62"/>
      <c r="VGC2" s="62"/>
      <c r="VGD2" s="62"/>
      <c r="VGE2" s="62"/>
      <c r="VGF2" s="62"/>
      <c r="VGG2" s="62"/>
      <c r="VGH2" s="62"/>
      <c r="VGI2" s="62"/>
      <c r="VGJ2" s="62"/>
      <c r="VGK2" s="62"/>
      <c r="VGL2" s="62"/>
      <c r="VGM2" s="62"/>
      <c r="VGN2" s="62"/>
      <c r="VGO2" s="62"/>
      <c r="VGP2" s="62"/>
      <c r="VGQ2" s="62"/>
      <c r="VGR2" s="62"/>
      <c r="VGS2" s="62"/>
      <c r="VGT2" s="62"/>
      <c r="VGU2" s="62"/>
      <c r="VGV2" s="62"/>
      <c r="VGW2" s="62"/>
      <c r="VGX2" s="62"/>
      <c r="VGY2" s="62"/>
      <c r="VGZ2" s="62"/>
      <c r="VHA2" s="62"/>
      <c r="VHB2" s="62"/>
      <c r="VHC2" s="62"/>
      <c r="VHD2" s="62"/>
      <c r="VHE2" s="62"/>
      <c r="VHF2" s="62"/>
      <c r="VHG2" s="62"/>
      <c r="VHH2" s="62"/>
      <c r="VHI2" s="62"/>
      <c r="VHJ2" s="62"/>
      <c r="VHK2" s="62"/>
      <c r="VHL2" s="62"/>
      <c r="VHM2" s="62"/>
      <c r="VHN2" s="62"/>
      <c r="VHO2" s="62"/>
      <c r="VHP2" s="62"/>
      <c r="VHQ2" s="62"/>
      <c r="VHR2" s="62"/>
      <c r="VHS2" s="62"/>
      <c r="VHT2" s="62"/>
      <c r="VHU2" s="62"/>
      <c r="VHV2" s="62"/>
      <c r="VHW2" s="62"/>
      <c r="VHX2" s="62"/>
      <c r="VHY2" s="62"/>
      <c r="VHZ2" s="62"/>
      <c r="VIA2" s="62"/>
      <c r="VIB2" s="62"/>
      <c r="VIC2" s="62"/>
      <c r="VID2" s="62"/>
      <c r="VIE2" s="62"/>
      <c r="VIF2" s="62"/>
      <c r="VIG2" s="62"/>
      <c r="VIH2" s="62"/>
      <c r="VII2" s="62"/>
      <c r="VIJ2" s="62"/>
      <c r="VIK2" s="62"/>
      <c r="VIL2" s="62"/>
      <c r="VIM2" s="62"/>
      <c r="VIN2" s="62"/>
      <c r="VIO2" s="62"/>
      <c r="VIP2" s="62"/>
      <c r="VIQ2" s="62"/>
      <c r="VIR2" s="62"/>
      <c r="VIS2" s="62"/>
      <c r="VIT2" s="62"/>
      <c r="VIU2" s="62"/>
      <c r="VIV2" s="62"/>
      <c r="VIW2" s="62"/>
      <c r="VIX2" s="62"/>
      <c r="VIY2" s="62"/>
      <c r="VIZ2" s="62"/>
      <c r="VJA2" s="62"/>
      <c r="VJB2" s="62"/>
      <c r="VJC2" s="62"/>
      <c r="VJD2" s="62"/>
      <c r="VJE2" s="62"/>
      <c r="VJF2" s="62"/>
      <c r="VJG2" s="62"/>
      <c r="VJH2" s="62"/>
      <c r="VJI2" s="62"/>
      <c r="VJJ2" s="62"/>
      <c r="VJK2" s="62"/>
      <c r="VJL2" s="62"/>
      <c r="VJM2" s="62"/>
      <c r="VJN2" s="62"/>
      <c r="VJO2" s="62"/>
      <c r="VJP2" s="62"/>
      <c r="VJQ2" s="62"/>
      <c r="VJR2" s="62"/>
      <c r="VJS2" s="62"/>
      <c r="VJT2" s="62"/>
      <c r="VJU2" s="62"/>
      <c r="VJV2" s="62"/>
      <c r="VJW2" s="62"/>
      <c r="VJX2" s="62"/>
      <c r="VJY2" s="62"/>
      <c r="VJZ2" s="62"/>
      <c r="VKA2" s="62"/>
      <c r="VKB2" s="62"/>
      <c r="VKC2" s="62"/>
      <c r="VKD2" s="62"/>
      <c r="VKE2" s="62"/>
      <c r="VKF2" s="62"/>
      <c r="VKG2" s="62"/>
      <c r="VKH2" s="62"/>
      <c r="VKI2" s="62"/>
      <c r="VKJ2" s="62"/>
      <c r="VKK2" s="62"/>
      <c r="VKL2" s="62"/>
      <c r="VKM2" s="62"/>
      <c r="VKN2" s="62"/>
      <c r="VKO2" s="62"/>
      <c r="VKP2" s="62"/>
      <c r="VKQ2" s="62"/>
      <c r="VKR2" s="62"/>
      <c r="VKS2" s="62"/>
      <c r="VKT2" s="62"/>
      <c r="VKU2" s="62"/>
      <c r="VKV2" s="62"/>
      <c r="VKW2" s="62"/>
      <c r="VKX2" s="62"/>
      <c r="VKY2" s="62"/>
      <c r="VKZ2" s="62"/>
      <c r="VLA2" s="62"/>
      <c r="VLB2" s="62"/>
      <c r="VLC2" s="62"/>
      <c r="VLD2" s="62"/>
      <c r="VLE2" s="62"/>
      <c r="VLF2" s="62"/>
      <c r="VLG2" s="62"/>
      <c r="VLH2" s="62"/>
      <c r="VLI2" s="62"/>
      <c r="VLJ2" s="62"/>
      <c r="VLK2" s="62"/>
      <c r="VLL2" s="62"/>
      <c r="VLM2" s="62"/>
      <c r="VLN2" s="62"/>
      <c r="VLO2" s="62"/>
      <c r="VLP2" s="62"/>
      <c r="VLQ2" s="62"/>
      <c r="VLR2" s="62"/>
      <c r="VLS2" s="62"/>
      <c r="VLT2" s="62"/>
      <c r="VLU2" s="62"/>
      <c r="VLV2" s="62"/>
      <c r="VLW2" s="62"/>
      <c r="VLX2" s="62"/>
      <c r="VLY2" s="62"/>
      <c r="VLZ2" s="62"/>
      <c r="VMA2" s="62"/>
      <c r="VMB2" s="62"/>
      <c r="VMC2" s="62"/>
      <c r="VMD2" s="62"/>
      <c r="VME2" s="62"/>
      <c r="VMF2" s="62"/>
      <c r="VMG2" s="62"/>
      <c r="VMH2" s="62"/>
      <c r="VMI2" s="62"/>
      <c r="VMJ2" s="62"/>
      <c r="VMK2" s="62"/>
      <c r="VML2" s="62"/>
      <c r="VMM2" s="62"/>
      <c r="VMN2" s="62"/>
      <c r="VMO2" s="62"/>
      <c r="VMP2" s="62"/>
      <c r="VMQ2" s="62"/>
      <c r="VMR2" s="62"/>
      <c r="VMS2" s="62"/>
      <c r="VMT2" s="62"/>
      <c r="VMU2" s="62"/>
      <c r="VMV2" s="62"/>
      <c r="VMW2" s="62"/>
      <c r="VMX2" s="62"/>
      <c r="VMY2" s="62"/>
      <c r="VMZ2" s="62"/>
      <c r="VNA2" s="62"/>
      <c r="VNB2" s="62"/>
      <c r="VNC2" s="62"/>
      <c r="VND2" s="62"/>
      <c r="VNE2" s="62"/>
      <c r="VNF2" s="62"/>
      <c r="VNG2" s="62"/>
      <c r="VNH2" s="62"/>
      <c r="VNI2" s="62"/>
      <c r="VNJ2" s="62"/>
      <c r="VNK2" s="62"/>
      <c r="VNL2" s="62"/>
      <c r="VNM2" s="62"/>
      <c r="VNN2" s="62"/>
      <c r="VNO2" s="62"/>
      <c r="VNP2" s="62"/>
      <c r="VNQ2" s="62"/>
      <c r="VNR2" s="62"/>
      <c r="VNS2" s="62"/>
      <c r="VNT2" s="62"/>
      <c r="VNU2" s="62"/>
      <c r="VNV2" s="62"/>
      <c r="VNW2" s="62"/>
      <c r="VNX2" s="62"/>
      <c r="VNY2" s="62"/>
      <c r="VNZ2" s="62"/>
      <c r="VOA2" s="62"/>
      <c r="VOB2" s="62"/>
      <c r="VOC2" s="62"/>
      <c r="VOD2" s="62"/>
      <c r="VOE2" s="62"/>
      <c r="VOF2" s="62"/>
      <c r="VOG2" s="62"/>
      <c r="VOH2" s="62"/>
      <c r="VOI2" s="62"/>
      <c r="VOJ2" s="62"/>
      <c r="VOK2" s="62"/>
      <c r="VOL2" s="62"/>
      <c r="VOM2" s="62"/>
      <c r="VON2" s="62"/>
      <c r="VOO2" s="62"/>
      <c r="VOP2" s="62"/>
      <c r="VOQ2" s="62"/>
      <c r="VOR2" s="62"/>
      <c r="VOS2" s="62"/>
      <c r="VOT2" s="62"/>
      <c r="VOU2" s="62"/>
      <c r="VOV2" s="62"/>
      <c r="VOW2" s="62"/>
      <c r="VOX2" s="62"/>
      <c r="VOY2" s="62"/>
      <c r="VOZ2" s="62"/>
      <c r="VPA2" s="62"/>
      <c r="VPB2" s="62"/>
      <c r="VPC2" s="62"/>
      <c r="VPD2" s="62"/>
      <c r="VPE2" s="62"/>
      <c r="VPF2" s="62"/>
      <c r="VPG2" s="62"/>
      <c r="VPH2" s="62"/>
      <c r="VPI2" s="62"/>
      <c r="VPJ2" s="62"/>
      <c r="VPK2" s="62"/>
      <c r="VPL2" s="62"/>
      <c r="VPM2" s="62"/>
      <c r="VPN2" s="62"/>
      <c r="VPO2" s="62"/>
      <c r="VPP2" s="62"/>
      <c r="VPQ2" s="62"/>
      <c r="VPR2" s="62"/>
      <c r="VPS2" s="62"/>
      <c r="VPT2" s="62"/>
      <c r="VPU2" s="62"/>
      <c r="VPV2" s="62"/>
      <c r="VPW2" s="62"/>
      <c r="VPX2" s="62"/>
      <c r="VPY2" s="62"/>
      <c r="VPZ2" s="62"/>
      <c r="VQA2" s="62"/>
      <c r="VQB2" s="62"/>
      <c r="VQC2" s="62"/>
      <c r="VQD2" s="62"/>
      <c r="VQE2" s="62"/>
      <c r="VQF2" s="62"/>
      <c r="VQG2" s="62"/>
      <c r="VQH2" s="62"/>
      <c r="VQI2" s="62"/>
      <c r="VQJ2" s="62"/>
      <c r="VQK2" s="62"/>
      <c r="VQL2" s="62"/>
      <c r="VQM2" s="62"/>
      <c r="VQN2" s="62"/>
      <c r="VQO2" s="62"/>
      <c r="VQP2" s="62"/>
      <c r="VQQ2" s="62"/>
      <c r="VQR2" s="62"/>
      <c r="VQS2" s="62"/>
      <c r="VQT2" s="62"/>
      <c r="VQU2" s="62"/>
      <c r="VQV2" s="62"/>
      <c r="VQW2" s="62"/>
      <c r="VQX2" s="62"/>
      <c r="VQY2" s="62"/>
      <c r="VQZ2" s="62"/>
      <c r="VRA2" s="62"/>
      <c r="VRB2" s="62"/>
      <c r="VRC2" s="62"/>
      <c r="VRD2" s="62"/>
      <c r="VRE2" s="62"/>
      <c r="VRF2" s="62"/>
      <c r="VRG2" s="62"/>
      <c r="VRH2" s="62"/>
      <c r="VRI2" s="62"/>
      <c r="VRJ2" s="62"/>
      <c r="VRK2" s="62"/>
      <c r="VRL2" s="62"/>
      <c r="VRM2" s="62"/>
      <c r="VRN2" s="62"/>
      <c r="VRO2" s="62"/>
      <c r="VRP2" s="62"/>
      <c r="VRQ2" s="62"/>
      <c r="VRR2" s="62"/>
      <c r="VRS2" s="62"/>
      <c r="VRT2" s="62"/>
      <c r="VRU2" s="62"/>
      <c r="VRV2" s="62"/>
      <c r="VRW2" s="62"/>
      <c r="VRX2" s="62"/>
      <c r="VRY2" s="62"/>
      <c r="VRZ2" s="62"/>
      <c r="VSA2" s="62"/>
      <c r="VSB2" s="62"/>
      <c r="VSC2" s="62"/>
      <c r="VSD2" s="62"/>
      <c r="VSE2" s="62"/>
      <c r="VSF2" s="62"/>
      <c r="VSG2" s="62"/>
      <c r="VSH2" s="62"/>
      <c r="VSI2" s="62"/>
      <c r="VSJ2" s="62"/>
      <c r="VSK2" s="62"/>
      <c r="VSL2" s="62"/>
      <c r="VSM2" s="62"/>
      <c r="VSN2" s="62"/>
      <c r="VSO2" s="62"/>
      <c r="VSP2" s="62"/>
      <c r="VSQ2" s="62"/>
      <c r="VSR2" s="62"/>
      <c r="VSS2" s="62"/>
      <c r="VST2" s="62"/>
      <c r="VSU2" s="62"/>
      <c r="VSV2" s="62"/>
      <c r="VSW2" s="62"/>
      <c r="VSX2" s="62"/>
      <c r="VSY2" s="62"/>
      <c r="VSZ2" s="62"/>
      <c r="VTA2" s="62"/>
      <c r="VTB2" s="62"/>
      <c r="VTC2" s="62"/>
      <c r="VTD2" s="62"/>
      <c r="VTE2" s="62"/>
      <c r="VTF2" s="62"/>
      <c r="VTG2" s="62"/>
      <c r="VTH2" s="62"/>
      <c r="VTI2" s="62"/>
      <c r="VTJ2" s="62"/>
      <c r="VTK2" s="62"/>
      <c r="VTL2" s="62"/>
      <c r="VTM2" s="62"/>
      <c r="VTN2" s="62"/>
      <c r="VTO2" s="62"/>
      <c r="VTP2" s="62"/>
      <c r="VTQ2" s="62"/>
      <c r="VTR2" s="62"/>
      <c r="VTS2" s="62"/>
      <c r="VTT2" s="62"/>
      <c r="VTU2" s="62"/>
      <c r="VTV2" s="62"/>
      <c r="VTW2" s="62"/>
      <c r="VTX2" s="62"/>
      <c r="VTY2" s="62"/>
      <c r="VTZ2" s="62"/>
      <c r="VUA2" s="62"/>
      <c r="VUB2" s="62"/>
      <c r="VUC2" s="62"/>
      <c r="VUD2" s="62"/>
      <c r="VUE2" s="62"/>
      <c r="VUF2" s="62"/>
      <c r="VUG2" s="62"/>
      <c r="VUH2" s="62"/>
      <c r="VUI2" s="62"/>
      <c r="VUJ2" s="62"/>
      <c r="VUK2" s="62"/>
      <c r="VUL2" s="62"/>
      <c r="VUM2" s="62"/>
      <c r="VUN2" s="62"/>
      <c r="VUO2" s="62"/>
      <c r="VUP2" s="62"/>
      <c r="VUQ2" s="62"/>
      <c r="VUR2" s="62"/>
      <c r="VUS2" s="62"/>
      <c r="VUT2" s="62"/>
      <c r="VUU2" s="62"/>
      <c r="VUV2" s="62"/>
      <c r="VUW2" s="62"/>
      <c r="VUX2" s="62"/>
      <c r="VUY2" s="62"/>
      <c r="VUZ2" s="62"/>
      <c r="VVA2" s="62"/>
      <c r="VVB2" s="62"/>
      <c r="VVC2" s="62"/>
      <c r="VVD2" s="62"/>
      <c r="VVE2" s="62"/>
      <c r="VVF2" s="62"/>
      <c r="VVG2" s="62"/>
      <c r="VVH2" s="62"/>
      <c r="VVI2" s="62"/>
      <c r="VVJ2" s="62"/>
      <c r="VVK2" s="62"/>
      <c r="VVL2" s="62"/>
      <c r="VVM2" s="62"/>
      <c r="VVN2" s="62"/>
      <c r="VVO2" s="62"/>
      <c r="VVP2" s="62"/>
      <c r="VVQ2" s="62"/>
      <c r="VVR2" s="62"/>
      <c r="VVS2" s="62"/>
      <c r="VVT2" s="62"/>
      <c r="VVU2" s="62"/>
      <c r="VVV2" s="62"/>
      <c r="VVW2" s="62"/>
      <c r="VVX2" s="62"/>
      <c r="VVY2" s="62"/>
      <c r="VVZ2" s="62"/>
      <c r="VWA2" s="62"/>
      <c r="VWB2" s="62"/>
      <c r="VWC2" s="62"/>
      <c r="VWD2" s="62"/>
      <c r="VWE2" s="62"/>
      <c r="VWF2" s="62"/>
      <c r="VWG2" s="62"/>
      <c r="VWH2" s="62"/>
      <c r="VWI2" s="62"/>
      <c r="VWJ2" s="62"/>
      <c r="VWK2" s="62"/>
      <c r="VWL2" s="62"/>
      <c r="VWM2" s="62"/>
      <c r="VWN2" s="62"/>
      <c r="VWO2" s="62"/>
      <c r="VWP2" s="62"/>
      <c r="VWQ2" s="62"/>
      <c r="VWR2" s="62"/>
      <c r="VWS2" s="62"/>
      <c r="VWT2" s="62"/>
      <c r="VWU2" s="62"/>
      <c r="VWV2" s="62"/>
      <c r="VWW2" s="62"/>
      <c r="VWX2" s="62"/>
      <c r="VWY2" s="62"/>
      <c r="VWZ2" s="62"/>
      <c r="VXA2" s="62"/>
      <c r="VXB2" s="62"/>
      <c r="VXC2" s="62"/>
      <c r="VXD2" s="62"/>
      <c r="VXE2" s="62"/>
      <c r="VXF2" s="62"/>
      <c r="VXG2" s="62"/>
      <c r="VXH2" s="62"/>
      <c r="VXI2" s="62"/>
      <c r="VXJ2" s="62"/>
      <c r="VXK2" s="62"/>
      <c r="VXL2" s="62"/>
      <c r="VXM2" s="62"/>
      <c r="VXN2" s="62"/>
      <c r="VXO2" s="62"/>
      <c r="VXP2" s="62"/>
      <c r="VXQ2" s="62"/>
      <c r="VXR2" s="62"/>
      <c r="VXS2" s="62"/>
      <c r="VXT2" s="62"/>
      <c r="VXU2" s="62"/>
      <c r="VXV2" s="62"/>
      <c r="VXW2" s="62"/>
      <c r="VXX2" s="62"/>
      <c r="VXY2" s="62"/>
      <c r="VXZ2" s="62"/>
      <c r="VYA2" s="62"/>
      <c r="VYB2" s="62"/>
      <c r="VYC2" s="62"/>
      <c r="VYD2" s="62"/>
      <c r="VYE2" s="62"/>
      <c r="VYF2" s="62"/>
      <c r="VYG2" s="62"/>
      <c r="VYH2" s="62"/>
      <c r="VYI2" s="62"/>
      <c r="VYJ2" s="62"/>
      <c r="VYK2" s="62"/>
      <c r="VYL2" s="62"/>
      <c r="VYM2" s="62"/>
      <c r="VYN2" s="62"/>
      <c r="VYO2" s="62"/>
      <c r="VYP2" s="62"/>
      <c r="VYQ2" s="62"/>
      <c r="VYR2" s="62"/>
      <c r="VYS2" s="62"/>
      <c r="VYT2" s="62"/>
      <c r="VYU2" s="62"/>
      <c r="VYV2" s="62"/>
      <c r="VYW2" s="62"/>
      <c r="VYX2" s="62"/>
      <c r="VYY2" s="62"/>
      <c r="VYZ2" s="62"/>
      <c r="VZA2" s="62"/>
      <c r="VZB2" s="62"/>
      <c r="VZC2" s="62"/>
      <c r="VZD2" s="62"/>
      <c r="VZE2" s="62"/>
      <c r="VZF2" s="62"/>
      <c r="VZG2" s="62"/>
      <c r="VZH2" s="62"/>
      <c r="VZI2" s="62"/>
      <c r="VZJ2" s="62"/>
      <c r="VZK2" s="62"/>
      <c r="VZL2" s="62"/>
      <c r="VZM2" s="62"/>
      <c r="VZN2" s="62"/>
      <c r="VZO2" s="62"/>
      <c r="VZP2" s="62"/>
      <c r="VZQ2" s="62"/>
      <c r="VZR2" s="62"/>
      <c r="VZS2" s="62"/>
      <c r="VZT2" s="62"/>
      <c r="VZU2" s="62"/>
      <c r="VZV2" s="62"/>
      <c r="VZW2" s="62"/>
      <c r="VZX2" s="62"/>
      <c r="VZY2" s="62"/>
      <c r="VZZ2" s="62"/>
      <c r="WAA2" s="62"/>
      <c r="WAB2" s="62"/>
      <c r="WAC2" s="62"/>
      <c r="WAD2" s="62"/>
      <c r="WAE2" s="62"/>
      <c r="WAF2" s="62"/>
      <c r="WAG2" s="62"/>
      <c r="WAH2" s="62"/>
      <c r="WAI2" s="62"/>
      <c r="WAJ2" s="62"/>
      <c r="WAK2" s="62"/>
      <c r="WAL2" s="62"/>
      <c r="WAM2" s="62"/>
      <c r="WAN2" s="62"/>
      <c r="WAO2" s="62"/>
      <c r="WAP2" s="62"/>
      <c r="WAQ2" s="62"/>
      <c r="WAR2" s="62"/>
      <c r="WAS2" s="62"/>
      <c r="WAT2" s="62"/>
      <c r="WAU2" s="62"/>
      <c r="WAV2" s="62"/>
      <c r="WAW2" s="62"/>
      <c r="WAX2" s="62"/>
      <c r="WAY2" s="62"/>
      <c r="WAZ2" s="62"/>
      <c r="WBA2" s="62"/>
      <c r="WBB2" s="62"/>
      <c r="WBC2" s="62"/>
      <c r="WBD2" s="62"/>
      <c r="WBE2" s="62"/>
      <c r="WBF2" s="62"/>
      <c r="WBG2" s="62"/>
      <c r="WBH2" s="62"/>
      <c r="WBI2" s="62"/>
      <c r="WBJ2" s="62"/>
      <c r="WBK2" s="62"/>
      <c r="WBL2" s="62"/>
      <c r="WBM2" s="62"/>
      <c r="WBN2" s="62"/>
      <c r="WBO2" s="62"/>
      <c r="WBP2" s="62"/>
      <c r="WBQ2" s="62"/>
      <c r="WBR2" s="62"/>
      <c r="WBS2" s="62"/>
      <c r="WBT2" s="62"/>
      <c r="WBU2" s="62"/>
      <c r="WBV2" s="62"/>
      <c r="WBW2" s="62"/>
      <c r="WBX2" s="62"/>
      <c r="WBY2" s="62"/>
      <c r="WBZ2" s="62"/>
      <c r="WCA2" s="62"/>
      <c r="WCB2" s="62"/>
      <c r="WCC2" s="62"/>
      <c r="WCD2" s="62"/>
      <c r="WCE2" s="62"/>
      <c r="WCF2" s="62"/>
      <c r="WCG2" s="62"/>
      <c r="WCH2" s="62"/>
      <c r="WCI2" s="62"/>
      <c r="WCJ2" s="62"/>
      <c r="WCK2" s="62"/>
      <c r="WCL2" s="62"/>
      <c r="WCM2" s="62"/>
      <c r="WCN2" s="62"/>
      <c r="WCO2" s="62"/>
      <c r="WCP2" s="62"/>
      <c r="WCQ2" s="62"/>
      <c r="WCR2" s="62"/>
      <c r="WCS2" s="62"/>
      <c r="WCT2" s="62"/>
      <c r="WCU2" s="62"/>
      <c r="WCV2" s="62"/>
      <c r="WCW2" s="62"/>
      <c r="WCX2" s="62"/>
      <c r="WCY2" s="62"/>
      <c r="WCZ2" s="62"/>
      <c r="WDA2" s="62"/>
      <c r="WDB2" s="62"/>
      <c r="WDC2" s="62"/>
      <c r="WDD2" s="62"/>
      <c r="WDE2" s="62"/>
      <c r="WDF2" s="62"/>
      <c r="WDG2" s="62"/>
      <c r="WDH2" s="62"/>
      <c r="WDI2" s="62"/>
      <c r="WDJ2" s="62"/>
      <c r="WDK2" s="62"/>
      <c r="WDL2" s="62"/>
      <c r="WDM2" s="62"/>
      <c r="WDN2" s="62"/>
      <c r="WDO2" s="62"/>
      <c r="WDP2" s="62"/>
      <c r="WDQ2" s="62"/>
      <c r="WDR2" s="62"/>
      <c r="WDS2" s="62"/>
      <c r="WDT2" s="62"/>
      <c r="WDU2" s="62"/>
      <c r="WDV2" s="62"/>
      <c r="WDW2" s="62"/>
      <c r="WDX2" s="62"/>
      <c r="WDY2" s="62"/>
      <c r="WDZ2" s="62"/>
      <c r="WEA2" s="62"/>
      <c r="WEB2" s="62"/>
      <c r="WEC2" s="62"/>
      <c r="WED2" s="62"/>
      <c r="WEE2" s="62"/>
      <c r="WEF2" s="62"/>
      <c r="WEG2" s="62"/>
      <c r="WEH2" s="62"/>
      <c r="WEI2" s="62"/>
      <c r="WEJ2" s="62"/>
      <c r="WEK2" s="62"/>
      <c r="WEL2" s="62"/>
      <c r="WEM2" s="62"/>
      <c r="WEN2" s="62"/>
      <c r="WEO2" s="62"/>
      <c r="WEP2" s="62"/>
      <c r="WEQ2" s="62"/>
      <c r="WER2" s="62"/>
      <c r="WES2" s="62"/>
      <c r="WET2" s="62"/>
      <c r="WEU2" s="62"/>
      <c r="WEV2" s="62"/>
      <c r="WEW2" s="62"/>
      <c r="WEX2" s="62"/>
      <c r="WEY2" s="62"/>
      <c r="WEZ2" s="62"/>
      <c r="WFA2" s="62"/>
      <c r="WFB2" s="62"/>
      <c r="WFC2" s="62"/>
      <c r="WFD2" s="62"/>
      <c r="WFE2" s="62"/>
      <c r="WFF2" s="62"/>
      <c r="WFG2" s="62"/>
      <c r="WFH2" s="62"/>
      <c r="WFI2" s="62"/>
      <c r="WFJ2" s="62"/>
      <c r="WFK2" s="62"/>
      <c r="WFL2" s="62"/>
      <c r="WFM2" s="62"/>
      <c r="WFN2" s="62"/>
      <c r="WFO2" s="62"/>
      <c r="WFP2" s="62"/>
      <c r="WFQ2" s="62"/>
      <c r="WFR2" s="62"/>
      <c r="WFS2" s="62"/>
      <c r="WFT2" s="62"/>
      <c r="WFU2" s="62"/>
      <c r="WFV2" s="62"/>
      <c r="WFW2" s="62"/>
      <c r="WFX2" s="62"/>
      <c r="WFY2" s="62"/>
      <c r="WFZ2" s="62"/>
      <c r="WGA2" s="62"/>
      <c r="WGB2" s="62"/>
      <c r="WGC2" s="62"/>
      <c r="WGD2" s="62"/>
      <c r="WGE2" s="62"/>
      <c r="WGF2" s="62"/>
      <c r="WGG2" s="62"/>
      <c r="WGH2" s="62"/>
      <c r="WGI2" s="62"/>
      <c r="WGJ2" s="62"/>
      <c r="WGK2" s="62"/>
      <c r="WGL2" s="62"/>
      <c r="WGM2" s="62"/>
      <c r="WGN2" s="62"/>
      <c r="WGO2" s="62"/>
      <c r="WGP2" s="62"/>
      <c r="WGQ2" s="62"/>
      <c r="WGR2" s="62"/>
      <c r="WGS2" s="62"/>
      <c r="WGT2" s="62"/>
      <c r="WGU2" s="62"/>
      <c r="WGV2" s="62"/>
      <c r="WGW2" s="62"/>
      <c r="WGX2" s="62"/>
      <c r="WGY2" s="62"/>
      <c r="WGZ2" s="62"/>
      <c r="WHA2" s="62"/>
      <c r="WHB2" s="62"/>
      <c r="WHC2" s="62"/>
      <c r="WHD2" s="62"/>
      <c r="WHE2" s="62"/>
      <c r="WHF2" s="62"/>
      <c r="WHG2" s="62"/>
      <c r="WHH2" s="62"/>
      <c r="WHI2" s="62"/>
      <c r="WHJ2" s="62"/>
      <c r="WHK2" s="62"/>
      <c r="WHL2" s="62"/>
      <c r="WHM2" s="62"/>
      <c r="WHN2" s="62"/>
      <c r="WHO2" s="62"/>
      <c r="WHP2" s="62"/>
      <c r="WHQ2" s="62"/>
      <c r="WHR2" s="62"/>
      <c r="WHS2" s="62"/>
      <c r="WHT2" s="62"/>
      <c r="WHU2" s="62"/>
      <c r="WHV2" s="62"/>
      <c r="WHW2" s="62"/>
      <c r="WHX2" s="62"/>
      <c r="WHY2" s="62"/>
      <c r="WHZ2" s="62"/>
      <c r="WIA2" s="62"/>
      <c r="WIB2" s="62"/>
      <c r="WIC2" s="62"/>
      <c r="WID2" s="62"/>
      <c r="WIE2" s="62"/>
      <c r="WIF2" s="62"/>
      <c r="WIG2" s="62"/>
      <c r="WIH2" s="62"/>
      <c r="WII2" s="62"/>
      <c r="WIJ2" s="62"/>
      <c r="WIK2" s="62"/>
      <c r="WIL2" s="62"/>
      <c r="WIM2" s="62"/>
      <c r="WIN2" s="62"/>
      <c r="WIO2" s="62"/>
      <c r="WIP2" s="62"/>
      <c r="WIQ2" s="62"/>
      <c r="WIR2" s="62"/>
      <c r="WIS2" s="62"/>
      <c r="WIT2" s="62"/>
      <c r="WIU2" s="62"/>
      <c r="WIV2" s="62"/>
      <c r="WIW2" s="62"/>
      <c r="WIX2" s="62"/>
      <c r="WIY2" s="62"/>
      <c r="WIZ2" s="62"/>
      <c r="WJA2" s="62"/>
      <c r="WJB2" s="62"/>
      <c r="WJC2" s="62"/>
      <c r="WJD2" s="62"/>
      <c r="WJE2" s="62"/>
      <c r="WJF2" s="62"/>
      <c r="WJG2" s="62"/>
      <c r="WJH2" s="62"/>
      <c r="WJI2" s="62"/>
      <c r="WJJ2" s="62"/>
      <c r="WJK2" s="62"/>
      <c r="WJL2" s="62"/>
      <c r="WJM2" s="62"/>
      <c r="WJN2" s="62"/>
      <c r="WJO2" s="62"/>
      <c r="WJP2" s="62"/>
      <c r="WJQ2" s="62"/>
      <c r="WJR2" s="62"/>
      <c r="WJS2" s="62"/>
      <c r="WJT2" s="62"/>
      <c r="WJU2" s="62"/>
      <c r="WJV2" s="62"/>
      <c r="WJW2" s="62"/>
      <c r="WJX2" s="62"/>
      <c r="WJY2" s="62"/>
      <c r="WJZ2" s="62"/>
      <c r="WKA2" s="62"/>
      <c r="WKB2" s="62"/>
      <c r="WKC2" s="62"/>
      <c r="WKD2" s="62"/>
      <c r="WKE2" s="62"/>
      <c r="WKF2" s="62"/>
      <c r="WKG2" s="62"/>
      <c r="WKH2" s="62"/>
      <c r="WKI2" s="62"/>
      <c r="WKJ2" s="62"/>
      <c r="WKK2" s="62"/>
      <c r="WKL2" s="62"/>
      <c r="WKM2" s="62"/>
      <c r="WKN2" s="62"/>
      <c r="WKO2" s="62"/>
      <c r="WKP2" s="62"/>
      <c r="WKQ2" s="62"/>
      <c r="WKR2" s="62"/>
      <c r="WKS2" s="62"/>
      <c r="WKT2" s="62"/>
      <c r="WKU2" s="62"/>
      <c r="WKV2" s="62"/>
      <c r="WKW2" s="62"/>
      <c r="WKX2" s="62"/>
      <c r="WKY2" s="62"/>
      <c r="WKZ2" s="62"/>
      <c r="WLA2" s="62"/>
      <c r="WLB2" s="62"/>
      <c r="WLC2" s="62"/>
      <c r="WLD2" s="62"/>
      <c r="WLE2" s="62"/>
      <c r="WLF2" s="62"/>
      <c r="WLG2" s="62"/>
      <c r="WLH2" s="62"/>
      <c r="WLI2" s="62"/>
      <c r="WLJ2" s="62"/>
      <c r="WLK2" s="62"/>
      <c r="WLL2" s="62"/>
      <c r="WLM2" s="62"/>
      <c r="WLN2" s="62"/>
      <c r="WLO2" s="62"/>
      <c r="WLP2" s="62"/>
      <c r="WLQ2" s="62"/>
      <c r="WLR2" s="62"/>
      <c r="WLS2" s="62"/>
      <c r="WLT2" s="62"/>
      <c r="WLU2" s="62"/>
      <c r="WLV2" s="62"/>
      <c r="WLW2" s="62"/>
      <c r="WLX2" s="62"/>
      <c r="WLY2" s="62"/>
      <c r="WLZ2" s="62"/>
      <c r="WMA2" s="62"/>
      <c r="WMB2" s="62"/>
      <c r="WMC2" s="62"/>
      <c r="WMD2" s="62"/>
      <c r="WME2" s="62"/>
      <c r="WMF2" s="62"/>
      <c r="WMG2" s="62"/>
      <c r="WMH2" s="62"/>
      <c r="WMI2" s="62"/>
      <c r="WMJ2" s="62"/>
      <c r="WMK2" s="62"/>
      <c r="WML2" s="62"/>
      <c r="WMM2" s="62"/>
      <c r="WMN2" s="62"/>
      <c r="WMO2" s="62"/>
      <c r="WMP2" s="62"/>
      <c r="WMQ2" s="62"/>
      <c r="WMR2" s="62"/>
      <c r="WMS2" s="62"/>
      <c r="WMT2" s="62"/>
      <c r="WMU2" s="62"/>
      <c r="WMV2" s="62"/>
      <c r="WMW2" s="62"/>
      <c r="WMX2" s="62"/>
      <c r="WMY2" s="62"/>
      <c r="WMZ2" s="62"/>
      <c r="WNA2" s="62"/>
      <c r="WNB2" s="62"/>
      <c r="WNC2" s="62"/>
      <c r="WND2" s="62"/>
      <c r="WNE2" s="62"/>
      <c r="WNF2" s="62"/>
      <c r="WNG2" s="62"/>
      <c r="WNH2" s="62"/>
      <c r="WNI2" s="62"/>
      <c r="WNJ2" s="62"/>
      <c r="WNK2" s="62"/>
      <c r="WNL2" s="62"/>
      <c r="WNM2" s="62"/>
      <c r="WNN2" s="62"/>
      <c r="WNO2" s="62"/>
      <c r="WNP2" s="62"/>
      <c r="WNQ2" s="62"/>
      <c r="WNR2" s="62"/>
      <c r="WNS2" s="62"/>
      <c r="WNT2" s="62"/>
      <c r="WNU2" s="62"/>
      <c r="WNV2" s="62"/>
      <c r="WNW2" s="62"/>
      <c r="WNX2" s="62"/>
      <c r="WNY2" s="62"/>
      <c r="WNZ2" s="62"/>
      <c r="WOA2" s="62"/>
      <c r="WOB2" s="62"/>
      <c r="WOC2" s="62"/>
      <c r="WOD2" s="62"/>
      <c r="WOE2" s="62"/>
      <c r="WOF2" s="62"/>
      <c r="WOG2" s="62"/>
      <c r="WOH2" s="62"/>
      <c r="WOI2" s="62"/>
      <c r="WOJ2" s="62"/>
      <c r="WOK2" s="62"/>
      <c r="WOL2" s="62"/>
      <c r="WOM2" s="62"/>
      <c r="WON2" s="62"/>
      <c r="WOO2" s="62"/>
      <c r="WOP2" s="62"/>
      <c r="WOQ2" s="62"/>
      <c r="WOR2" s="62"/>
      <c r="WOS2" s="62"/>
      <c r="WOT2" s="62"/>
      <c r="WOU2" s="62"/>
      <c r="WOV2" s="62"/>
      <c r="WOW2" s="62"/>
      <c r="WOX2" s="62"/>
      <c r="WOY2" s="62"/>
      <c r="WOZ2" s="62"/>
      <c r="WPA2" s="62"/>
      <c r="WPB2" s="62"/>
      <c r="WPC2" s="62"/>
      <c r="WPD2" s="62"/>
      <c r="WPE2" s="62"/>
      <c r="WPF2" s="62"/>
      <c r="WPG2" s="62"/>
      <c r="WPH2" s="62"/>
      <c r="WPI2" s="62"/>
      <c r="WPJ2" s="62"/>
      <c r="WPK2" s="62"/>
      <c r="WPL2" s="62"/>
      <c r="WPM2" s="62"/>
      <c r="WPN2" s="62"/>
      <c r="WPO2" s="62"/>
      <c r="WPP2" s="62"/>
      <c r="WPQ2" s="62"/>
      <c r="WPR2" s="62"/>
      <c r="WPS2" s="62"/>
      <c r="WPT2" s="62"/>
      <c r="WPU2" s="62"/>
      <c r="WPV2" s="62"/>
      <c r="WPW2" s="62"/>
      <c r="WPX2" s="62"/>
      <c r="WPY2" s="62"/>
      <c r="WPZ2" s="62"/>
      <c r="WQA2" s="62"/>
      <c r="WQB2" s="62"/>
      <c r="WQC2" s="62"/>
      <c r="WQD2" s="62"/>
      <c r="WQE2" s="62"/>
      <c r="WQF2" s="62"/>
      <c r="WQG2" s="62"/>
      <c r="WQH2" s="62"/>
      <c r="WQI2" s="62"/>
      <c r="WQJ2" s="62"/>
      <c r="WQK2" s="62"/>
      <c r="WQL2" s="62"/>
      <c r="WQM2" s="62"/>
      <c r="WQN2" s="62"/>
      <c r="WQO2" s="62"/>
      <c r="WQP2" s="62"/>
      <c r="WQQ2" s="62"/>
      <c r="WQR2" s="62"/>
      <c r="WQS2" s="62"/>
      <c r="WQT2" s="62"/>
      <c r="WQU2" s="62"/>
      <c r="WQV2" s="62"/>
      <c r="WQW2" s="62"/>
      <c r="WQX2" s="62"/>
      <c r="WQY2" s="62"/>
      <c r="WQZ2" s="62"/>
      <c r="WRA2" s="62"/>
      <c r="WRB2" s="62"/>
      <c r="WRC2" s="62"/>
      <c r="WRD2" s="62"/>
      <c r="WRE2" s="62"/>
      <c r="WRF2" s="62"/>
      <c r="WRG2" s="62"/>
      <c r="WRH2" s="62"/>
      <c r="WRI2" s="62"/>
      <c r="WRJ2" s="62"/>
      <c r="WRK2" s="62"/>
      <c r="WRL2" s="62"/>
      <c r="WRM2" s="62"/>
      <c r="WRN2" s="62"/>
      <c r="WRO2" s="62"/>
      <c r="WRP2" s="62"/>
      <c r="WRQ2" s="62"/>
      <c r="WRR2" s="62"/>
      <c r="WRS2" s="62"/>
      <c r="WRT2" s="62"/>
      <c r="WRU2" s="62"/>
      <c r="WRV2" s="62"/>
      <c r="WRW2" s="62"/>
      <c r="WRX2" s="62"/>
      <c r="WRY2" s="62"/>
      <c r="WRZ2" s="62"/>
      <c r="WSA2" s="62"/>
      <c r="WSB2" s="62"/>
      <c r="WSC2" s="62"/>
      <c r="WSD2" s="62"/>
      <c r="WSE2" s="62"/>
      <c r="WSF2" s="62"/>
      <c r="WSG2" s="62"/>
      <c r="WSH2" s="62"/>
      <c r="WSI2" s="62"/>
      <c r="WSJ2" s="62"/>
      <c r="WSK2" s="62"/>
      <c r="WSL2" s="62"/>
      <c r="WSM2" s="62"/>
      <c r="WSN2" s="62"/>
      <c r="WSO2" s="62"/>
      <c r="WSP2" s="62"/>
      <c r="WSQ2" s="62"/>
      <c r="WSR2" s="62"/>
      <c r="WSS2" s="62"/>
      <c r="WST2" s="62"/>
      <c r="WSU2" s="62"/>
      <c r="WSV2" s="62"/>
      <c r="WSW2" s="62"/>
      <c r="WSX2" s="62"/>
      <c r="WSY2" s="62"/>
      <c r="WSZ2" s="62"/>
      <c r="WTA2" s="62"/>
      <c r="WTB2" s="62"/>
      <c r="WTC2" s="62"/>
      <c r="WTD2" s="62"/>
      <c r="WTE2" s="62"/>
      <c r="WTF2" s="62"/>
      <c r="WTG2" s="62"/>
      <c r="WTH2" s="62"/>
      <c r="WTI2" s="62"/>
      <c r="WTJ2" s="62"/>
      <c r="WTK2" s="62"/>
      <c r="WTL2" s="62"/>
      <c r="WTM2" s="62"/>
      <c r="WTN2" s="62"/>
      <c r="WTO2" s="62"/>
      <c r="WTP2" s="62"/>
      <c r="WTQ2" s="62"/>
      <c r="WTR2" s="62"/>
      <c r="WTS2" s="62"/>
      <c r="WTT2" s="62"/>
      <c r="WTU2" s="62"/>
      <c r="WTV2" s="62"/>
      <c r="WTW2" s="62"/>
      <c r="WTX2" s="62"/>
      <c r="WTY2" s="62"/>
      <c r="WTZ2" s="62"/>
      <c r="WUA2" s="62"/>
      <c r="WUB2" s="62"/>
      <c r="WUC2" s="62"/>
      <c r="WUD2" s="62"/>
      <c r="WUE2" s="62"/>
      <c r="WUF2" s="62"/>
      <c r="WUG2" s="62"/>
      <c r="WUH2" s="62"/>
      <c r="WUI2" s="62"/>
      <c r="WUJ2" s="62"/>
      <c r="WUK2" s="62"/>
      <c r="WUL2" s="62"/>
      <c r="WUM2" s="62"/>
      <c r="WUN2" s="62"/>
      <c r="WUO2" s="62"/>
      <c r="WUP2" s="62"/>
      <c r="WUQ2" s="62"/>
      <c r="WUR2" s="62"/>
      <c r="WUS2" s="62"/>
      <c r="WUT2" s="62"/>
      <c r="WUU2" s="62"/>
      <c r="WUV2" s="62"/>
      <c r="WUW2" s="62"/>
      <c r="WUX2" s="62"/>
      <c r="WUY2" s="62"/>
      <c r="WUZ2" s="62"/>
      <c r="WVA2" s="62"/>
      <c r="WVB2" s="62"/>
      <c r="WVC2" s="62"/>
      <c r="WVD2" s="62"/>
      <c r="WVE2" s="62"/>
      <c r="WVF2" s="62"/>
      <c r="WVG2" s="62"/>
      <c r="WVH2" s="62"/>
      <c r="WVI2" s="62"/>
      <c r="WVJ2" s="62"/>
      <c r="WVK2" s="62"/>
      <c r="WVL2" s="62"/>
      <c r="WVM2" s="62"/>
      <c r="WVN2" s="62"/>
      <c r="WVO2" s="62"/>
      <c r="WVP2" s="62"/>
      <c r="WVQ2" s="62"/>
      <c r="WVR2" s="62"/>
      <c r="WVS2" s="62"/>
      <c r="WVT2" s="62"/>
      <c r="WVU2" s="62"/>
      <c r="WVV2" s="62"/>
      <c r="WVW2" s="62"/>
      <c r="WVX2" s="62"/>
      <c r="WVY2" s="62"/>
      <c r="WVZ2" s="62"/>
      <c r="WWA2" s="62"/>
      <c r="WWB2" s="62"/>
      <c r="WWC2" s="62"/>
      <c r="WWD2" s="62"/>
      <c r="WWE2" s="62"/>
      <c r="WWF2" s="62"/>
      <c r="WWG2" s="62"/>
      <c r="WWH2" s="62"/>
      <c r="WWI2" s="62"/>
      <c r="WWJ2" s="62"/>
      <c r="WWK2" s="62"/>
      <c r="WWL2" s="62"/>
      <c r="WWM2" s="62"/>
      <c r="WWN2" s="62"/>
      <c r="WWO2" s="62"/>
      <c r="WWP2" s="62"/>
      <c r="WWQ2" s="62"/>
      <c r="WWR2" s="62"/>
      <c r="WWS2" s="62"/>
      <c r="WWT2" s="62"/>
      <c r="WWU2" s="62"/>
      <c r="WWV2" s="62"/>
      <c r="WWW2" s="62"/>
      <c r="WWX2" s="62"/>
      <c r="WWY2" s="62"/>
      <c r="WWZ2" s="62"/>
      <c r="WXA2" s="62"/>
      <c r="WXB2" s="62"/>
      <c r="WXC2" s="62"/>
      <c r="WXD2" s="62"/>
      <c r="WXE2" s="62"/>
      <c r="WXF2" s="62"/>
      <c r="WXG2" s="62"/>
      <c r="WXH2" s="62"/>
      <c r="WXI2" s="62"/>
      <c r="WXJ2" s="62"/>
      <c r="WXK2" s="62"/>
      <c r="WXL2" s="62"/>
      <c r="WXM2" s="62"/>
      <c r="WXN2" s="62"/>
      <c r="WXO2" s="62"/>
      <c r="WXP2" s="62"/>
      <c r="WXQ2" s="62"/>
      <c r="WXR2" s="62"/>
      <c r="WXS2" s="62"/>
      <c r="WXT2" s="62"/>
      <c r="WXU2" s="62"/>
      <c r="WXV2" s="62"/>
      <c r="WXW2" s="62"/>
      <c r="WXX2" s="62"/>
      <c r="WXY2" s="62"/>
      <c r="WXZ2" s="62"/>
      <c r="WYA2" s="62"/>
      <c r="WYB2" s="62"/>
      <c r="WYC2" s="62"/>
      <c r="WYD2" s="62"/>
      <c r="WYE2" s="62"/>
      <c r="WYF2" s="62"/>
      <c r="WYG2" s="62"/>
      <c r="WYH2" s="62"/>
      <c r="WYI2" s="62"/>
      <c r="WYJ2" s="62"/>
      <c r="WYK2" s="62"/>
      <c r="WYL2" s="62"/>
      <c r="WYM2" s="62"/>
      <c r="WYN2" s="62"/>
      <c r="WYO2" s="62"/>
      <c r="WYP2" s="62"/>
      <c r="WYQ2" s="62"/>
      <c r="WYR2" s="62"/>
      <c r="WYS2" s="62"/>
      <c r="WYT2" s="62"/>
      <c r="WYU2" s="62"/>
      <c r="WYV2" s="62"/>
      <c r="WYW2" s="62"/>
      <c r="WYX2" s="62"/>
      <c r="WYY2" s="62"/>
      <c r="WYZ2" s="62"/>
      <c r="WZA2" s="62"/>
      <c r="WZB2" s="62"/>
      <c r="WZC2" s="62"/>
      <c r="WZD2" s="62"/>
      <c r="WZE2" s="62"/>
      <c r="WZF2" s="62"/>
      <c r="WZG2" s="62"/>
      <c r="WZH2" s="62"/>
      <c r="WZI2" s="62"/>
      <c r="WZJ2" s="62"/>
      <c r="WZK2" s="62"/>
      <c r="WZL2" s="62"/>
      <c r="WZM2" s="62"/>
      <c r="WZN2" s="62"/>
      <c r="WZO2" s="62"/>
      <c r="WZP2" s="62"/>
      <c r="WZQ2" s="62"/>
      <c r="WZR2" s="62"/>
      <c r="WZS2" s="62"/>
      <c r="WZT2" s="62"/>
      <c r="WZU2" s="62"/>
      <c r="WZV2" s="62"/>
      <c r="WZW2" s="62"/>
      <c r="WZX2" s="62"/>
      <c r="WZY2" s="62"/>
      <c r="WZZ2" s="62"/>
      <c r="XAA2" s="62"/>
      <c r="XAB2" s="62"/>
      <c r="XAC2" s="62"/>
      <c r="XAD2" s="62"/>
      <c r="XAE2" s="62"/>
      <c r="XAF2" s="62"/>
      <c r="XAG2" s="62"/>
      <c r="XAH2" s="62"/>
      <c r="XAI2" s="62"/>
      <c r="XAJ2" s="62"/>
      <c r="XAK2" s="62"/>
      <c r="XAL2" s="62"/>
      <c r="XAM2" s="62"/>
      <c r="XAN2" s="62"/>
      <c r="XAO2" s="62"/>
      <c r="XAP2" s="62"/>
      <c r="XAQ2" s="62"/>
      <c r="XAR2" s="62"/>
      <c r="XAS2" s="62"/>
      <c r="XAT2" s="62"/>
      <c r="XAU2" s="62"/>
      <c r="XAV2" s="62"/>
      <c r="XAW2" s="62"/>
      <c r="XAX2" s="62"/>
      <c r="XAY2" s="62"/>
      <c r="XAZ2" s="62"/>
      <c r="XBA2" s="62"/>
      <c r="XBB2" s="62"/>
      <c r="XBC2" s="62"/>
      <c r="XBD2" s="62"/>
      <c r="XBE2" s="62"/>
      <c r="XBF2" s="62"/>
      <c r="XBG2" s="62"/>
      <c r="XBH2" s="62"/>
      <c r="XBI2" s="62"/>
      <c r="XBJ2" s="62"/>
      <c r="XBK2" s="62"/>
      <c r="XBL2" s="62"/>
      <c r="XBM2" s="62"/>
      <c r="XBN2" s="62"/>
      <c r="XBO2" s="62"/>
      <c r="XBP2" s="62"/>
      <c r="XBQ2" s="62"/>
      <c r="XBR2" s="62"/>
      <c r="XBS2" s="62"/>
      <c r="XBT2" s="62"/>
      <c r="XBU2" s="62"/>
      <c r="XBV2" s="62"/>
      <c r="XBW2" s="62"/>
      <c r="XBX2" s="62"/>
      <c r="XBY2" s="62"/>
      <c r="XBZ2" s="62"/>
      <c r="XCA2" s="62"/>
      <c r="XCB2" s="62"/>
      <c r="XCC2" s="62"/>
      <c r="XCD2" s="62"/>
      <c r="XCE2" s="62"/>
      <c r="XCF2" s="62"/>
      <c r="XCG2" s="62"/>
      <c r="XCH2" s="62"/>
      <c r="XCI2" s="62"/>
      <c r="XCJ2" s="62"/>
      <c r="XCK2" s="62"/>
      <c r="XCL2" s="62"/>
      <c r="XCM2" s="62"/>
      <c r="XCN2" s="62"/>
      <c r="XCO2" s="62"/>
      <c r="XCP2" s="62"/>
      <c r="XCQ2" s="62"/>
      <c r="XCR2" s="62"/>
      <c r="XCS2" s="62"/>
      <c r="XCT2" s="62"/>
      <c r="XCU2" s="62"/>
      <c r="XCV2" s="62"/>
      <c r="XCW2" s="62"/>
      <c r="XCX2" s="62"/>
      <c r="XCY2" s="62"/>
      <c r="XCZ2" s="62"/>
      <c r="XDA2" s="62"/>
      <c r="XDB2" s="62"/>
      <c r="XDC2" s="62"/>
      <c r="XDD2" s="62"/>
      <c r="XDE2" s="62"/>
      <c r="XDF2" s="62"/>
      <c r="XDG2" s="62"/>
      <c r="XDH2" s="62"/>
      <c r="XDI2" s="62"/>
      <c r="XDJ2" s="62"/>
      <c r="XDK2" s="62"/>
      <c r="XDL2" s="62"/>
      <c r="XDM2" s="62"/>
      <c r="XDN2" s="62"/>
      <c r="XDO2" s="62"/>
      <c r="XDP2" s="62"/>
      <c r="XDQ2" s="62"/>
      <c r="XDR2" s="62"/>
      <c r="XDS2" s="62"/>
      <c r="XDT2" s="62"/>
      <c r="XDU2" s="62"/>
      <c r="XDV2" s="62"/>
      <c r="XDW2" s="62"/>
      <c r="XDX2" s="62"/>
      <c r="XDY2" s="62"/>
      <c r="XDZ2" s="62"/>
      <c r="XEA2" s="62"/>
      <c r="XEB2" s="62"/>
      <c r="XEC2" s="62"/>
      <c r="XED2" s="62"/>
      <c r="XEE2" s="62"/>
    </row>
    <row r="3" spans="1:16359" ht="23.25" customHeight="1" x14ac:dyDescent="0.3">
      <c r="A3" s="566"/>
      <c r="B3" s="567"/>
      <c r="C3" s="567"/>
      <c r="D3" s="568"/>
      <c r="E3" s="542"/>
      <c r="F3" s="542"/>
      <c r="G3" s="542"/>
      <c r="H3" s="570"/>
      <c r="I3" s="542"/>
      <c r="J3" s="572"/>
      <c r="K3" s="542"/>
      <c r="L3" s="562"/>
      <c r="M3" s="542"/>
      <c r="N3" s="63"/>
      <c r="O3" s="63"/>
      <c r="P3" s="63"/>
      <c r="Q3" s="562"/>
      <c r="R3" s="64" t="s">
        <v>10</v>
      </c>
      <c r="S3" s="549"/>
      <c r="T3" s="89"/>
      <c r="U3" s="60"/>
      <c r="V3" s="60"/>
      <c r="W3" s="554"/>
      <c r="X3" s="557"/>
      <c r="Y3" s="560"/>
      <c r="Z3" s="61"/>
      <c r="AA3" s="61"/>
      <c r="AB3" s="61"/>
      <c r="AC3" s="61"/>
      <c r="AD3" s="61"/>
      <c r="AE3" s="61"/>
      <c r="AF3" s="61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2"/>
      <c r="BK3" s="62"/>
      <c r="BL3" s="62"/>
      <c r="BM3" s="62"/>
      <c r="BN3" s="62"/>
      <c r="BO3" s="62"/>
      <c r="BP3" s="62"/>
      <c r="BQ3" s="62"/>
      <c r="BR3" s="62"/>
      <c r="BS3" s="62"/>
      <c r="BT3" s="62"/>
      <c r="BU3" s="62"/>
      <c r="BV3" s="62"/>
      <c r="BW3" s="62"/>
      <c r="BX3" s="62"/>
      <c r="BY3" s="62"/>
      <c r="BZ3" s="62"/>
      <c r="CA3" s="62"/>
      <c r="CB3" s="62"/>
      <c r="CC3" s="62"/>
      <c r="CD3" s="62"/>
      <c r="CE3" s="62"/>
      <c r="CF3" s="62"/>
      <c r="CG3" s="62"/>
      <c r="CH3" s="62"/>
      <c r="CI3" s="62"/>
      <c r="CJ3" s="62"/>
      <c r="CK3" s="62"/>
      <c r="CL3" s="62"/>
      <c r="CM3" s="62"/>
      <c r="CN3" s="62"/>
      <c r="CO3" s="62"/>
      <c r="CP3" s="62"/>
      <c r="CQ3" s="62"/>
      <c r="CR3" s="62"/>
      <c r="CS3" s="62"/>
      <c r="CT3" s="62"/>
      <c r="CU3" s="62"/>
      <c r="CV3" s="62"/>
      <c r="CW3" s="62"/>
      <c r="CX3" s="62"/>
      <c r="CY3" s="62"/>
      <c r="CZ3" s="62"/>
      <c r="DA3" s="62"/>
      <c r="DB3" s="62"/>
      <c r="DC3" s="62"/>
      <c r="DD3" s="62"/>
      <c r="DE3" s="62"/>
      <c r="DF3" s="62"/>
      <c r="DG3" s="62"/>
      <c r="DH3" s="62"/>
      <c r="DI3" s="62"/>
      <c r="DJ3" s="62"/>
      <c r="DK3" s="62"/>
      <c r="DL3" s="62"/>
      <c r="DM3" s="62"/>
      <c r="DN3" s="62"/>
      <c r="DO3" s="62"/>
      <c r="DP3" s="62"/>
      <c r="DQ3" s="62"/>
      <c r="DR3" s="62"/>
      <c r="DS3" s="62"/>
      <c r="DT3" s="62"/>
      <c r="DU3" s="62"/>
      <c r="DV3" s="62"/>
      <c r="DW3" s="62"/>
      <c r="DX3" s="62"/>
      <c r="DY3" s="62"/>
      <c r="DZ3" s="62"/>
      <c r="EA3" s="62"/>
      <c r="EB3" s="62"/>
      <c r="EC3" s="62"/>
      <c r="ED3" s="62"/>
      <c r="EE3" s="62"/>
      <c r="EF3" s="62"/>
      <c r="EG3" s="62"/>
      <c r="EH3" s="62"/>
      <c r="EI3" s="62"/>
      <c r="EJ3" s="62"/>
      <c r="EK3" s="62"/>
      <c r="EL3" s="62"/>
      <c r="EM3" s="62"/>
      <c r="EN3" s="62"/>
      <c r="EO3" s="62"/>
      <c r="EP3" s="62"/>
      <c r="EQ3" s="62"/>
      <c r="ER3" s="62"/>
      <c r="ES3" s="62"/>
      <c r="ET3" s="62"/>
      <c r="EU3" s="62"/>
      <c r="EV3" s="62"/>
      <c r="EW3" s="62"/>
      <c r="EX3" s="62"/>
      <c r="EY3" s="62"/>
      <c r="EZ3" s="62"/>
      <c r="FA3" s="62"/>
      <c r="FB3" s="62"/>
      <c r="FC3" s="62"/>
      <c r="FD3" s="62"/>
      <c r="FE3" s="62"/>
      <c r="FF3" s="62"/>
      <c r="FG3" s="62"/>
      <c r="FH3" s="62"/>
      <c r="FI3" s="62"/>
      <c r="FJ3" s="62"/>
      <c r="FK3" s="62"/>
      <c r="FL3" s="62"/>
      <c r="FM3" s="62"/>
      <c r="FN3" s="62"/>
      <c r="FO3" s="62"/>
      <c r="FP3" s="62"/>
      <c r="FQ3" s="62"/>
      <c r="FR3" s="62"/>
      <c r="FS3" s="62"/>
      <c r="FT3" s="62"/>
      <c r="FU3" s="62"/>
      <c r="FV3" s="62"/>
      <c r="FW3" s="62"/>
      <c r="FX3" s="62"/>
      <c r="FY3" s="62"/>
      <c r="FZ3" s="62"/>
      <c r="GA3" s="62"/>
      <c r="GB3" s="62"/>
      <c r="GC3" s="62"/>
      <c r="GD3" s="62"/>
      <c r="GE3" s="62"/>
      <c r="GF3" s="62"/>
      <c r="GG3" s="62"/>
      <c r="GH3" s="62"/>
      <c r="GI3" s="62"/>
      <c r="GJ3" s="62"/>
      <c r="GK3" s="62"/>
      <c r="GL3" s="62"/>
      <c r="GM3" s="62"/>
      <c r="GN3" s="62"/>
      <c r="GO3" s="62"/>
      <c r="GP3" s="62"/>
      <c r="GQ3" s="62"/>
      <c r="GR3" s="62"/>
      <c r="GS3" s="62"/>
      <c r="GT3" s="62"/>
      <c r="GU3" s="62"/>
      <c r="GV3" s="62"/>
      <c r="GW3" s="62"/>
      <c r="GX3" s="62"/>
      <c r="GY3" s="62"/>
      <c r="GZ3" s="62"/>
      <c r="HA3" s="62"/>
      <c r="HB3" s="62"/>
      <c r="HC3" s="62"/>
      <c r="HD3" s="62"/>
      <c r="HE3" s="62"/>
      <c r="HF3" s="62"/>
      <c r="HG3" s="62"/>
      <c r="HH3" s="62"/>
      <c r="HI3" s="62"/>
      <c r="HJ3" s="62"/>
      <c r="HK3" s="62"/>
      <c r="HL3" s="62"/>
      <c r="HM3" s="62"/>
      <c r="HN3" s="62"/>
      <c r="HO3" s="62"/>
      <c r="HP3" s="62"/>
      <c r="HQ3" s="62"/>
      <c r="HR3" s="62"/>
      <c r="HS3" s="62"/>
      <c r="HT3" s="62"/>
      <c r="HU3" s="62"/>
      <c r="HV3" s="62"/>
      <c r="HW3" s="62"/>
      <c r="HX3" s="62"/>
      <c r="HY3" s="62"/>
      <c r="HZ3" s="62"/>
      <c r="IA3" s="62"/>
      <c r="IB3" s="62"/>
      <c r="IC3" s="62"/>
      <c r="ID3" s="62"/>
      <c r="IE3" s="62"/>
      <c r="IF3" s="62"/>
      <c r="IG3" s="62"/>
      <c r="IH3" s="62"/>
      <c r="II3" s="62"/>
      <c r="IJ3" s="62"/>
      <c r="IK3" s="62"/>
      <c r="IL3" s="62"/>
      <c r="IM3" s="62"/>
      <c r="IN3" s="62"/>
      <c r="IO3" s="62"/>
      <c r="IP3" s="62"/>
      <c r="IQ3" s="62"/>
      <c r="IR3" s="62"/>
      <c r="IS3" s="62"/>
      <c r="IT3" s="62"/>
      <c r="IU3" s="62"/>
      <c r="IV3" s="62"/>
      <c r="IW3" s="62"/>
      <c r="IX3" s="62"/>
      <c r="IY3" s="62"/>
      <c r="IZ3" s="62"/>
      <c r="JA3" s="62"/>
      <c r="JB3" s="62"/>
      <c r="JC3" s="62"/>
      <c r="JD3" s="62"/>
      <c r="JE3" s="62"/>
      <c r="JF3" s="62"/>
      <c r="JG3" s="62"/>
      <c r="JH3" s="62"/>
      <c r="JI3" s="62"/>
      <c r="JJ3" s="62"/>
      <c r="JK3" s="62"/>
      <c r="JL3" s="62"/>
      <c r="JM3" s="62"/>
      <c r="JN3" s="62"/>
      <c r="JO3" s="62"/>
      <c r="JP3" s="62"/>
      <c r="JQ3" s="62"/>
      <c r="JR3" s="62"/>
      <c r="JS3" s="62"/>
      <c r="JT3" s="62"/>
      <c r="JU3" s="62"/>
      <c r="JV3" s="62"/>
      <c r="JW3" s="62"/>
      <c r="JX3" s="62"/>
      <c r="JY3" s="62"/>
      <c r="JZ3" s="62"/>
      <c r="KA3" s="62"/>
      <c r="KB3" s="62"/>
      <c r="KC3" s="62"/>
      <c r="KD3" s="62"/>
      <c r="KE3" s="62"/>
      <c r="KF3" s="62"/>
      <c r="KG3" s="62"/>
      <c r="KH3" s="62"/>
      <c r="KI3" s="62"/>
      <c r="KJ3" s="62"/>
      <c r="KK3" s="62"/>
      <c r="KL3" s="62"/>
      <c r="KM3" s="62"/>
      <c r="KN3" s="62"/>
      <c r="KO3" s="62"/>
      <c r="KP3" s="62"/>
      <c r="KQ3" s="62"/>
      <c r="KR3" s="62"/>
      <c r="KS3" s="62"/>
      <c r="KT3" s="62"/>
      <c r="KU3" s="62"/>
      <c r="KV3" s="62"/>
      <c r="KW3" s="62"/>
      <c r="KX3" s="62"/>
      <c r="KY3" s="62"/>
      <c r="KZ3" s="62"/>
      <c r="LA3" s="62"/>
      <c r="LB3" s="62"/>
      <c r="LC3" s="62"/>
      <c r="LD3" s="62"/>
      <c r="LE3" s="62"/>
      <c r="LF3" s="62"/>
      <c r="LG3" s="62"/>
      <c r="LH3" s="62"/>
      <c r="LI3" s="62"/>
      <c r="LJ3" s="62"/>
      <c r="LK3" s="62"/>
      <c r="LL3" s="62"/>
      <c r="LM3" s="62"/>
      <c r="LN3" s="62"/>
      <c r="LO3" s="62"/>
      <c r="LP3" s="62"/>
      <c r="LQ3" s="62"/>
      <c r="LR3" s="62"/>
      <c r="LS3" s="62"/>
      <c r="LT3" s="62"/>
      <c r="LU3" s="62"/>
      <c r="LV3" s="62"/>
      <c r="LW3" s="62"/>
      <c r="LX3" s="62"/>
      <c r="LY3" s="62"/>
      <c r="LZ3" s="62"/>
      <c r="MA3" s="62"/>
      <c r="MB3" s="62"/>
      <c r="MC3" s="62"/>
      <c r="MD3" s="62"/>
      <c r="ME3" s="62"/>
      <c r="MF3" s="62"/>
      <c r="MG3" s="62"/>
      <c r="MH3" s="62"/>
      <c r="MI3" s="62"/>
      <c r="MJ3" s="62"/>
      <c r="MK3" s="62"/>
      <c r="ML3" s="62"/>
      <c r="MM3" s="62"/>
      <c r="MN3" s="62"/>
      <c r="MO3" s="62"/>
      <c r="MP3" s="62"/>
      <c r="MQ3" s="62"/>
      <c r="MR3" s="62"/>
      <c r="MS3" s="62"/>
      <c r="MT3" s="62"/>
      <c r="MU3" s="62"/>
      <c r="MV3" s="62"/>
      <c r="MW3" s="62"/>
      <c r="MX3" s="62"/>
      <c r="MY3" s="62"/>
      <c r="MZ3" s="62"/>
      <c r="NA3" s="62"/>
      <c r="NB3" s="62"/>
      <c r="NC3" s="62"/>
      <c r="ND3" s="62"/>
      <c r="NE3" s="62"/>
      <c r="NF3" s="62"/>
      <c r="NG3" s="62"/>
      <c r="NH3" s="62"/>
      <c r="NI3" s="62"/>
      <c r="NJ3" s="62"/>
      <c r="NK3" s="62"/>
      <c r="NL3" s="62"/>
      <c r="NM3" s="62"/>
      <c r="NN3" s="62"/>
      <c r="NO3" s="62"/>
      <c r="NP3" s="62"/>
      <c r="NQ3" s="62"/>
      <c r="NR3" s="62"/>
      <c r="NS3" s="62"/>
      <c r="NT3" s="62"/>
      <c r="NU3" s="62"/>
      <c r="NV3" s="62"/>
      <c r="NW3" s="62"/>
      <c r="NX3" s="62"/>
      <c r="NY3" s="62"/>
      <c r="NZ3" s="62"/>
      <c r="OA3" s="62"/>
      <c r="OB3" s="62"/>
      <c r="OC3" s="62"/>
      <c r="OD3" s="62"/>
      <c r="OE3" s="62"/>
      <c r="OF3" s="62"/>
      <c r="OG3" s="62"/>
      <c r="OH3" s="62"/>
      <c r="OI3" s="62"/>
      <c r="OJ3" s="62"/>
      <c r="OK3" s="62"/>
      <c r="OL3" s="62"/>
      <c r="OM3" s="62"/>
      <c r="ON3" s="62"/>
      <c r="OO3" s="62"/>
      <c r="OP3" s="62"/>
      <c r="OQ3" s="62"/>
      <c r="OR3" s="62"/>
      <c r="OS3" s="62"/>
      <c r="OT3" s="62"/>
      <c r="OU3" s="62"/>
      <c r="OV3" s="62"/>
      <c r="OW3" s="62"/>
      <c r="OX3" s="62"/>
      <c r="OY3" s="62"/>
      <c r="OZ3" s="62"/>
      <c r="PA3" s="62"/>
      <c r="PB3" s="62"/>
      <c r="PC3" s="62"/>
      <c r="PD3" s="62"/>
      <c r="PE3" s="62"/>
      <c r="PF3" s="62"/>
      <c r="PG3" s="62"/>
      <c r="PH3" s="62"/>
      <c r="PI3" s="62"/>
      <c r="PJ3" s="62"/>
      <c r="PK3" s="62"/>
      <c r="PL3" s="62"/>
      <c r="PM3" s="62"/>
      <c r="PN3" s="62"/>
      <c r="PO3" s="62"/>
      <c r="PP3" s="62"/>
      <c r="PQ3" s="62"/>
      <c r="PR3" s="62"/>
      <c r="PS3" s="62"/>
      <c r="PT3" s="62"/>
      <c r="PU3" s="62"/>
      <c r="PV3" s="62"/>
      <c r="PW3" s="62"/>
      <c r="PX3" s="62"/>
      <c r="PY3" s="62"/>
      <c r="PZ3" s="62"/>
      <c r="QA3" s="62"/>
      <c r="QB3" s="62"/>
      <c r="QC3" s="62"/>
      <c r="QD3" s="62"/>
      <c r="QE3" s="62"/>
      <c r="QF3" s="62"/>
      <c r="QG3" s="62"/>
      <c r="QH3" s="62"/>
      <c r="QI3" s="62"/>
      <c r="QJ3" s="62"/>
      <c r="QK3" s="62"/>
      <c r="QL3" s="62"/>
      <c r="QM3" s="62"/>
      <c r="QN3" s="62"/>
      <c r="QO3" s="62"/>
      <c r="QP3" s="62"/>
      <c r="QQ3" s="62"/>
      <c r="QR3" s="62"/>
      <c r="QS3" s="62"/>
      <c r="QT3" s="62"/>
      <c r="QU3" s="62"/>
      <c r="QV3" s="62"/>
      <c r="QW3" s="62"/>
      <c r="QX3" s="62"/>
      <c r="QY3" s="62"/>
      <c r="QZ3" s="62"/>
      <c r="RA3" s="62"/>
      <c r="RB3" s="62"/>
      <c r="RC3" s="62"/>
      <c r="RD3" s="62"/>
      <c r="RE3" s="62"/>
      <c r="RF3" s="62"/>
      <c r="RG3" s="62"/>
      <c r="RH3" s="62"/>
      <c r="RI3" s="62"/>
      <c r="RJ3" s="62"/>
      <c r="RK3" s="62"/>
      <c r="RL3" s="62"/>
      <c r="RM3" s="62"/>
      <c r="RN3" s="62"/>
      <c r="RO3" s="62"/>
      <c r="RP3" s="62"/>
      <c r="RQ3" s="62"/>
      <c r="RR3" s="62"/>
      <c r="RS3" s="62"/>
      <c r="RT3" s="62"/>
      <c r="RU3" s="62"/>
      <c r="RV3" s="62"/>
      <c r="RW3" s="62"/>
      <c r="RX3" s="62"/>
      <c r="RY3" s="62"/>
      <c r="RZ3" s="62"/>
      <c r="SA3" s="62"/>
      <c r="SB3" s="62"/>
      <c r="SC3" s="62"/>
      <c r="SD3" s="62"/>
      <c r="SE3" s="62"/>
      <c r="SF3" s="62"/>
      <c r="SG3" s="62"/>
      <c r="SH3" s="62"/>
      <c r="SI3" s="62"/>
      <c r="SJ3" s="62"/>
      <c r="SK3" s="62"/>
      <c r="SL3" s="62"/>
      <c r="SM3" s="62"/>
      <c r="SN3" s="62"/>
      <c r="SO3" s="62"/>
      <c r="SP3" s="62"/>
      <c r="SQ3" s="62"/>
      <c r="SR3" s="62"/>
      <c r="SS3" s="62"/>
      <c r="ST3" s="62"/>
      <c r="SU3" s="62"/>
      <c r="SV3" s="62"/>
      <c r="SW3" s="62"/>
      <c r="SX3" s="62"/>
      <c r="SY3" s="62"/>
      <c r="SZ3" s="62"/>
      <c r="TA3" s="62"/>
      <c r="TB3" s="62"/>
      <c r="TC3" s="62"/>
      <c r="TD3" s="62"/>
      <c r="TE3" s="62"/>
      <c r="TF3" s="62"/>
      <c r="TG3" s="62"/>
      <c r="TH3" s="62"/>
      <c r="TI3" s="62"/>
      <c r="TJ3" s="62"/>
      <c r="TK3" s="62"/>
      <c r="TL3" s="62"/>
      <c r="TM3" s="62"/>
      <c r="TN3" s="62"/>
      <c r="TO3" s="62"/>
      <c r="TP3" s="62"/>
      <c r="TQ3" s="62"/>
      <c r="TR3" s="62"/>
      <c r="TS3" s="62"/>
      <c r="TT3" s="62"/>
      <c r="TU3" s="62"/>
      <c r="TV3" s="62"/>
      <c r="TW3" s="62"/>
      <c r="TX3" s="62"/>
      <c r="TY3" s="62"/>
      <c r="TZ3" s="62"/>
      <c r="UA3" s="62"/>
      <c r="UB3" s="62"/>
      <c r="UC3" s="62"/>
      <c r="UD3" s="62"/>
      <c r="UE3" s="62"/>
      <c r="UF3" s="62"/>
      <c r="UG3" s="62"/>
      <c r="UH3" s="62"/>
      <c r="UI3" s="62"/>
      <c r="UJ3" s="62"/>
      <c r="UK3" s="62"/>
      <c r="UL3" s="62"/>
      <c r="UM3" s="62"/>
      <c r="UN3" s="62"/>
      <c r="UO3" s="62"/>
      <c r="UP3" s="62"/>
      <c r="UQ3" s="62"/>
      <c r="UR3" s="62"/>
      <c r="US3" s="62"/>
      <c r="UT3" s="62"/>
      <c r="UU3" s="62"/>
      <c r="UV3" s="62"/>
      <c r="UW3" s="62"/>
      <c r="UX3" s="62"/>
      <c r="UY3" s="62"/>
      <c r="UZ3" s="62"/>
      <c r="VA3" s="62"/>
      <c r="VB3" s="62"/>
      <c r="VC3" s="62"/>
      <c r="VD3" s="62"/>
      <c r="VE3" s="62"/>
      <c r="VF3" s="62"/>
      <c r="VG3" s="62"/>
      <c r="VH3" s="62"/>
      <c r="VI3" s="62"/>
      <c r="VJ3" s="62"/>
      <c r="VK3" s="62"/>
      <c r="VL3" s="62"/>
      <c r="VM3" s="62"/>
      <c r="VN3" s="62"/>
      <c r="VO3" s="62"/>
      <c r="VP3" s="62"/>
      <c r="VQ3" s="62"/>
      <c r="VR3" s="62"/>
      <c r="VS3" s="62"/>
      <c r="VT3" s="62"/>
      <c r="VU3" s="62"/>
      <c r="VV3" s="62"/>
      <c r="VW3" s="62"/>
      <c r="VX3" s="62"/>
      <c r="VY3" s="62"/>
      <c r="VZ3" s="62"/>
      <c r="WA3" s="62"/>
      <c r="WB3" s="62"/>
      <c r="WC3" s="62"/>
      <c r="WD3" s="62"/>
      <c r="WE3" s="62"/>
      <c r="WF3" s="62"/>
      <c r="WG3" s="62"/>
      <c r="WH3" s="62"/>
      <c r="WI3" s="62"/>
      <c r="WJ3" s="62"/>
      <c r="WK3" s="62"/>
      <c r="WL3" s="62"/>
      <c r="WM3" s="62"/>
      <c r="WN3" s="62"/>
      <c r="WO3" s="62"/>
      <c r="WP3" s="62"/>
      <c r="WQ3" s="62"/>
      <c r="WR3" s="62"/>
      <c r="WS3" s="62"/>
      <c r="WT3" s="62"/>
      <c r="WU3" s="62"/>
      <c r="WV3" s="62"/>
      <c r="WW3" s="62"/>
      <c r="WX3" s="62"/>
      <c r="WY3" s="62"/>
      <c r="WZ3" s="62"/>
      <c r="XA3" s="62"/>
      <c r="XB3" s="62"/>
      <c r="XC3" s="62"/>
      <c r="XD3" s="62"/>
      <c r="XE3" s="62"/>
      <c r="XF3" s="62"/>
      <c r="XG3" s="62"/>
      <c r="XH3" s="62"/>
      <c r="XI3" s="62"/>
      <c r="XJ3" s="62"/>
      <c r="XK3" s="62"/>
      <c r="XL3" s="62"/>
      <c r="XM3" s="62"/>
      <c r="XN3" s="62"/>
      <c r="XO3" s="62"/>
      <c r="XP3" s="62"/>
      <c r="XQ3" s="62"/>
      <c r="XR3" s="62"/>
      <c r="XS3" s="62"/>
      <c r="XT3" s="62"/>
      <c r="XU3" s="62"/>
      <c r="XV3" s="62"/>
      <c r="XW3" s="62"/>
      <c r="XX3" s="62"/>
      <c r="XY3" s="62"/>
      <c r="XZ3" s="62"/>
      <c r="YA3" s="62"/>
      <c r="YB3" s="62"/>
      <c r="YC3" s="62"/>
      <c r="YD3" s="62"/>
      <c r="YE3" s="62"/>
      <c r="YF3" s="62"/>
      <c r="YG3" s="62"/>
      <c r="YH3" s="62"/>
      <c r="YI3" s="62"/>
      <c r="YJ3" s="62"/>
      <c r="YK3" s="62"/>
      <c r="YL3" s="62"/>
      <c r="YM3" s="62"/>
      <c r="YN3" s="62"/>
      <c r="YO3" s="62"/>
      <c r="YP3" s="62"/>
      <c r="YQ3" s="62"/>
      <c r="YR3" s="62"/>
      <c r="YS3" s="62"/>
      <c r="YT3" s="62"/>
      <c r="YU3" s="62"/>
      <c r="YV3" s="62"/>
      <c r="YW3" s="62"/>
      <c r="YX3" s="62"/>
      <c r="YY3" s="62"/>
      <c r="YZ3" s="62"/>
      <c r="ZA3" s="62"/>
      <c r="ZB3" s="62"/>
      <c r="ZC3" s="62"/>
      <c r="ZD3" s="62"/>
      <c r="ZE3" s="62"/>
      <c r="ZF3" s="62"/>
      <c r="ZG3" s="62"/>
      <c r="ZH3" s="62"/>
      <c r="ZI3" s="62"/>
      <c r="ZJ3" s="62"/>
      <c r="ZK3" s="62"/>
      <c r="ZL3" s="62"/>
      <c r="ZM3" s="62"/>
      <c r="ZN3" s="62"/>
      <c r="ZO3" s="62"/>
      <c r="ZP3" s="62"/>
      <c r="ZQ3" s="62"/>
      <c r="ZR3" s="62"/>
      <c r="ZS3" s="62"/>
      <c r="ZT3" s="62"/>
      <c r="ZU3" s="62"/>
      <c r="ZV3" s="62"/>
      <c r="ZW3" s="62"/>
      <c r="ZX3" s="62"/>
      <c r="ZY3" s="62"/>
      <c r="ZZ3" s="62"/>
      <c r="AAA3" s="62"/>
      <c r="AAB3" s="62"/>
      <c r="AAC3" s="62"/>
      <c r="AAD3" s="62"/>
      <c r="AAE3" s="62"/>
      <c r="AAF3" s="62"/>
      <c r="AAG3" s="62"/>
      <c r="AAH3" s="62"/>
      <c r="AAI3" s="62"/>
      <c r="AAJ3" s="62"/>
      <c r="AAK3" s="62"/>
      <c r="AAL3" s="62"/>
      <c r="AAM3" s="62"/>
      <c r="AAN3" s="62"/>
      <c r="AAO3" s="62"/>
      <c r="AAP3" s="62"/>
      <c r="AAQ3" s="62"/>
      <c r="AAR3" s="62"/>
      <c r="AAS3" s="62"/>
      <c r="AAT3" s="62"/>
      <c r="AAU3" s="62"/>
      <c r="AAV3" s="62"/>
      <c r="AAW3" s="62"/>
      <c r="AAX3" s="62"/>
      <c r="AAY3" s="62"/>
      <c r="AAZ3" s="62"/>
      <c r="ABA3" s="62"/>
      <c r="ABB3" s="62"/>
      <c r="ABC3" s="62"/>
      <c r="ABD3" s="62"/>
      <c r="ABE3" s="62"/>
      <c r="ABF3" s="62"/>
      <c r="ABG3" s="62"/>
      <c r="ABH3" s="62"/>
      <c r="ABI3" s="62"/>
      <c r="ABJ3" s="62"/>
      <c r="ABK3" s="62"/>
      <c r="ABL3" s="62"/>
      <c r="ABM3" s="62"/>
      <c r="ABN3" s="62"/>
      <c r="ABO3" s="62"/>
      <c r="ABP3" s="62"/>
      <c r="ABQ3" s="62"/>
      <c r="ABR3" s="62"/>
      <c r="ABS3" s="62"/>
      <c r="ABT3" s="62"/>
      <c r="ABU3" s="62"/>
      <c r="ABV3" s="62"/>
      <c r="ABW3" s="62"/>
      <c r="ABX3" s="62"/>
      <c r="ABY3" s="62"/>
      <c r="ABZ3" s="62"/>
      <c r="ACA3" s="62"/>
      <c r="ACB3" s="62"/>
      <c r="ACC3" s="62"/>
      <c r="ACD3" s="62"/>
      <c r="ACE3" s="62"/>
      <c r="ACF3" s="62"/>
      <c r="ACG3" s="62"/>
      <c r="ACH3" s="62"/>
      <c r="ACI3" s="62"/>
      <c r="ACJ3" s="62"/>
      <c r="ACK3" s="62"/>
      <c r="ACL3" s="62"/>
      <c r="ACM3" s="62"/>
      <c r="ACN3" s="62"/>
      <c r="ACO3" s="62"/>
      <c r="ACP3" s="62"/>
      <c r="ACQ3" s="62"/>
      <c r="ACR3" s="62"/>
      <c r="ACS3" s="62"/>
      <c r="ACT3" s="62"/>
      <c r="ACU3" s="62"/>
      <c r="ACV3" s="62"/>
      <c r="ACW3" s="62"/>
      <c r="ACX3" s="62"/>
      <c r="ACY3" s="62"/>
      <c r="ACZ3" s="62"/>
      <c r="ADA3" s="62"/>
      <c r="ADB3" s="62"/>
      <c r="ADC3" s="62"/>
      <c r="ADD3" s="62"/>
      <c r="ADE3" s="62"/>
      <c r="ADF3" s="62"/>
      <c r="ADG3" s="62"/>
      <c r="ADH3" s="62"/>
      <c r="ADI3" s="62"/>
      <c r="ADJ3" s="62"/>
      <c r="ADK3" s="62"/>
      <c r="ADL3" s="62"/>
      <c r="ADM3" s="62"/>
      <c r="ADN3" s="62"/>
      <c r="ADO3" s="62"/>
      <c r="ADP3" s="62"/>
      <c r="ADQ3" s="62"/>
      <c r="ADR3" s="62"/>
      <c r="ADS3" s="62"/>
      <c r="ADT3" s="62"/>
      <c r="ADU3" s="62"/>
      <c r="ADV3" s="62"/>
      <c r="ADW3" s="62"/>
      <c r="ADX3" s="62"/>
      <c r="ADY3" s="62"/>
      <c r="ADZ3" s="62"/>
      <c r="AEA3" s="62"/>
      <c r="AEB3" s="62"/>
      <c r="AEC3" s="62"/>
      <c r="AED3" s="62"/>
      <c r="AEE3" s="62"/>
      <c r="AEF3" s="62"/>
      <c r="AEG3" s="62"/>
      <c r="AEH3" s="62"/>
      <c r="AEI3" s="62"/>
      <c r="AEJ3" s="62"/>
      <c r="AEK3" s="62"/>
      <c r="AEL3" s="62"/>
      <c r="AEM3" s="62"/>
      <c r="AEN3" s="62"/>
      <c r="AEO3" s="62"/>
      <c r="AEP3" s="62"/>
      <c r="AEQ3" s="62"/>
      <c r="AER3" s="62"/>
      <c r="AES3" s="62"/>
      <c r="AET3" s="62"/>
      <c r="AEU3" s="62"/>
      <c r="AEV3" s="62"/>
      <c r="AEW3" s="62"/>
      <c r="AEX3" s="62"/>
      <c r="AEY3" s="62"/>
      <c r="AEZ3" s="62"/>
      <c r="AFA3" s="62"/>
      <c r="AFB3" s="62"/>
      <c r="AFC3" s="62"/>
      <c r="AFD3" s="62"/>
      <c r="AFE3" s="62"/>
      <c r="AFF3" s="62"/>
      <c r="AFG3" s="62"/>
      <c r="AFH3" s="62"/>
      <c r="AFI3" s="62"/>
      <c r="AFJ3" s="62"/>
      <c r="AFK3" s="62"/>
      <c r="AFL3" s="62"/>
      <c r="AFM3" s="62"/>
      <c r="AFN3" s="62"/>
      <c r="AFO3" s="62"/>
      <c r="AFP3" s="62"/>
      <c r="AFQ3" s="62"/>
      <c r="AFR3" s="62"/>
      <c r="AFS3" s="62"/>
      <c r="AFT3" s="62"/>
      <c r="AFU3" s="62"/>
      <c r="AFV3" s="62"/>
      <c r="AFW3" s="62"/>
      <c r="AFX3" s="62"/>
      <c r="AFY3" s="62"/>
      <c r="AFZ3" s="62"/>
      <c r="AGA3" s="62"/>
      <c r="AGB3" s="62"/>
      <c r="AGC3" s="62"/>
      <c r="AGD3" s="62"/>
      <c r="AGE3" s="62"/>
      <c r="AGF3" s="62"/>
      <c r="AGG3" s="62"/>
      <c r="AGH3" s="62"/>
      <c r="AGI3" s="62"/>
      <c r="AGJ3" s="62"/>
      <c r="AGK3" s="62"/>
      <c r="AGL3" s="62"/>
      <c r="AGM3" s="62"/>
      <c r="AGN3" s="62"/>
      <c r="AGO3" s="62"/>
      <c r="AGP3" s="62"/>
      <c r="AGQ3" s="62"/>
      <c r="AGR3" s="62"/>
      <c r="AGS3" s="62"/>
      <c r="AGT3" s="62"/>
      <c r="AGU3" s="62"/>
      <c r="AGV3" s="62"/>
      <c r="AGW3" s="62"/>
      <c r="AGX3" s="62"/>
      <c r="AGY3" s="62"/>
      <c r="AGZ3" s="62"/>
      <c r="AHA3" s="62"/>
      <c r="AHB3" s="62"/>
      <c r="AHC3" s="62"/>
      <c r="AHD3" s="62"/>
      <c r="AHE3" s="62"/>
      <c r="AHF3" s="62"/>
      <c r="AHG3" s="62"/>
      <c r="AHH3" s="62"/>
      <c r="AHI3" s="62"/>
      <c r="AHJ3" s="62"/>
      <c r="AHK3" s="62"/>
      <c r="AHL3" s="62"/>
      <c r="AHM3" s="62"/>
      <c r="AHN3" s="62"/>
      <c r="AHO3" s="62"/>
      <c r="AHP3" s="62"/>
      <c r="AHQ3" s="62"/>
      <c r="AHR3" s="62"/>
      <c r="AHS3" s="62"/>
      <c r="AHT3" s="62"/>
      <c r="AHU3" s="62"/>
      <c r="AHV3" s="62"/>
      <c r="AHW3" s="62"/>
      <c r="AHX3" s="62"/>
      <c r="AHY3" s="62"/>
      <c r="AHZ3" s="62"/>
      <c r="AIA3" s="62"/>
      <c r="AIB3" s="62"/>
      <c r="AIC3" s="62"/>
      <c r="AID3" s="62"/>
      <c r="AIE3" s="62"/>
      <c r="AIF3" s="62"/>
      <c r="AIG3" s="62"/>
      <c r="AIH3" s="62"/>
      <c r="AII3" s="62"/>
      <c r="AIJ3" s="62"/>
      <c r="AIK3" s="62"/>
      <c r="AIL3" s="62"/>
      <c r="AIM3" s="62"/>
      <c r="AIN3" s="62"/>
      <c r="AIO3" s="62"/>
      <c r="AIP3" s="62"/>
      <c r="AIQ3" s="62"/>
      <c r="AIR3" s="62"/>
      <c r="AIS3" s="62"/>
      <c r="AIT3" s="62"/>
      <c r="AIU3" s="62"/>
      <c r="AIV3" s="62"/>
      <c r="AIW3" s="62"/>
      <c r="AIX3" s="62"/>
      <c r="AIY3" s="62"/>
      <c r="AIZ3" s="62"/>
      <c r="AJA3" s="62"/>
      <c r="AJB3" s="62"/>
      <c r="AJC3" s="62"/>
      <c r="AJD3" s="62"/>
      <c r="AJE3" s="62"/>
      <c r="AJF3" s="62"/>
      <c r="AJG3" s="62"/>
      <c r="AJH3" s="62"/>
      <c r="AJI3" s="62"/>
      <c r="AJJ3" s="62"/>
      <c r="AJK3" s="62"/>
      <c r="AJL3" s="62"/>
      <c r="AJM3" s="62"/>
      <c r="AJN3" s="62"/>
      <c r="AJO3" s="62"/>
      <c r="AJP3" s="62"/>
      <c r="AJQ3" s="62"/>
      <c r="AJR3" s="62"/>
      <c r="AJS3" s="62"/>
      <c r="AJT3" s="62"/>
      <c r="AJU3" s="62"/>
      <c r="AJV3" s="62"/>
      <c r="AJW3" s="62"/>
      <c r="AJX3" s="62"/>
      <c r="AJY3" s="62"/>
      <c r="AJZ3" s="62"/>
      <c r="AKA3" s="62"/>
      <c r="AKB3" s="62"/>
      <c r="AKC3" s="62"/>
      <c r="AKD3" s="62"/>
      <c r="AKE3" s="62"/>
      <c r="AKF3" s="62"/>
      <c r="AKG3" s="62"/>
      <c r="AKH3" s="62"/>
      <c r="AKI3" s="62"/>
      <c r="AKJ3" s="62"/>
      <c r="AKK3" s="62"/>
      <c r="AKL3" s="62"/>
      <c r="AKM3" s="62"/>
      <c r="AKN3" s="62"/>
      <c r="AKO3" s="62"/>
      <c r="AKP3" s="62"/>
      <c r="AKQ3" s="62"/>
      <c r="AKR3" s="62"/>
      <c r="AKS3" s="62"/>
      <c r="AKT3" s="62"/>
      <c r="AKU3" s="62"/>
      <c r="AKV3" s="62"/>
      <c r="AKW3" s="62"/>
      <c r="AKX3" s="62"/>
      <c r="AKY3" s="62"/>
      <c r="AKZ3" s="62"/>
      <c r="ALA3" s="62"/>
      <c r="ALB3" s="62"/>
      <c r="ALC3" s="62"/>
      <c r="ALD3" s="62"/>
      <c r="ALE3" s="62"/>
      <c r="ALF3" s="62"/>
      <c r="ALG3" s="62"/>
      <c r="ALH3" s="62"/>
      <c r="ALI3" s="62"/>
      <c r="ALJ3" s="62"/>
      <c r="ALK3" s="62"/>
      <c r="ALL3" s="62"/>
      <c r="ALM3" s="62"/>
      <c r="ALN3" s="62"/>
      <c r="ALO3" s="62"/>
      <c r="ALP3" s="62"/>
      <c r="ALQ3" s="62"/>
      <c r="ALR3" s="62"/>
      <c r="ALS3" s="62"/>
      <c r="ALT3" s="62"/>
      <c r="ALU3" s="62"/>
      <c r="ALV3" s="62"/>
      <c r="ALW3" s="62"/>
      <c r="ALX3" s="62"/>
      <c r="ALY3" s="62"/>
      <c r="ALZ3" s="62"/>
      <c r="AMA3" s="62"/>
      <c r="AMB3" s="62"/>
      <c r="AMC3" s="62"/>
      <c r="AMD3" s="62"/>
      <c r="AME3" s="62"/>
      <c r="AMF3" s="62"/>
      <c r="AMG3" s="62"/>
      <c r="AMH3" s="62"/>
      <c r="AMI3" s="62"/>
      <c r="AMJ3" s="62"/>
      <c r="AMK3" s="62"/>
      <c r="AML3" s="62"/>
      <c r="AMM3" s="62"/>
      <c r="AMN3" s="62"/>
      <c r="AMO3" s="62"/>
      <c r="AMP3" s="62"/>
      <c r="AMQ3" s="62"/>
      <c r="AMR3" s="62"/>
      <c r="AMS3" s="62"/>
      <c r="AMT3" s="62"/>
      <c r="AMU3" s="62"/>
      <c r="AMV3" s="62"/>
      <c r="AMW3" s="62"/>
      <c r="AMX3" s="62"/>
      <c r="AMY3" s="62"/>
      <c r="AMZ3" s="62"/>
      <c r="ANA3" s="62"/>
      <c r="ANB3" s="62"/>
      <c r="ANC3" s="62"/>
      <c r="AND3" s="62"/>
      <c r="ANE3" s="62"/>
      <c r="ANF3" s="62"/>
      <c r="ANG3" s="62"/>
      <c r="ANH3" s="62"/>
      <c r="ANI3" s="62"/>
      <c r="ANJ3" s="62"/>
      <c r="ANK3" s="62"/>
      <c r="ANL3" s="62"/>
      <c r="ANM3" s="62"/>
      <c r="ANN3" s="62"/>
      <c r="ANO3" s="62"/>
      <c r="ANP3" s="62"/>
      <c r="ANQ3" s="62"/>
      <c r="ANR3" s="62"/>
      <c r="ANS3" s="62"/>
      <c r="ANT3" s="62"/>
      <c r="ANU3" s="62"/>
      <c r="ANV3" s="62"/>
      <c r="ANW3" s="62"/>
      <c r="ANX3" s="62"/>
      <c r="ANY3" s="62"/>
      <c r="ANZ3" s="62"/>
      <c r="AOA3" s="62"/>
      <c r="AOB3" s="62"/>
      <c r="AOC3" s="62"/>
      <c r="AOD3" s="62"/>
      <c r="AOE3" s="62"/>
      <c r="AOF3" s="62"/>
      <c r="AOG3" s="62"/>
      <c r="AOH3" s="62"/>
      <c r="AOI3" s="62"/>
      <c r="AOJ3" s="62"/>
      <c r="AOK3" s="62"/>
      <c r="AOL3" s="62"/>
      <c r="AOM3" s="62"/>
      <c r="AON3" s="62"/>
      <c r="AOO3" s="62"/>
      <c r="AOP3" s="62"/>
      <c r="AOQ3" s="62"/>
      <c r="AOR3" s="62"/>
      <c r="AOS3" s="62"/>
      <c r="AOT3" s="62"/>
      <c r="AOU3" s="62"/>
      <c r="AOV3" s="62"/>
      <c r="AOW3" s="62"/>
      <c r="AOX3" s="62"/>
      <c r="AOY3" s="62"/>
      <c r="AOZ3" s="62"/>
      <c r="APA3" s="62"/>
      <c r="APB3" s="62"/>
      <c r="APC3" s="62"/>
      <c r="APD3" s="62"/>
      <c r="APE3" s="62"/>
      <c r="APF3" s="62"/>
      <c r="APG3" s="62"/>
      <c r="APH3" s="62"/>
      <c r="API3" s="62"/>
      <c r="APJ3" s="62"/>
      <c r="APK3" s="62"/>
      <c r="APL3" s="62"/>
      <c r="APM3" s="62"/>
      <c r="APN3" s="62"/>
      <c r="APO3" s="62"/>
      <c r="APP3" s="62"/>
      <c r="APQ3" s="62"/>
      <c r="APR3" s="62"/>
      <c r="APS3" s="62"/>
      <c r="APT3" s="62"/>
      <c r="APU3" s="62"/>
      <c r="APV3" s="62"/>
      <c r="APW3" s="62"/>
      <c r="APX3" s="62"/>
      <c r="APY3" s="62"/>
      <c r="APZ3" s="62"/>
      <c r="AQA3" s="62"/>
      <c r="AQB3" s="62"/>
      <c r="AQC3" s="62"/>
      <c r="AQD3" s="62"/>
      <c r="AQE3" s="62"/>
      <c r="AQF3" s="62"/>
      <c r="AQG3" s="62"/>
      <c r="AQH3" s="62"/>
      <c r="AQI3" s="62"/>
      <c r="AQJ3" s="62"/>
      <c r="AQK3" s="62"/>
      <c r="AQL3" s="62"/>
      <c r="AQM3" s="62"/>
      <c r="AQN3" s="62"/>
      <c r="AQO3" s="62"/>
      <c r="AQP3" s="62"/>
      <c r="AQQ3" s="62"/>
      <c r="AQR3" s="62"/>
      <c r="AQS3" s="62"/>
      <c r="AQT3" s="62"/>
      <c r="AQU3" s="62"/>
      <c r="AQV3" s="62"/>
      <c r="AQW3" s="62"/>
      <c r="AQX3" s="62"/>
      <c r="AQY3" s="62"/>
      <c r="AQZ3" s="62"/>
      <c r="ARA3" s="62"/>
      <c r="ARB3" s="62"/>
      <c r="ARC3" s="62"/>
      <c r="ARD3" s="62"/>
      <c r="ARE3" s="62"/>
      <c r="ARF3" s="62"/>
      <c r="ARG3" s="62"/>
      <c r="ARH3" s="62"/>
      <c r="ARI3" s="62"/>
      <c r="ARJ3" s="62"/>
      <c r="ARK3" s="62"/>
      <c r="ARL3" s="62"/>
      <c r="ARM3" s="62"/>
      <c r="ARN3" s="62"/>
      <c r="ARO3" s="62"/>
      <c r="ARP3" s="62"/>
      <c r="ARQ3" s="62"/>
      <c r="ARR3" s="62"/>
      <c r="ARS3" s="62"/>
      <c r="ART3" s="62"/>
      <c r="ARU3" s="62"/>
      <c r="ARV3" s="62"/>
      <c r="ARW3" s="62"/>
      <c r="ARX3" s="62"/>
      <c r="ARY3" s="62"/>
      <c r="ARZ3" s="62"/>
      <c r="ASA3" s="62"/>
      <c r="ASB3" s="62"/>
      <c r="ASC3" s="62"/>
      <c r="ASD3" s="62"/>
      <c r="ASE3" s="62"/>
      <c r="ASF3" s="62"/>
      <c r="ASG3" s="62"/>
      <c r="ASH3" s="62"/>
      <c r="ASI3" s="62"/>
      <c r="ASJ3" s="62"/>
      <c r="ASK3" s="62"/>
      <c r="ASL3" s="62"/>
      <c r="ASM3" s="62"/>
      <c r="ASN3" s="62"/>
      <c r="ASO3" s="62"/>
      <c r="ASP3" s="62"/>
      <c r="ASQ3" s="62"/>
      <c r="ASR3" s="62"/>
      <c r="ASS3" s="62"/>
      <c r="AST3" s="62"/>
      <c r="ASU3" s="62"/>
      <c r="ASV3" s="62"/>
      <c r="ASW3" s="62"/>
      <c r="ASX3" s="62"/>
      <c r="ASY3" s="62"/>
      <c r="ASZ3" s="62"/>
      <c r="ATA3" s="62"/>
      <c r="ATB3" s="62"/>
      <c r="ATC3" s="62"/>
      <c r="ATD3" s="62"/>
      <c r="ATE3" s="62"/>
      <c r="ATF3" s="62"/>
      <c r="ATG3" s="62"/>
      <c r="ATH3" s="62"/>
      <c r="ATI3" s="62"/>
      <c r="ATJ3" s="62"/>
      <c r="ATK3" s="62"/>
      <c r="ATL3" s="62"/>
      <c r="ATM3" s="62"/>
      <c r="ATN3" s="62"/>
      <c r="ATO3" s="62"/>
      <c r="ATP3" s="62"/>
      <c r="ATQ3" s="62"/>
      <c r="ATR3" s="62"/>
      <c r="ATS3" s="62"/>
      <c r="ATT3" s="62"/>
      <c r="ATU3" s="62"/>
      <c r="ATV3" s="62"/>
      <c r="ATW3" s="62"/>
      <c r="ATX3" s="62"/>
      <c r="ATY3" s="62"/>
      <c r="ATZ3" s="62"/>
      <c r="AUA3" s="62"/>
      <c r="AUB3" s="62"/>
      <c r="AUC3" s="62"/>
      <c r="AUD3" s="62"/>
      <c r="AUE3" s="62"/>
      <c r="AUF3" s="62"/>
      <c r="AUG3" s="62"/>
      <c r="AUH3" s="62"/>
      <c r="AUI3" s="62"/>
      <c r="AUJ3" s="62"/>
      <c r="AUK3" s="62"/>
      <c r="AUL3" s="62"/>
      <c r="AUM3" s="62"/>
      <c r="AUN3" s="62"/>
      <c r="AUO3" s="62"/>
      <c r="AUP3" s="62"/>
      <c r="AUQ3" s="62"/>
      <c r="AUR3" s="62"/>
      <c r="AUS3" s="62"/>
      <c r="AUT3" s="62"/>
      <c r="AUU3" s="62"/>
      <c r="AUV3" s="62"/>
      <c r="AUW3" s="62"/>
      <c r="AUX3" s="62"/>
      <c r="AUY3" s="62"/>
      <c r="AUZ3" s="62"/>
      <c r="AVA3" s="62"/>
      <c r="AVB3" s="62"/>
      <c r="AVC3" s="62"/>
      <c r="AVD3" s="62"/>
      <c r="AVE3" s="62"/>
      <c r="AVF3" s="62"/>
      <c r="AVG3" s="62"/>
      <c r="AVH3" s="62"/>
      <c r="AVI3" s="62"/>
      <c r="AVJ3" s="62"/>
      <c r="AVK3" s="62"/>
      <c r="AVL3" s="62"/>
      <c r="AVM3" s="62"/>
      <c r="AVN3" s="62"/>
      <c r="AVO3" s="62"/>
      <c r="AVP3" s="62"/>
      <c r="AVQ3" s="62"/>
      <c r="AVR3" s="62"/>
      <c r="AVS3" s="62"/>
      <c r="AVT3" s="62"/>
      <c r="AVU3" s="62"/>
      <c r="AVV3" s="62"/>
      <c r="AVW3" s="62"/>
      <c r="AVX3" s="62"/>
      <c r="AVY3" s="62"/>
      <c r="AVZ3" s="62"/>
      <c r="AWA3" s="62"/>
      <c r="AWB3" s="62"/>
      <c r="AWC3" s="62"/>
      <c r="AWD3" s="62"/>
      <c r="AWE3" s="62"/>
      <c r="AWF3" s="62"/>
      <c r="AWG3" s="62"/>
      <c r="AWH3" s="62"/>
      <c r="AWI3" s="62"/>
      <c r="AWJ3" s="62"/>
      <c r="AWK3" s="62"/>
      <c r="AWL3" s="62"/>
      <c r="AWM3" s="62"/>
      <c r="AWN3" s="62"/>
      <c r="AWO3" s="62"/>
      <c r="AWP3" s="62"/>
      <c r="AWQ3" s="62"/>
      <c r="AWR3" s="62"/>
      <c r="AWS3" s="62"/>
      <c r="AWT3" s="62"/>
      <c r="AWU3" s="62"/>
      <c r="AWV3" s="62"/>
      <c r="AWW3" s="62"/>
      <c r="AWX3" s="62"/>
      <c r="AWY3" s="62"/>
      <c r="AWZ3" s="62"/>
      <c r="AXA3" s="62"/>
      <c r="AXB3" s="62"/>
      <c r="AXC3" s="62"/>
      <c r="AXD3" s="62"/>
      <c r="AXE3" s="62"/>
      <c r="AXF3" s="62"/>
      <c r="AXG3" s="62"/>
      <c r="AXH3" s="62"/>
      <c r="AXI3" s="62"/>
      <c r="AXJ3" s="62"/>
      <c r="AXK3" s="62"/>
      <c r="AXL3" s="62"/>
      <c r="AXM3" s="62"/>
      <c r="AXN3" s="62"/>
      <c r="AXO3" s="62"/>
      <c r="AXP3" s="62"/>
      <c r="AXQ3" s="62"/>
      <c r="AXR3" s="62"/>
      <c r="AXS3" s="62"/>
      <c r="AXT3" s="62"/>
      <c r="AXU3" s="62"/>
      <c r="AXV3" s="62"/>
      <c r="AXW3" s="62"/>
      <c r="AXX3" s="62"/>
      <c r="AXY3" s="62"/>
      <c r="AXZ3" s="62"/>
      <c r="AYA3" s="62"/>
      <c r="AYB3" s="62"/>
      <c r="AYC3" s="62"/>
      <c r="AYD3" s="62"/>
      <c r="AYE3" s="62"/>
      <c r="AYF3" s="62"/>
      <c r="AYG3" s="62"/>
      <c r="AYH3" s="62"/>
      <c r="AYI3" s="62"/>
      <c r="AYJ3" s="62"/>
      <c r="AYK3" s="62"/>
      <c r="AYL3" s="62"/>
      <c r="AYM3" s="62"/>
      <c r="AYN3" s="62"/>
      <c r="AYO3" s="62"/>
      <c r="AYP3" s="62"/>
      <c r="AYQ3" s="62"/>
      <c r="AYR3" s="62"/>
      <c r="AYS3" s="62"/>
      <c r="AYT3" s="62"/>
      <c r="AYU3" s="62"/>
      <c r="AYV3" s="62"/>
      <c r="AYW3" s="62"/>
      <c r="AYX3" s="62"/>
      <c r="AYY3" s="62"/>
      <c r="AYZ3" s="62"/>
      <c r="AZA3" s="62"/>
      <c r="AZB3" s="62"/>
      <c r="AZC3" s="62"/>
      <c r="AZD3" s="62"/>
      <c r="AZE3" s="62"/>
      <c r="AZF3" s="62"/>
      <c r="AZG3" s="62"/>
      <c r="AZH3" s="62"/>
      <c r="AZI3" s="62"/>
      <c r="AZJ3" s="62"/>
      <c r="AZK3" s="62"/>
      <c r="AZL3" s="62"/>
      <c r="AZM3" s="62"/>
      <c r="AZN3" s="62"/>
      <c r="AZO3" s="62"/>
      <c r="AZP3" s="62"/>
      <c r="AZQ3" s="62"/>
      <c r="AZR3" s="62"/>
      <c r="AZS3" s="62"/>
      <c r="AZT3" s="62"/>
      <c r="AZU3" s="62"/>
      <c r="AZV3" s="62"/>
      <c r="AZW3" s="62"/>
      <c r="AZX3" s="62"/>
      <c r="AZY3" s="62"/>
      <c r="AZZ3" s="62"/>
      <c r="BAA3" s="62"/>
      <c r="BAB3" s="62"/>
      <c r="BAC3" s="62"/>
      <c r="BAD3" s="62"/>
      <c r="BAE3" s="62"/>
      <c r="BAF3" s="62"/>
      <c r="BAG3" s="62"/>
      <c r="BAH3" s="62"/>
      <c r="BAI3" s="62"/>
      <c r="BAJ3" s="62"/>
      <c r="BAK3" s="62"/>
      <c r="BAL3" s="62"/>
      <c r="BAM3" s="62"/>
      <c r="BAN3" s="62"/>
      <c r="BAO3" s="62"/>
      <c r="BAP3" s="62"/>
      <c r="BAQ3" s="62"/>
      <c r="BAR3" s="62"/>
      <c r="BAS3" s="62"/>
      <c r="BAT3" s="62"/>
      <c r="BAU3" s="62"/>
      <c r="BAV3" s="62"/>
      <c r="BAW3" s="62"/>
      <c r="BAX3" s="62"/>
      <c r="BAY3" s="62"/>
      <c r="BAZ3" s="62"/>
      <c r="BBA3" s="62"/>
      <c r="BBB3" s="62"/>
      <c r="BBC3" s="62"/>
      <c r="BBD3" s="62"/>
      <c r="BBE3" s="62"/>
      <c r="BBF3" s="62"/>
      <c r="BBG3" s="62"/>
      <c r="BBH3" s="62"/>
      <c r="BBI3" s="62"/>
      <c r="BBJ3" s="62"/>
      <c r="BBK3" s="62"/>
      <c r="BBL3" s="62"/>
      <c r="BBM3" s="62"/>
      <c r="BBN3" s="62"/>
      <c r="BBO3" s="62"/>
      <c r="BBP3" s="62"/>
      <c r="BBQ3" s="62"/>
      <c r="BBR3" s="62"/>
      <c r="BBS3" s="62"/>
      <c r="BBT3" s="62"/>
      <c r="BBU3" s="62"/>
      <c r="BBV3" s="62"/>
      <c r="BBW3" s="62"/>
      <c r="BBX3" s="62"/>
      <c r="BBY3" s="62"/>
      <c r="BBZ3" s="62"/>
      <c r="BCA3" s="62"/>
      <c r="BCB3" s="62"/>
      <c r="BCC3" s="62"/>
      <c r="BCD3" s="62"/>
      <c r="BCE3" s="62"/>
      <c r="BCF3" s="62"/>
      <c r="BCG3" s="62"/>
      <c r="BCH3" s="62"/>
      <c r="BCI3" s="62"/>
      <c r="BCJ3" s="62"/>
      <c r="BCK3" s="62"/>
      <c r="BCL3" s="62"/>
      <c r="BCM3" s="62"/>
      <c r="BCN3" s="62"/>
      <c r="BCO3" s="62"/>
      <c r="BCP3" s="62"/>
      <c r="BCQ3" s="62"/>
      <c r="BCR3" s="62"/>
      <c r="BCS3" s="62"/>
      <c r="BCT3" s="62"/>
      <c r="BCU3" s="62"/>
      <c r="BCV3" s="62"/>
      <c r="BCW3" s="62"/>
      <c r="BCX3" s="62"/>
      <c r="BCY3" s="62"/>
      <c r="BCZ3" s="62"/>
      <c r="BDA3" s="62"/>
      <c r="BDB3" s="62"/>
      <c r="BDC3" s="62"/>
      <c r="BDD3" s="62"/>
      <c r="BDE3" s="62"/>
      <c r="BDF3" s="62"/>
      <c r="BDG3" s="62"/>
      <c r="BDH3" s="62"/>
      <c r="BDI3" s="62"/>
      <c r="BDJ3" s="62"/>
      <c r="BDK3" s="62"/>
      <c r="BDL3" s="62"/>
      <c r="BDM3" s="62"/>
      <c r="BDN3" s="62"/>
      <c r="BDO3" s="62"/>
      <c r="BDP3" s="62"/>
      <c r="BDQ3" s="62"/>
      <c r="BDR3" s="62"/>
      <c r="BDS3" s="62"/>
      <c r="BDT3" s="62"/>
      <c r="BDU3" s="62"/>
      <c r="BDV3" s="62"/>
      <c r="BDW3" s="62"/>
      <c r="BDX3" s="62"/>
      <c r="BDY3" s="62"/>
      <c r="BDZ3" s="62"/>
      <c r="BEA3" s="62"/>
      <c r="BEB3" s="62"/>
      <c r="BEC3" s="62"/>
      <c r="BED3" s="62"/>
      <c r="BEE3" s="62"/>
      <c r="BEF3" s="62"/>
      <c r="BEG3" s="62"/>
      <c r="BEH3" s="62"/>
      <c r="BEI3" s="62"/>
      <c r="BEJ3" s="62"/>
      <c r="BEK3" s="62"/>
      <c r="BEL3" s="62"/>
      <c r="BEM3" s="62"/>
      <c r="BEN3" s="62"/>
      <c r="BEO3" s="62"/>
      <c r="BEP3" s="62"/>
      <c r="BEQ3" s="62"/>
      <c r="BER3" s="62"/>
      <c r="BES3" s="62"/>
      <c r="BET3" s="62"/>
      <c r="BEU3" s="62"/>
      <c r="BEV3" s="62"/>
      <c r="BEW3" s="62"/>
      <c r="BEX3" s="62"/>
      <c r="BEY3" s="62"/>
      <c r="BEZ3" s="62"/>
      <c r="BFA3" s="62"/>
      <c r="BFB3" s="62"/>
      <c r="BFC3" s="62"/>
      <c r="BFD3" s="62"/>
      <c r="BFE3" s="62"/>
      <c r="BFF3" s="62"/>
      <c r="BFG3" s="62"/>
      <c r="BFH3" s="62"/>
      <c r="BFI3" s="62"/>
      <c r="BFJ3" s="62"/>
      <c r="BFK3" s="62"/>
      <c r="BFL3" s="62"/>
      <c r="BFM3" s="62"/>
      <c r="BFN3" s="62"/>
      <c r="BFO3" s="62"/>
      <c r="BFP3" s="62"/>
      <c r="BFQ3" s="62"/>
      <c r="BFR3" s="62"/>
      <c r="BFS3" s="62"/>
      <c r="BFT3" s="62"/>
      <c r="BFU3" s="62"/>
      <c r="BFV3" s="62"/>
      <c r="BFW3" s="62"/>
      <c r="BFX3" s="62"/>
      <c r="BFY3" s="62"/>
      <c r="BFZ3" s="62"/>
      <c r="BGA3" s="62"/>
      <c r="BGB3" s="62"/>
      <c r="BGC3" s="62"/>
      <c r="BGD3" s="62"/>
      <c r="BGE3" s="62"/>
      <c r="BGF3" s="62"/>
      <c r="BGG3" s="62"/>
      <c r="BGH3" s="62"/>
      <c r="BGI3" s="62"/>
      <c r="BGJ3" s="62"/>
      <c r="BGK3" s="62"/>
      <c r="BGL3" s="62"/>
      <c r="BGM3" s="62"/>
      <c r="BGN3" s="62"/>
      <c r="BGO3" s="62"/>
      <c r="BGP3" s="62"/>
      <c r="BGQ3" s="62"/>
      <c r="BGR3" s="62"/>
      <c r="BGS3" s="62"/>
      <c r="BGT3" s="62"/>
      <c r="BGU3" s="62"/>
      <c r="BGV3" s="62"/>
      <c r="BGW3" s="62"/>
      <c r="BGX3" s="62"/>
      <c r="BGY3" s="62"/>
      <c r="BGZ3" s="62"/>
      <c r="BHA3" s="62"/>
      <c r="BHB3" s="62"/>
      <c r="BHC3" s="62"/>
      <c r="BHD3" s="62"/>
      <c r="BHE3" s="62"/>
      <c r="BHF3" s="62"/>
      <c r="BHG3" s="62"/>
      <c r="BHH3" s="62"/>
      <c r="BHI3" s="62"/>
      <c r="BHJ3" s="62"/>
      <c r="BHK3" s="62"/>
      <c r="BHL3" s="62"/>
      <c r="BHM3" s="62"/>
      <c r="BHN3" s="62"/>
      <c r="BHO3" s="62"/>
      <c r="BHP3" s="62"/>
      <c r="BHQ3" s="62"/>
      <c r="BHR3" s="62"/>
      <c r="BHS3" s="62"/>
      <c r="BHT3" s="62"/>
      <c r="BHU3" s="62"/>
      <c r="BHV3" s="62"/>
      <c r="BHW3" s="62"/>
      <c r="BHX3" s="62"/>
      <c r="BHY3" s="62"/>
      <c r="BHZ3" s="62"/>
      <c r="BIA3" s="62"/>
      <c r="BIB3" s="62"/>
      <c r="BIC3" s="62"/>
      <c r="BID3" s="62"/>
      <c r="BIE3" s="62"/>
      <c r="BIF3" s="62"/>
      <c r="BIG3" s="62"/>
      <c r="BIH3" s="62"/>
      <c r="BII3" s="62"/>
      <c r="BIJ3" s="62"/>
      <c r="BIK3" s="62"/>
      <c r="BIL3" s="62"/>
      <c r="BIM3" s="62"/>
      <c r="BIN3" s="62"/>
      <c r="BIO3" s="62"/>
      <c r="BIP3" s="62"/>
      <c r="BIQ3" s="62"/>
      <c r="BIR3" s="62"/>
      <c r="BIS3" s="62"/>
      <c r="BIT3" s="62"/>
      <c r="BIU3" s="62"/>
      <c r="BIV3" s="62"/>
      <c r="BIW3" s="62"/>
      <c r="BIX3" s="62"/>
      <c r="BIY3" s="62"/>
      <c r="BIZ3" s="62"/>
      <c r="BJA3" s="62"/>
      <c r="BJB3" s="62"/>
      <c r="BJC3" s="62"/>
      <c r="BJD3" s="62"/>
      <c r="BJE3" s="62"/>
      <c r="BJF3" s="62"/>
      <c r="BJG3" s="62"/>
      <c r="BJH3" s="62"/>
      <c r="BJI3" s="62"/>
      <c r="BJJ3" s="62"/>
      <c r="BJK3" s="62"/>
      <c r="BJL3" s="62"/>
      <c r="BJM3" s="62"/>
      <c r="BJN3" s="62"/>
      <c r="BJO3" s="62"/>
      <c r="BJP3" s="62"/>
      <c r="BJQ3" s="62"/>
      <c r="BJR3" s="62"/>
      <c r="BJS3" s="62"/>
      <c r="BJT3" s="62"/>
      <c r="BJU3" s="62"/>
      <c r="BJV3" s="62"/>
      <c r="BJW3" s="62"/>
      <c r="BJX3" s="62"/>
      <c r="BJY3" s="62"/>
      <c r="BJZ3" s="62"/>
      <c r="BKA3" s="62"/>
      <c r="BKB3" s="62"/>
      <c r="BKC3" s="62"/>
      <c r="BKD3" s="62"/>
      <c r="BKE3" s="62"/>
      <c r="BKF3" s="62"/>
      <c r="BKG3" s="62"/>
      <c r="BKH3" s="62"/>
      <c r="BKI3" s="62"/>
      <c r="BKJ3" s="62"/>
      <c r="BKK3" s="62"/>
      <c r="BKL3" s="62"/>
      <c r="BKM3" s="62"/>
      <c r="BKN3" s="62"/>
      <c r="BKO3" s="62"/>
      <c r="BKP3" s="62"/>
      <c r="BKQ3" s="62"/>
      <c r="BKR3" s="62"/>
      <c r="BKS3" s="62"/>
      <c r="BKT3" s="62"/>
      <c r="BKU3" s="62"/>
      <c r="BKV3" s="62"/>
      <c r="BKW3" s="62"/>
      <c r="BKX3" s="62"/>
      <c r="BKY3" s="62"/>
      <c r="BKZ3" s="62"/>
      <c r="BLA3" s="62"/>
      <c r="BLB3" s="62"/>
      <c r="BLC3" s="62"/>
      <c r="BLD3" s="62"/>
      <c r="BLE3" s="62"/>
      <c r="BLF3" s="62"/>
      <c r="BLG3" s="62"/>
      <c r="BLH3" s="62"/>
      <c r="BLI3" s="62"/>
      <c r="BLJ3" s="62"/>
      <c r="BLK3" s="62"/>
      <c r="BLL3" s="62"/>
      <c r="BLM3" s="62"/>
      <c r="BLN3" s="62"/>
      <c r="BLO3" s="62"/>
      <c r="BLP3" s="62"/>
      <c r="BLQ3" s="62"/>
      <c r="BLR3" s="62"/>
      <c r="BLS3" s="62"/>
      <c r="BLT3" s="62"/>
      <c r="BLU3" s="62"/>
      <c r="BLV3" s="62"/>
      <c r="BLW3" s="62"/>
      <c r="BLX3" s="62"/>
      <c r="BLY3" s="62"/>
      <c r="BLZ3" s="62"/>
      <c r="BMA3" s="62"/>
      <c r="BMB3" s="62"/>
      <c r="BMC3" s="62"/>
      <c r="BMD3" s="62"/>
      <c r="BME3" s="62"/>
      <c r="BMF3" s="62"/>
      <c r="BMG3" s="62"/>
      <c r="BMH3" s="62"/>
      <c r="BMI3" s="62"/>
      <c r="BMJ3" s="62"/>
      <c r="BMK3" s="62"/>
      <c r="BML3" s="62"/>
      <c r="BMM3" s="62"/>
      <c r="BMN3" s="62"/>
      <c r="BMO3" s="62"/>
      <c r="BMP3" s="62"/>
      <c r="BMQ3" s="62"/>
      <c r="BMR3" s="62"/>
      <c r="BMS3" s="62"/>
      <c r="BMT3" s="62"/>
      <c r="BMU3" s="62"/>
      <c r="BMV3" s="62"/>
      <c r="BMW3" s="62"/>
      <c r="BMX3" s="62"/>
      <c r="BMY3" s="62"/>
      <c r="BMZ3" s="62"/>
      <c r="BNA3" s="62"/>
      <c r="BNB3" s="62"/>
      <c r="BNC3" s="62"/>
      <c r="BND3" s="62"/>
      <c r="BNE3" s="62"/>
      <c r="BNF3" s="62"/>
      <c r="BNG3" s="62"/>
      <c r="BNH3" s="62"/>
      <c r="BNI3" s="62"/>
      <c r="BNJ3" s="62"/>
      <c r="BNK3" s="62"/>
      <c r="BNL3" s="62"/>
      <c r="BNM3" s="62"/>
      <c r="BNN3" s="62"/>
      <c r="BNO3" s="62"/>
      <c r="BNP3" s="62"/>
      <c r="BNQ3" s="62"/>
      <c r="BNR3" s="62"/>
      <c r="BNS3" s="62"/>
      <c r="BNT3" s="62"/>
      <c r="BNU3" s="62"/>
      <c r="BNV3" s="62"/>
      <c r="BNW3" s="62"/>
      <c r="BNX3" s="62"/>
      <c r="BNY3" s="62"/>
      <c r="BNZ3" s="62"/>
      <c r="BOA3" s="62"/>
      <c r="BOB3" s="62"/>
      <c r="BOC3" s="62"/>
      <c r="BOD3" s="62"/>
      <c r="BOE3" s="62"/>
      <c r="BOF3" s="62"/>
      <c r="BOG3" s="62"/>
      <c r="BOH3" s="62"/>
      <c r="BOI3" s="62"/>
      <c r="BOJ3" s="62"/>
      <c r="BOK3" s="62"/>
      <c r="BOL3" s="62"/>
      <c r="BOM3" s="62"/>
      <c r="BON3" s="62"/>
      <c r="BOO3" s="62"/>
      <c r="BOP3" s="62"/>
      <c r="BOQ3" s="62"/>
      <c r="BOR3" s="62"/>
      <c r="BOS3" s="62"/>
      <c r="BOT3" s="62"/>
      <c r="BOU3" s="62"/>
      <c r="BOV3" s="62"/>
      <c r="BOW3" s="62"/>
      <c r="BOX3" s="62"/>
      <c r="BOY3" s="62"/>
      <c r="BOZ3" s="62"/>
      <c r="BPA3" s="62"/>
      <c r="BPB3" s="62"/>
      <c r="BPC3" s="62"/>
      <c r="BPD3" s="62"/>
      <c r="BPE3" s="62"/>
      <c r="BPF3" s="62"/>
      <c r="BPG3" s="62"/>
      <c r="BPH3" s="62"/>
      <c r="BPI3" s="62"/>
      <c r="BPJ3" s="62"/>
      <c r="BPK3" s="62"/>
      <c r="BPL3" s="62"/>
      <c r="BPM3" s="62"/>
      <c r="BPN3" s="62"/>
      <c r="BPO3" s="62"/>
      <c r="BPP3" s="62"/>
      <c r="BPQ3" s="62"/>
      <c r="BPR3" s="62"/>
      <c r="BPS3" s="62"/>
      <c r="BPT3" s="62"/>
      <c r="BPU3" s="62"/>
      <c r="BPV3" s="62"/>
      <c r="BPW3" s="62"/>
      <c r="BPX3" s="62"/>
      <c r="BPY3" s="62"/>
      <c r="BPZ3" s="62"/>
      <c r="BQA3" s="62"/>
      <c r="BQB3" s="62"/>
      <c r="BQC3" s="62"/>
      <c r="BQD3" s="62"/>
      <c r="BQE3" s="62"/>
      <c r="BQF3" s="62"/>
      <c r="BQG3" s="62"/>
      <c r="BQH3" s="62"/>
      <c r="BQI3" s="62"/>
      <c r="BQJ3" s="62"/>
      <c r="BQK3" s="62"/>
      <c r="BQL3" s="62"/>
      <c r="BQM3" s="62"/>
      <c r="BQN3" s="62"/>
      <c r="BQO3" s="62"/>
      <c r="BQP3" s="62"/>
      <c r="BQQ3" s="62"/>
      <c r="BQR3" s="62"/>
      <c r="BQS3" s="62"/>
      <c r="BQT3" s="62"/>
      <c r="BQU3" s="62"/>
      <c r="BQV3" s="62"/>
      <c r="BQW3" s="62"/>
      <c r="BQX3" s="62"/>
      <c r="BQY3" s="62"/>
      <c r="BQZ3" s="62"/>
      <c r="BRA3" s="62"/>
      <c r="BRB3" s="62"/>
      <c r="BRC3" s="62"/>
      <c r="BRD3" s="62"/>
      <c r="BRE3" s="62"/>
      <c r="BRF3" s="62"/>
      <c r="BRG3" s="62"/>
      <c r="BRH3" s="62"/>
      <c r="BRI3" s="62"/>
      <c r="BRJ3" s="62"/>
      <c r="BRK3" s="62"/>
      <c r="BRL3" s="62"/>
      <c r="BRM3" s="62"/>
      <c r="BRN3" s="62"/>
      <c r="BRO3" s="62"/>
      <c r="BRP3" s="62"/>
      <c r="BRQ3" s="62"/>
      <c r="BRR3" s="62"/>
      <c r="BRS3" s="62"/>
      <c r="BRT3" s="62"/>
      <c r="BRU3" s="62"/>
      <c r="BRV3" s="62"/>
      <c r="BRW3" s="62"/>
      <c r="BRX3" s="62"/>
      <c r="BRY3" s="62"/>
      <c r="BRZ3" s="62"/>
      <c r="BSA3" s="62"/>
      <c r="BSB3" s="62"/>
      <c r="BSC3" s="62"/>
      <c r="BSD3" s="62"/>
      <c r="BSE3" s="62"/>
      <c r="BSF3" s="62"/>
      <c r="BSG3" s="62"/>
      <c r="BSH3" s="62"/>
      <c r="BSI3" s="62"/>
      <c r="BSJ3" s="62"/>
      <c r="BSK3" s="62"/>
      <c r="BSL3" s="62"/>
      <c r="BSM3" s="62"/>
      <c r="BSN3" s="62"/>
      <c r="BSO3" s="62"/>
      <c r="BSP3" s="62"/>
      <c r="BSQ3" s="62"/>
      <c r="BSR3" s="62"/>
      <c r="BSS3" s="62"/>
      <c r="BST3" s="62"/>
      <c r="BSU3" s="62"/>
      <c r="BSV3" s="62"/>
      <c r="BSW3" s="62"/>
      <c r="BSX3" s="62"/>
      <c r="BSY3" s="62"/>
      <c r="BSZ3" s="62"/>
      <c r="BTA3" s="62"/>
      <c r="BTB3" s="62"/>
      <c r="BTC3" s="62"/>
      <c r="BTD3" s="62"/>
      <c r="BTE3" s="62"/>
      <c r="BTF3" s="62"/>
      <c r="BTG3" s="62"/>
      <c r="BTH3" s="62"/>
      <c r="BTI3" s="62"/>
      <c r="BTJ3" s="62"/>
      <c r="BTK3" s="62"/>
      <c r="BTL3" s="62"/>
      <c r="BTM3" s="62"/>
      <c r="BTN3" s="62"/>
      <c r="BTO3" s="62"/>
      <c r="BTP3" s="62"/>
      <c r="BTQ3" s="62"/>
      <c r="BTR3" s="62"/>
      <c r="BTS3" s="62"/>
      <c r="BTT3" s="62"/>
      <c r="BTU3" s="62"/>
      <c r="BTV3" s="62"/>
      <c r="BTW3" s="62"/>
      <c r="BTX3" s="62"/>
      <c r="BTY3" s="62"/>
      <c r="BTZ3" s="62"/>
      <c r="BUA3" s="62"/>
      <c r="BUB3" s="62"/>
      <c r="BUC3" s="62"/>
      <c r="BUD3" s="62"/>
      <c r="BUE3" s="62"/>
      <c r="BUF3" s="62"/>
      <c r="BUG3" s="62"/>
      <c r="BUH3" s="62"/>
      <c r="BUI3" s="62"/>
      <c r="BUJ3" s="62"/>
      <c r="BUK3" s="62"/>
      <c r="BUL3" s="62"/>
      <c r="BUM3" s="62"/>
      <c r="BUN3" s="62"/>
      <c r="BUO3" s="62"/>
      <c r="BUP3" s="62"/>
      <c r="BUQ3" s="62"/>
      <c r="BUR3" s="62"/>
      <c r="BUS3" s="62"/>
      <c r="BUT3" s="62"/>
      <c r="BUU3" s="62"/>
      <c r="BUV3" s="62"/>
      <c r="BUW3" s="62"/>
      <c r="BUX3" s="62"/>
      <c r="BUY3" s="62"/>
      <c r="BUZ3" s="62"/>
      <c r="BVA3" s="62"/>
      <c r="BVB3" s="62"/>
      <c r="BVC3" s="62"/>
      <c r="BVD3" s="62"/>
      <c r="BVE3" s="62"/>
      <c r="BVF3" s="62"/>
      <c r="BVG3" s="62"/>
      <c r="BVH3" s="62"/>
      <c r="BVI3" s="62"/>
      <c r="BVJ3" s="62"/>
      <c r="BVK3" s="62"/>
      <c r="BVL3" s="62"/>
      <c r="BVM3" s="62"/>
      <c r="BVN3" s="62"/>
      <c r="BVO3" s="62"/>
      <c r="BVP3" s="62"/>
      <c r="BVQ3" s="62"/>
      <c r="BVR3" s="62"/>
      <c r="BVS3" s="62"/>
      <c r="BVT3" s="62"/>
      <c r="BVU3" s="62"/>
      <c r="BVV3" s="62"/>
      <c r="BVW3" s="62"/>
      <c r="BVX3" s="62"/>
      <c r="BVY3" s="62"/>
      <c r="BVZ3" s="62"/>
      <c r="BWA3" s="62"/>
      <c r="BWB3" s="62"/>
      <c r="BWC3" s="62"/>
      <c r="BWD3" s="62"/>
      <c r="BWE3" s="62"/>
      <c r="BWF3" s="62"/>
      <c r="BWG3" s="62"/>
      <c r="BWH3" s="62"/>
      <c r="BWI3" s="62"/>
      <c r="BWJ3" s="62"/>
      <c r="BWK3" s="62"/>
      <c r="BWL3" s="62"/>
      <c r="BWM3" s="62"/>
      <c r="BWN3" s="62"/>
      <c r="BWO3" s="62"/>
      <c r="BWP3" s="62"/>
      <c r="BWQ3" s="62"/>
      <c r="BWR3" s="62"/>
      <c r="BWS3" s="62"/>
      <c r="BWT3" s="62"/>
      <c r="BWU3" s="62"/>
      <c r="BWV3" s="62"/>
      <c r="BWW3" s="62"/>
      <c r="BWX3" s="62"/>
      <c r="BWY3" s="62"/>
      <c r="BWZ3" s="62"/>
      <c r="BXA3" s="62"/>
      <c r="BXB3" s="62"/>
      <c r="BXC3" s="62"/>
      <c r="BXD3" s="62"/>
      <c r="BXE3" s="62"/>
      <c r="BXF3" s="62"/>
      <c r="BXG3" s="62"/>
      <c r="BXH3" s="62"/>
      <c r="BXI3" s="62"/>
      <c r="BXJ3" s="62"/>
      <c r="BXK3" s="62"/>
      <c r="BXL3" s="62"/>
      <c r="BXM3" s="62"/>
      <c r="BXN3" s="62"/>
      <c r="BXO3" s="62"/>
      <c r="BXP3" s="62"/>
      <c r="BXQ3" s="62"/>
      <c r="BXR3" s="62"/>
      <c r="BXS3" s="62"/>
      <c r="BXT3" s="62"/>
      <c r="BXU3" s="62"/>
      <c r="BXV3" s="62"/>
      <c r="BXW3" s="62"/>
      <c r="BXX3" s="62"/>
      <c r="BXY3" s="62"/>
      <c r="BXZ3" s="62"/>
      <c r="BYA3" s="62"/>
      <c r="BYB3" s="62"/>
      <c r="BYC3" s="62"/>
      <c r="BYD3" s="62"/>
      <c r="BYE3" s="62"/>
      <c r="BYF3" s="62"/>
      <c r="BYG3" s="62"/>
      <c r="BYH3" s="62"/>
      <c r="BYI3" s="62"/>
      <c r="BYJ3" s="62"/>
      <c r="BYK3" s="62"/>
      <c r="BYL3" s="62"/>
      <c r="BYM3" s="62"/>
      <c r="BYN3" s="62"/>
      <c r="BYO3" s="62"/>
      <c r="BYP3" s="62"/>
      <c r="BYQ3" s="62"/>
      <c r="BYR3" s="62"/>
      <c r="BYS3" s="62"/>
      <c r="BYT3" s="62"/>
      <c r="BYU3" s="62"/>
      <c r="BYV3" s="62"/>
      <c r="BYW3" s="62"/>
      <c r="BYX3" s="62"/>
      <c r="BYY3" s="62"/>
      <c r="BYZ3" s="62"/>
      <c r="BZA3" s="62"/>
      <c r="BZB3" s="62"/>
      <c r="BZC3" s="62"/>
      <c r="BZD3" s="62"/>
      <c r="BZE3" s="62"/>
      <c r="BZF3" s="62"/>
      <c r="BZG3" s="62"/>
      <c r="BZH3" s="62"/>
      <c r="BZI3" s="62"/>
      <c r="BZJ3" s="62"/>
      <c r="BZK3" s="62"/>
      <c r="BZL3" s="62"/>
      <c r="BZM3" s="62"/>
      <c r="BZN3" s="62"/>
      <c r="BZO3" s="62"/>
      <c r="BZP3" s="62"/>
      <c r="BZQ3" s="62"/>
      <c r="BZR3" s="62"/>
      <c r="BZS3" s="62"/>
      <c r="BZT3" s="62"/>
      <c r="BZU3" s="62"/>
      <c r="BZV3" s="62"/>
      <c r="BZW3" s="62"/>
      <c r="BZX3" s="62"/>
      <c r="BZY3" s="62"/>
      <c r="BZZ3" s="62"/>
      <c r="CAA3" s="62"/>
      <c r="CAB3" s="62"/>
      <c r="CAC3" s="62"/>
      <c r="CAD3" s="62"/>
      <c r="CAE3" s="62"/>
      <c r="CAF3" s="62"/>
      <c r="CAG3" s="62"/>
      <c r="CAH3" s="62"/>
      <c r="CAI3" s="62"/>
      <c r="CAJ3" s="62"/>
      <c r="CAK3" s="62"/>
      <c r="CAL3" s="62"/>
      <c r="CAM3" s="62"/>
      <c r="CAN3" s="62"/>
      <c r="CAO3" s="62"/>
      <c r="CAP3" s="62"/>
      <c r="CAQ3" s="62"/>
      <c r="CAR3" s="62"/>
      <c r="CAS3" s="62"/>
      <c r="CAT3" s="62"/>
      <c r="CAU3" s="62"/>
      <c r="CAV3" s="62"/>
      <c r="CAW3" s="62"/>
      <c r="CAX3" s="62"/>
      <c r="CAY3" s="62"/>
      <c r="CAZ3" s="62"/>
      <c r="CBA3" s="62"/>
      <c r="CBB3" s="62"/>
      <c r="CBC3" s="62"/>
      <c r="CBD3" s="62"/>
      <c r="CBE3" s="62"/>
      <c r="CBF3" s="62"/>
      <c r="CBG3" s="62"/>
      <c r="CBH3" s="62"/>
      <c r="CBI3" s="62"/>
      <c r="CBJ3" s="62"/>
      <c r="CBK3" s="62"/>
      <c r="CBL3" s="62"/>
      <c r="CBM3" s="62"/>
      <c r="CBN3" s="62"/>
      <c r="CBO3" s="62"/>
      <c r="CBP3" s="62"/>
      <c r="CBQ3" s="62"/>
      <c r="CBR3" s="62"/>
      <c r="CBS3" s="62"/>
      <c r="CBT3" s="62"/>
      <c r="CBU3" s="62"/>
      <c r="CBV3" s="62"/>
      <c r="CBW3" s="62"/>
      <c r="CBX3" s="62"/>
      <c r="CBY3" s="62"/>
      <c r="CBZ3" s="62"/>
      <c r="CCA3" s="62"/>
      <c r="CCB3" s="62"/>
      <c r="CCC3" s="62"/>
      <c r="CCD3" s="62"/>
      <c r="CCE3" s="62"/>
      <c r="CCF3" s="62"/>
      <c r="CCG3" s="62"/>
      <c r="CCH3" s="62"/>
      <c r="CCI3" s="62"/>
      <c r="CCJ3" s="62"/>
      <c r="CCK3" s="62"/>
      <c r="CCL3" s="62"/>
      <c r="CCM3" s="62"/>
      <c r="CCN3" s="62"/>
      <c r="CCO3" s="62"/>
      <c r="CCP3" s="62"/>
      <c r="CCQ3" s="62"/>
      <c r="CCR3" s="62"/>
      <c r="CCS3" s="62"/>
      <c r="CCT3" s="62"/>
      <c r="CCU3" s="62"/>
      <c r="CCV3" s="62"/>
      <c r="CCW3" s="62"/>
      <c r="CCX3" s="62"/>
      <c r="CCY3" s="62"/>
      <c r="CCZ3" s="62"/>
      <c r="CDA3" s="62"/>
      <c r="CDB3" s="62"/>
      <c r="CDC3" s="62"/>
      <c r="CDD3" s="62"/>
      <c r="CDE3" s="62"/>
      <c r="CDF3" s="62"/>
      <c r="CDG3" s="62"/>
      <c r="CDH3" s="62"/>
      <c r="CDI3" s="62"/>
      <c r="CDJ3" s="62"/>
      <c r="CDK3" s="62"/>
      <c r="CDL3" s="62"/>
      <c r="CDM3" s="62"/>
      <c r="CDN3" s="62"/>
      <c r="CDO3" s="62"/>
      <c r="CDP3" s="62"/>
      <c r="CDQ3" s="62"/>
      <c r="CDR3" s="62"/>
      <c r="CDS3" s="62"/>
      <c r="CDT3" s="62"/>
      <c r="CDU3" s="62"/>
      <c r="CDV3" s="62"/>
      <c r="CDW3" s="62"/>
      <c r="CDX3" s="62"/>
      <c r="CDY3" s="62"/>
      <c r="CDZ3" s="62"/>
      <c r="CEA3" s="62"/>
      <c r="CEB3" s="62"/>
      <c r="CEC3" s="62"/>
      <c r="CED3" s="62"/>
      <c r="CEE3" s="62"/>
      <c r="CEF3" s="62"/>
      <c r="CEG3" s="62"/>
      <c r="CEH3" s="62"/>
      <c r="CEI3" s="62"/>
      <c r="CEJ3" s="62"/>
      <c r="CEK3" s="62"/>
      <c r="CEL3" s="62"/>
      <c r="CEM3" s="62"/>
      <c r="CEN3" s="62"/>
      <c r="CEO3" s="62"/>
      <c r="CEP3" s="62"/>
      <c r="CEQ3" s="62"/>
      <c r="CER3" s="62"/>
      <c r="CES3" s="62"/>
      <c r="CET3" s="62"/>
      <c r="CEU3" s="62"/>
      <c r="CEV3" s="62"/>
      <c r="CEW3" s="62"/>
      <c r="CEX3" s="62"/>
      <c r="CEY3" s="62"/>
      <c r="CEZ3" s="62"/>
      <c r="CFA3" s="62"/>
      <c r="CFB3" s="62"/>
      <c r="CFC3" s="62"/>
      <c r="CFD3" s="62"/>
      <c r="CFE3" s="62"/>
      <c r="CFF3" s="62"/>
      <c r="CFG3" s="62"/>
      <c r="CFH3" s="62"/>
      <c r="CFI3" s="62"/>
      <c r="CFJ3" s="62"/>
      <c r="CFK3" s="62"/>
      <c r="CFL3" s="62"/>
      <c r="CFM3" s="62"/>
      <c r="CFN3" s="62"/>
      <c r="CFO3" s="62"/>
      <c r="CFP3" s="62"/>
      <c r="CFQ3" s="62"/>
      <c r="CFR3" s="62"/>
      <c r="CFS3" s="62"/>
      <c r="CFT3" s="62"/>
      <c r="CFU3" s="62"/>
      <c r="CFV3" s="62"/>
      <c r="CFW3" s="62"/>
      <c r="CFX3" s="62"/>
      <c r="CFY3" s="62"/>
      <c r="CFZ3" s="62"/>
      <c r="CGA3" s="62"/>
      <c r="CGB3" s="62"/>
      <c r="CGC3" s="62"/>
      <c r="CGD3" s="62"/>
      <c r="CGE3" s="62"/>
      <c r="CGF3" s="62"/>
      <c r="CGG3" s="62"/>
      <c r="CGH3" s="62"/>
      <c r="CGI3" s="62"/>
      <c r="CGJ3" s="62"/>
      <c r="CGK3" s="62"/>
      <c r="CGL3" s="62"/>
      <c r="CGM3" s="62"/>
      <c r="CGN3" s="62"/>
      <c r="CGO3" s="62"/>
      <c r="CGP3" s="62"/>
      <c r="CGQ3" s="62"/>
      <c r="CGR3" s="62"/>
      <c r="CGS3" s="62"/>
      <c r="CGT3" s="62"/>
      <c r="CGU3" s="62"/>
      <c r="CGV3" s="62"/>
      <c r="CGW3" s="62"/>
      <c r="CGX3" s="62"/>
      <c r="CGY3" s="62"/>
      <c r="CGZ3" s="62"/>
      <c r="CHA3" s="62"/>
      <c r="CHB3" s="62"/>
      <c r="CHC3" s="62"/>
      <c r="CHD3" s="62"/>
      <c r="CHE3" s="62"/>
      <c r="CHF3" s="62"/>
      <c r="CHG3" s="62"/>
      <c r="CHH3" s="62"/>
      <c r="CHI3" s="62"/>
      <c r="CHJ3" s="62"/>
      <c r="CHK3" s="62"/>
      <c r="CHL3" s="62"/>
      <c r="CHM3" s="62"/>
      <c r="CHN3" s="62"/>
      <c r="CHO3" s="62"/>
      <c r="CHP3" s="62"/>
      <c r="CHQ3" s="62"/>
      <c r="CHR3" s="62"/>
      <c r="CHS3" s="62"/>
      <c r="CHT3" s="62"/>
      <c r="CHU3" s="62"/>
      <c r="CHV3" s="62"/>
      <c r="CHW3" s="62"/>
      <c r="CHX3" s="62"/>
      <c r="CHY3" s="62"/>
      <c r="CHZ3" s="62"/>
      <c r="CIA3" s="62"/>
      <c r="CIB3" s="62"/>
      <c r="CIC3" s="62"/>
      <c r="CID3" s="62"/>
      <c r="CIE3" s="62"/>
      <c r="CIF3" s="62"/>
      <c r="CIG3" s="62"/>
      <c r="CIH3" s="62"/>
      <c r="CII3" s="62"/>
      <c r="CIJ3" s="62"/>
      <c r="CIK3" s="62"/>
      <c r="CIL3" s="62"/>
      <c r="CIM3" s="62"/>
      <c r="CIN3" s="62"/>
      <c r="CIO3" s="62"/>
      <c r="CIP3" s="62"/>
      <c r="CIQ3" s="62"/>
      <c r="CIR3" s="62"/>
      <c r="CIS3" s="62"/>
      <c r="CIT3" s="62"/>
      <c r="CIU3" s="62"/>
      <c r="CIV3" s="62"/>
      <c r="CIW3" s="62"/>
      <c r="CIX3" s="62"/>
      <c r="CIY3" s="62"/>
      <c r="CIZ3" s="62"/>
      <c r="CJA3" s="62"/>
      <c r="CJB3" s="62"/>
      <c r="CJC3" s="62"/>
      <c r="CJD3" s="62"/>
      <c r="CJE3" s="62"/>
      <c r="CJF3" s="62"/>
      <c r="CJG3" s="62"/>
      <c r="CJH3" s="62"/>
      <c r="CJI3" s="62"/>
      <c r="CJJ3" s="62"/>
      <c r="CJK3" s="62"/>
      <c r="CJL3" s="62"/>
      <c r="CJM3" s="62"/>
      <c r="CJN3" s="62"/>
      <c r="CJO3" s="62"/>
      <c r="CJP3" s="62"/>
      <c r="CJQ3" s="62"/>
      <c r="CJR3" s="62"/>
      <c r="CJS3" s="62"/>
      <c r="CJT3" s="62"/>
      <c r="CJU3" s="62"/>
      <c r="CJV3" s="62"/>
      <c r="CJW3" s="62"/>
      <c r="CJX3" s="62"/>
      <c r="CJY3" s="62"/>
      <c r="CJZ3" s="62"/>
      <c r="CKA3" s="62"/>
      <c r="CKB3" s="62"/>
      <c r="CKC3" s="62"/>
      <c r="CKD3" s="62"/>
      <c r="CKE3" s="62"/>
      <c r="CKF3" s="62"/>
      <c r="CKG3" s="62"/>
      <c r="CKH3" s="62"/>
      <c r="CKI3" s="62"/>
      <c r="CKJ3" s="62"/>
      <c r="CKK3" s="62"/>
      <c r="CKL3" s="62"/>
      <c r="CKM3" s="62"/>
      <c r="CKN3" s="62"/>
      <c r="CKO3" s="62"/>
      <c r="CKP3" s="62"/>
      <c r="CKQ3" s="62"/>
      <c r="CKR3" s="62"/>
      <c r="CKS3" s="62"/>
      <c r="CKT3" s="62"/>
      <c r="CKU3" s="62"/>
      <c r="CKV3" s="62"/>
      <c r="CKW3" s="62"/>
      <c r="CKX3" s="62"/>
      <c r="CKY3" s="62"/>
      <c r="CKZ3" s="62"/>
      <c r="CLA3" s="62"/>
      <c r="CLB3" s="62"/>
      <c r="CLC3" s="62"/>
      <c r="CLD3" s="62"/>
      <c r="CLE3" s="62"/>
      <c r="CLF3" s="62"/>
      <c r="CLG3" s="62"/>
      <c r="CLH3" s="62"/>
      <c r="CLI3" s="62"/>
      <c r="CLJ3" s="62"/>
      <c r="CLK3" s="62"/>
      <c r="CLL3" s="62"/>
      <c r="CLM3" s="62"/>
      <c r="CLN3" s="62"/>
      <c r="CLO3" s="62"/>
      <c r="CLP3" s="62"/>
      <c r="CLQ3" s="62"/>
      <c r="CLR3" s="62"/>
      <c r="CLS3" s="62"/>
      <c r="CLT3" s="62"/>
      <c r="CLU3" s="62"/>
      <c r="CLV3" s="62"/>
      <c r="CLW3" s="62"/>
      <c r="CLX3" s="62"/>
      <c r="CLY3" s="62"/>
      <c r="CLZ3" s="62"/>
      <c r="CMA3" s="62"/>
      <c r="CMB3" s="62"/>
      <c r="CMC3" s="62"/>
      <c r="CMD3" s="62"/>
      <c r="CME3" s="62"/>
      <c r="CMF3" s="62"/>
      <c r="CMG3" s="62"/>
      <c r="CMH3" s="62"/>
      <c r="CMI3" s="62"/>
      <c r="CMJ3" s="62"/>
      <c r="CMK3" s="62"/>
      <c r="CML3" s="62"/>
      <c r="CMM3" s="62"/>
      <c r="CMN3" s="62"/>
      <c r="CMO3" s="62"/>
      <c r="CMP3" s="62"/>
      <c r="CMQ3" s="62"/>
      <c r="CMR3" s="62"/>
      <c r="CMS3" s="62"/>
      <c r="CMT3" s="62"/>
      <c r="CMU3" s="62"/>
      <c r="CMV3" s="62"/>
      <c r="CMW3" s="62"/>
      <c r="CMX3" s="62"/>
      <c r="CMY3" s="62"/>
      <c r="CMZ3" s="62"/>
      <c r="CNA3" s="62"/>
      <c r="CNB3" s="62"/>
      <c r="CNC3" s="62"/>
      <c r="CND3" s="62"/>
      <c r="CNE3" s="62"/>
      <c r="CNF3" s="62"/>
      <c r="CNG3" s="62"/>
      <c r="CNH3" s="62"/>
      <c r="CNI3" s="62"/>
      <c r="CNJ3" s="62"/>
      <c r="CNK3" s="62"/>
      <c r="CNL3" s="62"/>
      <c r="CNM3" s="62"/>
      <c r="CNN3" s="62"/>
      <c r="CNO3" s="62"/>
      <c r="CNP3" s="62"/>
      <c r="CNQ3" s="62"/>
      <c r="CNR3" s="62"/>
      <c r="CNS3" s="62"/>
      <c r="CNT3" s="62"/>
      <c r="CNU3" s="62"/>
      <c r="CNV3" s="62"/>
      <c r="CNW3" s="62"/>
      <c r="CNX3" s="62"/>
      <c r="CNY3" s="62"/>
      <c r="CNZ3" s="62"/>
      <c r="COA3" s="62"/>
      <c r="COB3" s="62"/>
      <c r="COC3" s="62"/>
      <c r="COD3" s="62"/>
      <c r="COE3" s="62"/>
      <c r="COF3" s="62"/>
      <c r="COG3" s="62"/>
      <c r="COH3" s="62"/>
      <c r="COI3" s="62"/>
      <c r="COJ3" s="62"/>
      <c r="COK3" s="62"/>
      <c r="COL3" s="62"/>
      <c r="COM3" s="62"/>
      <c r="CON3" s="62"/>
      <c r="COO3" s="62"/>
      <c r="COP3" s="62"/>
      <c r="COQ3" s="62"/>
      <c r="COR3" s="62"/>
      <c r="COS3" s="62"/>
      <c r="COT3" s="62"/>
      <c r="COU3" s="62"/>
      <c r="COV3" s="62"/>
      <c r="COW3" s="62"/>
      <c r="COX3" s="62"/>
      <c r="COY3" s="62"/>
      <c r="COZ3" s="62"/>
      <c r="CPA3" s="62"/>
      <c r="CPB3" s="62"/>
      <c r="CPC3" s="62"/>
      <c r="CPD3" s="62"/>
      <c r="CPE3" s="62"/>
      <c r="CPF3" s="62"/>
      <c r="CPG3" s="62"/>
      <c r="CPH3" s="62"/>
      <c r="CPI3" s="62"/>
      <c r="CPJ3" s="62"/>
      <c r="CPK3" s="62"/>
      <c r="CPL3" s="62"/>
      <c r="CPM3" s="62"/>
      <c r="CPN3" s="62"/>
      <c r="CPO3" s="62"/>
      <c r="CPP3" s="62"/>
      <c r="CPQ3" s="62"/>
      <c r="CPR3" s="62"/>
      <c r="CPS3" s="62"/>
      <c r="CPT3" s="62"/>
      <c r="CPU3" s="62"/>
      <c r="CPV3" s="62"/>
      <c r="CPW3" s="62"/>
      <c r="CPX3" s="62"/>
      <c r="CPY3" s="62"/>
      <c r="CPZ3" s="62"/>
      <c r="CQA3" s="62"/>
      <c r="CQB3" s="62"/>
      <c r="CQC3" s="62"/>
      <c r="CQD3" s="62"/>
      <c r="CQE3" s="62"/>
      <c r="CQF3" s="62"/>
      <c r="CQG3" s="62"/>
      <c r="CQH3" s="62"/>
      <c r="CQI3" s="62"/>
      <c r="CQJ3" s="62"/>
      <c r="CQK3" s="62"/>
      <c r="CQL3" s="62"/>
      <c r="CQM3" s="62"/>
      <c r="CQN3" s="62"/>
      <c r="CQO3" s="62"/>
      <c r="CQP3" s="62"/>
      <c r="CQQ3" s="62"/>
      <c r="CQR3" s="62"/>
      <c r="CQS3" s="62"/>
      <c r="CQT3" s="62"/>
      <c r="CQU3" s="62"/>
      <c r="CQV3" s="62"/>
      <c r="CQW3" s="62"/>
      <c r="CQX3" s="62"/>
      <c r="CQY3" s="62"/>
      <c r="CQZ3" s="62"/>
      <c r="CRA3" s="62"/>
      <c r="CRB3" s="62"/>
      <c r="CRC3" s="62"/>
      <c r="CRD3" s="62"/>
      <c r="CRE3" s="62"/>
      <c r="CRF3" s="62"/>
      <c r="CRG3" s="62"/>
      <c r="CRH3" s="62"/>
      <c r="CRI3" s="62"/>
      <c r="CRJ3" s="62"/>
      <c r="CRK3" s="62"/>
      <c r="CRL3" s="62"/>
      <c r="CRM3" s="62"/>
      <c r="CRN3" s="62"/>
      <c r="CRO3" s="62"/>
      <c r="CRP3" s="62"/>
      <c r="CRQ3" s="62"/>
      <c r="CRR3" s="62"/>
      <c r="CRS3" s="62"/>
      <c r="CRT3" s="62"/>
      <c r="CRU3" s="62"/>
      <c r="CRV3" s="62"/>
      <c r="CRW3" s="62"/>
      <c r="CRX3" s="62"/>
      <c r="CRY3" s="62"/>
      <c r="CRZ3" s="62"/>
      <c r="CSA3" s="62"/>
      <c r="CSB3" s="62"/>
      <c r="CSC3" s="62"/>
      <c r="CSD3" s="62"/>
      <c r="CSE3" s="62"/>
      <c r="CSF3" s="62"/>
      <c r="CSG3" s="62"/>
      <c r="CSH3" s="62"/>
      <c r="CSI3" s="62"/>
      <c r="CSJ3" s="62"/>
      <c r="CSK3" s="62"/>
      <c r="CSL3" s="62"/>
      <c r="CSM3" s="62"/>
      <c r="CSN3" s="62"/>
      <c r="CSO3" s="62"/>
      <c r="CSP3" s="62"/>
      <c r="CSQ3" s="62"/>
      <c r="CSR3" s="62"/>
      <c r="CSS3" s="62"/>
      <c r="CST3" s="62"/>
      <c r="CSU3" s="62"/>
      <c r="CSV3" s="62"/>
      <c r="CSW3" s="62"/>
      <c r="CSX3" s="62"/>
      <c r="CSY3" s="62"/>
      <c r="CSZ3" s="62"/>
      <c r="CTA3" s="62"/>
      <c r="CTB3" s="62"/>
      <c r="CTC3" s="62"/>
      <c r="CTD3" s="62"/>
      <c r="CTE3" s="62"/>
      <c r="CTF3" s="62"/>
      <c r="CTG3" s="62"/>
      <c r="CTH3" s="62"/>
      <c r="CTI3" s="62"/>
      <c r="CTJ3" s="62"/>
      <c r="CTK3" s="62"/>
      <c r="CTL3" s="62"/>
      <c r="CTM3" s="62"/>
      <c r="CTN3" s="62"/>
      <c r="CTO3" s="62"/>
      <c r="CTP3" s="62"/>
      <c r="CTQ3" s="62"/>
      <c r="CTR3" s="62"/>
      <c r="CTS3" s="62"/>
      <c r="CTT3" s="62"/>
      <c r="CTU3" s="62"/>
      <c r="CTV3" s="62"/>
      <c r="CTW3" s="62"/>
      <c r="CTX3" s="62"/>
      <c r="CTY3" s="62"/>
      <c r="CTZ3" s="62"/>
      <c r="CUA3" s="62"/>
      <c r="CUB3" s="62"/>
      <c r="CUC3" s="62"/>
      <c r="CUD3" s="62"/>
      <c r="CUE3" s="62"/>
      <c r="CUF3" s="62"/>
      <c r="CUG3" s="62"/>
      <c r="CUH3" s="62"/>
      <c r="CUI3" s="62"/>
      <c r="CUJ3" s="62"/>
      <c r="CUK3" s="62"/>
      <c r="CUL3" s="62"/>
      <c r="CUM3" s="62"/>
      <c r="CUN3" s="62"/>
      <c r="CUO3" s="62"/>
      <c r="CUP3" s="62"/>
      <c r="CUQ3" s="62"/>
      <c r="CUR3" s="62"/>
      <c r="CUS3" s="62"/>
      <c r="CUT3" s="62"/>
      <c r="CUU3" s="62"/>
      <c r="CUV3" s="62"/>
      <c r="CUW3" s="62"/>
      <c r="CUX3" s="62"/>
      <c r="CUY3" s="62"/>
      <c r="CUZ3" s="62"/>
      <c r="CVA3" s="62"/>
      <c r="CVB3" s="62"/>
      <c r="CVC3" s="62"/>
      <c r="CVD3" s="62"/>
      <c r="CVE3" s="62"/>
      <c r="CVF3" s="62"/>
      <c r="CVG3" s="62"/>
      <c r="CVH3" s="62"/>
      <c r="CVI3" s="62"/>
      <c r="CVJ3" s="62"/>
      <c r="CVK3" s="62"/>
      <c r="CVL3" s="62"/>
      <c r="CVM3" s="62"/>
      <c r="CVN3" s="62"/>
      <c r="CVO3" s="62"/>
      <c r="CVP3" s="62"/>
      <c r="CVQ3" s="62"/>
      <c r="CVR3" s="62"/>
      <c r="CVS3" s="62"/>
      <c r="CVT3" s="62"/>
      <c r="CVU3" s="62"/>
      <c r="CVV3" s="62"/>
      <c r="CVW3" s="62"/>
      <c r="CVX3" s="62"/>
      <c r="CVY3" s="62"/>
      <c r="CVZ3" s="62"/>
      <c r="CWA3" s="62"/>
      <c r="CWB3" s="62"/>
      <c r="CWC3" s="62"/>
      <c r="CWD3" s="62"/>
      <c r="CWE3" s="62"/>
      <c r="CWF3" s="62"/>
      <c r="CWG3" s="62"/>
      <c r="CWH3" s="62"/>
      <c r="CWI3" s="62"/>
      <c r="CWJ3" s="62"/>
      <c r="CWK3" s="62"/>
      <c r="CWL3" s="62"/>
      <c r="CWM3" s="62"/>
      <c r="CWN3" s="62"/>
      <c r="CWO3" s="62"/>
      <c r="CWP3" s="62"/>
      <c r="CWQ3" s="62"/>
      <c r="CWR3" s="62"/>
      <c r="CWS3" s="62"/>
      <c r="CWT3" s="62"/>
      <c r="CWU3" s="62"/>
      <c r="CWV3" s="62"/>
      <c r="CWW3" s="62"/>
      <c r="CWX3" s="62"/>
      <c r="CWY3" s="62"/>
      <c r="CWZ3" s="62"/>
      <c r="CXA3" s="62"/>
      <c r="CXB3" s="62"/>
      <c r="CXC3" s="62"/>
      <c r="CXD3" s="62"/>
      <c r="CXE3" s="62"/>
      <c r="CXF3" s="62"/>
      <c r="CXG3" s="62"/>
      <c r="CXH3" s="62"/>
      <c r="CXI3" s="62"/>
      <c r="CXJ3" s="62"/>
      <c r="CXK3" s="62"/>
      <c r="CXL3" s="62"/>
      <c r="CXM3" s="62"/>
      <c r="CXN3" s="62"/>
      <c r="CXO3" s="62"/>
      <c r="CXP3" s="62"/>
      <c r="CXQ3" s="62"/>
      <c r="CXR3" s="62"/>
      <c r="CXS3" s="62"/>
      <c r="CXT3" s="62"/>
      <c r="CXU3" s="62"/>
      <c r="CXV3" s="62"/>
      <c r="CXW3" s="62"/>
      <c r="CXX3" s="62"/>
      <c r="CXY3" s="62"/>
      <c r="CXZ3" s="62"/>
      <c r="CYA3" s="62"/>
      <c r="CYB3" s="62"/>
      <c r="CYC3" s="62"/>
      <c r="CYD3" s="62"/>
      <c r="CYE3" s="62"/>
      <c r="CYF3" s="62"/>
      <c r="CYG3" s="62"/>
      <c r="CYH3" s="62"/>
      <c r="CYI3" s="62"/>
      <c r="CYJ3" s="62"/>
      <c r="CYK3" s="62"/>
      <c r="CYL3" s="62"/>
      <c r="CYM3" s="62"/>
      <c r="CYN3" s="62"/>
      <c r="CYO3" s="62"/>
      <c r="CYP3" s="62"/>
      <c r="CYQ3" s="62"/>
      <c r="CYR3" s="62"/>
      <c r="CYS3" s="62"/>
      <c r="CYT3" s="62"/>
      <c r="CYU3" s="62"/>
      <c r="CYV3" s="62"/>
      <c r="CYW3" s="62"/>
      <c r="CYX3" s="62"/>
      <c r="CYY3" s="62"/>
      <c r="CYZ3" s="62"/>
      <c r="CZA3" s="62"/>
      <c r="CZB3" s="62"/>
      <c r="CZC3" s="62"/>
      <c r="CZD3" s="62"/>
      <c r="CZE3" s="62"/>
      <c r="CZF3" s="62"/>
      <c r="CZG3" s="62"/>
      <c r="CZH3" s="62"/>
      <c r="CZI3" s="62"/>
      <c r="CZJ3" s="62"/>
      <c r="CZK3" s="62"/>
      <c r="CZL3" s="62"/>
      <c r="CZM3" s="62"/>
      <c r="CZN3" s="62"/>
      <c r="CZO3" s="62"/>
      <c r="CZP3" s="62"/>
      <c r="CZQ3" s="62"/>
      <c r="CZR3" s="62"/>
      <c r="CZS3" s="62"/>
      <c r="CZT3" s="62"/>
      <c r="CZU3" s="62"/>
      <c r="CZV3" s="62"/>
      <c r="CZW3" s="62"/>
      <c r="CZX3" s="62"/>
      <c r="CZY3" s="62"/>
      <c r="CZZ3" s="62"/>
      <c r="DAA3" s="62"/>
      <c r="DAB3" s="62"/>
      <c r="DAC3" s="62"/>
      <c r="DAD3" s="62"/>
      <c r="DAE3" s="62"/>
      <c r="DAF3" s="62"/>
      <c r="DAG3" s="62"/>
      <c r="DAH3" s="62"/>
      <c r="DAI3" s="62"/>
      <c r="DAJ3" s="62"/>
      <c r="DAK3" s="62"/>
      <c r="DAL3" s="62"/>
      <c r="DAM3" s="62"/>
      <c r="DAN3" s="62"/>
      <c r="DAO3" s="62"/>
      <c r="DAP3" s="62"/>
      <c r="DAQ3" s="62"/>
      <c r="DAR3" s="62"/>
      <c r="DAS3" s="62"/>
      <c r="DAT3" s="62"/>
      <c r="DAU3" s="62"/>
      <c r="DAV3" s="62"/>
      <c r="DAW3" s="62"/>
      <c r="DAX3" s="62"/>
      <c r="DAY3" s="62"/>
      <c r="DAZ3" s="62"/>
      <c r="DBA3" s="62"/>
      <c r="DBB3" s="62"/>
      <c r="DBC3" s="62"/>
      <c r="DBD3" s="62"/>
      <c r="DBE3" s="62"/>
      <c r="DBF3" s="62"/>
      <c r="DBG3" s="62"/>
      <c r="DBH3" s="62"/>
      <c r="DBI3" s="62"/>
      <c r="DBJ3" s="62"/>
      <c r="DBK3" s="62"/>
      <c r="DBL3" s="62"/>
      <c r="DBM3" s="62"/>
      <c r="DBN3" s="62"/>
      <c r="DBO3" s="62"/>
      <c r="DBP3" s="62"/>
      <c r="DBQ3" s="62"/>
      <c r="DBR3" s="62"/>
      <c r="DBS3" s="62"/>
      <c r="DBT3" s="62"/>
      <c r="DBU3" s="62"/>
      <c r="DBV3" s="62"/>
      <c r="DBW3" s="62"/>
      <c r="DBX3" s="62"/>
      <c r="DBY3" s="62"/>
      <c r="DBZ3" s="62"/>
      <c r="DCA3" s="62"/>
      <c r="DCB3" s="62"/>
      <c r="DCC3" s="62"/>
      <c r="DCD3" s="62"/>
      <c r="DCE3" s="62"/>
      <c r="DCF3" s="62"/>
      <c r="DCG3" s="62"/>
      <c r="DCH3" s="62"/>
      <c r="DCI3" s="62"/>
      <c r="DCJ3" s="62"/>
      <c r="DCK3" s="62"/>
      <c r="DCL3" s="62"/>
      <c r="DCM3" s="62"/>
      <c r="DCN3" s="62"/>
      <c r="DCO3" s="62"/>
      <c r="DCP3" s="62"/>
      <c r="DCQ3" s="62"/>
      <c r="DCR3" s="62"/>
      <c r="DCS3" s="62"/>
      <c r="DCT3" s="62"/>
      <c r="DCU3" s="62"/>
      <c r="DCV3" s="62"/>
      <c r="DCW3" s="62"/>
      <c r="DCX3" s="62"/>
      <c r="DCY3" s="62"/>
      <c r="DCZ3" s="62"/>
      <c r="DDA3" s="62"/>
      <c r="DDB3" s="62"/>
      <c r="DDC3" s="62"/>
      <c r="DDD3" s="62"/>
      <c r="DDE3" s="62"/>
      <c r="DDF3" s="62"/>
      <c r="DDG3" s="62"/>
      <c r="DDH3" s="62"/>
      <c r="DDI3" s="62"/>
      <c r="DDJ3" s="62"/>
      <c r="DDK3" s="62"/>
      <c r="DDL3" s="62"/>
      <c r="DDM3" s="62"/>
      <c r="DDN3" s="62"/>
      <c r="DDO3" s="62"/>
      <c r="DDP3" s="62"/>
      <c r="DDQ3" s="62"/>
      <c r="DDR3" s="62"/>
      <c r="DDS3" s="62"/>
      <c r="DDT3" s="62"/>
      <c r="DDU3" s="62"/>
      <c r="DDV3" s="62"/>
      <c r="DDW3" s="62"/>
      <c r="DDX3" s="62"/>
      <c r="DDY3" s="62"/>
      <c r="DDZ3" s="62"/>
      <c r="DEA3" s="62"/>
      <c r="DEB3" s="62"/>
      <c r="DEC3" s="62"/>
      <c r="DED3" s="62"/>
      <c r="DEE3" s="62"/>
      <c r="DEF3" s="62"/>
      <c r="DEG3" s="62"/>
      <c r="DEH3" s="62"/>
      <c r="DEI3" s="62"/>
      <c r="DEJ3" s="62"/>
      <c r="DEK3" s="62"/>
      <c r="DEL3" s="62"/>
      <c r="DEM3" s="62"/>
      <c r="DEN3" s="62"/>
      <c r="DEO3" s="62"/>
      <c r="DEP3" s="62"/>
      <c r="DEQ3" s="62"/>
      <c r="DER3" s="62"/>
      <c r="DES3" s="62"/>
      <c r="DET3" s="62"/>
      <c r="DEU3" s="62"/>
      <c r="DEV3" s="62"/>
      <c r="DEW3" s="62"/>
      <c r="DEX3" s="62"/>
      <c r="DEY3" s="62"/>
      <c r="DEZ3" s="62"/>
      <c r="DFA3" s="62"/>
      <c r="DFB3" s="62"/>
      <c r="DFC3" s="62"/>
      <c r="DFD3" s="62"/>
      <c r="DFE3" s="62"/>
      <c r="DFF3" s="62"/>
      <c r="DFG3" s="62"/>
      <c r="DFH3" s="62"/>
      <c r="DFI3" s="62"/>
      <c r="DFJ3" s="62"/>
      <c r="DFK3" s="62"/>
      <c r="DFL3" s="62"/>
      <c r="DFM3" s="62"/>
      <c r="DFN3" s="62"/>
      <c r="DFO3" s="62"/>
      <c r="DFP3" s="62"/>
      <c r="DFQ3" s="62"/>
      <c r="DFR3" s="62"/>
      <c r="DFS3" s="62"/>
      <c r="DFT3" s="62"/>
      <c r="DFU3" s="62"/>
      <c r="DFV3" s="62"/>
      <c r="DFW3" s="62"/>
      <c r="DFX3" s="62"/>
      <c r="DFY3" s="62"/>
      <c r="DFZ3" s="62"/>
      <c r="DGA3" s="62"/>
      <c r="DGB3" s="62"/>
      <c r="DGC3" s="62"/>
      <c r="DGD3" s="62"/>
      <c r="DGE3" s="62"/>
      <c r="DGF3" s="62"/>
      <c r="DGG3" s="62"/>
      <c r="DGH3" s="62"/>
      <c r="DGI3" s="62"/>
      <c r="DGJ3" s="62"/>
      <c r="DGK3" s="62"/>
      <c r="DGL3" s="62"/>
      <c r="DGM3" s="62"/>
      <c r="DGN3" s="62"/>
      <c r="DGO3" s="62"/>
      <c r="DGP3" s="62"/>
      <c r="DGQ3" s="62"/>
      <c r="DGR3" s="62"/>
      <c r="DGS3" s="62"/>
      <c r="DGT3" s="62"/>
      <c r="DGU3" s="62"/>
      <c r="DGV3" s="62"/>
      <c r="DGW3" s="62"/>
      <c r="DGX3" s="62"/>
      <c r="DGY3" s="62"/>
      <c r="DGZ3" s="62"/>
      <c r="DHA3" s="62"/>
      <c r="DHB3" s="62"/>
      <c r="DHC3" s="62"/>
      <c r="DHD3" s="62"/>
      <c r="DHE3" s="62"/>
      <c r="DHF3" s="62"/>
      <c r="DHG3" s="62"/>
      <c r="DHH3" s="62"/>
      <c r="DHI3" s="62"/>
      <c r="DHJ3" s="62"/>
      <c r="DHK3" s="62"/>
      <c r="DHL3" s="62"/>
      <c r="DHM3" s="62"/>
      <c r="DHN3" s="62"/>
      <c r="DHO3" s="62"/>
      <c r="DHP3" s="62"/>
      <c r="DHQ3" s="62"/>
      <c r="DHR3" s="62"/>
      <c r="DHS3" s="62"/>
      <c r="DHT3" s="62"/>
      <c r="DHU3" s="62"/>
      <c r="DHV3" s="62"/>
      <c r="DHW3" s="62"/>
      <c r="DHX3" s="62"/>
      <c r="DHY3" s="62"/>
      <c r="DHZ3" s="62"/>
      <c r="DIA3" s="62"/>
      <c r="DIB3" s="62"/>
      <c r="DIC3" s="62"/>
      <c r="DID3" s="62"/>
      <c r="DIE3" s="62"/>
      <c r="DIF3" s="62"/>
      <c r="DIG3" s="62"/>
      <c r="DIH3" s="62"/>
      <c r="DII3" s="62"/>
      <c r="DIJ3" s="62"/>
      <c r="DIK3" s="62"/>
      <c r="DIL3" s="62"/>
      <c r="DIM3" s="62"/>
      <c r="DIN3" s="62"/>
      <c r="DIO3" s="62"/>
      <c r="DIP3" s="62"/>
      <c r="DIQ3" s="62"/>
      <c r="DIR3" s="62"/>
      <c r="DIS3" s="62"/>
      <c r="DIT3" s="62"/>
      <c r="DIU3" s="62"/>
      <c r="DIV3" s="62"/>
      <c r="DIW3" s="62"/>
      <c r="DIX3" s="62"/>
      <c r="DIY3" s="62"/>
      <c r="DIZ3" s="62"/>
      <c r="DJA3" s="62"/>
      <c r="DJB3" s="62"/>
      <c r="DJC3" s="62"/>
      <c r="DJD3" s="62"/>
      <c r="DJE3" s="62"/>
      <c r="DJF3" s="62"/>
      <c r="DJG3" s="62"/>
      <c r="DJH3" s="62"/>
      <c r="DJI3" s="62"/>
      <c r="DJJ3" s="62"/>
      <c r="DJK3" s="62"/>
      <c r="DJL3" s="62"/>
      <c r="DJM3" s="62"/>
      <c r="DJN3" s="62"/>
      <c r="DJO3" s="62"/>
      <c r="DJP3" s="62"/>
      <c r="DJQ3" s="62"/>
      <c r="DJR3" s="62"/>
      <c r="DJS3" s="62"/>
      <c r="DJT3" s="62"/>
      <c r="DJU3" s="62"/>
      <c r="DJV3" s="62"/>
      <c r="DJW3" s="62"/>
      <c r="DJX3" s="62"/>
      <c r="DJY3" s="62"/>
      <c r="DJZ3" s="62"/>
      <c r="DKA3" s="62"/>
      <c r="DKB3" s="62"/>
      <c r="DKC3" s="62"/>
      <c r="DKD3" s="62"/>
      <c r="DKE3" s="62"/>
      <c r="DKF3" s="62"/>
      <c r="DKG3" s="62"/>
      <c r="DKH3" s="62"/>
      <c r="DKI3" s="62"/>
      <c r="DKJ3" s="62"/>
      <c r="DKK3" s="62"/>
      <c r="DKL3" s="62"/>
      <c r="DKM3" s="62"/>
      <c r="DKN3" s="62"/>
      <c r="DKO3" s="62"/>
      <c r="DKP3" s="62"/>
      <c r="DKQ3" s="62"/>
      <c r="DKR3" s="62"/>
      <c r="DKS3" s="62"/>
      <c r="DKT3" s="62"/>
      <c r="DKU3" s="62"/>
      <c r="DKV3" s="62"/>
      <c r="DKW3" s="62"/>
      <c r="DKX3" s="62"/>
      <c r="DKY3" s="62"/>
      <c r="DKZ3" s="62"/>
      <c r="DLA3" s="62"/>
      <c r="DLB3" s="62"/>
      <c r="DLC3" s="62"/>
      <c r="DLD3" s="62"/>
      <c r="DLE3" s="62"/>
      <c r="DLF3" s="62"/>
      <c r="DLG3" s="62"/>
      <c r="DLH3" s="62"/>
      <c r="DLI3" s="62"/>
      <c r="DLJ3" s="62"/>
      <c r="DLK3" s="62"/>
      <c r="DLL3" s="62"/>
      <c r="DLM3" s="62"/>
      <c r="DLN3" s="62"/>
      <c r="DLO3" s="62"/>
      <c r="DLP3" s="62"/>
      <c r="DLQ3" s="62"/>
      <c r="DLR3" s="62"/>
      <c r="DLS3" s="62"/>
      <c r="DLT3" s="62"/>
      <c r="DLU3" s="62"/>
      <c r="DLV3" s="62"/>
      <c r="DLW3" s="62"/>
      <c r="DLX3" s="62"/>
      <c r="DLY3" s="62"/>
      <c r="DLZ3" s="62"/>
      <c r="DMA3" s="62"/>
      <c r="DMB3" s="62"/>
      <c r="DMC3" s="62"/>
      <c r="DMD3" s="62"/>
      <c r="DME3" s="62"/>
      <c r="DMF3" s="62"/>
      <c r="DMG3" s="62"/>
      <c r="DMH3" s="62"/>
      <c r="DMI3" s="62"/>
      <c r="DMJ3" s="62"/>
      <c r="DMK3" s="62"/>
      <c r="DML3" s="62"/>
      <c r="DMM3" s="62"/>
      <c r="DMN3" s="62"/>
      <c r="DMO3" s="62"/>
      <c r="DMP3" s="62"/>
      <c r="DMQ3" s="62"/>
      <c r="DMR3" s="62"/>
      <c r="DMS3" s="62"/>
      <c r="DMT3" s="62"/>
      <c r="DMU3" s="62"/>
      <c r="DMV3" s="62"/>
      <c r="DMW3" s="62"/>
      <c r="DMX3" s="62"/>
      <c r="DMY3" s="62"/>
      <c r="DMZ3" s="62"/>
      <c r="DNA3" s="62"/>
      <c r="DNB3" s="62"/>
      <c r="DNC3" s="62"/>
      <c r="DND3" s="62"/>
      <c r="DNE3" s="62"/>
      <c r="DNF3" s="62"/>
      <c r="DNG3" s="62"/>
      <c r="DNH3" s="62"/>
      <c r="DNI3" s="62"/>
      <c r="DNJ3" s="62"/>
      <c r="DNK3" s="62"/>
      <c r="DNL3" s="62"/>
      <c r="DNM3" s="62"/>
      <c r="DNN3" s="62"/>
      <c r="DNO3" s="62"/>
      <c r="DNP3" s="62"/>
      <c r="DNQ3" s="62"/>
      <c r="DNR3" s="62"/>
      <c r="DNS3" s="62"/>
      <c r="DNT3" s="62"/>
      <c r="DNU3" s="62"/>
      <c r="DNV3" s="62"/>
      <c r="DNW3" s="62"/>
      <c r="DNX3" s="62"/>
      <c r="DNY3" s="62"/>
      <c r="DNZ3" s="62"/>
      <c r="DOA3" s="62"/>
      <c r="DOB3" s="62"/>
      <c r="DOC3" s="62"/>
      <c r="DOD3" s="62"/>
      <c r="DOE3" s="62"/>
      <c r="DOF3" s="62"/>
      <c r="DOG3" s="62"/>
      <c r="DOH3" s="62"/>
      <c r="DOI3" s="62"/>
      <c r="DOJ3" s="62"/>
      <c r="DOK3" s="62"/>
      <c r="DOL3" s="62"/>
      <c r="DOM3" s="62"/>
      <c r="DON3" s="62"/>
      <c r="DOO3" s="62"/>
      <c r="DOP3" s="62"/>
      <c r="DOQ3" s="62"/>
      <c r="DOR3" s="62"/>
      <c r="DOS3" s="62"/>
      <c r="DOT3" s="62"/>
      <c r="DOU3" s="62"/>
      <c r="DOV3" s="62"/>
      <c r="DOW3" s="62"/>
      <c r="DOX3" s="62"/>
      <c r="DOY3" s="62"/>
      <c r="DOZ3" s="62"/>
      <c r="DPA3" s="62"/>
      <c r="DPB3" s="62"/>
      <c r="DPC3" s="62"/>
      <c r="DPD3" s="62"/>
      <c r="DPE3" s="62"/>
      <c r="DPF3" s="62"/>
      <c r="DPG3" s="62"/>
      <c r="DPH3" s="62"/>
      <c r="DPI3" s="62"/>
      <c r="DPJ3" s="62"/>
      <c r="DPK3" s="62"/>
      <c r="DPL3" s="62"/>
      <c r="DPM3" s="62"/>
      <c r="DPN3" s="62"/>
      <c r="DPO3" s="62"/>
      <c r="DPP3" s="62"/>
      <c r="DPQ3" s="62"/>
      <c r="DPR3" s="62"/>
      <c r="DPS3" s="62"/>
      <c r="DPT3" s="62"/>
      <c r="DPU3" s="62"/>
      <c r="DPV3" s="62"/>
      <c r="DPW3" s="62"/>
      <c r="DPX3" s="62"/>
      <c r="DPY3" s="62"/>
      <c r="DPZ3" s="62"/>
      <c r="DQA3" s="62"/>
      <c r="DQB3" s="62"/>
      <c r="DQC3" s="62"/>
      <c r="DQD3" s="62"/>
      <c r="DQE3" s="62"/>
      <c r="DQF3" s="62"/>
      <c r="DQG3" s="62"/>
      <c r="DQH3" s="62"/>
      <c r="DQI3" s="62"/>
      <c r="DQJ3" s="62"/>
      <c r="DQK3" s="62"/>
      <c r="DQL3" s="62"/>
      <c r="DQM3" s="62"/>
      <c r="DQN3" s="62"/>
      <c r="DQO3" s="62"/>
      <c r="DQP3" s="62"/>
      <c r="DQQ3" s="62"/>
      <c r="DQR3" s="62"/>
      <c r="DQS3" s="62"/>
      <c r="DQT3" s="62"/>
      <c r="DQU3" s="62"/>
      <c r="DQV3" s="62"/>
      <c r="DQW3" s="62"/>
      <c r="DQX3" s="62"/>
      <c r="DQY3" s="62"/>
      <c r="DQZ3" s="62"/>
      <c r="DRA3" s="62"/>
      <c r="DRB3" s="62"/>
      <c r="DRC3" s="62"/>
      <c r="DRD3" s="62"/>
      <c r="DRE3" s="62"/>
      <c r="DRF3" s="62"/>
      <c r="DRG3" s="62"/>
      <c r="DRH3" s="62"/>
      <c r="DRI3" s="62"/>
      <c r="DRJ3" s="62"/>
      <c r="DRK3" s="62"/>
      <c r="DRL3" s="62"/>
      <c r="DRM3" s="62"/>
      <c r="DRN3" s="62"/>
      <c r="DRO3" s="62"/>
      <c r="DRP3" s="62"/>
      <c r="DRQ3" s="62"/>
      <c r="DRR3" s="62"/>
      <c r="DRS3" s="62"/>
      <c r="DRT3" s="62"/>
      <c r="DRU3" s="62"/>
      <c r="DRV3" s="62"/>
      <c r="DRW3" s="62"/>
      <c r="DRX3" s="62"/>
      <c r="DRY3" s="62"/>
      <c r="DRZ3" s="62"/>
      <c r="DSA3" s="62"/>
      <c r="DSB3" s="62"/>
      <c r="DSC3" s="62"/>
      <c r="DSD3" s="62"/>
      <c r="DSE3" s="62"/>
      <c r="DSF3" s="62"/>
      <c r="DSG3" s="62"/>
      <c r="DSH3" s="62"/>
      <c r="DSI3" s="62"/>
      <c r="DSJ3" s="62"/>
      <c r="DSK3" s="62"/>
      <c r="DSL3" s="62"/>
      <c r="DSM3" s="62"/>
      <c r="DSN3" s="62"/>
      <c r="DSO3" s="62"/>
      <c r="DSP3" s="62"/>
      <c r="DSQ3" s="62"/>
      <c r="DSR3" s="62"/>
      <c r="DSS3" s="62"/>
      <c r="DST3" s="62"/>
      <c r="DSU3" s="62"/>
      <c r="DSV3" s="62"/>
      <c r="DSW3" s="62"/>
      <c r="DSX3" s="62"/>
      <c r="DSY3" s="62"/>
      <c r="DSZ3" s="62"/>
      <c r="DTA3" s="62"/>
      <c r="DTB3" s="62"/>
      <c r="DTC3" s="62"/>
      <c r="DTD3" s="62"/>
      <c r="DTE3" s="62"/>
      <c r="DTF3" s="62"/>
      <c r="DTG3" s="62"/>
      <c r="DTH3" s="62"/>
      <c r="DTI3" s="62"/>
      <c r="DTJ3" s="62"/>
      <c r="DTK3" s="62"/>
      <c r="DTL3" s="62"/>
      <c r="DTM3" s="62"/>
      <c r="DTN3" s="62"/>
      <c r="DTO3" s="62"/>
      <c r="DTP3" s="62"/>
      <c r="DTQ3" s="62"/>
      <c r="DTR3" s="62"/>
      <c r="DTS3" s="62"/>
      <c r="DTT3" s="62"/>
      <c r="DTU3" s="62"/>
      <c r="DTV3" s="62"/>
      <c r="DTW3" s="62"/>
      <c r="DTX3" s="62"/>
      <c r="DTY3" s="62"/>
      <c r="DTZ3" s="62"/>
      <c r="DUA3" s="62"/>
      <c r="DUB3" s="62"/>
      <c r="DUC3" s="62"/>
      <c r="DUD3" s="62"/>
      <c r="DUE3" s="62"/>
      <c r="DUF3" s="62"/>
      <c r="DUG3" s="62"/>
      <c r="DUH3" s="62"/>
      <c r="DUI3" s="62"/>
      <c r="DUJ3" s="62"/>
      <c r="DUK3" s="62"/>
      <c r="DUL3" s="62"/>
      <c r="DUM3" s="62"/>
      <c r="DUN3" s="62"/>
      <c r="DUO3" s="62"/>
      <c r="DUP3" s="62"/>
      <c r="DUQ3" s="62"/>
      <c r="DUR3" s="62"/>
      <c r="DUS3" s="62"/>
      <c r="DUT3" s="62"/>
      <c r="DUU3" s="62"/>
      <c r="DUV3" s="62"/>
      <c r="DUW3" s="62"/>
      <c r="DUX3" s="62"/>
      <c r="DUY3" s="62"/>
      <c r="DUZ3" s="62"/>
      <c r="DVA3" s="62"/>
      <c r="DVB3" s="62"/>
      <c r="DVC3" s="62"/>
      <c r="DVD3" s="62"/>
      <c r="DVE3" s="62"/>
      <c r="DVF3" s="62"/>
      <c r="DVG3" s="62"/>
      <c r="DVH3" s="62"/>
      <c r="DVI3" s="62"/>
      <c r="DVJ3" s="62"/>
      <c r="DVK3" s="62"/>
      <c r="DVL3" s="62"/>
      <c r="DVM3" s="62"/>
      <c r="DVN3" s="62"/>
      <c r="DVO3" s="62"/>
      <c r="DVP3" s="62"/>
      <c r="DVQ3" s="62"/>
      <c r="DVR3" s="62"/>
      <c r="DVS3" s="62"/>
      <c r="DVT3" s="62"/>
      <c r="DVU3" s="62"/>
      <c r="DVV3" s="62"/>
      <c r="DVW3" s="62"/>
      <c r="DVX3" s="62"/>
      <c r="DVY3" s="62"/>
      <c r="DVZ3" s="62"/>
      <c r="DWA3" s="62"/>
      <c r="DWB3" s="62"/>
      <c r="DWC3" s="62"/>
      <c r="DWD3" s="62"/>
      <c r="DWE3" s="62"/>
      <c r="DWF3" s="62"/>
      <c r="DWG3" s="62"/>
      <c r="DWH3" s="62"/>
      <c r="DWI3" s="62"/>
      <c r="DWJ3" s="62"/>
      <c r="DWK3" s="62"/>
      <c r="DWL3" s="62"/>
      <c r="DWM3" s="62"/>
      <c r="DWN3" s="62"/>
      <c r="DWO3" s="62"/>
      <c r="DWP3" s="62"/>
      <c r="DWQ3" s="62"/>
      <c r="DWR3" s="62"/>
      <c r="DWS3" s="62"/>
      <c r="DWT3" s="62"/>
      <c r="DWU3" s="62"/>
      <c r="DWV3" s="62"/>
      <c r="DWW3" s="62"/>
      <c r="DWX3" s="62"/>
      <c r="DWY3" s="62"/>
      <c r="DWZ3" s="62"/>
      <c r="DXA3" s="62"/>
      <c r="DXB3" s="62"/>
      <c r="DXC3" s="62"/>
      <c r="DXD3" s="62"/>
      <c r="DXE3" s="62"/>
      <c r="DXF3" s="62"/>
      <c r="DXG3" s="62"/>
      <c r="DXH3" s="62"/>
      <c r="DXI3" s="62"/>
      <c r="DXJ3" s="62"/>
      <c r="DXK3" s="62"/>
      <c r="DXL3" s="62"/>
      <c r="DXM3" s="62"/>
      <c r="DXN3" s="62"/>
      <c r="DXO3" s="62"/>
      <c r="DXP3" s="62"/>
      <c r="DXQ3" s="62"/>
      <c r="DXR3" s="62"/>
      <c r="DXS3" s="62"/>
      <c r="DXT3" s="62"/>
      <c r="DXU3" s="62"/>
      <c r="DXV3" s="62"/>
      <c r="DXW3" s="62"/>
      <c r="DXX3" s="62"/>
      <c r="DXY3" s="62"/>
      <c r="DXZ3" s="62"/>
      <c r="DYA3" s="62"/>
      <c r="DYB3" s="62"/>
      <c r="DYC3" s="62"/>
      <c r="DYD3" s="62"/>
      <c r="DYE3" s="62"/>
      <c r="DYF3" s="62"/>
      <c r="DYG3" s="62"/>
      <c r="DYH3" s="62"/>
      <c r="DYI3" s="62"/>
      <c r="DYJ3" s="62"/>
      <c r="DYK3" s="62"/>
      <c r="DYL3" s="62"/>
      <c r="DYM3" s="62"/>
      <c r="DYN3" s="62"/>
      <c r="DYO3" s="62"/>
      <c r="DYP3" s="62"/>
      <c r="DYQ3" s="62"/>
      <c r="DYR3" s="62"/>
      <c r="DYS3" s="62"/>
      <c r="DYT3" s="62"/>
      <c r="DYU3" s="62"/>
      <c r="DYV3" s="62"/>
      <c r="DYW3" s="62"/>
      <c r="DYX3" s="62"/>
      <c r="DYY3" s="62"/>
      <c r="DYZ3" s="62"/>
      <c r="DZA3" s="62"/>
      <c r="DZB3" s="62"/>
      <c r="DZC3" s="62"/>
      <c r="DZD3" s="62"/>
      <c r="DZE3" s="62"/>
      <c r="DZF3" s="62"/>
      <c r="DZG3" s="62"/>
      <c r="DZH3" s="62"/>
      <c r="DZI3" s="62"/>
      <c r="DZJ3" s="62"/>
      <c r="DZK3" s="62"/>
      <c r="DZL3" s="62"/>
      <c r="DZM3" s="62"/>
      <c r="DZN3" s="62"/>
      <c r="DZO3" s="62"/>
      <c r="DZP3" s="62"/>
      <c r="DZQ3" s="62"/>
      <c r="DZR3" s="62"/>
      <c r="DZS3" s="62"/>
      <c r="DZT3" s="62"/>
      <c r="DZU3" s="62"/>
      <c r="DZV3" s="62"/>
      <c r="DZW3" s="62"/>
      <c r="DZX3" s="62"/>
      <c r="DZY3" s="62"/>
      <c r="DZZ3" s="62"/>
      <c r="EAA3" s="62"/>
      <c r="EAB3" s="62"/>
      <c r="EAC3" s="62"/>
      <c r="EAD3" s="62"/>
      <c r="EAE3" s="62"/>
      <c r="EAF3" s="62"/>
      <c r="EAG3" s="62"/>
      <c r="EAH3" s="62"/>
      <c r="EAI3" s="62"/>
      <c r="EAJ3" s="62"/>
      <c r="EAK3" s="62"/>
      <c r="EAL3" s="62"/>
      <c r="EAM3" s="62"/>
      <c r="EAN3" s="62"/>
      <c r="EAO3" s="62"/>
      <c r="EAP3" s="62"/>
      <c r="EAQ3" s="62"/>
      <c r="EAR3" s="62"/>
      <c r="EAS3" s="62"/>
      <c r="EAT3" s="62"/>
      <c r="EAU3" s="62"/>
      <c r="EAV3" s="62"/>
      <c r="EAW3" s="62"/>
      <c r="EAX3" s="62"/>
      <c r="EAY3" s="62"/>
      <c r="EAZ3" s="62"/>
      <c r="EBA3" s="62"/>
      <c r="EBB3" s="62"/>
      <c r="EBC3" s="62"/>
      <c r="EBD3" s="62"/>
      <c r="EBE3" s="62"/>
      <c r="EBF3" s="62"/>
      <c r="EBG3" s="62"/>
      <c r="EBH3" s="62"/>
      <c r="EBI3" s="62"/>
      <c r="EBJ3" s="62"/>
      <c r="EBK3" s="62"/>
      <c r="EBL3" s="62"/>
      <c r="EBM3" s="62"/>
      <c r="EBN3" s="62"/>
      <c r="EBO3" s="62"/>
      <c r="EBP3" s="62"/>
      <c r="EBQ3" s="62"/>
      <c r="EBR3" s="62"/>
      <c r="EBS3" s="62"/>
      <c r="EBT3" s="62"/>
      <c r="EBU3" s="62"/>
      <c r="EBV3" s="62"/>
      <c r="EBW3" s="62"/>
      <c r="EBX3" s="62"/>
      <c r="EBY3" s="62"/>
      <c r="EBZ3" s="62"/>
      <c r="ECA3" s="62"/>
      <c r="ECB3" s="62"/>
      <c r="ECC3" s="62"/>
      <c r="ECD3" s="62"/>
      <c r="ECE3" s="62"/>
      <c r="ECF3" s="62"/>
      <c r="ECG3" s="62"/>
      <c r="ECH3" s="62"/>
      <c r="ECI3" s="62"/>
      <c r="ECJ3" s="62"/>
      <c r="ECK3" s="62"/>
      <c r="ECL3" s="62"/>
      <c r="ECM3" s="62"/>
      <c r="ECN3" s="62"/>
      <c r="ECO3" s="62"/>
      <c r="ECP3" s="62"/>
      <c r="ECQ3" s="62"/>
      <c r="ECR3" s="62"/>
      <c r="ECS3" s="62"/>
      <c r="ECT3" s="62"/>
      <c r="ECU3" s="62"/>
      <c r="ECV3" s="62"/>
      <c r="ECW3" s="62"/>
      <c r="ECX3" s="62"/>
      <c r="ECY3" s="62"/>
      <c r="ECZ3" s="62"/>
      <c r="EDA3" s="62"/>
      <c r="EDB3" s="62"/>
      <c r="EDC3" s="62"/>
      <c r="EDD3" s="62"/>
      <c r="EDE3" s="62"/>
      <c r="EDF3" s="62"/>
      <c r="EDG3" s="62"/>
      <c r="EDH3" s="62"/>
      <c r="EDI3" s="62"/>
      <c r="EDJ3" s="62"/>
      <c r="EDK3" s="62"/>
      <c r="EDL3" s="62"/>
      <c r="EDM3" s="62"/>
      <c r="EDN3" s="62"/>
      <c r="EDO3" s="62"/>
      <c r="EDP3" s="62"/>
      <c r="EDQ3" s="62"/>
      <c r="EDR3" s="62"/>
      <c r="EDS3" s="62"/>
      <c r="EDT3" s="62"/>
      <c r="EDU3" s="62"/>
      <c r="EDV3" s="62"/>
      <c r="EDW3" s="62"/>
      <c r="EDX3" s="62"/>
      <c r="EDY3" s="62"/>
      <c r="EDZ3" s="62"/>
      <c r="EEA3" s="62"/>
      <c r="EEB3" s="62"/>
      <c r="EEC3" s="62"/>
      <c r="EED3" s="62"/>
      <c r="EEE3" s="62"/>
      <c r="EEF3" s="62"/>
      <c r="EEG3" s="62"/>
      <c r="EEH3" s="62"/>
      <c r="EEI3" s="62"/>
      <c r="EEJ3" s="62"/>
      <c r="EEK3" s="62"/>
      <c r="EEL3" s="62"/>
      <c r="EEM3" s="62"/>
      <c r="EEN3" s="62"/>
      <c r="EEO3" s="62"/>
      <c r="EEP3" s="62"/>
      <c r="EEQ3" s="62"/>
      <c r="EER3" s="62"/>
      <c r="EES3" s="62"/>
      <c r="EET3" s="62"/>
      <c r="EEU3" s="62"/>
      <c r="EEV3" s="62"/>
      <c r="EEW3" s="62"/>
      <c r="EEX3" s="62"/>
      <c r="EEY3" s="62"/>
      <c r="EEZ3" s="62"/>
      <c r="EFA3" s="62"/>
      <c r="EFB3" s="62"/>
      <c r="EFC3" s="62"/>
      <c r="EFD3" s="62"/>
      <c r="EFE3" s="62"/>
      <c r="EFF3" s="62"/>
      <c r="EFG3" s="62"/>
      <c r="EFH3" s="62"/>
      <c r="EFI3" s="62"/>
      <c r="EFJ3" s="62"/>
      <c r="EFK3" s="62"/>
      <c r="EFL3" s="62"/>
      <c r="EFM3" s="62"/>
      <c r="EFN3" s="62"/>
      <c r="EFO3" s="62"/>
      <c r="EFP3" s="62"/>
      <c r="EFQ3" s="62"/>
      <c r="EFR3" s="62"/>
      <c r="EFS3" s="62"/>
      <c r="EFT3" s="62"/>
      <c r="EFU3" s="62"/>
      <c r="EFV3" s="62"/>
      <c r="EFW3" s="62"/>
      <c r="EFX3" s="62"/>
      <c r="EFY3" s="62"/>
      <c r="EFZ3" s="62"/>
      <c r="EGA3" s="62"/>
      <c r="EGB3" s="62"/>
      <c r="EGC3" s="62"/>
      <c r="EGD3" s="62"/>
      <c r="EGE3" s="62"/>
      <c r="EGF3" s="62"/>
      <c r="EGG3" s="62"/>
      <c r="EGH3" s="62"/>
      <c r="EGI3" s="62"/>
      <c r="EGJ3" s="62"/>
      <c r="EGK3" s="62"/>
      <c r="EGL3" s="62"/>
      <c r="EGM3" s="62"/>
      <c r="EGN3" s="62"/>
      <c r="EGO3" s="62"/>
      <c r="EGP3" s="62"/>
      <c r="EGQ3" s="62"/>
      <c r="EGR3" s="62"/>
      <c r="EGS3" s="62"/>
      <c r="EGT3" s="62"/>
      <c r="EGU3" s="62"/>
      <c r="EGV3" s="62"/>
      <c r="EGW3" s="62"/>
      <c r="EGX3" s="62"/>
      <c r="EGY3" s="62"/>
      <c r="EGZ3" s="62"/>
      <c r="EHA3" s="62"/>
      <c r="EHB3" s="62"/>
      <c r="EHC3" s="62"/>
      <c r="EHD3" s="62"/>
      <c r="EHE3" s="62"/>
      <c r="EHF3" s="62"/>
      <c r="EHG3" s="62"/>
      <c r="EHH3" s="62"/>
      <c r="EHI3" s="62"/>
      <c r="EHJ3" s="62"/>
      <c r="EHK3" s="62"/>
      <c r="EHL3" s="62"/>
      <c r="EHM3" s="62"/>
      <c r="EHN3" s="62"/>
      <c r="EHO3" s="62"/>
      <c r="EHP3" s="62"/>
      <c r="EHQ3" s="62"/>
      <c r="EHR3" s="62"/>
      <c r="EHS3" s="62"/>
      <c r="EHT3" s="62"/>
      <c r="EHU3" s="62"/>
      <c r="EHV3" s="62"/>
      <c r="EHW3" s="62"/>
      <c r="EHX3" s="62"/>
      <c r="EHY3" s="62"/>
      <c r="EHZ3" s="62"/>
      <c r="EIA3" s="62"/>
      <c r="EIB3" s="62"/>
      <c r="EIC3" s="62"/>
      <c r="EID3" s="62"/>
      <c r="EIE3" s="62"/>
      <c r="EIF3" s="62"/>
      <c r="EIG3" s="62"/>
      <c r="EIH3" s="62"/>
      <c r="EII3" s="62"/>
      <c r="EIJ3" s="62"/>
      <c r="EIK3" s="62"/>
      <c r="EIL3" s="62"/>
      <c r="EIM3" s="62"/>
      <c r="EIN3" s="62"/>
      <c r="EIO3" s="62"/>
      <c r="EIP3" s="62"/>
      <c r="EIQ3" s="62"/>
      <c r="EIR3" s="62"/>
      <c r="EIS3" s="62"/>
      <c r="EIT3" s="62"/>
      <c r="EIU3" s="62"/>
      <c r="EIV3" s="62"/>
      <c r="EIW3" s="62"/>
      <c r="EIX3" s="62"/>
      <c r="EIY3" s="62"/>
      <c r="EIZ3" s="62"/>
      <c r="EJA3" s="62"/>
      <c r="EJB3" s="62"/>
      <c r="EJC3" s="62"/>
      <c r="EJD3" s="62"/>
      <c r="EJE3" s="62"/>
      <c r="EJF3" s="62"/>
      <c r="EJG3" s="62"/>
      <c r="EJH3" s="62"/>
      <c r="EJI3" s="62"/>
      <c r="EJJ3" s="62"/>
      <c r="EJK3" s="62"/>
      <c r="EJL3" s="62"/>
      <c r="EJM3" s="62"/>
      <c r="EJN3" s="62"/>
      <c r="EJO3" s="62"/>
      <c r="EJP3" s="62"/>
      <c r="EJQ3" s="62"/>
      <c r="EJR3" s="62"/>
      <c r="EJS3" s="62"/>
      <c r="EJT3" s="62"/>
      <c r="EJU3" s="62"/>
      <c r="EJV3" s="62"/>
      <c r="EJW3" s="62"/>
      <c r="EJX3" s="62"/>
      <c r="EJY3" s="62"/>
      <c r="EJZ3" s="62"/>
      <c r="EKA3" s="62"/>
      <c r="EKB3" s="62"/>
      <c r="EKC3" s="62"/>
      <c r="EKD3" s="62"/>
      <c r="EKE3" s="62"/>
      <c r="EKF3" s="62"/>
      <c r="EKG3" s="62"/>
      <c r="EKH3" s="62"/>
      <c r="EKI3" s="62"/>
      <c r="EKJ3" s="62"/>
      <c r="EKK3" s="62"/>
      <c r="EKL3" s="62"/>
      <c r="EKM3" s="62"/>
      <c r="EKN3" s="62"/>
      <c r="EKO3" s="62"/>
      <c r="EKP3" s="62"/>
      <c r="EKQ3" s="62"/>
      <c r="EKR3" s="62"/>
      <c r="EKS3" s="62"/>
      <c r="EKT3" s="62"/>
      <c r="EKU3" s="62"/>
      <c r="EKV3" s="62"/>
      <c r="EKW3" s="62"/>
      <c r="EKX3" s="62"/>
      <c r="EKY3" s="62"/>
      <c r="EKZ3" s="62"/>
      <c r="ELA3" s="62"/>
      <c r="ELB3" s="62"/>
      <c r="ELC3" s="62"/>
      <c r="ELD3" s="62"/>
      <c r="ELE3" s="62"/>
      <c r="ELF3" s="62"/>
      <c r="ELG3" s="62"/>
      <c r="ELH3" s="62"/>
      <c r="ELI3" s="62"/>
      <c r="ELJ3" s="62"/>
      <c r="ELK3" s="62"/>
      <c r="ELL3" s="62"/>
      <c r="ELM3" s="62"/>
      <c r="ELN3" s="62"/>
      <c r="ELO3" s="62"/>
      <c r="ELP3" s="62"/>
      <c r="ELQ3" s="62"/>
      <c r="ELR3" s="62"/>
      <c r="ELS3" s="62"/>
      <c r="ELT3" s="62"/>
      <c r="ELU3" s="62"/>
      <c r="ELV3" s="62"/>
      <c r="ELW3" s="62"/>
      <c r="ELX3" s="62"/>
      <c r="ELY3" s="62"/>
      <c r="ELZ3" s="62"/>
      <c r="EMA3" s="62"/>
      <c r="EMB3" s="62"/>
      <c r="EMC3" s="62"/>
      <c r="EMD3" s="62"/>
      <c r="EME3" s="62"/>
      <c r="EMF3" s="62"/>
      <c r="EMG3" s="62"/>
      <c r="EMH3" s="62"/>
      <c r="EMI3" s="62"/>
      <c r="EMJ3" s="62"/>
      <c r="EMK3" s="62"/>
      <c r="EML3" s="62"/>
      <c r="EMM3" s="62"/>
      <c r="EMN3" s="62"/>
      <c r="EMO3" s="62"/>
      <c r="EMP3" s="62"/>
      <c r="EMQ3" s="62"/>
      <c r="EMR3" s="62"/>
      <c r="EMS3" s="62"/>
      <c r="EMT3" s="62"/>
      <c r="EMU3" s="62"/>
      <c r="EMV3" s="62"/>
      <c r="EMW3" s="62"/>
      <c r="EMX3" s="62"/>
      <c r="EMY3" s="62"/>
      <c r="EMZ3" s="62"/>
      <c r="ENA3" s="62"/>
      <c r="ENB3" s="62"/>
      <c r="ENC3" s="62"/>
      <c r="END3" s="62"/>
      <c r="ENE3" s="62"/>
      <c r="ENF3" s="62"/>
      <c r="ENG3" s="62"/>
      <c r="ENH3" s="62"/>
      <c r="ENI3" s="62"/>
      <c r="ENJ3" s="62"/>
      <c r="ENK3" s="62"/>
      <c r="ENL3" s="62"/>
      <c r="ENM3" s="62"/>
      <c r="ENN3" s="62"/>
      <c r="ENO3" s="62"/>
      <c r="ENP3" s="62"/>
      <c r="ENQ3" s="62"/>
      <c r="ENR3" s="62"/>
      <c r="ENS3" s="62"/>
      <c r="ENT3" s="62"/>
      <c r="ENU3" s="62"/>
      <c r="ENV3" s="62"/>
      <c r="ENW3" s="62"/>
      <c r="ENX3" s="62"/>
      <c r="ENY3" s="62"/>
      <c r="ENZ3" s="62"/>
      <c r="EOA3" s="62"/>
      <c r="EOB3" s="62"/>
      <c r="EOC3" s="62"/>
      <c r="EOD3" s="62"/>
      <c r="EOE3" s="62"/>
      <c r="EOF3" s="62"/>
      <c r="EOG3" s="62"/>
      <c r="EOH3" s="62"/>
      <c r="EOI3" s="62"/>
      <c r="EOJ3" s="62"/>
      <c r="EOK3" s="62"/>
      <c r="EOL3" s="62"/>
      <c r="EOM3" s="62"/>
      <c r="EON3" s="62"/>
      <c r="EOO3" s="62"/>
      <c r="EOP3" s="62"/>
      <c r="EOQ3" s="62"/>
      <c r="EOR3" s="62"/>
      <c r="EOS3" s="62"/>
      <c r="EOT3" s="62"/>
      <c r="EOU3" s="62"/>
      <c r="EOV3" s="62"/>
      <c r="EOW3" s="62"/>
      <c r="EOX3" s="62"/>
      <c r="EOY3" s="62"/>
      <c r="EOZ3" s="62"/>
      <c r="EPA3" s="62"/>
      <c r="EPB3" s="62"/>
      <c r="EPC3" s="62"/>
      <c r="EPD3" s="62"/>
      <c r="EPE3" s="62"/>
      <c r="EPF3" s="62"/>
      <c r="EPG3" s="62"/>
      <c r="EPH3" s="62"/>
      <c r="EPI3" s="62"/>
      <c r="EPJ3" s="62"/>
      <c r="EPK3" s="62"/>
      <c r="EPL3" s="62"/>
      <c r="EPM3" s="62"/>
      <c r="EPN3" s="62"/>
      <c r="EPO3" s="62"/>
      <c r="EPP3" s="62"/>
      <c r="EPQ3" s="62"/>
      <c r="EPR3" s="62"/>
      <c r="EPS3" s="62"/>
      <c r="EPT3" s="62"/>
      <c r="EPU3" s="62"/>
      <c r="EPV3" s="62"/>
      <c r="EPW3" s="62"/>
      <c r="EPX3" s="62"/>
      <c r="EPY3" s="62"/>
      <c r="EPZ3" s="62"/>
      <c r="EQA3" s="62"/>
      <c r="EQB3" s="62"/>
      <c r="EQC3" s="62"/>
      <c r="EQD3" s="62"/>
      <c r="EQE3" s="62"/>
      <c r="EQF3" s="62"/>
      <c r="EQG3" s="62"/>
      <c r="EQH3" s="62"/>
      <c r="EQI3" s="62"/>
      <c r="EQJ3" s="62"/>
      <c r="EQK3" s="62"/>
      <c r="EQL3" s="62"/>
      <c r="EQM3" s="62"/>
      <c r="EQN3" s="62"/>
      <c r="EQO3" s="62"/>
      <c r="EQP3" s="62"/>
      <c r="EQQ3" s="62"/>
      <c r="EQR3" s="62"/>
      <c r="EQS3" s="62"/>
      <c r="EQT3" s="62"/>
      <c r="EQU3" s="62"/>
      <c r="EQV3" s="62"/>
      <c r="EQW3" s="62"/>
      <c r="EQX3" s="62"/>
      <c r="EQY3" s="62"/>
      <c r="EQZ3" s="62"/>
      <c r="ERA3" s="62"/>
      <c r="ERB3" s="62"/>
      <c r="ERC3" s="62"/>
      <c r="ERD3" s="62"/>
      <c r="ERE3" s="62"/>
      <c r="ERF3" s="62"/>
      <c r="ERG3" s="62"/>
      <c r="ERH3" s="62"/>
      <c r="ERI3" s="62"/>
      <c r="ERJ3" s="62"/>
      <c r="ERK3" s="62"/>
      <c r="ERL3" s="62"/>
      <c r="ERM3" s="62"/>
      <c r="ERN3" s="62"/>
      <c r="ERO3" s="62"/>
      <c r="ERP3" s="62"/>
      <c r="ERQ3" s="62"/>
      <c r="ERR3" s="62"/>
      <c r="ERS3" s="62"/>
      <c r="ERT3" s="62"/>
      <c r="ERU3" s="62"/>
      <c r="ERV3" s="62"/>
      <c r="ERW3" s="62"/>
      <c r="ERX3" s="62"/>
      <c r="ERY3" s="62"/>
      <c r="ERZ3" s="62"/>
      <c r="ESA3" s="62"/>
      <c r="ESB3" s="62"/>
      <c r="ESC3" s="62"/>
      <c r="ESD3" s="62"/>
      <c r="ESE3" s="62"/>
      <c r="ESF3" s="62"/>
      <c r="ESG3" s="62"/>
      <c r="ESH3" s="62"/>
      <c r="ESI3" s="62"/>
      <c r="ESJ3" s="62"/>
      <c r="ESK3" s="62"/>
      <c r="ESL3" s="62"/>
      <c r="ESM3" s="62"/>
      <c r="ESN3" s="62"/>
      <c r="ESO3" s="62"/>
      <c r="ESP3" s="62"/>
      <c r="ESQ3" s="62"/>
      <c r="ESR3" s="62"/>
      <c r="ESS3" s="62"/>
      <c r="EST3" s="62"/>
      <c r="ESU3" s="62"/>
      <c r="ESV3" s="62"/>
      <c r="ESW3" s="62"/>
      <c r="ESX3" s="62"/>
      <c r="ESY3" s="62"/>
      <c r="ESZ3" s="62"/>
      <c r="ETA3" s="62"/>
      <c r="ETB3" s="62"/>
      <c r="ETC3" s="62"/>
      <c r="ETD3" s="62"/>
      <c r="ETE3" s="62"/>
      <c r="ETF3" s="62"/>
      <c r="ETG3" s="62"/>
      <c r="ETH3" s="62"/>
      <c r="ETI3" s="62"/>
      <c r="ETJ3" s="62"/>
      <c r="ETK3" s="62"/>
      <c r="ETL3" s="62"/>
      <c r="ETM3" s="62"/>
      <c r="ETN3" s="62"/>
      <c r="ETO3" s="62"/>
      <c r="ETP3" s="62"/>
      <c r="ETQ3" s="62"/>
      <c r="ETR3" s="62"/>
      <c r="ETS3" s="62"/>
      <c r="ETT3" s="62"/>
      <c r="ETU3" s="62"/>
      <c r="ETV3" s="62"/>
      <c r="ETW3" s="62"/>
      <c r="ETX3" s="62"/>
      <c r="ETY3" s="62"/>
      <c r="ETZ3" s="62"/>
      <c r="EUA3" s="62"/>
      <c r="EUB3" s="62"/>
      <c r="EUC3" s="62"/>
      <c r="EUD3" s="62"/>
      <c r="EUE3" s="62"/>
      <c r="EUF3" s="62"/>
      <c r="EUG3" s="62"/>
      <c r="EUH3" s="62"/>
      <c r="EUI3" s="62"/>
      <c r="EUJ3" s="62"/>
      <c r="EUK3" s="62"/>
      <c r="EUL3" s="62"/>
      <c r="EUM3" s="62"/>
      <c r="EUN3" s="62"/>
      <c r="EUO3" s="62"/>
      <c r="EUP3" s="62"/>
      <c r="EUQ3" s="62"/>
      <c r="EUR3" s="62"/>
      <c r="EUS3" s="62"/>
      <c r="EUT3" s="62"/>
      <c r="EUU3" s="62"/>
      <c r="EUV3" s="62"/>
      <c r="EUW3" s="62"/>
      <c r="EUX3" s="62"/>
      <c r="EUY3" s="62"/>
      <c r="EUZ3" s="62"/>
      <c r="EVA3" s="62"/>
      <c r="EVB3" s="62"/>
      <c r="EVC3" s="62"/>
      <c r="EVD3" s="62"/>
      <c r="EVE3" s="62"/>
      <c r="EVF3" s="62"/>
      <c r="EVG3" s="62"/>
      <c r="EVH3" s="62"/>
      <c r="EVI3" s="62"/>
      <c r="EVJ3" s="62"/>
      <c r="EVK3" s="62"/>
      <c r="EVL3" s="62"/>
      <c r="EVM3" s="62"/>
      <c r="EVN3" s="62"/>
      <c r="EVO3" s="62"/>
      <c r="EVP3" s="62"/>
      <c r="EVQ3" s="62"/>
      <c r="EVR3" s="62"/>
      <c r="EVS3" s="62"/>
      <c r="EVT3" s="62"/>
      <c r="EVU3" s="62"/>
      <c r="EVV3" s="62"/>
      <c r="EVW3" s="62"/>
      <c r="EVX3" s="62"/>
      <c r="EVY3" s="62"/>
      <c r="EVZ3" s="62"/>
      <c r="EWA3" s="62"/>
      <c r="EWB3" s="62"/>
      <c r="EWC3" s="62"/>
      <c r="EWD3" s="62"/>
      <c r="EWE3" s="62"/>
      <c r="EWF3" s="62"/>
      <c r="EWG3" s="62"/>
      <c r="EWH3" s="62"/>
      <c r="EWI3" s="62"/>
      <c r="EWJ3" s="62"/>
      <c r="EWK3" s="62"/>
      <c r="EWL3" s="62"/>
      <c r="EWM3" s="62"/>
      <c r="EWN3" s="62"/>
      <c r="EWO3" s="62"/>
      <c r="EWP3" s="62"/>
      <c r="EWQ3" s="62"/>
      <c r="EWR3" s="62"/>
      <c r="EWS3" s="62"/>
      <c r="EWT3" s="62"/>
      <c r="EWU3" s="62"/>
      <c r="EWV3" s="62"/>
      <c r="EWW3" s="62"/>
      <c r="EWX3" s="62"/>
      <c r="EWY3" s="62"/>
      <c r="EWZ3" s="62"/>
      <c r="EXA3" s="62"/>
      <c r="EXB3" s="62"/>
      <c r="EXC3" s="62"/>
      <c r="EXD3" s="62"/>
      <c r="EXE3" s="62"/>
      <c r="EXF3" s="62"/>
      <c r="EXG3" s="62"/>
      <c r="EXH3" s="62"/>
      <c r="EXI3" s="62"/>
      <c r="EXJ3" s="62"/>
      <c r="EXK3" s="62"/>
      <c r="EXL3" s="62"/>
      <c r="EXM3" s="62"/>
      <c r="EXN3" s="62"/>
      <c r="EXO3" s="62"/>
      <c r="EXP3" s="62"/>
      <c r="EXQ3" s="62"/>
      <c r="EXR3" s="62"/>
      <c r="EXS3" s="62"/>
      <c r="EXT3" s="62"/>
      <c r="EXU3" s="62"/>
      <c r="EXV3" s="62"/>
      <c r="EXW3" s="62"/>
      <c r="EXX3" s="62"/>
      <c r="EXY3" s="62"/>
      <c r="EXZ3" s="62"/>
      <c r="EYA3" s="62"/>
      <c r="EYB3" s="62"/>
      <c r="EYC3" s="62"/>
      <c r="EYD3" s="62"/>
      <c r="EYE3" s="62"/>
      <c r="EYF3" s="62"/>
      <c r="EYG3" s="62"/>
      <c r="EYH3" s="62"/>
      <c r="EYI3" s="62"/>
      <c r="EYJ3" s="62"/>
      <c r="EYK3" s="62"/>
      <c r="EYL3" s="62"/>
      <c r="EYM3" s="62"/>
      <c r="EYN3" s="62"/>
      <c r="EYO3" s="62"/>
      <c r="EYP3" s="62"/>
      <c r="EYQ3" s="62"/>
      <c r="EYR3" s="62"/>
      <c r="EYS3" s="62"/>
      <c r="EYT3" s="62"/>
      <c r="EYU3" s="62"/>
      <c r="EYV3" s="62"/>
      <c r="EYW3" s="62"/>
      <c r="EYX3" s="62"/>
      <c r="EYY3" s="62"/>
      <c r="EYZ3" s="62"/>
      <c r="EZA3" s="62"/>
      <c r="EZB3" s="62"/>
      <c r="EZC3" s="62"/>
      <c r="EZD3" s="62"/>
      <c r="EZE3" s="62"/>
      <c r="EZF3" s="62"/>
      <c r="EZG3" s="62"/>
      <c r="EZH3" s="62"/>
      <c r="EZI3" s="62"/>
      <c r="EZJ3" s="62"/>
      <c r="EZK3" s="62"/>
      <c r="EZL3" s="62"/>
      <c r="EZM3" s="62"/>
      <c r="EZN3" s="62"/>
      <c r="EZO3" s="62"/>
      <c r="EZP3" s="62"/>
      <c r="EZQ3" s="62"/>
      <c r="EZR3" s="62"/>
      <c r="EZS3" s="62"/>
      <c r="EZT3" s="62"/>
      <c r="EZU3" s="62"/>
      <c r="EZV3" s="62"/>
      <c r="EZW3" s="62"/>
      <c r="EZX3" s="62"/>
      <c r="EZY3" s="62"/>
      <c r="EZZ3" s="62"/>
      <c r="FAA3" s="62"/>
      <c r="FAB3" s="62"/>
      <c r="FAC3" s="62"/>
      <c r="FAD3" s="62"/>
      <c r="FAE3" s="62"/>
      <c r="FAF3" s="62"/>
      <c r="FAG3" s="62"/>
      <c r="FAH3" s="62"/>
      <c r="FAI3" s="62"/>
      <c r="FAJ3" s="62"/>
      <c r="FAK3" s="62"/>
      <c r="FAL3" s="62"/>
      <c r="FAM3" s="62"/>
      <c r="FAN3" s="62"/>
      <c r="FAO3" s="62"/>
      <c r="FAP3" s="62"/>
      <c r="FAQ3" s="62"/>
      <c r="FAR3" s="62"/>
      <c r="FAS3" s="62"/>
      <c r="FAT3" s="62"/>
      <c r="FAU3" s="62"/>
      <c r="FAV3" s="62"/>
      <c r="FAW3" s="62"/>
      <c r="FAX3" s="62"/>
      <c r="FAY3" s="62"/>
      <c r="FAZ3" s="62"/>
      <c r="FBA3" s="62"/>
      <c r="FBB3" s="62"/>
      <c r="FBC3" s="62"/>
      <c r="FBD3" s="62"/>
      <c r="FBE3" s="62"/>
      <c r="FBF3" s="62"/>
      <c r="FBG3" s="62"/>
      <c r="FBH3" s="62"/>
      <c r="FBI3" s="62"/>
      <c r="FBJ3" s="62"/>
      <c r="FBK3" s="62"/>
      <c r="FBL3" s="62"/>
      <c r="FBM3" s="62"/>
      <c r="FBN3" s="62"/>
      <c r="FBO3" s="62"/>
      <c r="FBP3" s="62"/>
      <c r="FBQ3" s="62"/>
      <c r="FBR3" s="62"/>
      <c r="FBS3" s="62"/>
      <c r="FBT3" s="62"/>
      <c r="FBU3" s="62"/>
      <c r="FBV3" s="62"/>
      <c r="FBW3" s="62"/>
      <c r="FBX3" s="62"/>
      <c r="FBY3" s="62"/>
      <c r="FBZ3" s="62"/>
      <c r="FCA3" s="62"/>
      <c r="FCB3" s="62"/>
      <c r="FCC3" s="62"/>
      <c r="FCD3" s="62"/>
      <c r="FCE3" s="62"/>
      <c r="FCF3" s="62"/>
      <c r="FCG3" s="62"/>
      <c r="FCH3" s="62"/>
      <c r="FCI3" s="62"/>
      <c r="FCJ3" s="62"/>
      <c r="FCK3" s="62"/>
      <c r="FCL3" s="62"/>
      <c r="FCM3" s="62"/>
      <c r="FCN3" s="62"/>
      <c r="FCO3" s="62"/>
      <c r="FCP3" s="62"/>
      <c r="FCQ3" s="62"/>
      <c r="FCR3" s="62"/>
      <c r="FCS3" s="62"/>
      <c r="FCT3" s="62"/>
      <c r="FCU3" s="62"/>
      <c r="FCV3" s="62"/>
      <c r="FCW3" s="62"/>
      <c r="FCX3" s="62"/>
      <c r="FCY3" s="62"/>
      <c r="FCZ3" s="62"/>
      <c r="FDA3" s="62"/>
      <c r="FDB3" s="62"/>
      <c r="FDC3" s="62"/>
      <c r="FDD3" s="62"/>
      <c r="FDE3" s="62"/>
      <c r="FDF3" s="62"/>
      <c r="FDG3" s="62"/>
      <c r="FDH3" s="62"/>
      <c r="FDI3" s="62"/>
      <c r="FDJ3" s="62"/>
      <c r="FDK3" s="62"/>
      <c r="FDL3" s="62"/>
      <c r="FDM3" s="62"/>
      <c r="FDN3" s="62"/>
      <c r="FDO3" s="62"/>
      <c r="FDP3" s="62"/>
      <c r="FDQ3" s="62"/>
      <c r="FDR3" s="62"/>
      <c r="FDS3" s="62"/>
      <c r="FDT3" s="62"/>
      <c r="FDU3" s="62"/>
      <c r="FDV3" s="62"/>
      <c r="FDW3" s="62"/>
      <c r="FDX3" s="62"/>
      <c r="FDY3" s="62"/>
      <c r="FDZ3" s="62"/>
      <c r="FEA3" s="62"/>
      <c r="FEB3" s="62"/>
      <c r="FEC3" s="62"/>
      <c r="FED3" s="62"/>
      <c r="FEE3" s="62"/>
      <c r="FEF3" s="62"/>
      <c r="FEG3" s="62"/>
      <c r="FEH3" s="62"/>
      <c r="FEI3" s="62"/>
      <c r="FEJ3" s="62"/>
      <c r="FEK3" s="62"/>
      <c r="FEL3" s="62"/>
      <c r="FEM3" s="62"/>
      <c r="FEN3" s="62"/>
      <c r="FEO3" s="62"/>
      <c r="FEP3" s="62"/>
      <c r="FEQ3" s="62"/>
      <c r="FER3" s="62"/>
      <c r="FES3" s="62"/>
      <c r="FET3" s="62"/>
      <c r="FEU3" s="62"/>
      <c r="FEV3" s="62"/>
      <c r="FEW3" s="62"/>
      <c r="FEX3" s="62"/>
      <c r="FEY3" s="62"/>
      <c r="FEZ3" s="62"/>
      <c r="FFA3" s="62"/>
      <c r="FFB3" s="62"/>
      <c r="FFC3" s="62"/>
      <c r="FFD3" s="62"/>
      <c r="FFE3" s="62"/>
      <c r="FFF3" s="62"/>
      <c r="FFG3" s="62"/>
      <c r="FFH3" s="62"/>
      <c r="FFI3" s="62"/>
      <c r="FFJ3" s="62"/>
      <c r="FFK3" s="62"/>
      <c r="FFL3" s="62"/>
      <c r="FFM3" s="62"/>
      <c r="FFN3" s="62"/>
      <c r="FFO3" s="62"/>
      <c r="FFP3" s="62"/>
      <c r="FFQ3" s="62"/>
      <c r="FFR3" s="62"/>
      <c r="FFS3" s="62"/>
      <c r="FFT3" s="62"/>
      <c r="FFU3" s="62"/>
      <c r="FFV3" s="62"/>
      <c r="FFW3" s="62"/>
      <c r="FFX3" s="62"/>
      <c r="FFY3" s="62"/>
      <c r="FFZ3" s="62"/>
      <c r="FGA3" s="62"/>
      <c r="FGB3" s="62"/>
      <c r="FGC3" s="62"/>
      <c r="FGD3" s="62"/>
      <c r="FGE3" s="62"/>
      <c r="FGF3" s="62"/>
      <c r="FGG3" s="62"/>
      <c r="FGH3" s="62"/>
      <c r="FGI3" s="62"/>
      <c r="FGJ3" s="62"/>
      <c r="FGK3" s="62"/>
      <c r="FGL3" s="62"/>
      <c r="FGM3" s="62"/>
      <c r="FGN3" s="62"/>
      <c r="FGO3" s="62"/>
      <c r="FGP3" s="62"/>
      <c r="FGQ3" s="62"/>
      <c r="FGR3" s="62"/>
      <c r="FGS3" s="62"/>
      <c r="FGT3" s="62"/>
      <c r="FGU3" s="62"/>
      <c r="FGV3" s="62"/>
      <c r="FGW3" s="62"/>
      <c r="FGX3" s="62"/>
      <c r="FGY3" s="62"/>
      <c r="FGZ3" s="62"/>
      <c r="FHA3" s="62"/>
      <c r="FHB3" s="62"/>
      <c r="FHC3" s="62"/>
      <c r="FHD3" s="62"/>
      <c r="FHE3" s="62"/>
      <c r="FHF3" s="62"/>
      <c r="FHG3" s="62"/>
      <c r="FHH3" s="62"/>
      <c r="FHI3" s="62"/>
      <c r="FHJ3" s="62"/>
      <c r="FHK3" s="62"/>
      <c r="FHL3" s="62"/>
      <c r="FHM3" s="62"/>
      <c r="FHN3" s="62"/>
      <c r="FHO3" s="62"/>
      <c r="FHP3" s="62"/>
      <c r="FHQ3" s="62"/>
      <c r="FHR3" s="62"/>
      <c r="FHS3" s="62"/>
      <c r="FHT3" s="62"/>
      <c r="FHU3" s="62"/>
      <c r="FHV3" s="62"/>
      <c r="FHW3" s="62"/>
      <c r="FHX3" s="62"/>
      <c r="FHY3" s="62"/>
      <c r="FHZ3" s="62"/>
      <c r="FIA3" s="62"/>
      <c r="FIB3" s="62"/>
      <c r="FIC3" s="62"/>
      <c r="FID3" s="62"/>
      <c r="FIE3" s="62"/>
      <c r="FIF3" s="62"/>
      <c r="FIG3" s="62"/>
      <c r="FIH3" s="62"/>
      <c r="FII3" s="62"/>
      <c r="FIJ3" s="62"/>
      <c r="FIK3" s="62"/>
      <c r="FIL3" s="62"/>
      <c r="FIM3" s="62"/>
      <c r="FIN3" s="62"/>
      <c r="FIO3" s="62"/>
      <c r="FIP3" s="62"/>
      <c r="FIQ3" s="62"/>
      <c r="FIR3" s="62"/>
      <c r="FIS3" s="62"/>
      <c r="FIT3" s="62"/>
      <c r="FIU3" s="62"/>
      <c r="FIV3" s="62"/>
      <c r="FIW3" s="62"/>
      <c r="FIX3" s="62"/>
      <c r="FIY3" s="62"/>
      <c r="FIZ3" s="62"/>
      <c r="FJA3" s="62"/>
      <c r="FJB3" s="62"/>
      <c r="FJC3" s="62"/>
      <c r="FJD3" s="62"/>
      <c r="FJE3" s="62"/>
      <c r="FJF3" s="62"/>
      <c r="FJG3" s="62"/>
      <c r="FJH3" s="62"/>
      <c r="FJI3" s="62"/>
      <c r="FJJ3" s="62"/>
      <c r="FJK3" s="62"/>
      <c r="FJL3" s="62"/>
      <c r="FJM3" s="62"/>
      <c r="FJN3" s="62"/>
      <c r="FJO3" s="62"/>
      <c r="FJP3" s="62"/>
      <c r="FJQ3" s="62"/>
      <c r="FJR3" s="62"/>
      <c r="FJS3" s="62"/>
      <c r="FJT3" s="62"/>
      <c r="FJU3" s="62"/>
      <c r="FJV3" s="62"/>
      <c r="FJW3" s="62"/>
      <c r="FJX3" s="62"/>
      <c r="FJY3" s="62"/>
      <c r="FJZ3" s="62"/>
      <c r="FKA3" s="62"/>
      <c r="FKB3" s="62"/>
      <c r="FKC3" s="62"/>
      <c r="FKD3" s="62"/>
      <c r="FKE3" s="62"/>
      <c r="FKF3" s="62"/>
      <c r="FKG3" s="62"/>
      <c r="FKH3" s="62"/>
      <c r="FKI3" s="62"/>
      <c r="FKJ3" s="62"/>
      <c r="FKK3" s="62"/>
      <c r="FKL3" s="62"/>
      <c r="FKM3" s="62"/>
      <c r="FKN3" s="62"/>
      <c r="FKO3" s="62"/>
      <c r="FKP3" s="62"/>
      <c r="FKQ3" s="62"/>
      <c r="FKR3" s="62"/>
      <c r="FKS3" s="62"/>
      <c r="FKT3" s="62"/>
      <c r="FKU3" s="62"/>
      <c r="FKV3" s="62"/>
      <c r="FKW3" s="62"/>
      <c r="FKX3" s="62"/>
      <c r="FKY3" s="62"/>
      <c r="FKZ3" s="62"/>
      <c r="FLA3" s="62"/>
      <c r="FLB3" s="62"/>
      <c r="FLC3" s="62"/>
      <c r="FLD3" s="62"/>
      <c r="FLE3" s="62"/>
      <c r="FLF3" s="62"/>
      <c r="FLG3" s="62"/>
      <c r="FLH3" s="62"/>
      <c r="FLI3" s="62"/>
      <c r="FLJ3" s="62"/>
      <c r="FLK3" s="62"/>
      <c r="FLL3" s="62"/>
      <c r="FLM3" s="62"/>
      <c r="FLN3" s="62"/>
      <c r="FLO3" s="62"/>
      <c r="FLP3" s="62"/>
      <c r="FLQ3" s="62"/>
      <c r="FLR3" s="62"/>
      <c r="FLS3" s="62"/>
      <c r="FLT3" s="62"/>
      <c r="FLU3" s="62"/>
      <c r="FLV3" s="62"/>
      <c r="FLW3" s="62"/>
      <c r="FLX3" s="62"/>
      <c r="FLY3" s="62"/>
      <c r="FLZ3" s="62"/>
      <c r="FMA3" s="62"/>
      <c r="FMB3" s="62"/>
      <c r="FMC3" s="62"/>
      <c r="FMD3" s="62"/>
      <c r="FME3" s="62"/>
      <c r="FMF3" s="62"/>
      <c r="FMG3" s="62"/>
      <c r="FMH3" s="62"/>
      <c r="FMI3" s="62"/>
      <c r="FMJ3" s="62"/>
      <c r="FMK3" s="62"/>
      <c r="FML3" s="62"/>
      <c r="FMM3" s="62"/>
      <c r="FMN3" s="62"/>
      <c r="FMO3" s="62"/>
      <c r="FMP3" s="62"/>
      <c r="FMQ3" s="62"/>
      <c r="FMR3" s="62"/>
      <c r="FMS3" s="62"/>
      <c r="FMT3" s="62"/>
      <c r="FMU3" s="62"/>
      <c r="FMV3" s="62"/>
      <c r="FMW3" s="62"/>
      <c r="FMX3" s="62"/>
      <c r="FMY3" s="62"/>
      <c r="FMZ3" s="62"/>
      <c r="FNA3" s="62"/>
      <c r="FNB3" s="62"/>
      <c r="FNC3" s="62"/>
      <c r="FND3" s="62"/>
      <c r="FNE3" s="62"/>
      <c r="FNF3" s="62"/>
      <c r="FNG3" s="62"/>
      <c r="FNH3" s="62"/>
      <c r="FNI3" s="62"/>
      <c r="FNJ3" s="62"/>
      <c r="FNK3" s="62"/>
      <c r="FNL3" s="62"/>
      <c r="FNM3" s="62"/>
      <c r="FNN3" s="62"/>
      <c r="FNO3" s="62"/>
      <c r="FNP3" s="62"/>
      <c r="FNQ3" s="62"/>
      <c r="FNR3" s="62"/>
      <c r="FNS3" s="62"/>
      <c r="FNT3" s="62"/>
      <c r="FNU3" s="62"/>
      <c r="FNV3" s="62"/>
      <c r="FNW3" s="62"/>
      <c r="FNX3" s="62"/>
      <c r="FNY3" s="62"/>
      <c r="FNZ3" s="62"/>
      <c r="FOA3" s="62"/>
      <c r="FOB3" s="62"/>
      <c r="FOC3" s="62"/>
      <c r="FOD3" s="62"/>
      <c r="FOE3" s="62"/>
      <c r="FOF3" s="62"/>
      <c r="FOG3" s="62"/>
      <c r="FOH3" s="62"/>
      <c r="FOI3" s="62"/>
      <c r="FOJ3" s="62"/>
      <c r="FOK3" s="62"/>
      <c r="FOL3" s="62"/>
      <c r="FOM3" s="62"/>
      <c r="FON3" s="62"/>
      <c r="FOO3" s="62"/>
      <c r="FOP3" s="62"/>
      <c r="FOQ3" s="62"/>
      <c r="FOR3" s="62"/>
      <c r="FOS3" s="62"/>
      <c r="FOT3" s="62"/>
      <c r="FOU3" s="62"/>
      <c r="FOV3" s="62"/>
      <c r="FOW3" s="62"/>
      <c r="FOX3" s="62"/>
      <c r="FOY3" s="62"/>
      <c r="FOZ3" s="62"/>
      <c r="FPA3" s="62"/>
      <c r="FPB3" s="62"/>
      <c r="FPC3" s="62"/>
      <c r="FPD3" s="62"/>
      <c r="FPE3" s="62"/>
      <c r="FPF3" s="62"/>
      <c r="FPG3" s="62"/>
      <c r="FPH3" s="62"/>
      <c r="FPI3" s="62"/>
      <c r="FPJ3" s="62"/>
      <c r="FPK3" s="62"/>
      <c r="FPL3" s="62"/>
      <c r="FPM3" s="62"/>
      <c r="FPN3" s="62"/>
      <c r="FPO3" s="62"/>
      <c r="FPP3" s="62"/>
      <c r="FPQ3" s="62"/>
      <c r="FPR3" s="62"/>
      <c r="FPS3" s="62"/>
      <c r="FPT3" s="62"/>
      <c r="FPU3" s="62"/>
      <c r="FPV3" s="62"/>
      <c r="FPW3" s="62"/>
      <c r="FPX3" s="62"/>
      <c r="FPY3" s="62"/>
      <c r="FPZ3" s="62"/>
      <c r="FQA3" s="62"/>
      <c r="FQB3" s="62"/>
      <c r="FQC3" s="62"/>
      <c r="FQD3" s="62"/>
      <c r="FQE3" s="62"/>
      <c r="FQF3" s="62"/>
      <c r="FQG3" s="62"/>
      <c r="FQH3" s="62"/>
      <c r="FQI3" s="62"/>
      <c r="FQJ3" s="62"/>
      <c r="FQK3" s="62"/>
      <c r="FQL3" s="62"/>
      <c r="FQM3" s="62"/>
      <c r="FQN3" s="62"/>
      <c r="FQO3" s="62"/>
      <c r="FQP3" s="62"/>
      <c r="FQQ3" s="62"/>
      <c r="FQR3" s="62"/>
      <c r="FQS3" s="62"/>
      <c r="FQT3" s="62"/>
      <c r="FQU3" s="62"/>
      <c r="FQV3" s="62"/>
      <c r="FQW3" s="62"/>
      <c r="FQX3" s="62"/>
      <c r="FQY3" s="62"/>
      <c r="FQZ3" s="62"/>
      <c r="FRA3" s="62"/>
      <c r="FRB3" s="62"/>
      <c r="FRC3" s="62"/>
      <c r="FRD3" s="62"/>
      <c r="FRE3" s="62"/>
      <c r="FRF3" s="62"/>
      <c r="FRG3" s="62"/>
      <c r="FRH3" s="62"/>
      <c r="FRI3" s="62"/>
      <c r="FRJ3" s="62"/>
      <c r="FRK3" s="62"/>
      <c r="FRL3" s="62"/>
      <c r="FRM3" s="62"/>
      <c r="FRN3" s="62"/>
      <c r="FRO3" s="62"/>
      <c r="FRP3" s="62"/>
      <c r="FRQ3" s="62"/>
      <c r="FRR3" s="62"/>
      <c r="FRS3" s="62"/>
      <c r="FRT3" s="62"/>
      <c r="FRU3" s="62"/>
      <c r="FRV3" s="62"/>
      <c r="FRW3" s="62"/>
      <c r="FRX3" s="62"/>
      <c r="FRY3" s="62"/>
      <c r="FRZ3" s="62"/>
      <c r="FSA3" s="62"/>
      <c r="FSB3" s="62"/>
      <c r="FSC3" s="62"/>
      <c r="FSD3" s="62"/>
      <c r="FSE3" s="62"/>
      <c r="FSF3" s="62"/>
      <c r="FSG3" s="62"/>
      <c r="FSH3" s="62"/>
      <c r="FSI3" s="62"/>
      <c r="FSJ3" s="62"/>
      <c r="FSK3" s="62"/>
      <c r="FSL3" s="62"/>
      <c r="FSM3" s="62"/>
      <c r="FSN3" s="62"/>
      <c r="FSO3" s="62"/>
      <c r="FSP3" s="62"/>
      <c r="FSQ3" s="62"/>
      <c r="FSR3" s="62"/>
      <c r="FSS3" s="62"/>
      <c r="FST3" s="62"/>
      <c r="FSU3" s="62"/>
      <c r="FSV3" s="62"/>
      <c r="FSW3" s="62"/>
      <c r="FSX3" s="62"/>
      <c r="FSY3" s="62"/>
      <c r="FSZ3" s="62"/>
      <c r="FTA3" s="62"/>
      <c r="FTB3" s="62"/>
      <c r="FTC3" s="62"/>
      <c r="FTD3" s="62"/>
      <c r="FTE3" s="62"/>
      <c r="FTF3" s="62"/>
      <c r="FTG3" s="62"/>
      <c r="FTH3" s="62"/>
      <c r="FTI3" s="62"/>
      <c r="FTJ3" s="62"/>
      <c r="FTK3" s="62"/>
      <c r="FTL3" s="62"/>
      <c r="FTM3" s="62"/>
      <c r="FTN3" s="62"/>
      <c r="FTO3" s="62"/>
      <c r="FTP3" s="62"/>
      <c r="FTQ3" s="62"/>
      <c r="FTR3" s="62"/>
      <c r="FTS3" s="62"/>
      <c r="FTT3" s="62"/>
      <c r="FTU3" s="62"/>
      <c r="FTV3" s="62"/>
      <c r="FTW3" s="62"/>
      <c r="FTX3" s="62"/>
      <c r="FTY3" s="62"/>
      <c r="FTZ3" s="62"/>
      <c r="FUA3" s="62"/>
      <c r="FUB3" s="62"/>
      <c r="FUC3" s="62"/>
      <c r="FUD3" s="62"/>
      <c r="FUE3" s="62"/>
      <c r="FUF3" s="62"/>
      <c r="FUG3" s="62"/>
      <c r="FUH3" s="62"/>
      <c r="FUI3" s="62"/>
      <c r="FUJ3" s="62"/>
      <c r="FUK3" s="62"/>
      <c r="FUL3" s="62"/>
      <c r="FUM3" s="62"/>
      <c r="FUN3" s="62"/>
      <c r="FUO3" s="62"/>
      <c r="FUP3" s="62"/>
      <c r="FUQ3" s="62"/>
      <c r="FUR3" s="62"/>
      <c r="FUS3" s="62"/>
      <c r="FUT3" s="62"/>
      <c r="FUU3" s="62"/>
      <c r="FUV3" s="62"/>
      <c r="FUW3" s="62"/>
      <c r="FUX3" s="62"/>
      <c r="FUY3" s="62"/>
      <c r="FUZ3" s="62"/>
      <c r="FVA3" s="62"/>
      <c r="FVB3" s="62"/>
      <c r="FVC3" s="62"/>
      <c r="FVD3" s="62"/>
      <c r="FVE3" s="62"/>
      <c r="FVF3" s="62"/>
      <c r="FVG3" s="62"/>
      <c r="FVH3" s="62"/>
      <c r="FVI3" s="62"/>
      <c r="FVJ3" s="62"/>
      <c r="FVK3" s="62"/>
      <c r="FVL3" s="62"/>
      <c r="FVM3" s="62"/>
      <c r="FVN3" s="62"/>
      <c r="FVO3" s="62"/>
      <c r="FVP3" s="62"/>
      <c r="FVQ3" s="62"/>
      <c r="FVR3" s="62"/>
      <c r="FVS3" s="62"/>
      <c r="FVT3" s="62"/>
      <c r="FVU3" s="62"/>
      <c r="FVV3" s="62"/>
      <c r="FVW3" s="62"/>
      <c r="FVX3" s="62"/>
      <c r="FVY3" s="62"/>
      <c r="FVZ3" s="62"/>
      <c r="FWA3" s="62"/>
      <c r="FWB3" s="62"/>
      <c r="FWC3" s="62"/>
      <c r="FWD3" s="62"/>
      <c r="FWE3" s="62"/>
      <c r="FWF3" s="62"/>
      <c r="FWG3" s="62"/>
      <c r="FWH3" s="62"/>
      <c r="FWI3" s="62"/>
      <c r="FWJ3" s="62"/>
      <c r="FWK3" s="62"/>
      <c r="FWL3" s="62"/>
      <c r="FWM3" s="62"/>
      <c r="FWN3" s="62"/>
      <c r="FWO3" s="62"/>
      <c r="FWP3" s="62"/>
      <c r="FWQ3" s="62"/>
      <c r="FWR3" s="62"/>
      <c r="FWS3" s="62"/>
      <c r="FWT3" s="62"/>
      <c r="FWU3" s="62"/>
      <c r="FWV3" s="62"/>
      <c r="FWW3" s="62"/>
      <c r="FWX3" s="62"/>
      <c r="FWY3" s="62"/>
      <c r="FWZ3" s="62"/>
      <c r="FXA3" s="62"/>
      <c r="FXB3" s="62"/>
      <c r="FXC3" s="62"/>
      <c r="FXD3" s="62"/>
      <c r="FXE3" s="62"/>
      <c r="FXF3" s="62"/>
      <c r="FXG3" s="62"/>
      <c r="FXH3" s="62"/>
      <c r="FXI3" s="62"/>
      <c r="FXJ3" s="62"/>
      <c r="FXK3" s="62"/>
      <c r="FXL3" s="62"/>
      <c r="FXM3" s="62"/>
      <c r="FXN3" s="62"/>
      <c r="FXO3" s="62"/>
      <c r="FXP3" s="62"/>
      <c r="FXQ3" s="62"/>
      <c r="FXR3" s="62"/>
      <c r="FXS3" s="62"/>
      <c r="FXT3" s="62"/>
      <c r="FXU3" s="62"/>
      <c r="FXV3" s="62"/>
      <c r="FXW3" s="62"/>
      <c r="FXX3" s="62"/>
      <c r="FXY3" s="62"/>
      <c r="FXZ3" s="62"/>
      <c r="FYA3" s="62"/>
      <c r="FYB3" s="62"/>
      <c r="FYC3" s="62"/>
      <c r="FYD3" s="62"/>
      <c r="FYE3" s="62"/>
      <c r="FYF3" s="62"/>
      <c r="FYG3" s="62"/>
      <c r="FYH3" s="62"/>
      <c r="FYI3" s="62"/>
      <c r="FYJ3" s="62"/>
      <c r="FYK3" s="62"/>
      <c r="FYL3" s="62"/>
      <c r="FYM3" s="62"/>
      <c r="FYN3" s="62"/>
      <c r="FYO3" s="62"/>
      <c r="FYP3" s="62"/>
      <c r="FYQ3" s="62"/>
      <c r="FYR3" s="62"/>
      <c r="FYS3" s="62"/>
      <c r="FYT3" s="62"/>
      <c r="FYU3" s="62"/>
      <c r="FYV3" s="62"/>
      <c r="FYW3" s="62"/>
      <c r="FYX3" s="62"/>
      <c r="FYY3" s="62"/>
      <c r="FYZ3" s="62"/>
      <c r="FZA3" s="62"/>
      <c r="FZB3" s="62"/>
      <c r="FZC3" s="62"/>
      <c r="FZD3" s="62"/>
      <c r="FZE3" s="62"/>
      <c r="FZF3" s="62"/>
      <c r="FZG3" s="62"/>
      <c r="FZH3" s="62"/>
      <c r="FZI3" s="62"/>
      <c r="FZJ3" s="62"/>
      <c r="FZK3" s="62"/>
      <c r="FZL3" s="62"/>
      <c r="FZM3" s="62"/>
      <c r="FZN3" s="62"/>
      <c r="FZO3" s="62"/>
      <c r="FZP3" s="62"/>
      <c r="FZQ3" s="62"/>
      <c r="FZR3" s="62"/>
      <c r="FZS3" s="62"/>
      <c r="FZT3" s="62"/>
      <c r="FZU3" s="62"/>
      <c r="FZV3" s="62"/>
      <c r="FZW3" s="62"/>
      <c r="FZX3" s="62"/>
      <c r="FZY3" s="62"/>
      <c r="FZZ3" s="62"/>
      <c r="GAA3" s="62"/>
      <c r="GAB3" s="62"/>
      <c r="GAC3" s="62"/>
      <c r="GAD3" s="62"/>
      <c r="GAE3" s="62"/>
      <c r="GAF3" s="62"/>
      <c r="GAG3" s="62"/>
      <c r="GAH3" s="62"/>
      <c r="GAI3" s="62"/>
      <c r="GAJ3" s="62"/>
      <c r="GAK3" s="62"/>
      <c r="GAL3" s="62"/>
      <c r="GAM3" s="62"/>
      <c r="GAN3" s="62"/>
      <c r="GAO3" s="62"/>
      <c r="GAP3" s="62"/>
      <c r="GAQ3" s="62"/>
      <c r="GAR3" s="62"/>
      <c r="GAS3" s="62"/>
      <c r="GAT3" s="62"/>
      <c r="GAU3" s="62"/>
      <c r="GAV3" s="62"/>
      <c r="GAW3" s="62"/>
      <c r="GAX3" s="62"/>
      <c r="GAY3" s="62"/>
      <c r="GAZ3" s="62"/>
      <c r="GBA3" s="62"/>
      <c r="GBB3" s="62"/>
      <c r="GBC3" s="62"/>
      <c r="GBD3" s="62"/>
      <c r="GBE3" s="62"/>
      <c r="GBF3" s="62"/>
      <c r="GBG3" s="62"/>
      <c r="GBH3" s="62"/>
      <c r="GBI3" s="62"/>
      <c r="GBJ3" s="62"/>
      <c r="GBK3" s="62"/>
      <c r="GBL3" s="62"/>
      <c r="GBM3" s="62"/>
      <c r="GBN3" s="62"/>
      <c r="GBO3" s="62"/>
      <c r="GBP3" s="62"/>
      <c r="GBQ3" s="62"/>
      <c r="GBR3" s="62"/>
      <c r="GBS3" s="62"/>
      <c r="GBT3" s="62"/>
      <c r="GBU3" s="62"/>
      <c r="GBV3" s="62"/>
      <c r="GBW3" s="62"/>
      <c r="GBX3" s="62"/>
      <c r="GBY3" s="62"/>
      <c r="GBZ3" s="62"/>
      <c r="GCA3" s="62"/>
      <c r="GCB3" s="62"/>
      <c r="GCC3" s="62"/>
      <c r="GCD3" s="62"/>
      <c r="GCE3" s="62"/>
      <c r="GCF3" s="62"/>
      <c r="GCG3" s="62"/>
      <c r="GCH3" s="62"/>
      <c r="GCI3" s="62"/>
      <c r="GCJ3" s="62"/>
      <c r="GCK3" s="62"/>
      <c r="GCL3" s="62"/>
      <c r="GCM3" s="62"/>
      <c r="GCN3" s="62"/>
      <c r="GCO3" s="62"/>
      <c r="GCP3" s="62"/>
      <c r="GCQ3" s="62"/>
      <c r="GCR3" s="62"/>
      <c r="GCS3" s="62"/>
      <c r="GCT3" s="62"/>
      <c r="GCU3" s="62"/>
      <c r="GCV3" s="62"/>
      <c r="GCW3" s="62"/>
      <c r="GCX3" s="62"/>
      <c r="GCY3" s="62"/>
      <c r="GCZ3" s="62"/>
      <c r="GDA3" s="62"/>
      <c r="GDB3" s="62"/>
      <c r="GDC3" s="62"/>
      <c r="GDD3" s="62"/>
      <c r="GDE3" s="62"/>
      <c r="GDF3" s="62"/>
      <c r="GDG3" s="62"/>
      <c r="GDH3" s="62"/>
      <c r="GDI3" s="62"/>
      <c r="GDJ3" s="62"/>
      <c r="GDK3" s="62"/>
      <c r="GDL3" s="62"/>
      <c r="GDM3" s="62"/>
      <c r="GDN3" s="62"/>
      <c r="GDO3" s="62"/>
      <c r="GDP3" s="62"/>
      <c r="GDQ3" s="62"/>
      <c r="GDR3" s="62"/>
      <c r="GDS3" s="62"/>
      <c r="GDT3" s="62"/>
      <c r="GDU3" s="62"/>
      <c r="GDV3" s="62"/>
      <c r="GDW3" s="62"/>
      <c r="GDX3" s="62"/>
      <c r="GDY3" s="62"/>
      <c r="GDZ3" s="62"/>
      <c r="GEA3" s="62"/>
      <c r="GEB3" s="62"/>
      <c r="GEC3" s="62"/>
      <c r="GED3" s="62"/>
      <c r="GEE3" s="62"/>
      <c r="GEF3" s="62"/>
      <c r="GEG3" s="62"/>
      <c r="GEH3" s="62"/>
      <c r="GEI3" s="62"/>
      <c r="GEJ3" s="62"/>
      <c r="GEK3" s="62"/>
      <c r="GEL3" s="62"/>
      <c r="GEM3" s="62"/>
      <c r="GEN3" s="62"/>
      <c r="GEO3" s="62"/>
      <c r="GEP3" s="62"/>
      <c r="GEQ3" s="62"/>
      <c r="GER3" s="62"/>
      <c r="GES3" s="62"/>
      <c r="GET3" s="62"/>
      <c r="GEU3" s="62"/>
      <c r="GEV3" s="62"/>
      <c r="GEW3" s="62"/>
      <c r="GEX3" s="62"/>
      <c r="GEY3" s="62"/>
      <c r="GEZ3" s="62"/>
      <c r="GFA3" s="62"/>
      <c r="GFB3" s="62"/>
      <c r="GFC3" s="62"/>
      <c r="GFD3" s="62"/>
      <c r="GFE3" s="62"/>
      <c r="GFF3" s="62"/>
      <c r="GFG3" s="62"/>
      <c r="GFH3" s="62"/>
      <c r="GFI3" s="62"/>
      <c r="GFJ3" s="62"/>
      <c r="GFK3" s="62"/>
      <c r="GFL3" s="62"/>
      <c r="GFM3" s="62"/>
      <c r="GFN3" s="62"/>
      <c r="GFO3" s="62"/>
      <c r="GFP3" s="62"/>
      <c r="GFQ3" s="62"/>
      <c r="GFR3" s="62"/>
      <c r="GFS3" s="62"/>
      <c r="GFT3" s="62"/>
      <c r="GFU3" s="62"/>
      <c r="GFV3" s="62"/>
      <c r="GFW3" s="62"/>
      <c r="GFX3" s="62"/>
      <c r="GFY3" s="62"/>
      <c r="GFZ3" s="62"/>
      <c r="GGA3" s="62"/>
      <c r="GGB3" s="62"/>
      <c r="GGC3" s="62"/>
      <c r="GGD3" s="62"/>
      <c r="GGE3" s="62"/>
      <c r="GGF3" s="62"/>
      <c r="GGG3" s="62"/>
      <c r="GGH3" s="62"/>
      <c r="GGI3" s="62"/>
      <c r="GGJ3" s="62"/>
      <c r="GGK3" s="62"/>
      <c r="GGL3" s="62"/>
      <c r="GGM3" s="62"/>
      <c r="GGN3" s="62"/>
      <c r="GGO3" s="62"/>
      <c r="GGP3" s="62"/>
      <c r="GGQ3" s="62"/>
      <c r="GGR3" s="62"/>
      <c r="GGS3" s="62"/>
      <c r="GGT3" s="62"/>
      <c r="GGU3" s="62"/>
      <c r="GGV3" s="62"/>
      <c r="GGW3" s="62"/>
      <c r="GGX3" s="62"/>
      <c r="GGY3" s="62"/>
      <c r="GGZ3" s="62"/>
      <c r="GHA3" s="62"/>
      <c r="GHB3" s="62"/>
      <c r="GHC3" s="62"/>
      <c r="GHD3" s="62"/>
      <c r="GHE3" s="62"/>
      <c r="GHF3" s="62"/>
      <c r="GHG3" s="62"/>
      <c r="GHH3" s="62"/>
      <c r="GHI3" s="62"/>
      <c r="GHJ3" s="62"/>
      <c r="GHK3" s="62"/>
      <c r="GHL3" s="62"/>
      <c r="GHM3" s="62"/>
      <c r="GHN3" s="62"/>
      <c r="GHO3" s="62"/>
      <c r="GHP3" s="62"/>
      <c r="GHQ3" s="62"/>
      <c r="GHR3" s="62"/>
      <c r="GHS3" s="62"/>
      <c r="GHT3" s="62"/>
      <c r="GHU3" s="62"/>
      <c r="GHV3" s="62"/>
      <c r="GHW3" s="62"/>
      <c r="GHX3" s="62"/>
      <c r="GHY3" s="62"/>
      <c r="GHZ3" s="62"/>
      <c r="GIA3" s="62"/>
      <c r="GIB3" s="62"/>
      <c r="GIC3" s="62"/>
      <c r="GID3" s="62"/>
      <c r="GIE3" s="62"/>
      <c r="GIF3" s="62"/>
      <c r="GIG3" s="62"/>
      <c r="GIH3" s="62"/>
      <c r="GII3" s="62"/>
      <c r="GIJ3" s="62"/>
      <c r="GIK3" s="62"/>
      <c r="GIL3" s="62"/>
      <c r="GIM3" s="62"/>
      <c r="GIN3" s="62"/>
      <c r="GIO3" s="62"/>
      <c r="GIP3" s="62"/>
      <c r="GIQ3" s="62"/>
      <c r="GIR3" s="62"/>
      <c r="GIS3" s="62"/>
      <c r="GIT3" s="62"/>
      <c r="GIU3" s="62"/>
      <c r="GIV3" s="62"/>
      <c r="GIW3" s="62"/>
      <c r="GIX3" s="62"/>
      <c r="GIY3" s="62"/>
      <c r="GIZ3" s="62"/>
      <c r="GJA3" s="62"/>
      <c r="GJB3" s="62"/>
      <c r="GJC3" s="62"/>
      <c r="GJD3" s="62"/>
      <c r="GJE3" s="62"/>
      <c r="GJF3" s="62"/>
      <c r="GJG3" s="62"/>
      <c r="GJH3" s="62"/>
      <c r="GJI3" s="62"/>
      <c r="GJJ3" s="62"/>
      <c r="GJK3" s="62"/>
      <c r="GJL3" s="62"/>
      <c r="GJM3" s="62"/>
      <c r="GJN3" s="62"/>
      <c r="GJO3" s="62"/>
      <c r="GJP3" s="62"/>
      <c r="GJQ3" s="62"/>
      <c r="GJR3" s="62"/>
      <c r="GJS3" s="62"/>
      <c r="GJT3" s="62"/>
      <c r="GJU3" s="62"/>
      <c r="GJV3" s="62"/>
      <c r="GJW3" s="62"/>
      <c r="GJX3" s="62"/>
      <c r="GJY3" s="62"/>
      <c r="GJZ3" s="62"/>
      <c r="GKA3" s="62"/>
      <c r="GKB3" s="62"/>
      <c r="GKC3" s="62"/>
      <c r="GKD3" s="62"/>
      <c r="GKE3" s="62"/>
      <c r="GKF3" s="62"/>
      <c r="GKG3" s="62"/>
      <c r="GKH3" s="62"/>
      <c r="GKI3" s="62"/>
      <c r="GKJ3" s="62"/>
      <c r="GKK3" s="62"/>
      <c r="GKL3" s="62"/>
      <c r="GKM3" s="62"/>
      <c r="GKN3" s="62"/>
      <c r="GKO3" s="62"/>
      <c r="GKP3" s="62"/>
      <c r="GKQ3" s="62"/>
      <c r="GKR3" s="62"/>
      <c r="GKS3" s="62"/>
      <c r="GKT3" s="62"/>
      <c r="GKU3" s="62"/>
      <c r="GKV3" s="62"/>
      <c r="GKW3" s="62"/>
      <c r="GKX3" s="62"/>
      <c r="GKY3" s="62"/>
      <c r="GKZ3" s="62"/>
      <c r="GLA3" s="62"/>
      <c r="GLB3" s="62"/>
      <c r="GLC3" s="62"/>
      <c r="GLD3" s="62"/>
      <c r="GLE3" s="62"/>
      <c r="GLF3" s="62"/>
      <c r="GLG3" s="62"/>
      <c r="GLH3" s="62"/>
      <c r="GLI3" s="62"/>
      <c r="GLJ3" s="62"/>
      <c r="GLK3" s="62"/>
      <c r="GLL3" s="62"/>
      <c r="GLM3" s="62"/>
      <c r="GLN3" s="62"/>
      <c r="GLO3" s="62"/>
      <c r="GLP3" s="62"/>
      <c r="GLQ3" s="62"/>
      <c r="GLR3" s="62"/>
      <c r="GLS3" s="62"/>
      <c r="GLT3" s="62"/>
      <c r="GLU3" s="62"/>
      <c r="GLV3" s="62"/>
      <c r="GLW3" s="62"/>
      <c r="GLX3" s="62"/>
      <c r="GLY3" s="62"/>
      <c r="GLZ3" s="62"/>
      <c r="GMA3" s="62"/>
      <c r="GMB3" s="62"/>
      <c r="GMC3" s="62"/>
      <c r="GMD3" s="62"/>
      <c r="GME3" s="62"/>
      <c r="GMF3" s="62"/>
      <c r="GMG3" s="62"/>
      <c r="GMH3" s="62"/>
      <c r="GMI3" s="62"/>
      <c r="GMJ3" s="62"/>
      <c r="GMK3" s="62"/>
      <c r="GML3" s="62"/>
      <c r="GMM3" s="62"/>
      <c r="GMN3" s="62"/>
      <c r="GMO3" s="62"/>
      <c r="GMP3" s="62"/>
      <c r="GMQ3" s="62"/>
      <c r="GMR3" s="62"/>
      <c r="GMS3" s="62"/>
      <c r="GMT3" s="62"/>
      <c r="GMU3" s="62"/>
      <c r="GMV3" s="62"/>
      <c r="GMW3" s="62"/>
      <c r="GMX3" s="62"/>
      <c r="GMY3" s="62"/>
      <c r="GMZ3" s="62"/>
      <c r="GNA3" s="62"/>
      <c r="GNB3" s="62"/>
      <c r="GNC3" s="62"/>
      <c r="GND3" s="62"/>
      <c r="GNE3" s="62"/>
      <c r="GNF3" s="62"/>
      <c r="GNG3" s="62"/>
      <c r="GNH3" s="62"/>
      <c r="GNI3" s="62"/>
      <c r="GNJ3" s="62"/>
      <c r="GNK3" s="62"/>
      <c r="GNL3" s="62"/>
      <c r="GNM3" s="62"/>
      <c r="GNN3" s="62"/>
      <c r="GNO3" s="62"/>
      <c r="GNP3" s="62"/>
      <c r="GNQ3" s="62"/>
      <c r="GNR3" s="62"/>
      <c r="GNS3" s="62"/>
      <c r="GNT3" s="62"/>
      <c r="GNU3" s="62"/>
      <c r="GNV3" s="62"/>
      <c r="GNW3" s="62"/>
      <c r="GNX3" s="62"/>
      <c r="GNY3" s="62"/>
      <c r="GNZ3" s="62"/>
      <c r="GOA3" s="62"/>
      <c r="GOB3" s="62"/>
      <c r="GOC3" s="62"/>
      <c r="GOD3" s="62"/>
      <c r="GOE3" s="62"/>
      <c r="GOF3" s="62"/>
      <c r="GOG3" s="62"/>
      <c r="GOH3" s="62"/>
      <c r="GOI3" s="62"/>
      <c r="GOJ3" s="62"/>
      <c r="GOK3" s="62"/>
      <c r="GOL3" s="62"/>
      <c r="GOM3" s="62"/>
      <c r="GON3" s="62"/>
      <c r="GOO3" s="62"/>
      <c r="GOP3" s="62"/>
      <c r="GOQ3" s="62"/>
      <c r="GOR3" s="62"/>
      <c r="GOS3" s="62"/>
      <c r="GOT3" s="62"/>
      <c r="GOU3" s="62"/>
      <c r="GOV3" s="62"/>
      <c r="GOW3" s="62"/>
      <c r="GOX3" s="62"/>
      <c r="GOY3" s="62"/>
      <c r="GOZ3" s="62"/>
      <c r="GPA3" s="62"/>
      <c r="GPB3" s="62"/>
      <c r="GPC3" s="62"/>
      <c r="GPD3" s="62"/>
      <c r="GPE3" s="62"/>
      <c r="GPF3" s="62"/>
      <c r="GPG3" s="62"/>
      <c r="GPH3" s="62"/>
      <c r="GPI3" s="62"/>
      <c r="GPJ3" s="62"/>
      <c r="GPK3" s="62"/>
      <c r="GPL3" s="62"/>
      <c r="GPM3" s="62"/>
      <c r="GPN3" s="62"/>
      <c r="GPO3" s="62"/>
      <c r="GPP3" s="62"/>
      <c r="GPQ3" s="62"/>
      <c r="GPR3" s="62"/>
      <c r="GPS3" s="62"/>
      <c r="GPT3" s="62"/>
      <c r="GPU3" s="62"/>
      <c r="GPV3" s="62"/>
      <c r="GPW3" s="62"/>
      <c r="GPX3" s="62"/>
      <c r="GPY3" s="62"/>
      <c r="GPZ3" s="62"/>
      <c r="GQA3" s="62"/>
      <c r="GQB3" s="62"/>
      <c r="GQC3" s="62"/>
      <c r="GQD3" s="62"/>
      <c r="GQE3" s="62"/>
      <c r="GQF3" s="62"/>
      <c r="GQG3" s="62"/>
      <c r="GQH3" s="62"/>
      <c r="GQI3" s="62"/>
      <c r="GQJ3" s="62"/>
      <c r="GQK3" s="62"/>
      <c r="GQL3" s="62"/>
      <c r="GQM3" s="62"/>
      <c r="GQN3" s="62"/>
      <c r="GQO3" s="62"/>
      <c r="GQP3" s="62"/>
      <c r="GQQ3" s="62"/>
      <c r="GQR3" s="62"/>
      <c r="GQS3" s="62"/>
      <c r="GQT3" s="62"/>
      <c r="GQU3" s="62"/>
      <c r="GQV3" s="62"/>
      <c r="GQW3" s="62"/>
      <c r="GQX3" s="62"/>
      <c r="GQY3" s="62"/>
      <c r="GQZ3" s="62"/>
      <c r="GRA3" s="62"/>
      <c r="GRB3" s="62"/>
      <c r="GRC3" s="62"/>
      <c r="GRD3" s="62"/>
      <c r="GRE3" s="62"/>
      <c r="GRF3" s="62"/>
      <c r="GRG3" s="62"/>
      <c r="GRH3" s="62"/>
      <c r="GRI3" s="62"/>
      <c r="GRJ3" s="62"/>
      <c r="GRK3" s="62"/>
      <c r="GRL3" s="62"/>
      <c r="GRM3" s="62"/>
      <c r="GRN3" s="62"/>
      <c r="GRO3" s="62"/>
      <c r="GRP3" s="62"/>
      <c r="GRQ3" s="62"/>
      <c r="GRR3" s="62"/>
      <c r="GRS3" s="62"/>
      <c r="GRT3" s="62"/>
      <c r="GRU3" s="62"/>
      <c r="GRV3" s="62"/>
      <c r="GRW3" s="62"/>
      <c r="GRX3" s="62"/>
      <c r="GRY3" s="62"/>
      <c r="GRZ3" s="62"/>
      <c r="GSA3" s="62"/>
      <c r="GSB3" s="62"/>
      <c r="GSC3" s="62"/>
      <c r="GSD3" s="62"/>
      <c r="GSE3" s="62"/>
      <c r="GSF3" s="62"/>
      <c r="GSG3" s="62"/>
      <c r="GSH3" s="62"/>
      <c r="GSI3" s="62"/>
      <c r="GSJ3" s="62"/>
      <c r="GSK3" s="62"/>
      <c r="GSL3" s="62"/>
      <c r="GSM3" s="62"/>
      <c r="GSN3" s="62"/>
      <c r="GSO3" s="62"/>
      <c r="GSP3" s="62"/>
      <c r="GSQ3" s="62"/>
      <c r="GSR3" s="62"/>
      <c r="GSS3" s="62"/>
      <c r="GST3" s="62"/>
      <c r="GSU3" s="62"/>
      <c r="GSV3" s="62"/>
      <c r="GSW3" s="62"/>
      <c r="GSX3" s="62"/>
      <c r="GSY3" s="62"/>
      <c r="GSZ3" s="62"/>
      <c r="GTA3" s="62"/>
      <c r="GTB3" s="62"/>
      <c r="GTC3" s="62"/>
      <c r="GTD3" s="62"/>
      <c r="GTE3" s="62"/>
      <c r="GTF3" s="62"/>
      <c r="GTG3" s="62"/>
      <c r="GTH3" s="62"/>
      <c r="GTI3" s="62"/>
      <c r="GTJ3" s="62"/>
      <c r="GTK3" s="62"/>
      <c r="GTL3" s="62"/>
      <c r="GTM3" s="62"/>
      <c r="GTN3" s="62"/>
      <c r="GTO3" s="62"/>
      <c r="GTP3" s="62"/>
      <c r="GTQ3" s="62"/>
      <c r="GTR3" s="62"/>
      <c r="GTS3" s="62"/>
      <c r="GTT3" s="62"/>
      <c r="GTU3" s="62"/>
      <c r="GTV3" s="62"/>
      <c r="GTW3" s="62"/>
      <c r="GTX3" s="62"/>
      <c r="GTY3" s="62"/>
      <c r="GTZ3" s="62"/>
      <c r="GUA3" s="62"/>
      <c r="GUB3" s="62"/>
      <c r="GUC3" s="62"/>
      <c r="GUD3" s="62"/>
      <c r="GUE3" s="62"/>
      <c r="GUF3" s="62"/>
      <c r="GUG3" s="62"/>
      <c r="GUH3" s="62"/>
      <c r="GUI3" s="62"/>
      <c r="GUJ3" s="62"/>
      <c r="GUK3" s="62"/>
      <c r="GUL3" s="62"/>
      <c r="GUM3" s="62"/>
      <c r="GUN3" s="62"/>
      <c r="GUO3" s="62"/>
      <c r="GUP3" s="62"/>
      <c r="GUQ3" s="62"/>
      <c r="GUR3" s="62"/>
      <c r="GUS3" s="62"/>
      <c r="GUT3" s="62"/>
      <c r="GUU3" s="62"/>
      <c r="GUV3" s="62"/>
      <c r="GUW3" s="62"/>
      <c r="GUX3" s="62"/>
      <c r="GUY3" s="62"/>
      <c r="GUZ3" s="62"/>
      <c r="GVA3" s="62"/>
      <c r="GVB3" s="62"/>
      <c r="GVC3" s="62"/>
      <c r="GVD3" s="62"/>
      <c r="GVE3" s="62"/>
      <c r="GVF3" s="62"/>
      <c r="GVG3" s="62"/>
      <c r="GVH3" s="62"/>
      <c r="GVI3" s="62"/>
      <c r="GVJ3" s="62"/>
      <c r="GVK3" s="62"/>
      <c r="GVL3" s="62"/>
      <c r="GVM3" s="62"/>
      <c r="GVN3" s="62"/>
      <c r="GVO3" s="62"/>
      <c r="GVP3" s="62"/>
      <c r="GVQ3" s="62"/>
      <c r="GVR3" s="62"/>
      <c r="GVS3" s="62"/>
      <c r="GVT3" s="62"/>
      <c r="GVU3" s="62"/>
      <c r="GVV3" s="62"/>
      <c r="GVW3" s="62"/>
      <c r="GVX3" s="62"/>
      <c r="GVY3" s="62"/>
      <c r="GVZ3" s="62"/>
      <c r="GWA3" s="62"/>
      <c r="GWB3" s="62"/>
      <c r="GWC3" s="62"/>
      <c r="GWD3" s="62"/>
      <c r="GWE3" s="62"/>
      <c r="GWF3" s="62"/>
      <c r="GWG3" s="62"/>
      <c r="GWH3" s="62"/>
      <c r="GWI3" s="62"/>
      <c r="GWJ3" s="62"/>
      <c r="GWK3" s="62"/>
      <c r="GWL3" s="62"/>
      <c r="GWM3" s="62"/>
      <c r="GWN3" s="62"/>
      <c r="GWO3" s="62"/>
      <c r="GWP3" s="62"/>
      <c r="GWQ3" s="62"/>
      <c r="GWR3" s="62"/>
      <c r="GWS3" s="62"/>
      <c r="GWT3" s="62"/>
      <c r="GWU3" s="62"/>
      <c r="GWV3" s="62"/>
      <c r="GWW3" s="62"/>
      <c r="GWX3" s="62"/>
      <c r="GWY3" s="62"/>
      <c r="GWZ3" s="62"/>
      <c r="GXA3" s="62"/>
      <c r="GXB3" s="62"/>
      <c r="GXC3" s="62"/>
      <c r="GXD3" s="62"/>
      <c r="GXE3" s="62"/>
      <c r="GXF3" s="62"/>
      <c r="GXG3" s="62"/>
      <c r="GXH3" s="62"/>
      <c r="GXI3" s="62"/>
      <c r="GXJ3" s="62"/>
      <c r="GXK3" s="62"/>
      <c r="GXL3" s="62"/>
      <c r="GXM3" s="62"/>
      <c r="GXN3" s="62"/>
      <c r="GXO3" s="62"/>
      <c r="GXP3" s="62"/>
      <c r="GXQ3" s="62"/>
      <c r="GXR3" s="62"/>
      <c r="GXS3" s="62"/>
      <c r="GXT3" s="62"/>
      <c r="GXU3" s="62"/>
      <c r="GXV3" s="62"/>
      <c r="GXW3" s="62"/>
      <c r="GXX3" s="62"/>
      <c r="GXY3" s="62"/>
      <c r="GXZ3" s="62"/>
      <c r="GYA3" s="62"/>
      <c r="GYB3" s="62"/>
      <c r="GYC3" s="62"/>
      <c r="GYD3" s="62"/>
      <c r="GYE3" s="62"/>
      <c r="GYF3" s="62"/>
      <c r="GYG3" s="62"/>
      <c r="GYH3" s="62"/>
      <c r="GYI3" s="62"/>
      <c r="GYJ3" s="62"/>
      <c r="GYK3" s="62"/>
      <c r="GYL3" s="62"/>
      <c r="GYM3" s="62"/>
      <c r="GYN3" s="62"/>
      <c r="GYO3" s="62"/>
      <c r="GYP3" s="62"/>
      <c r="GYQ3" s="62"/>
      <c r="GYR3" s="62"/>
      <c r="GYS3" s="62"/>
      <c r="GYT3" s="62"/>
      <c r="GYU3" s="62"/>
      <c r="GYV3" s="62"/>
      <c r="GYW3" s="62"/>
      <c r="GYX3" s="62"/>
      <c r="GYY3" s="62"/>
      <c r="GYZ3" s="62"/>
      <c r="GZA3" s="62"/>
      <c r="GZB3" s="62"/>
      <c r="GZC3" s="62"/>
      <c r="GZD3" s="62"/>
      <c r="GZE3" s="62"/>
      <c r="GZF3" s="62"/>
      <c r="GZG3" s="62"/>
      <c r="GZH3" s="62"/>
      <c r="GZI3" s="62"/>
      <c r="GZJ3" s="62"/>
      <c r="GZK3" s="62"/>
      <c r="GZL3" s="62"/>
      <c r="GZM3" s="62"/>
      <c r="GZN3" s="62"/>
      <c r="GZO3" s="62"/>
      <c r="GZP3" s="62"/>
      <c r="GZQ3" s="62"/>
      <c r="GZR3" s="62"/>
      <c r="GZS3" s="62"/>
      <c r="GZT3" s="62"/>
      <c r="GZU3" s="62"/>
      <c r="GZV3" s="62"/>
      <c r="GZW3" s="62"/>
      <c r="GZX3" s="62"/>
      <c r="GZY3" s="62"/>
      <c r="GZZ3" s="62"/>
      <c r="HAA3" s="62"/>
      <c r="HAB3" s="62"/>
      <c r="HAC3" s="62"/>
      <c r="HAD3" s="62"/>
      <c r="HAE3" s="62"/>
      <c r="HAF3" s="62"/>
      <c r="HAG3" s="62"/>
      <c r="HAH3" s="62"/>
      <c r="HAI3" s="62"/>
      <c r="HAJ3" s="62"/>
      <c r="HAK3" s="62"/>
      <c r="HAL3" s="62"/>
      <c r="HAM3" s="62"/>
      <c r="HAN3" s="62"/>
      <c r="HAO3" s="62"/>
      <c r="HAP3" s="62"/>
      <c r="HAQ3" s="62"/>
      <c r="HAR3" s="62"/>
      <c r="HAS3" s="62"/>
      <c r="HAT3" s="62"/>
      <c r="HAU3" s="62"/>
      <c r="HAV3" s="62"/>
      <c r="HAW3" s="62"/>
      <c r="HAX3" s="62"/>
      <c r="HAY3" s="62"/>
      <c r="HAZ3" s="62"/>
      <c r="HBA3" s="62"/>
      <c r="HBB3" s="62"/>
      <c r="HBC3" s="62"/>
      <c r="HBD3" s="62"/>
      <c r="HBE3" s="62"/>
      <c r="HBF3" s="62"/>
      <c r="HBG3" s="62"/>
      <c r="HBH3" s="62"/>
      <c r="HBI3" s="62"/>
      <c r="HBJ3" s="62"/>
      <c r="HBK3" s="62"/>
      <c r="HBL3" s="62"/>
      <c r="HBM3" s="62"/>
      <c r="HBN3" s="62"/>
      <c r="HBO3" s="62"/>
      <c r="HBP3" s="62"/>
      <c r="HBQ3" s="62"/>
      <c r="HBR3" s="62"/>
      <c r="HBS3" s="62"/>
      <c r="HBT3" s="62"/>
      <c r="HBU3" s="62"/>
      <c r="HBV3" s="62"/>
      <c r="HBW3" s="62"/>
      <c r="HBX3" s="62"/>
      <c r="HBY3" s="62"/>
      <c r="HBZ3" s="62"/>
      <c r="HCA3" s="62"/>
      <c r="HCB3" s="62"/>
      <c r="HCC3" s="62"/>
      <c r="HCD3" s="62"/>
      <c r="HCE3" s="62"/>
      <c r="HCF3" s="62"/>
      <c r="HCG3" s="62"/>
      <c r="HCH3" s="62"/>
      <c r="HCI3" s="62"/>
      <c r="HCJ3" s="62"/>
      <c r="HCK3" s="62"/>
      <c r="HCL3" s="62"/>
      <c r="HCM3" s="62"/>
      <c r="HCN3" s="62"/>
      <c r="HCO3" s="62"/>
      <c r="HCP3" s="62"/>
      <c r="HCQ3" s="62"/>
      <c r="HCR3" s="62"/>
      <c r="HCS3" s="62"/>
      <c r="HCT3" s="62"/>
      <c r="HCU3" s="62"/>
      <c r="HCV3" s="62"/>
      <c r="HCW3" s="62"/>
      <c r="HCX3" s="62"/>
      <c r="HCY3" s="62"/>
      <c r="HCZ3" s="62"/>
      <c r="HDA3" s="62"/>
      <c r="HDB3" s="62"/>
      <c r="HDC3" s="62"/>
      <c r="HDD3" s="62"/>
      <c r="HDE3" s="62"/>
      <c r="HDF3" s="62"/>
      <c r="HDG3" s="62"/>
      <c r="HDH3" s="62"/>
      <c r="HDI3" s="62"/>
      <c r="HDJ3" s="62"/>
      <c r="HDK3" s="62"/>
      <c r="HDL3" s="62"/>
      <c r="HDM3" s="62"/>
      <c r="HDN3" s="62"/>
      <c r="HDO3" s="62"/>
      <c r="HDP3" s="62"/>
      <c r="HDQ3" s="62"/>
      <c r="HDR3" s="62"/>
      <c r="HDS3" s="62"/>
      <c r="HDT3" s="62"/>
      <c r="HDU3" s="62"/>
      <c r="HDV3" s="62"/>
      <c r="HDW3" s="62"/>
      <c r="HDX3" s="62"/>
      <c r="HDY3" s="62"/>
      <c r="HDZ3" s="62"/>
      <c r="HEA3" s="62"/>
      <c r="HEB3" s="62"/>
      <c r="HEC3" s="62"/>
      <c r="HED3" s="62"/>
      <c r="HEE3" s="62"/>
      <c r="HEF3" s="62"/>
      <c r="HEG3" s="62"/>
      <c r="HEH3" s="62"/>
      <c r="HEI3" s="62"/>
      <c r="HEJ3" s="62"/>
      <c r="HEK3" s="62"/>
      <c r="HEL3" s="62"/>
      <c r="HEM3" s="62"/>
      <c r="HEN3" s="62"/>
      <c r="HEO3" s="62"/>
      <c r="HEP3" s="62"/>
      <c r="HEQ3" s="62"/>
      <c r="HER3" s="62"/>
      <c r="HES3" s="62"/>
      <c r="HET3" s="62"/>
      <c r="HEU3" s="62"/>
      <c r="HEV3" s="62"/>
      <c r="HEW3" s="62"/>
      <c r="HEX3" s="62"/>
      <c r="HEY3" s="62"/>
      <c r="HEZ3" s="62"/>
      <c r="HFA3" s="62"/>
      <c r="HFB3" s="62"/>
      <c r="HFC3" s="62"/>
      <c r="HFD3" s="62"/>
      <c r="HFE3" s="62"/>
      <c r="HFF3" s="62"/>
      <c r="HFG3" s="62"/>
      <c r="HFH3" s="62"/>
      <c r="HFI3" s="62"/>
      <c r="HFJ3" s="62"/>
      <c r="HFK3" s="62"/>
      <c r="HFL3" s="62"/>
      <c r="HFM3" s="62"/>
      <c r="HFN3" s="62"/>
      <c r="HFO3" s="62"/>
      <c r="HFP3" s="62"/>
      <c r="HFQ3" s="62"/>
      <c r="HFR3" s="62"/>
      <c r="HFS3" s="62"/>
      <c r="HFT3" s="62"/>
      <c r="HFU3" s="62"/>
      <c r="HFV3" s="62"/>
      <c r="HFW3" s="62"/>
      <c r="HFX3" s="62"/>
      <c r="HFY3" s="62"/>
      <c r="HFZ3" s="62"/>
      <c r="HGA3" s="62"/>
      <c r="HGB3" s="62"/>
      <c r="HGC3" s="62"/>
      <c r="HGD3" s="62"/>
      <c r="HGE3" s="62"/>
      <c r="HGF3" s="62"/>
      <c r="HGG3" s="62"/>
      <c r="HGH3" s="62"/>
      <c r="HGI3" s="62"/>
      <c r="HGJ3" s="62"/>
      <c r="HGK3" s="62"/>
      <c r="HGL3" s="62"/>
      <c r="HGM3" s="62"/>
      <c r="HGN3" s="62"/>
      <c r="HGO3" s="62"/>
      <c r="HGP3" s="62"/>
      <c r="HGQ3" s="62"/>
      <c r="HGR3" s="62"/>
      <c r="HGS3" s="62"/>
      <c r="HGT3" s="62"/>
      <c r="HGU3" s="62"/>
      <c r="HGV3" s="62"/>
      <c r="HGW3" s="62"/>
      <c r="HGX3" s="62"/>
      <c r="HGY3" s="62"/>
      <c r="HGZ3" s="62"/>
      <c r="HHA3" s="62"/>
      <c r="HHB3" s="62"/>
      <c r="HHC3" s="62"/>
      <c r="HHD3" s="62"/>
      <c r="HHE3" s="62"/>
      <c r="HHF3" s="62"/>
      <c r="HHG3" s="62"/>
      <c r="HHH3" s="62"/>
      <c r="HHI3" s="62"/>
      <c r="HHJ3" s="62"/>
      <c r="HHK3" s="62"/>
      <c r="HHL3" s="62"/>
      <c r="HHM3" s="62"/>
      <c r="HHN3" s="62"/>
      <c r="HHO3" s="62"/>
      <c r="HHP3" s="62"/>
      <c r="HHQ3" s="62"/>
      <c r="HHR3" s="62"/>
      <c r="HHS3" s="62"/>
      <c r="HHT3" s="62"/>
      <c r="HHU3" s="62"/>
      <c r="HHV3" s="62"/>
      <c r="HHW3" s="62"/>
      <c r="HHX3" s="62"/>
      <c r="HHY3" s="62"/>
      <c r="HHZ3" s="62"/>
      <c r="HIA3" s="62"/>
      <c r="HIB3" s="62"/>
      <c r="HIC3" s="62"/>
      <c r="HID3" s="62"/>
      <c r="HIE3" s="62"/>
      <c r="HIF3" s="62"/>
      <c r="HIG3" s="62"/>
      <c r="HIH3" s="62"/>
      <c r="HII3" s="62"/>
      <c r="HIJ3" s="62"/>
      <c r="HIK3" s="62"/>
      <c r="HIL3" s="62"/>
      <c r="HIM3" s="62"/>
      <c r="HIN3" s="62"/>
      <c r="HIO3" s="62"/>
      <c r="HIP3" s="62"/>
      <c r="HIQ3" s="62"/>
      <c r="HIR3" s="62"/>
      <c r="HIS3" s="62"/>
      <c r="HIT3" s="62"/>
      <c r="HIU3" s="62"/>
      <c r="HIV3" s="62"/>
      <c r="HIW3" s="62"/>
      <c r="HIX3" s="62"/>
      <c r="HIY3" s="62"/>
      <c r="HIZ3" s="62"/>
      <c r="HJA3" s="62"/>
      <c r="HJB3" s="62"/>
      <c r="HJC3" s="62"/>
      <c r="HJD3" s="62"/>
      <c r="HJE3" s="62"/>
      <c r="HJF3" s="62"/>
      <c r="HJG3" s="62"/>
      <c r="HJH3" s="62"/>
      <c r="HJI3" s="62"/>
      <c r="HJJ3" s="62"/>
      <c r="HJK3" s="62"/>
      <c r="HJL3" s="62"/>
      <c r="HJM3" s="62"/>
      <c r="HJN3" s="62"/>
      <c r="HJO3" s="62"/>
      <c r="HJP3" s="62"/>
      <c r="HJQ3" s="62"/>
      <c r="HJR3" s="62"/>
      <c r="HJS3" s="62"/>
      <c r="HJT3" s="62"/>
      <c r="HJU3" s="62"/>
      <c r="HJV3" s="62"/>
      <c r="HJW3" s="62"/>
      <c r="HJX3" s="62"/>
      <c r="HJY3" s="62"/>
      <c r="HJZ3" s="62"/>
      <c r="HKA3" s="62"/>
      <c r="HKB3" s="62"/>
      <c r="HKC3" s="62"/>
      <c r="HKD3" s="62"/>
      <c r="HKE3" s="62"/>
      <c r="HKF3" s="62"/>
      <c r="HKG3" s="62"/>
      <c r="HKH3" s="62"/>
      <c r="HKI3" s="62"/>
      <c r="HKJ3" s="62"/>
      <c r="HKK3" s="62"/>
      <c r="HKL3" s="62"/>
      <c r="HKM3" s="62"/>
      <c r="HKN3" s="62"/>
      <c r="HKO3" s="62"/>
      <c r="HKP3" s="62"/>
      <c r="HKQ3" s="62"/>
      <c r="HKR3" s="62"/>
      <c r="HKS3" s="62"/>
      <c r="HKT3" s="62"/>
      <c r="HKU3" s="62"/>
      <c r="HKV3" s="62"/>
      <c r="HKW3" s="62"/>
      <c r="HKX3" s="62"/>
      <c r="HKY3" s="62"/>
      <c r="HKZ3" s="62"/>
      <c r="HLA3" s="62"/>
      <c r="HLB3" s="62"/>
      <c r="HLC3" s="62"/>
      <c r="HLD3" s="62"/>
      <c r="HLE3" s="62"/>
      <c r="HLF3" s="62"/>
      <c r="HLG3" s="62"/>
      <c r="HLH3" s="62"/>
      <c r="HLI3" s="62"/>
      <c r="HLJ3" s="62"/>
      <c r="HLK3" s="62"/>
      <c r="HLL3" s="62"/>
      <c r="HLM3" s="62"/>
      <c r="HLN3" s="62"/>
      <c r="HLO3" s="62"/>
      <c r="HLP3" s="62"/>
      <c r="HLQ3" s="62"/>
      <c r="HLR3" s="62"/>
      <c r="HLS3" s="62"/>
      <c r="HLT3" s="62"/>
      <c r="HLU3" s="62"/>
      <c r="HLV3" s="62"/>
      <c r="HLW3" s="62"/>
      <c r="HLX3" s="62"/>
      <c r="HLY3" s="62"/>
      <c r="HLZ3" s="62"/>
      <c r="HMA3" s="62"/>
      <c r="HMB3" s="62"/>
      <c r="HMC3" s="62"/>
      <c r="HMD3" s="62"/>
      <c r="HME3" s="62"/>
      <c r="HMF3" s="62"/>
      <c r="HMG3" s="62"/>
      <c r="HMH3" s="62"/>
      <c r="HMI3" s="62"/>
      <c r="HMJ3" s="62"/>
      <c r="HMK3" s="62"/>
      <c r="HML3" s="62"/>
      <c r="HMM3" s="62"/>
      <c r="HMN3" s="62"/>
      <c r="HMO3" s="62"/>
      <c r="HMP3" s="62"/>
      <c r="HMQ3" s="62"/>
      <c r="HMR3" s="62"/>
      <c r="HMS3" s="62"/>
      <c r="HMT3" s="62"/>
      <c r="HMU3" s="62"/>
      <c r="HMV3" s="62"/>
      <c r="HMW3" s="62"/>
      <c r="HMX3" s="62"/>
      <c r="HMY3" s="62"/>
      <c r="HMZ3" s="62"/>
      <c r="HNA3" s="62"/>
      <c r="HNB3" s="62"/>
      <c r="HNC3" s="62"/>
      <c r="HND3" s="62"/>
      <c r="HNE3" s="62"/>
      <c r="HNF3" s="62"/>
      <c r="HNG3" s="62"/>
      <c r="HNH3" s="62"/>
      <c r="HNI3" s="62"/>
      <c r="HNJ3" s="62"/>
      <c r="HNK3" s="62"/>
      <c r="HNL3" s="62"/>
      <c r="HNM3" s="62"/>
      <c r="HNN3" s="62"/>
      <c r="HNO3" s="62"/>
      <c r="HNP3" s="62"/>
      <c r="HNQ3" s="62"/>
      <c r="HNR3" s="62"/>
      <c r="HNS3" s="62"/>
      <c r="HNT3" s="62"/>
      <c r="HNU3" s="62"/>
      <c r="HNV3" s="62"/>
      <c r="HNW3" s="62"/>
      <c r="HNX3" s="62"/>
      <c r="HNY3" s="62"/>
      <c r="HNZ3" s="62"/>
      <c r="HOA3" s="62"/>
      <c r="HOB3" s="62"/>
      <c r="HOC3" s="62"/>
      <c r="HOD3" s="62"/>
      <c r="HOE3" s="62"/>
      <c r="HOF3" s="62"/>
      <c r="HOG3" s="62"/>
      <c r="HOH3" s="62"/>
      <c r="HOI3" s="62"/>
      <c r="HOJ3" s="62"/>
      <c r="HOK3" s="62"/>
      <c r="HOL3" s="62"/>
      <c r="HOM3" s="62"/>
      <c r="HON3" s="62"/>
      <c r="HOO3" s="62"/>
      <c r="HOP3" s="62"/>
      <c r="HOQ3" s="62"/>
      <c r="HOR3" s="62"/>
      <c r="HOS3" s="62"/>
      <c r="HOT3" s="62"/>
      <c r="HOU3" s="62"/>
      <c r="HOV3" s="62"/>
      <c r="HOW3" s="62"/>
      <c r="HOX3" s="62"/>
      <c r="HOY3" s="62"/>
      <c r="HOZ3" s="62"/>
      <c r="HPA3" s="62"/>
      <c r="HPB3" s="62"/>
      <c r="HPC3" s="62"/>
      <c r="HPD3" s="62"/>
      <c r="HPE3" s="62"/>
      <c r="HPF3" s="62"/>
      <c r="HPG3" s="62"/>
      <c r="HPH3" s="62"/>
      <c r="HPI3" s="62"/>
      <c r="HPJ3" s="62"/>
      <c r="HPK3" s="62"/>
      <c r="HPL3" s="62"/>
      <c r="HPM3" s="62"/>
      <c r="HPN3" s="62"/>
      <c r="HPO3" s="62"/>
      <c r="HPP3" s="62"/>
      <c r="HPQ3" s="62"/>
      <c r="HPR3" s="62"/>
      <c r="HPS3" s="62"/>
      <c r="HPT3" s="62"/>
      <c r="HPU3" s="62"/>
      <c r="HPV3" s="62"/>
      <c r="HPW3" s="62"/>
      <c r="HPX3" s="62"/>
      <c r="HPY3" s="62"/>
      <c r="HPZ3" s="62"/>
      <c r="HQA3" s="62"/>
      <c r="HQB3" s="62"/>
      <c r="HQC3" s="62"/>
      <c r="HQD3" s="62"/>
      <c r="HQE3" s="62"/>
      <c r="HQF3" s="62"/>
      <c r="HQG3" s="62"/>
      <c r="HQH3" s="62"/>
      <c r="HQI3" s="62"/>
      <c r="HQJ3" s="62"/>
      <c r="HQK3" s="62"/>
      <c r="HQL3" s="62"/>
      <c r="HQM3" s="62"/>
      <c r="HQN3" s="62"/>
      <c r="HQO3" s="62"/>
      <c r="HQP3" s="62"/>
      <c r="HQQ3" s="62"/>
      <c r="HQR3" s="62"/>
      <c r="HQS3" s="62"/>
      <c r="HQT3" s="62"/>
      <c r="HQU3" s="62"/>
      <c r="HQV3" s="62"/>
      <c r="HQW3" s="62"/>
      <c r="HQX3" s="62"/>
      <c r="HQY3" s="62"/>
      <c r="HQZ3" s="62"/>
      <c r="HRA3" s="62"/>
      <c r="HRB3" s="62"/>
      <c r="HRC3" s="62"/>
      <c r="HRD3" s="62"/>
      <c r="HRE3" s="62"/>
      <c r="HRF3" s="62"/>
      <c r="HRG3" s="62"/>
      <c r="HRH3" s="62"/>
      <c r="HRI3" s="62"/>
      <c r="HRJ3" s="62"/>
      <c r="HRK3" s="62"/>
      <c r="HRL3" s="62"/>
      <c r="HRM3" s="62"/>
      <c r="HRN3" s="62"/>
      <c r="HRO3" s="62"/>
      <c r="HRP3" s="62"/>
      <c r="HRQ3" s="62"/>
      <c r="HRR3" s="62"/>
      <c r="HRS3" s="62"/>
      <c r="HRT3" s="62"/>
      <c r="HRU3" s="62"/>
      <c r="HRV3" s="62"/>
      <c r="HRW3" s="62"/>
      <c r="HRX3" s="62"/>
      <c r="HRY3" s="62"/>
      <c r="HRZ3" s="62"/>
      <c r="HSA3" s="62"/>
      <c r="HSB3" s="62"/>
      <c r="HSC3" s="62"/>
      <c r="HSD3" s="62"/>
      <c r="HSE3" s="62"/>
      <c r="HSF3" s="62"/>
      <c r="HSG3" s="62"/>
      <c r="HSH3" s="62"/>
      <c r="HSI3" s="62"/>
      <c r="HSJ3" s="62"/>
      <c r="HSK3" s="62"/>
      <c r="HSL3" s="62"/>
      <c r="HSM3" s="62"/>
      <c r="HSN3" s="62"/>
      <c r="HSO3" s="62"/>
      <c r="HSP3" s="62"/>
      <c r="HSQ3" s="62"/>
      <c r="HSR3" s="62"/>
      <c r="HSS3" s="62"/>
      <c r="HST3" s="62"/>
      <c r="HSU3" s="62"/>
      <c r="HSV3" s="62"/>
      <c r="HSW3" s="62"/>
      <c r="HSX3" s="62"/>
      <c r="HSY3" s="62"/>
      <c r="HSZ3" s="62"/>
      <c r="HTA3" s="62"/>
      <c r="HTB3" s="62"/>
      <c r="HTC3" s="62"/>
      <c r="HTD3" s="62"/>
      <c r="HTE3" s="62"/>
      <c r="HTF3" s="62"/>
      <c r="HTG3" s="62"/>
      <c r="HTH3" s="62"/>
      <c r="HTI3" s="62"/>
      <c r="HTJ3" s="62"/>
      <c r="HTK3" s="62"/>
      <c r="HTL3" s="62"/>
      <c r="HTM3" s="62"/>
      <c r="HTN3" s="62"/>
      <c r="HTO3" s="62"/>
      <c r="HTP3" s="62"/>
      <c r="HTQ3" s="62"/>
      <c r="HTR3" s="62"/>
      <c r="HTS3" s="62"/>
      <c r="HTT3" s="62"/>
      <c r="HTU3" s="62"/>
      <c r="HTV3" s="62"/>
      <c r="HTW3" s="62"/>
      <c r="HTX3" s="62"/>
      <c r="HTY3" s="62"/>
      <c r="HTZ3" s="62"/>
      <c r="HUA3" s="62"/>
      <c r="HUB3" s="62"/>
      <c r="HUC3" s="62"/>
      <c r="HUD3" s="62"/>
      <c r="HUE3" s="62"/>
      <c r="HUF3" s="62"/>
      <c r="HUG3" s="62"/>
      <c r="HUH3" s="62"/>
      <c r="HUI3" s="62"/>
      <c r="HUJ3" s="62"/>
      <c r="HUK3" s="62"/>
      <c r="HUL3" s="62"/>
      <c r="HUM3" s="62"/>
      <c r="HUN3" s="62"/>
      <c r="HUO3" s="62"/>
      <c r="HUP3" s="62"/>
      <c r="HUQ3" s="62"/>
      <c r="HUR3" s="62"/>
      <c r="HUS3" s="62"/>
      <c r="HUT3" s="62"/>
      <c r="HUU3" s="62"/>
      <c r="HUV3" s="62"/>
      <c r="HUW3" s="62"/>
      <c r="HUX3" s="62"/>
      <c r="HUY3" s="62"/>
      <c r="HUZ3" s="62"/>
      <c r="HVA3" s="62"/>
      <c r="HVB3" s="62"/>
      <c r="HVC3" s="62"/>
      <c r="HVD3" s="62"/>
      <c r="HVE3" s="62"/>
      <c r="HVF3" s="62"/>
      <c r="HVG3" s="62"/>
      <c r="HVH3" s="62"/>
      <c r="HVI3" s="62"/>
      <c r="HVJ3" s="62"/>
      <c r="HVK3" s="62"/>
      <c r="HVL3" s="62"/>
      <c r="HVM3" s="62"/>
      <c r="HVN3" s="62"/>
      <c r="HVO3" s="62"/>
      <c r="HVP3" s="62"/>
      <c r="HVQ3" s="62"/>
      <c r="HVR3" s="62"/>
      <c r="HVS3" s="62"/>
      <c r="HVT3" s="62"/>
      <c r="HVU3" s="62"/>
      <c r="HVV3" s="62"/>
      <c r="HVW3" s="62"/>
      <c r="HVX3" s="62"/>
      <c r="HVY3" s="62"/>
      <c r="HVZ3" s="62"/>
      <c r="HWA3" s="62"/>
      <c r="HWB3" s="62"/>
      <c r="HWC3" s="62"/>
      <c r="HWD3" s="62"/>
      <c r="HWE3" s="62"/>
      <c r="HWF3" s="62"/>
      <c r="HWG3" s="62"/>
      <c r="HWH3" s="62"/>
      <c r="HWI3" s="62"/>
      <c r="HWJ3" s="62"/>
      <c r="HWK3" s="62"/>
      <c r="HWL3" s="62"/>
      <c r="HWM3" s="62"/>
      <c r="HWN3" s="62"/>
      <c r="HWO3" s="62"/>
      <c r="HWP3" s="62"/>
      <c r="HWQ3" s="62"/>
      <c r="HWR3" s="62"/>
      <c r="HWS3" s="62"/>
      <c r="HWT3" s="62"/>
      <c r="HWU3" s="62"/>
      <c r="HWV3" s="62"/>
      <c r="HWW3" s="62"/>
      <c r="HWX3" s="62"/>
      <c r="HWY3" s="62"/>
      <c r="HWZ3" s="62"/>
      <c r="HXA3" s="62"/>
      <c r="HXB3" s="62"/>
      <c r="HXC3" s="62"/>
      <c r="HXD3" s="62"/>
      <c r="HXE3" s="62"/>
      <c r="HXF3" s="62"/>
      <c r="HXG3" s="62"/>
      <c r="HXH3" s="62"/>
      <c r="HXI3" s="62"/>
      <c r="HXJ3" s="62"/>
      <c r="HXK3" s="62"/>
      <c r="HXL3" s="62"/>
      <c r="HXM3" s="62"/>
      <c r="HXN3" s="62"/>
      <c r="HXO3" s="62"/>
      <c r="HXP3" s="62"/>
      <c r="HXQ3" s="62"/>
      <c r="HXR3" s="62"/>
      <c r="HXS3" s="62"/>
      <c r="HXT3" s="62"/>
      <c r="HXU3" s="62"/>
      <c r="HXV3" s="62"/>
      <c r="HXW3" s="62"/>
      <c r="HXX3" s="62"/>
      <c r="HXY3" s="62"/>
      <c r="HXZ3" s="62"/>
      <c r="HYA3" s="62"/>
      <c r="HYB3" s="62"/>
      <c r="HYC3" s="62"/>
      <c r="HYD3" s="62"/>
      <c r="HYE3" s="62"/>
      <c r="HYF3" s="62"/>
      <c r="HYG3" s="62"/>
      <c r="HYH3" s="62"/>
      <c r="HYI3" s="62"/>
      <c r="HYJ3" s="62"/>
      <c r="HYK3" s="62"/>
      <c r="HYL3" s="62"/>
      <c r="HYM3" s="62"/>
      <c r="HYN3" s="62"/>
      <c r="HYO3" s="62"/>
      <c r="HYP3" s="62"/>
      <c r="HYQ3" s="62"/>
      <c r="HYR3" s="62"/>
      <c r="HYS3" s="62"/>
      <c r="HYT3" s="62"/>
      <c r="HYU3" s="62"/>
      <c r="HYV3" s="62"/>
      <c r="HYW3" s="62"/>
      <c r="HYX3" s="62"/>
      <c r="HYY3" s="62"/>
      <c r="HYZ3" s="62"/>
      <c r="HZA3" s="62"/>
      <c r="HZB3" s="62"/>
      <c r="HZC3" s="62"/>
      <c r="HZD3" s="62"/>
      <c r="HZE3" s="62"/>
      <c r="HZF3" s="62"/>
      <c r="HZG3" s="62"/>
      <c r="HZH3" s="62"/>
      <c r="HZI3" s="62"/>
      <c r="HZJ3" s="62"/>
      <c r="HZK3" s="62"/>
      <c r="HZL3" s="62"/>
      <c r="HZM3" s="62"/>
      <c r="HZN3" s="62"/>
      <c r="HZO3" s="62"/>
      <c r="HZP3" s="62"/>
      <c r="HZQ3" s="62"/>
      <c r="HZR3" s="62"/>
      <c r="HZS3" s="62"/>
      <c r="HZT3" s="62"/>
      <c r="HZU3" s="62"/>
      <c r="HZV3" s="62"/>
      <c r="HZW3" s="62"/>
      <c r="HZX3" s="62"/>
      <c r="HZY3" s="62"/>
      <c r="HZZ3" s="62"/>
      <c r="IAA3" s="62"/>
      <c r="IAB3" s="62"/>
      <c r="IAC3" s="62"/>
      <c r="IAD3" s="62"/>
      <c r="IAE3" s="62"/>
      <c r="IAF3" s="62"/>
      <c r="IAG3" s="62"/>
      <c r="IAH3" s="62"/>
      <c r="IAI3" s="62"/>
      <c r="IAJ3" s="62"/>
      <c r="IAK3" s="62"/>
      <c r="IAL3" s="62"/>
      <c r="IAM3" s="62"/>
      <c r="IAN3" s="62"/>
      <c r="IAO3" s="62"/>
      <c r="IAP3" s="62"/>
      <c r="IAQ3" s="62"/>
      <c r="IAR3" s="62"/>
      <c r="IAS3" s="62"/>
      <c r="IAT3" s="62"/>
      <c r="IAU3" s="62"/>
      <c r="IAV3" s="62"/>
      <c r="IAW3" s="62"/>
      <c r="IAX3" s="62"/>
      <c r="IAY3" s="62"/>
      <c r="IAZ3" s="62"/>
      <c r="IBA3" s="62"/>
      <c r="IBB3" s="62"/>
      <c r="IBC3" s="62"/>
      <c r="IBD3" s="62"/>
      <c r="IBE3" s="62"/>
      <c r="IBF3" s="62"/>
      <c r="IBG3" s="62"/>
      <c r="IBH3" s="62"/>
      <c r="IBI3" s="62"/>
      <c r="IBJ3" s="62"/>
      <c r="IBK3" s="62"/>
      <c r="IBL3" s="62"/>
      <c r="IBM3" s="62"/>
      <c r="IBN3" s="62"/>
      <c r="IBO3" s="62"/>
      <c r="IBP3" s="62"/>
      <c r="IBQ3" s="62"/>
      <c r="IBR3" s="62"/>
      <c r="IBS3" s="62"/>
      <c r="IBT3" s="62"/>
      <c r="IBU3" s="62"/>
      <c r="IBV3" s="62"/>
      <c r="IBW3" s="62"/>
      <c r="IBX3" s="62"/>
      <c r="IBY3" s="62"/>
      <c r="IBZ3" s="62"/>
      <c r="ICA3" s="62"/>
      <c r="ICB3" s="62"/>
      <c r="ICC3" s="62"/>
      <c r="ICD3" s="62"/>
      <c r="ICE3" s="62"/>
      <c r="ICF3" s="62"/>
      <c r="ICG3" s="62"/>
      <c r="ICH3" s="62"/>
      <c r="ICI3" s="62"/>
      <c r="ICJ3" s="62"/>
      <c r="ICK3" s="62"/>
      <c r="ICL3" s="62"/>
      <c r="ICM3" s="62"/>
      <c r="ICN3" s="62"/>
      <c r="ICO3" s="62"/>
      <c r="ICP3" s="62"/>
      <c r="ICQ3" s="62"/>
      <c r="ICR3" s="62"/>
      <c r="ICS3" s="62"/>
      <c r="ICT3" s="62"/>
      <c r="ICU3" s="62"/>
      <c r="ICV3" s="62"/>
      <c r="ICW3" s="62"/>
      <c r="ICX3" s="62"/>
      <c r="ICY3" s="62"/>
      <c r="ICZ3" s="62"/>
      <c r="IDA3" s="62"/>
      <c r="IDB3" s="62"/>
      <c r="IDC3" s="62"/>
      <c r="IDD3" s="62"/>
      <c r="IDE3" s="62"/>
      <c r="IDF3" s="62"/>
      <c r="IDG3" s="62"/>
      <c r="IDH3" s="62"/>
      <c r="IDI3" s="62"/>
      <c r="IDJ3" s="62"/>
      <c r="IDK3" s="62"/>
      <c r="IDL3" s="62"/>
      <c r="IDM3" s="62"/>
      <c r="IDN3" s="62"/>
      <c r="IDO3" s="62"/>
      <c r="IDP3" s="62"/>
      <c r="IDQ3" s="62"/>
      <c r="IDR3" s="62"/>
      <c r="IDS3" s="62"/>
      <c r="IDT3" s="62"/>
      <c r="IDU3" s="62"/>
      <c r="IDV3" s="62"/>
      <c r="IDW3" s="62"/>
      <c r="IDX3" s="62"/>
      <c r="IDY3" s="62"/>
      <c r="IDZ3" s="62"/>
      <c r="IEA3" s="62"/>
      <c r="IEB3" s="62"/>
      <c r="IEC3" s="62"/>
      <c r="IED3" s="62"/>
      <c r="IEE3" s="62"/>
      <c r="IEF3" s="62"/>
      <c r="IEG3" s="62"/>
      <c r="IEH3" s="62"/>
      <c r="IEI3" s="62"/>
      <c r="IEJ3" s="62"/>
      <c r="IEK3" s="62"/>
      <c r="IEL3" s="62"/>
      <c r="IEM3" s="62"/>
      <c r="IEN3" s="62"/>
      <c r="IEO3" s="62"/>
      <c r="IEP3" s="62"/>
      <c r="IEQ3" s="62"/>
      <c r="IER3" s="62"/>
      <c r="IES3" s="62"/>
      <c r="IET3" s="62"/>
      <c r="IEU3" s="62"/>
      <c r="IEV3" s="62"/>
      <c r="IEW3" s="62"/>
      <c r="IEX3" s="62"/>
      <c r="IEY3" s="62"/>
      <c r="IEZ3" s="62"/>
      <c r="IFA3" s="62"/>
      <c r="IFB3" s="62"/>
      <c r="IFC3" s="62"/>
      <c r="IFD3" s="62"/>
      <c r="IFE3" s="62"/>
      <c r="IFF3" s="62"/>
      <c r="IFG3" s="62"/>
      <c r="IFH3" s="62"/>
      <c r="IFI3" s="62"/>
      <c r="IFJ3" s="62"/>
      <c r="IFK3" s="62"/>
      <c r="IFL3" s="62"/>
      <c r="IFM3" s="62"/>
      <c r="IFN3" s="62"/>
      <c r="IFO3" s="62"/>
      <c r="IFP3" s="62"/>
      <c r="IFQ3" s="62"/>
      <c r="IFR3" s="62"/>
      <c r="IFS3" s="62"/>
      <c r="IFT3" s="62"/>
      <c r="IFU3" s="62"/>
      <c r="IFV3" s="62"/>
      <c r="IFW3" s="62"/>
      <c r="IFX3" s="62"/>
      <c r="IFY3" s="62"/>
      <c r="IFZ3" s="62"/>
      <c r="IGA3" s="62"/>
      <c r="IGB3" s="62"/>
      <c r="IGC3" s="62"/>
      <c r="IGD3" s="62"/>
      <c r="IGE3" s="62"/>
      <c r="IGF3" s="62"/>
      <c r="IGG3" s="62"/>
      <c r="IGH3" s="62"/>
      <c r="IGI3" s="62"/>
      <c r="IGJ3" s="62"/>
      <c r="IGK3" s="62"/>
      <c r="IGL3" s="62"/>
      <c r="IGM3" s="62"/>
      <c r="IGN3" s="62"/>
      <c r="IGO3" s="62"/>
      <c r="IGP3" s="62"/>
      <c r="IGQ3" s="62"/>
      <c r="IGR3" s="62"/>
      <c r="IGS3" s="62"/>
      <c r="IGT3" s="62"/>
      <c r="IGU3" s="62"/>
      <c r="IGV3" s="62"/>
      <c r="IGW3" s="62"/>
      <c r="IGX3" s="62"/>
      <c r="IGY3" s="62"/>
      <c r="IGZ3" s="62"/>
      <c r="IHA3" s="62"/>
      <c r="IHB3" s="62"/>
      <c r="IHC3" s="62"/>
      <c r="IHD3" s="62"/>
      <c r="IHE3" s="62"/>
      <c r="IHF3" s="62"/>
      <c r="IHG3" s="62"/>
      <c r="IHH3" s="62"/>
      <c r="IHI3" s="62"/>
      <c r="IHJ3" s="62"/>
      <c r="IHK3" s="62"/>
      <c r="IHL3" s="62"/>
      <c r="IHM3" s="62"/>
      <c r="IHN3" s="62"/>
      <c r="IHO3" s="62"/>
      <c r="IHP3" s="62"/>
      <c r="IHQ3" s="62"/>
      <c r="IHR3" s="62"/>
      <c r="IHS3" s="62"/>
      <c r="IHT3" s="62"/>
      <c r="IHU3" s="62"/>
      <c r="IHV3" s="62"/>
      <c r="IHW3" s="62"/>
      <c r="IHX3" s="62"/>
      <c r="IHY3" s="62"/>
      <c r="IHZ3" s="62"/>
      <c r="IIA3" s="62"/>
      <c r="IIB3" s="62"/>
      <c r="IIC3" s="62"/>
      <c r="IID3" s="62"/>
      <c r="IIE3" s="62"/>
      <c r="IIF3" s="62"/>
      <c r="IIG3" s="62"/>
      <c r="IIH3" s="62"/>
      <c r="III3" s="62"/>
      <c r="IIJ3" s="62"/>
      <c r="IIK3" s="62"/>
      <c r="IIL3" s="62"/>
      <c r="IIM3" s="62"/>
      <c r="IIN3" s="62"/>
      <c r="IIO3" s="62"/>
      <c r="IIP3" s="62"/>
      <c r="IIQ3" s="62"/>
      <c r="IIR3" s="62"/>
      <c r="IIS3" s="62"/>
      <c r="IIT3" s="62"/>
      <c r="IIU3" s="62"/>
      <c r="IIV3" s="62"/>
      <c r="IIW3" s="62"/>
      <c r="IIX3" s="62"/>
      <c r="IIY3" s="62"/>
      <c r="IIZ3" s="62"/>
      <c r="IJA3" s="62"/>
      <c r="IJB3" s="62"/>
      <c r="IJC3" s="62"/>
      <c r="IJD3" s="62"/>
      <c r="IJE3" s="62"/>
      <c r="IJF3" s="62"/>
      <c r="IJG3" s="62"/>
      <c r="IJH3" s="62"/>
      <c r="IJI3" s="62"/>
      <c r="IJJ3" s="62"/>
      <c r="IJK3" s="62"/>
      <c r="IJL3" s="62"/>
      <c r="IJM3" s="62"/>
      <c r="IJN3" s="62"/>
      <c r="IJO3" s="62"/>
      <c r="IJP3" s="62"/>
      <c r="IJQ3" s="62"/>
      <c r="IJR3" s="62"/>
      <c r="IJS3" s="62"/>
      <c r="IJT3" s="62"/>
      <c r="IJU3" s="62"/>
      <c r="IJV3" s="62"/>
      <c r="IJW3" s="62"/>
      <c r="IJX3" s="62"/>
      <c r="IJY3" s="62"/>
      <c r="IJZ3" s="62"/>
      <c r="IKA3" s="62"/>
      <c r="IKB3" s="62"/>
      <c r="IKC3" s="62"/>
      <c r="IKD3" s="62"/>
      <c r="IKE3" s="62"/>
      <c r="IKF3" s="62"/>
      <c r="IKG3" s="62"/>
      <c r="IKH3" s="62"/>
      <c r="IKI3" s="62"/>
      <c r="IKJ3" s="62"/>
      <c r="IKK3" s="62"/>
      <c r="IKL3" s="62"/>
      <c r="IKM3" s="62"/>
      <c r="IKN3" s="62"/>
      <c r="IKO3" s="62"/>
      <c r="IKP3" s="62"/>
      <c r="IKQ3" s="62"/>
      <c r="IKR3" s="62"/>
      <c r="IKS3" s="62"/>
      <c r="IKT3" s="62"/>
      <c r="IKU3" s="62"/>
      <c r="IKV3" s="62"/>
      <c r="IKW3" s="62"/>
      <c r="IKX3" s="62"/>
      <c r="IKY3" s="62"/>
      <c r="IKZ3" s="62"/>
      <c r="ILA3" s="62"/>
      <c r="ILB3" s="62"/>
      <c r="ILC3" s="62"/>
      <c r="ILD3" s="62"/>
      <c r="ILE3" s="62"/>
      <c r="ILF3" s="62"/>
      <c r="ILG3" s="62"/>
      <c r="ILH3" s="62"/>
      <c r="ILI3" s="62"/>
      <c r="ILJ3" s="62"/>
      <c r="ILK3" s="62"/>
      <c r="ILL3" s="62"/>
      <c r="ILM3" s="62"/>
      <c r="ILN3" s="62"/>
      <c r="ILO3" s="62"/>
      <c r="ILP3" s="62"/>
      <c r="ILQ3" s="62"/>
      <c r="ILR3" s="62"/>
      <c r="ILS3" s="62"/>
      <c r="ILT3" s="62"/>
      <c r="ILU3" s="62"/>
      <c r="ILV3" s="62"/>
      <c r="ILW3" s="62"/>
      <c r="ILX3" s="62"/>
      <c r="ILY3" s="62"/>
      <c r="ILZ3" s="62"/>
      <c r="IMA3" s="62"/>
      <c r="IMB3" s="62"/>
      <c r="IMC3" s="62"/>
      <c r="IMD3" s="62"/>
      <c r="IME3" s="62"/>
      <c r="IMF3" s="62"/>
      <c r="IMG3" s="62"/>
      <c r="IMH3" s="62"/>
      <c r="IMI3" s="62"/>
      <c r="IMJ3" s="62"/>
      <c r="IMK3" s="62"/>
      <c r="IML3" s="62"/>
      <c r="IMM3" s="62"/>
      <c r="IMN3" s="62"/>
      <c r="IMO3" s="62"/>
      <c r="IMP3" s="62"/>
      <c r="IMQ3" s="62"/>
      <c r="IMR3" s="62"/>
      <c r="IMS3" s="62"/>
      <c r="IMT3" s="62"/>
      <c r="IMU3" s="62"/>
      <c r="IMV3" s="62"/>
      <c r="IMW3" s="62"/>
      <c r="IMX3" s="62"/>
      <c r="IMY3" s="62"/>
      <c r="IMZ3" s="62"/>
      <c r="INA3" s="62"/>
      <c r="INB3" s="62"/>
      <c r="INC3" s="62"/>
      <c r="IND3" s="62"/>
      <c r="INE3" s="62"/>
      <c r="INF3" s="62"/>
      <c r="ING3" s="62"/>
      <c r="INH3" s="62"/>
      <c r="INI3" s="62"/>
      <c r="INJ3" s="62"/>
      <c r="INK3" s="62"/>
      <c r="INL3" s="62"/>
      <c r="INM3" s="62"/>
      <c r="INN3" s="62"/>
      <c r="INO3" s="62"/>
      <c r="INP3" s="62"/>
      <c r="INQ3" s="62"/>
      <c r="INR3" s="62"/>
      <c r="INS3" s="62"/>
      <c r="INT3" s="62"/>
      <c r="INU3" s="62"/>
      <c r="INV3" s="62"/>
      <c r="INW3" s="62"/>
      <c r="INX3" s="62"/>
      <c r="INY3" s="62"/>
      <c r="INZ3" s="62"/>
      <c r="IOA3" s="62"/>
      <c r="IOB3" s="62"/>
      <c r="IOC3" s="62"/>
      <c r="IOD3" s="62"/>
      <c r="IOE3" s="62"/>
      <c r="IOF3" s="62"/>
      <c r="IOG3" s="62"/>
      <c r="IOH3" s="62"/>
      <c r="IOI3" s="62"/>
      <c r="IOJ3" s="62"/>
      <c r="IOK3" s="62"/>
      <c r="IOL3" s="62"/>
      <c r="IOM3" s="62"/>
      <c r="ION3" s="62"/>
      <c r="IOO3" s="62"/>
      <c r="IOP3" s="62"/>
      <c r="IOQ3" s="62"/>
      <c r="IOR3" s="62"/>
      <c r="IOS3" s="62"/>
      <c r="IOT3" s="62"/>
      <c r="IOU3" s="62"/>
      <c r="IOV3" s="62"/>
      <c r="IOW3" s="62"/>
      <c r="IOX3" s="62"/>
      <c r="IOY3" s="62"/>
      <c r="IOZ3" s="62"/>
      <c r="IPA3" s="62"/>
      <c r="IPB3" s="62"/>
      <c r="IPC3" s="62"/>
      <c r="IPD3" s="62"/>
      <c r="IPE3" s="62"/>
      <c r="IPF3" s="62"/>
      <c r="IPG3" s="62"/>
      <c r="IPH3" s="62"/>
      <c r="IPI3" s="62"/>
      <c r="IPJ3" s="62"/>
      <c r="IPK3" s="62"/>
      <c r="IPL3" s="62"/>
      <c r="IPM3" s="62"/>
      <c r="IPN3" s="62"/>
      <c r="IPO3" s="62"/>
      <c r="IPP3" s="62"/>
      <c r="IPQ3" s="62"/>
      <c r="IPR3" s="62"/>
      <c r="IPS3" s="62"/>
      <c r="IPT3" s="62"/>
      <c r="IPU3" s="62"/>
      <c r="IPV3" s="62"/>
      <c r="IPW3" s="62"/>
      <c r="IPX3" s="62"/>
      <c r="IPY3" s="62"/>
      <c r="IPZ3" s="62"/>
      <c r="IQA3" s="62"/>
      <c r="IQB3" s="62"/>
      <c r="IQC3" s="62"/>
      <c r="IQD3" s="62"/>
      <c r="IQE3" s="62"/>
      <c r="IQF3" s="62"/>
      <c r="IQG3" s="62"/>
      <c r="IQH3" s="62"/>
      <c r="IQI3" s="62"/>
      <c r="IQJ3" s="62"/>
      <c r="IQK3" s="62"/>
      <c r="IQL3" s="62"/>
      <c r="IQM3" s="62"/>
      <c r="IQN3" s="62"/>
      <c r="IQO3" s="62"/>
      <c r="IQP3" s="62"/>
      <c r="IQQ3" s="62"/>
      <c r="IQR3" s="62"/>
      <c r="IQS3" s="62"/>
      <c r="IQT3" s="62"/>
      <c r="IQU3" s="62"/>
      <c r="IQV3" s="62"/>
      <c r="IQW3" s="62"/>
      <c r="IQX3" s="62"/>
      <c r="IQY3" s="62"/>
      <c r="IQZ3" s="62"/>
      <c r="IRA3" s="62"/>
      <c r="IRB3" s="62"/>
      <c r="IRC3" s="62"/>
      <c r="IRD3" s="62"/>
      <c r="IRE3" s="62"/>
      <c r="IRF3" s="62"/>
      <c r="IRG3" s="62"/>
      <c r="IRH3" s="62"/>
      <c r="IRI3" s="62"/>
      <c r="IRJ3" s="62"/>
      <c r="IRK3" s="62"/>
      <c r="IRL3" s="62"/>
      <c r="IRM3" s="62"/>
      <c r="IRN3" s="62"/>
      <c r="IRO3" s="62"/>
      <c r="IRP3" s="62"/>
      <c r="IRQ3" s="62"/>
      <c r="IRR3" s="62"/>
      <c r="IRS3" s="62"/>
      <c r="IRT3" s="62"/>
      <c r="IRU3" s="62"/>
      <c r="IRV3" s="62"/>
      <c r="IRW3" s="62"/>
      <c r="IRX3" s="62"/>
      <c r="IRY3" s="62"/>
      <c r="IRZ3" s="62"/>
      <c r="ISA3" s="62"/>
      <c r="ISB3" s="62"/>
      <c r="ISC3" s="62"/>
      <c r="ISD3" s="62"/>
      <c r="ISE3" s="62"/>
      <c r="ISF3" s="62"/>
      <c r="ISG3" s="62"/>
      <c r="ISH3" s="62"/>
      <c r="ISI3" s="62"/>
      <c r="ISJ3" s="62"/>
      <c r="ISK3" s="62"/>
      <c r="ISL3" s="62"/>
      <c r="ISM3" s="62"/>
      <c r="ISN3" s="62"/>
      <c r="ISO3" s="62"/>
      <c r="ISP3" s="62"/>
      <c r="ISQ3" s="62"/>
      <c r="ISR3" s="62"/>
      <c r="ISS3" s="62"/>
      <c r="IST3" s="62"/>
      <c r="ISU3" s="62"/>
      <c r="ISV3" s="62"/>
      <c r="ISW3" s="62"/>
      <c r="ISX3" s="62"/>
      <c r="ISY3" s="62"/>
      <c r="ISZ3" s="62"/>
      <c r="ITA3" s="62"/>
      <c r="ITB3" s="62"/>
      <c r="ITC3" s="62"/>
      <c r="ITD3" s="62"/>
      <c r="ITE3" s="62"/>
      <c r="ITF3" s="62"/>
      <c r="ITG3" s="62"/>
      <c r="ITH3" s="62"/>
      <c r="ITI3" s="62"/>
      <c r="ITJ3" s="62"/>
      <c r="ITK3" s="62"/>
      <c r="ITL3" s="62"/>
      <c r="ITM3" s="62"/>
      <c r="ITN3" s="62"/>
      <c r="ITO3" s="62"/>
      <c r="ITP3" s="62"/>
      <c r="ITQ3" s="62"/>
      <c r="ITR3" s="62"/>
      <c r="ITS3" s="62"/>
      <c r="ITT3" s="62"/>
      <c r="ITU3" s="62"/>
      <c r="ITV3" s="62"/>
      <c r="ITW3" s="62"/>
      <c r="ITX3" s="62"/>
      <c r="ITY3" s="62"/>
      <c r="ITZ3" s="62"/>
      <c r="IUA3" s="62"/>
      <c r="IUB3" s="62"/>
      <c r="IUC3" s="62"/>
      <c r="IUD3" s="62"/>
      <c r="IUE3" s="62"/>
      <c r="IUF3" s="62"/>
      <c r="IUG3" s="62"/>
      <c r="IUH3" s="62"/>
      <c r="IUI3" s="62"/>
      <c r="IUJ3" s="62"/>
      <c r="IUK3" s="62"/>
      <c r="IUL3" s="62"/>
      <c r="IUM3" s="62"/>
      <c r="IUN3" s="62"/>
      <c r="IUO3" s="62"/>
      <c r="IUP3" s="62"/>
      <c r="IUQ3" s="62"/>
      <c r="IUR3" s="62"/>
      <c r="IUS3" s="62"/>
      <c r="IUT3" s="62"/>
      <c r="IUU3" s="62"/>
      <c r="IUV3" s="62"/>
      <c r="IUW3" s="62"/>
      <c r="IUX3" s="62"/>
      <c r="IUY3" s="62"/>
      <c r="IUZ3" s="62"/>
      <c r="IVA3" s="62"/>
      <c r="IVB3" s="62"/>
      <c r="IVC3" s="62"/>
      <c r="IVD3" s="62"/>
      <c r="IVE3" s="62"/>
      <c r="IVF3" s="62"/>
      <c r="IVG3" s="62"/>
      <c r="IVH3" s="62"/>
      <c r="IVI3" s="62"/>
      <c r="IVJ3" s="62"/>
      <c r="IVK3" s="62"/>
      <c r="IVL3" s="62"/>
      <c r="IVM3" s="62"/>
      <c r="IVN3" s="62"/>
      <c r="IVO3" s="62"/>
      <c r="IVP3" s="62"/>
      <c r="IVQ3" s="62"/>
      <c r="IVR3" s="62"/>
      <c r="IVS3" s="62"/>
      <c r="IVT3" s="62"/>
      <c r="IVU3" s="62"/>
      <c r="IVV3" s="62"/>
      <c r="IVW3" s="62"/>
      <c r="IVX3" s="62"/>
      <c r="IVY3" s="62"/>
      <c r="IVZ3" s="62"/>
      <c r="IWA3" s="62"/>
      <c r="IWB3" s="62"/>
      <c r="IWC3" s="62"/>
      <c r="IWD3" s="62"/>
      <c r="IWE3" s="62"/>
      <c r="IWF3" s="62"/>
      <c r="IWG3" s="62"/>
      <c r="IWH3" s="62"/>
      <c r="IWI3" s="62"/>
      <c r="IWJ3" s="62"/>
      <c r="IWK3" s="62"/>
      <c r="IWL3" s="62"/>
      <c r="IWM3" s="62"/>
      <c r="IWN3" s="62"/>
      <c r="IWO3" s="62"/>
      <c r="IWP3" s="62"/>
      <c r="IWQ3" s="62"/>
      <c r="IWR3" s="62"/>
      <c r="IWS3" s="62"/>
      <c r="IWT3" s="62"/>
      <c r="IWU3" s="62"/>
      <c r="IWV3" s="62"/>
      <c r="IWW3" s="62"/>
      <c r="IWX3" s="62"/>
      <c r="IWY3" s="62"/>
      <c r="IWZ3" s="62"/>
      <c r="IXA3" s="62"/>
      <c r="IXB3" s="62"/>
      <c r="IXC3" s="62"/>
      <c r="IXD3" s="62"/>
      <c r="IXE3" s="62"/>
      <c r="IXF3" s="62"/>
      <c r="IXG3" s="62"/>
      <c r="IXH3" s="62"/>
      <c r="IXI3" s="62"/>
      <c r="IXJ3" s="62"/>
      <c r="IXK3" s="62"/>
      <c r="IXL3" s="62"/>
      <c r="IXM3" s="62"/>
      <c r="IXN3" s="62"/>
      <c r="IXO3" s="62"/>
      <c r="IXP3" s="62"/>
      <c r="IXQ3" s="62"/>
      <c r="IXR3" s="62"/>
      <c r="IXS3" s="62"/>
      <c r="IXT3" s="62"/>
      <c r="IXU3" s="62"/>
      <c r="IXV3" s="62"/>
      <c r="IXW3" s="62"/>
      <c r="IXX3" s="62"/>
      <c r="IXY3" s="62"/>
      <c r="IXZ3" s="62"/>
      <c r="IYA3" s="62"/>
      <c r="IYB3" s="62"/>
      <c r="IYC3" s="62"/>
      <c r="IYD3" s="62"/>
      <c r="IYE3" s="62"/>
      <c r="IYF3" s="62"/>
      <c r="IYG3" s="62"/>
      <c r="IYH3" s="62"/>
      <c r="IYI3" s="62"/>
      <c r="IYJ3" s="62"/>
      <c r="IYK3" s="62"/>
      <c r="IYL3" s="62"/>
      <c r="IYM3" s="62"/>
      <c r="IYN3" s="62"/>
      <c r="IYO3" s="62"/>
      <c r="IYP3" s="62"/>
      <c r="IYQ3" s="62"/>
      <c r="IYR3" s="62"/>
      <c r="IYS3" s="62"/>
      <c r="IYT3" s="62"/>
      <c r="IYU3" s="62"/>
      <c r="IYV3" s="62"/>
      <c r="IYW3" s="62"/>
      <c r="IYX3" s="62"/>
      <c r="IYY3" s="62"/>
      <c r="IYZ3" s="62"/>
      <c r="IZA3" s="62"/>
      <c r="IZB3" s="62"/>
      <c r="IZC3" s="62"/>
      <c r="IZD3" s="62"/>
      <c r="IZE3" s="62"/>
      <c r="IZF3" s="62"/>
      <c r="IZG3" s="62"/>
      <c r="IZH3" s="62"/>
      <c r="IZI3" s="62"/>
      <c r="IZJ3" s="62"/>
      <c r="IZK3" s="62"/>
      <c r="IZL3" s="62"/>
      <c r="IZM3" s="62"/>
      <c r="IZN3" s="62"/>
      <c r="IZO3" s="62"/>
      <c r="IZP3" s="62"/>
      <c r="IZQ3" s="62"/>
      <c r="IZR3" s="62"/>
      <c r="IZS3" s="62"/>
      <c r="IZT3" s="62"/>
      <c r="IZU3" s="62"/>
      <c r="IZV3" s="62"/>
      <c r="IZW3" s="62"/>
      <c r="IZX3" s="62"/>
      <c r="IZY3" s="62"/>
      <c r="IZZ3" s="62"/>
      <c r="JAA3" s="62"/>
      <c r="JAB3" s="62"/>
      <c r="JAC3" s="62"/>
      <c r="JAD3" s="62"/>
      <c r="JAE3" s="62"/>
      <c r="JAF3" s="62"/>
      <c r="JAG3" s="62"/>
      <c r="JAH3" s="62"/>
      <c r="JAI3" s="62"/>
      <c r="JAJ3" s="62"/>
      <c r="JAK3" s="62"/>
      <c r="JAL3" s="62"/>
      <c r="JAM3" s="62"/>
      <c r="JAN3" s="62"/>
      <c r="JAO3" s="62"/>
      <c r="JAP3" s="62"/>
      <c r="JAQ3" s="62"/>
      <c r="JAR3" s="62"/>
      <c r="JAS3" s="62"/>
      <c r="JAT3" s="62"/>
      <c r="JAU3" s="62"/>
      <c r="JAV3" s="62"/>
      <c r="JAW3" s="62"/>
      <c r="JAX3" s="62"/>
      <c r="JAY3" s="62"/>
      <c r="JAZ3" s="62"/>
      <c r="JBA3" s="62"/>
      <c r="JBB3" s="62"/>
      <c r="JBC3" s="62"/>
      <c r="JBD3" s="62"/>
      <c r="JBE3" s="62"/>
      <c r="JBF3" s="62"/>
      <c r="JBG3" s="62"/>
      <c r="JBH3" s="62"/>
      <c r="JBI3" s="62"/>
      <c r="JBJ3" s="62"/>
      <c r="JBK3" s="62"/>
      <c r="JBL3" s="62"/>
      <c r="JBM3" s="62"/>
      <c r="JBN3" s="62"/>
      <c r="JBO3" s="62"/>
      <c r="JBP3" s="62"/>
      <c r="JBQ3" s="62"/>
      <c r="JBR3" s="62"/>
      <c r="JBS3" s="62"/>
      <c r="JBT3" s="62"/>
      <c r="JBU3" s="62"/>
      <c r="JBV3" s="62"/>
      <c r="JBW3" s="62"/>
      <c r="JBX3" s="62"/>
      <c r="JBY3" s="62"/>
      <c r="JBZ3" s="62"/>
      <c r="JCA3" s="62"/>
      <c r="JCB3" s="62"/>
      <c r="JCC3" s="62"/>
      <c r="JCD3" s="62"/>
      <c r="JCE3" s="62"/>
      <c r="JCF3" s="62"/>
      <c r="JCG3" s="62"/>
      <c r="JCH3" s="62"/>
      <c r="JCI3" s="62"/>
      <c r="JCJ3" s="62"/>
      <c r="JCK3" s="62"/>
      <c r="JCL3" s="62"/>
      <c r="JCM3" s="62"/>
      <c r="JCN3" s="62"/>
      <c r="JCO3" s="62"/>
      <c r="JCP3" s="62"/>
      <c r="JCQ3" s="62"/>
      <c r="JCR3" s="62"/>
      <c r="JCS3" s="62"/>
      <c r="JCT3" s="62"/>
      <c r="JCU3" s="62"/>
      <c r="JCV3" s="62"/>
      <c r="JCW3" s="62"/>
      <c r="JCX3" s="62"/>
      <c r="JCY3" s="62"/>
      <c r="JCZ3" s="62"/>
      <c r="JDA3" s="62"/>
      <c r="JDB3" s="62"/>
      <c r="JDC3" s="62"/>
      <c r="JDD3" s="62"/>
      <c r="JDE3" s="62"/>
      <c r="JDF3" s="62"/>
      <c r="JDG3" s="62"/>
      <c r="JDH3" s="62"/>
      <c r="JDI3" s="62"/>
      <c r="JDJ3" s="62"/>
      <c r="JDK3" s="62"/>
      <c r="JDL3" s="62"/>
      <c r="JDM3" s="62"/>
      <c r="JDN3" s="62"/>
      <c r="JDO3" s="62"/>
      <c r="JDP3" s="62"/>
      <c r="JDQ3" s="62"/>
      <c r="JDR3" s="62"/>
      <c r="JDS3" s="62"/>
      <c r="JDT3" s="62"/>
      <c r="JDU3" s="62"/>
      <c r="JDV3" s="62"/>
      <c r="JDW3" s="62"/>
      <c r="JDX3" s="62"/>
      <c r="JDY3" s="62"/>
      <c r="JDZ3" s="62"/>
      <c r="JEA3" s="62"/>
      <c r="JEB3" s="62"/>
      <c r="JEC3" s="62"/>
      <c r="JED3" s="62"/>
      <c r="JEE3" s="62"/>
      <c r="JEF3" s="62"/>
      <c r="JEG3" s="62"/>
      <c r="JEH3" s="62"/>
      <c r="JEI3" s="62"/>
      <c r="JEJ3" s="62"/>
      <c r="JEK3" s="62"/>
      <c r="JEL3" s="62"/>
      <c r="JEM3" s="62"/>
      <c r="JEN3" s="62"/>
      <c r="JEO3" s="62"/>
      <c r="JEP3" s="62"/>
      <c r="JEQ3" s="62"/>
      <c r="JER3" s="62"/>
      <c r="JES3" s="62"/>
      <c r="JET3" s="62"/>
      <c r="JEU3" s="62"/>
      <c r="JEV3" s="62"/>
      <c r="JEW3" s="62"/>
      <c r="JEX3" s="62"/>
      <c r="JEY3" s="62"/>
      <c r="JEZ3" s="62"/>
      <c r="JFA3" s="62"/>
      <c r="JFB3" s="62"/>
      <c r="JFC3" s="62"/>
      <c r="JFD3" s="62"/>
      <c r="JFE3" s="62"/>
      <c r="JFF3" s="62"/>
      <c r="JFG3" s="62"/>
      <c r="JFH3" s="62"/>
      <c r="JFI3" s="62"/>
      <c r="JFJ3" s="62"/>
      <c r="JFK3" s="62"/>
      <c r="JFL3" s="62"/>
      <c r="JFM3" s="62"/>
      <c r="JFN3" s="62"/>
      <c r="JFO3" s="62"/>
      <c r="JFP3" s="62"/>
      <c r="JFQ3" s="62"/>
      <c r="JFR3" s="62"/>
      <c r="JFS3" s="62"/>
      <c r="JFT3" s="62"/>
      <c r="JFU3" s="62"/>
      <c r="JFV3" s="62"/>
      <c r="JFW3" s="62"/>
      <c r="JFX3" s="62"/>
      <c r="JFY3" s="62"/>
      <c r="JFZ3" s="62"/>
      <c r="JGA3" s="62"/>
      <c r="JGB3" s="62"/>
      <c r="JGC3" s="62"/>
      <c r="JGD3" s="62"/>
      <c r="JGE3" s="62"/>
      <c r="JGF3" s="62"/>
      <c r="JGG3" s="62"/>
      <c r="JGH3" s="62"/>
      <c r="JGI3" s="62"/>
      <c r="JGJ3" s="62"/>
      <c r="JGK3" s="62"/>
      <c r="JGL3" s="62"/>
      <c r="JGM3" s="62"/>
      <c r="JGN3" s="62"/>
      <c r="JGO3" s="62"/>
      <c r="JGP3" s="62"/>
      <c r="JGQ3" s="62"/>
      <c r="JGR3" s="62"/>
      <c r="JGS3" s="62"/>
      <c r="JGT3" s="62"/>
      <c r="JGU3" s="62"/>
      <c r="JGV3" s="62"/>
      <c r="JGW3" s="62"/>
      <c r="JGX3" s="62"/>
      <c r="JGY3" s="62"/>
      <c r="JGZ3" s="62"/>
      <c r="JHA3" s="62"/>
      <c r="JHB3" s="62"/>
      <c r="JHC3" s="62"/>
      <c r="JHD3" s="62"/>
      <c r="JHE3" s="62"/>
      <c r="JHF3" s="62"/>
      <c r="JHG3" s="62"/>
      <c r="JHH3" s="62"/>
      <c r="JHI3" s="62"/>
      <c r="JHJ3" s="62"/>
      <c r="JHK3" s="62"/>
      <c r="JHL3" s="62"/>
      <c r="JHM3" s="62"/>
      <c r="JHN3" s="62"/>
      <c r="JHO3" s="62"/>
      <c r="JHP3" s="62"/>
      <c r="JHQ3" s="62"/>
      <c r="JHR3" s="62"/>
      <c r="JHS3" s="62"/>
      <c r="JHT3" s="62"/>
      <c r="JHU3" s="62"/>
      <c r="JHV3" s="62"/>
      <c r="JHW3" s="62"/>
      <c r="JHX3" s="62"/>
      <c r="JHY3" s="62"/>
      <c r="JHZ3" s="62"/>
      <c r="JIA3" s="62"/>
      <c r="JIB3" s="62"/>
      <c r="JIC3" s="62"/>
      <c r="JID3" s="62"/>
      <c r="JIE3" s="62"/>
      <c r="JIF3" s="62"/>
      <c r="JIG3" s="62"/>
      <c r="JIH3" s="62"/>
      <c r="JII3" s="62"/>
      <c r="JIJ3" s="62"/>
      <c r="JIK3" s="62"/>
      <c r="JIL3" s="62"/>
      <c r="JIM3" s="62"/>
      <c r="JIN3" s="62"/>
      <c r="JIO3" s="62"/>
      <c r="JIP3" s="62"/>
      <c r="JIQ3" s="62"/>
      <c r="JIR3" s="62"/>
      <c r="JIS3" s="62"/>
      <c r="JIT3" s="62"/>
      <c r="JIU3" s="62"/>
      <c r="JIV3" s="62"/>
      <c r="JIW3" s="62"/>
      <c r="JIX3" s="62"/>
      <c r="JIY3" s="62"/>
      <c r="JIZ3" s="62"/>
      <c r="JJA3" s="62"/>
      <c r="JJB3" s="62"/>
      <c r="JJC3" s="62"/>
      <c r="JJD3" s="62"/>
      <c r="JJE3" s="62"/>
      <c r="JJF3" s="62"/>
      <c r="JJG3" s="62"/>
      <c r="JJH3" s="62"/>
      <c r="JJI3" s="62"/>
      <c r="JJJ3" s="62"/>
      <c r="JJK3" s="62"/>
      <c r="JJL3" s="62"/>
      <c r="JJM3" s="62"/>
      <c r="JJN3" s="62"/>
      <c r="JJO3" s="62"/>
      <c r="JJP3" s="62"/>
      <c r="JJQ3" s="62"/>
      <c r="JJR3" s="62"/>
      <c r="JJS3" s="62"/>
      <c r="JJT3" s="62"/>
      <c r="JJU3" s="62"/>
      <c r="JJV3" s="62"/>
      <c r="JJW3" s="62"/>
      <c r="JJX3" s="62"/>
      <c r="JJY3" s="62"/>
      <c r="JJZ3" s="62"/>
      <c r="JKA3" s="62"/>
      <c r="JKB3" s="62"/>
      <c r="JKC3" s="62"/>
      <c r="JKD3" s="62"/>
      <c r="JKE3" s="62"/>
      <c r="JKF3" s="62"/>
      <c r="JKG3" s="62"/>
      <c r="JKH3" s="62"/>
      <c r="JKI3" s="62"/>
      <c r="JKJ3" s="62"/>
      <c r="JKK3" s="62"/>
      <c r="JKL3" s="62"/>
      <c r="JKM3" s="62"/>
      <c r="JKN3" s="62"/>
      <c r="JKO3" s="62"/>
      <c r="JKP3" s="62"/>
      <c r="JKQ3" s="62"/>
      <c r="JKR3" s="62"/>
      <c r="JKS3" s="62"/>
      <c r="JKT3" s="62"/>
      <c r="JKU3" s="62"/>
      <c r="JKV3" s="62"/>
      <c r="JKW3" s="62"/>
      <c r="JKX3" s="62"/>
      <c r="JKY3" s="62"/>
      <c r="JKZ3" s="62"/>
      <c r="JLA3" s="62"/>
      <c r="JLB3" s="62"/>
      <c r="JLC3" s="62"/>
      <c r="JLD3" s="62"/>
      <c r="JLE3" s="62"/>
      <c r="JLF3" s="62"/>
      <c r="JLG3" s="62"/>
      <c r="JLH3" s="62"/>
      <c r="JLI3" s="62"/>
      <c r="JLJ3" s="62"/>
      <c r="JLK3" s="62"/>
      <c r="JLL3" s="62"/>
      <c r="JLM3" s="62"/>
      <c r="JLN3" s="62"/>
      <c r="JLO3" s="62"/>
      <c r="JLP3" s="62"/>
      <c r="JLQ3" s="62"/>
      <c r="JLR3" s="62"/>
      <c r="JLS3" s="62"/>
      <c r="JLT3" s="62"/>
      <c r="JLU3" s="62"/>
      <c r="JLV3" s="62"/>
      <c r="JLW3" s="62"/>
      <c r="JLX3" s="62"/>
      <c r="JLY3" s="62"/>
      <c r="JLZ3" s="62"/>
      <c r="JMA3" s="62"/>
      <c r="JMB3" s="62"/>
      <c r="JMC3" s="62"/>
      <c r="JMD3" s="62"/>
      <c r="JME3" s="62"/>
      <c r="JMF3" s="62"/>
      <c r="JMG3" s="62"/>
      <c r="JMH3" s="62"/>
      <c r="JMI3" s="62"/>
      <c r="JMJ3" s="62"/>
      <c r="JMK3" s="62"/>
      <c r="JML3" s="62"/>
      <c r="JMM3" s="62"/>
      <c r="JMN3" s="62"/>
      <c r="JMO3" s="62"/>
      <c r="JMP3" s="62"/>
      <c r="JMQ3" s="62"/>
      <c r="JMR3" s="62"/>
      <c r="JMS3" s="62"/>
      <c r="JMT3" s="62"/>
      <c r="JMU3" s="62"/>
      <c r="JMV3" s="62"/>
      <c r="JMW3" s="62"/>
      <c r="JMX3" s="62"/>
      <c r="JMY3" s="62"/>
      <c r="JMZ3" s="62"/>
      <c r="JNA3" s="62"/>
      <c r="JNB3" s="62"/>
      <c r="JNC3" s="62"/>
      <c r="JND3" s="62"/>
      <c r="JNE3" s="62"/>
      <c r="JNF3" s="62"/>
      <c r="JNG3" s="62"/>
      <c r="JNH3" s="62"/>
      <c r="JNI3" s="62"/>
      <c r="JNJ3" s="62"/>
      <c r="JNK3" s="62"/>
      <c r="JNL3" s="62"/>
      <c r="JNM3" s="62"/>
      <c r="JNN3" s="62"/>
      <c r="JNO3" s="62"/>
      <c r="JNP3" s="62"/>
      <c r="JNQ3" s="62"/>
      <c r="JNR3" s="62"/>
      <c r="JNS3" s="62"/>
      <c r="JNT3" s="62"/>
      <c r="JNU3" s="62"/>
      <c r="JNV3" s="62"/>
      <c r="JNW3" s="62"/>
      <c r="JNX3" s="62"/>
      <c r="JNY3" s="62"/>
      <c r="JNZ3" s="62"/>
      <c r="JOA3" s="62"/>
      <c r="JOB3" s="62"/>
      <c r="JOC3" s="62"/>
      <c r="JOD3" s="62"/>
      <c r="JOE3" s="62"/>
      <c r="JOF3" s="62"/>
      <c r="JOG3" s="62"/>
      <c r="JOH3" s="62"/>
      <c r="JOI3" s="62"/>
      <c r="JOJ3" s="62"/>
      <c r="JOK3" s="62"/>
      <c r="JOL3" s="62"/>
      <c r="JOM3" s="62"/>
      <c r="JON3" s="62"/>
      <c r="JOO3" s="62"/>
      <c r="JOP3" s="62"/>
      <c r="JOQ3" s="62"/>
      <c r="JOR3" s="62"/>
      <c r="JOS3" s="62"/>
      <c r="JOT3" s="62"/>
      <c r="JOU3" s="62"/>
      <c r="JOV3" s="62"/>
      <c r="JOW3" s="62"/>
      <c r="JOX3" s="62"/>
      <c r="JOY3" s="62"/>
      <c r="JOZ3" s="62"/>
      <c r="JPA3" s="62"/>
      <c r="JPB3" s="62"/>
      <c r="JPC3" s="62"/>
      <c r="JPD3" s="62"/>
      <c r="JPE3" s="62"/>
      <c r="JPF3" s="62"/>
      <c r="JPG3" s="62"/>
      <c r="JPH3" s="62"/>
      <c r="JPI3" s="62"/>
      <c r="JPJ3" s="62"/>
      <c r="JPK3" s="62"/>
      <c r="JPL3" s="62"/>
      <c r="JPM3" s="62"/>
      <c r="JPN3" s="62"/>
      <c r="JPO3" s="62"/>
      <c r="JPP3" s="62"/>
      <c r="JPQ3" s="62"/>
      <c r="JPR3" s="62"/>
      <c r="JPS3" s="62"/>
      <c r="JPT3" s="62"/>
      <c r="JPU3" s="62"/>
      <c r="JPV3" s="62"/>
      <c r="JPW3" s="62"/>
      <c r="JPX3" s="62"/>
      <c r="JPY3" s="62"/>
      <c r="JPZ3" s="62"/>
      <c r="JQA3" s="62"/>
      <c r="JQB3" s="62"/>
      <c r="JQC3" s="62"/>
      <c r="JQD3" s="62"/>
      <c r="JQE3" s="62"/>
      <c r="JQF3" s="62"/>
      <c r="JQG3" s="62"/>
      <c r="JQH3" s="62"/>
      <c r="JQI3" s="62"/>
      <c r="JQJ3" s="62"/>
      <c r="JQK3" s="62"/>
      <c r="JQL3" s="62"/>
      <c r="JQM3" s="62"/>
      <c r="JQN3" s="62"/>
      <c r="JQO3" s="62"/>
      <c r="JQP3" s="62"/>
      <c r="JQQ3" s="62"/>
      <c r="JQR3" s="62"/>
      <c r="JQS3" s="62"/>
      <c r="JQT3" s="62"/>
      <c r="JQU3" s="62"/>
      <c r="JQV3" s="62"/>
      <c r="JQW3" s="62"/>
      <c r="JQX3" s="62"/>
      <c r="JQY3" s="62"/>
      <c r="JQZ3" s="62"/>
      <c r="JRA3" s="62"/>
      <c r="JRB3" s="62"/>
      <c r="JRC3" s="62"/>
      <c r="JRD3" s="62"/>
      <c r="JRE3" s="62"/>
      <c r="JRF3" s="62"/>
      <c r="JRG3" s="62"/>
      <c r="JRH3" s="62"/>
      <c r="JRI3" s="62"/>
      <c r="JRJ3" s="62"/>
      <c r="JRK3" s="62"/>
      <c r="JRL3" s="62"/>
      <c r="JRM3" s="62"/>
      <c r="JRN3" s="62"/>
      <c r="JRO3" s="62"/>
      <c r="JRP3" s="62"/>
      <c r="JRQ3" s="62"/>
      <c r="JRR3" s="62"/>
      <c r="JRS3" s="62"/>
      <c r="JRT3" s="62"/>
      <c r="JRU3" s="62"/>
      <c r="JRV3" s="62"/>
      <c r="JRW3" s="62"/>
      <c r="JRX3" s="62"/>
      <c r="JRY3" s="62"/>
      <c r="JRZ3" s="62"/>
      <c r="JSA3" s="62"/>
      <c r="JSB3" s="62"/>
      <c r="JSC3" s="62"/>
      <c r="JSD3" s="62"/>
      <c r="JSE3" s="62"/>
      <c r="JSF3" s="62"/>
      <c r="JSG3" s="62"/>
      <c r="JSH3" s="62"/>
      <c r="JSI3" s="62"/>
      <c r="JSJ3" s="62"/>
      <c r="JSK3" s="62"/>
      <c r="JSL3" s="62"/>
      <c r="JSM3" s="62"/>
      <c r="JSN3" s="62"/>
      <c r="JSO3" s="62"/>
      <c r="JSP3" s="62"/>
      <c r="JSQ3" s="62"/>
      <c r="JSR3" s="62"/>
      <c r="JSS3" s="62"/>
      <c r="JST3" s="62"/>
      <c r="JSU3" s="62"/>
      <c r="JSV3" s="62"/>
      <c r="JSW3" s="62"/>
      <c r="JSX3" s="62"/>
      <c r="JSY3" s="62"/>
      <c r="JSZ3" s="62"/>
      <c r="JTA3" s="62"/>
      <c r="JTB3" s="62"/>
      <c r="JTC3" s="62"/>
      <c r="JTD3" s="62"/>
      <c r="JTE3" s="62"/>
      <c r="JTF3" s="62"/>
      <c r="JTG3" s="62"/>
      <c r="JTH3" s="62"/>
      <c r="JTI3" s="62"/>
      <c r="JTJ3" s="62"/>
      <c r="JTK3" s="62"/>
      <c r="JTL3" s="62"/>
      <c r="JTM3" s="62"/>
      <c r="JTN3" s="62"/>
      <c r="JTO3" s="62"/>
      <c r="JTP3" s="62"/>
      <c r="JTQ3" s="62"/>
      <c r="JTR3" s="62"/>
      <c r="JTS3" s="62"/>
      <c r="JTT3" s="62"/>
      <c r="JTU3" s="62"/>
      <c r="JTV3" s="62"/>
      <c r="JTW3" s="62"/>
      <c r="JTX3" s="62"/>
      <c r="JTY3" s="62"/>
      <c r="JTZ3" s="62"/>
      <c r="JUA3" s="62"/>
      <c r="JUB3" s="62"/>
      <c r="JUC3" s="62"/>
      <c r="JUD3" s="62"/>
      <c r="JUE3" s="62"/>
      <c r="JUF3" s="62"/>
      <c r="JUG3" s="62"/>
      <c r="JUH3" s="62"/>
      <c r="JUI3" s="62"/>
      <c r="JUJ3" s="62"/>
      <c r="JUK3" s="62"/>
      <c r="JUL3" s="62"/>
      <c r="JUM3" s="62"/>
      <c r="JUN3" s="62"/>
      <c r="JUO3" s="62"/>
      <c r="JUP3" s="62"/>
      <c r="JUQ3" s="62"/>
      <c r="JUR3" s="62"/>
      <c r="JUS3" s="62"/>
      <c r="JUT3" s="62"/>
      <c r="JUU3" s="62"/>
      <c r="JUV3" s="62"/>
      <c r="JUW3" s="62"/>
      <c r="JUX3" s="62"/>
      <c r="JUY3" s="62"/>
      <c r="JUZ3" s="62"/>
      <c r="JVA3" s="62"/>
      <c r="JVB3" s="62"/>
      <c r="JVC3" s="62"/>
      <c r="JVD3" s="62"/>
      <c r="JVE3" s="62"/>
      <c r="JVF3" s="62"/>
      <c r="JVG3" s="62"/>
      <c r="JVH3" s="62"/>
      <c r="JVI3" s="62"/>
      <c r="JVJ3" s="62"/>
      <c r="JVK3" s="62"/>
      <c r="JVL3" s="62"/>
      <c r="JVM3" s="62"/>
      <c r="JVN3" s="62"/>
      <c r="JVO3" s="62"/>
      <c r="JVP3" s="62"/>
      <c r="JVQ3" s="62"/>
      <c r="JVR3" s="62"/>
      <c r="JVS3" s="62"/>
      <c r="JVT3" s="62"/>
      <c r="JVU3" s="62"/>
      <c r="JVV3" s="62"/>
      <c r="JVW3" s="62"/>
      <c r="JVX3" s="62"/>
      <c r="JVY3" s="62"/>
      <c r="JVZ3" s="62"/>
      <c r="JWA3" s="62"/>
      <c r="JWB3" s="62"/>
      <c r="JWC3" s="62"/>
      <c r="JWD3" s="62"/>
      <c r="JWE3" s="62"/>
      <c r="JWF3" s="62"/>
      <c r="JWG3" s="62"/>
      <c r="JWH3" s="62"/>
      <c r="JWI3" s="62"/>
      <c r="JWJ3" s="62"/>
      <c r="JWK3" s="62"/>
      <c r="JWL3" s="62"/>
      <c r="JWM3" s="62"/>
      <c r="JWN3" s="62"/>
      <c r="JWO3" s="62"/>
      <c r="JWP3" s="62"/>
      <c r="JWQ3" s="62"/>
      <c r="JWR3" s="62"/>
      <c r="JWS3" s="62"/>
      <c r="JWT3" s="62"/>
      <c r="JWU3" s="62"/>
      <c r="JWV3" s="62"/>
      <c r="JWW3" s="62"/>
      <c r="JWX3" s="62"/>
      <c r="JWY3" s="62"/>
      <c r="JWZ3" s="62"/>
      <c r="JXA3" s="62"/>
      <c r="JXB3" s="62"/>
      <c r="JXC3" s="62"/>
      <c r="JXD3" s="62"/>
      <c r="JXE3" s="62"/>
      <c r="JXF3" s="62"/>
      <c r="JXG3" s="62"/>
      <c r="JXH3" s="62"/>
      <c r="JXI3" s="62"/>
      <c r="JXJ3" s="62"/>
      <c r="JXK3" s="62"/>
      <c r="JXL3" s="62"/>
      <c r="JXM3" s="62"/>
      <c r="JXN3" s="62"/>
      <c r="JXO3" s="62"/>
      <c r="JXP3" s="62"/>
      <c r="JXQ3" s="62"/>
      <c r="JXR3" s="62"/>
      <c r="JXS3" s="62"/>
      <c r="JXT3" s="62"/>
      <c r="JXU3" s="62"/>
      <c r="JXV3" s="62"/>
      <c r="JXW3" s="62"/>
      <c r="JXX3" s="62"/>
      <c r="JXY3" s="62"/>
      <c r="JXZ3" s="62"/>
      <c r="JYA3" s="62"/>
      <c r="JYB3" s="62"/>
      <c r="JYC3" s="62"/>
      <c r="JYD3" s="62"/>
      <c r="JYE3" s="62"/>
      <c r="JYF3" s="62"/>
      <c r="JYG3" s="62"/>
      <c r="JYH3" s="62"/>
      <c r="JYI3" s="62"/>
      <c r="JYJ3" s="62"/>
      <c r="JYK3" s="62"/>
      <c r="JYL3" s="62"/>
      <c r="JYM3" s="62"/>
      <c r="JYN3" s="62"/>
      <c r="JYO3" s="62"/>
      <c r="JYP3" s="62"/>
      <c r="JYQ3" s="62"/>
      <c r="JYR3" s="62"/>
      <c r="JYS3" s="62"/>
      <c r="JYT3" s="62"/>
      <c r="JYU3" s="62"/>
      <c r="JYV3" s="62"/>
      <c r="JYW3" s="62"/>
      <c r="JYX3" s="62"/>
      <c r="JYY3" s="62"/>
      <c r="JYZ3" s="62"/>
      <c r="JZA3" s="62"/>
      <c r="JZB3" s="62"/>
      <c r="JZC3" s="62"/>
      <c r="JZD3" s="62"/>
      <c r="JZE3" s="62"/>
      <c r="JZF3" s="62"/>
      <c r="JZG3" s="62"/>
      <c r="JZH3" s="62"/>
      <c r="JZI3" s="62"/>
      <c r="JZJ3" s="62"/>
      <c r="JZK3" s="62"/>
      <c r="JZL3" s="62"/>
      <c r="JZM3" s="62"/>
      <c r="JZN3" s="62"/>
      <c r="JZO3" s="62"/>
      <c r="JZP3" s="62"/>
      <c r="JZQ3" s="62"/>
      <c r="JZR3" s="62"/>
      <c r="JZS3" s="62"/>
      <c r="JZT3" s="62"/>
      <c r="JZU3" s="62"/>
      <c r="JZV3" s="62"/>
      <c r="JZW3" s="62"/>
      <c r="JZX3" s="62"/>
      <c r="JZY3" s="62"/>
      <c r="JZZ3" s="62"/>
      <c r="KAA3" s="62"/>
      <c r="KAB3" s="62"/>
      <c r="KAC3" s="62"/>
      <c r="KAD3" s="62"/>
      <c r="KAE3" s="62"/>
      <c r="KAF3" s="62"/>
      <c r="KAG3" s="62"/>
      <c r="KAH3" s="62"/>
      <c r="KAI3" s="62"/>
      <c r="KAJ3" s="62"/>
      <c r="KAK3" s="62"/>
      <c r="KAL3" s="62"/>
      <c r="KAM3" s="62"/>
      <c r="KAN3" s="62"/>
      <c r="KAO3" s="62"/>
      <c r="KAP3" s="62"/>
      <c r="KAQ3" s="62"/>
      <c r="KAR3" s="62"/>
      <c r="KAS3" s="62"/>
      <c r="KAT3" s="62"/>
      <c r="KAU3" s="62"/>
      <c r="KAV3" s="62"/>
      <c r="KAW3" s="62"/>
      <c r="KAX3" s="62"/>
      <c r="KAY3" s="62"/>
      <c r="KAZ3" s="62"/>
      <c r="KBA3" s="62"/>
      <c r="KBB3" s="62"/>
      <c r="KBC3" s="62"/>
      <c r="KBD3" s="62"/>
      <c r="KBE3" s="62"/>
      <c r="KBF3" s="62"/>
      <c r="KBG3" s="62"/>
      <c r="KBH3" s="62"/>
      <c r="KBI3" s="62"/>
      <c r="KBJ3" s="62"/>
      <c r="KBK3" s="62"/>
      <c r="KBL3" s="62"/>
      <c r="KBM3" s="62"/>
      <c r="KBN3" s="62"/>
      <c r="KBO3" s="62"/>
      <c r="KBP3" s="62"/>
      <c r="KBQ3" s="62"/>
      <c r="KBR3" s="62"/>
      <c r="KBS3" s="62"/>
      <c r="KBT3" s="62"/>
      <c r="KBU3" s="62"/>
      <c r="KBV3" s="62"/>
      <c r="KBW3" s="62"/>
      <c r="KBX3" s="62"/>
      <c r="KBY3" s="62"/>
      <c r="KBZ3" s="62"/>
      <c r="KCA3" s="62"/>
      <c r="KCB3" s="62"/>
      <c r="KCC3" s="62"/>
      <c r="KCD3" s="62"/>
      <c r="KCE3" s="62"/>
      <c r="KCF3" s="62"/>
      <c r="KCG3" s="62"/>
      <c r="KCH3" s="62"/>
      <c r="KCI3" s="62"/>
      <c r="KCJ3" s="62"/>
      <c r="KCK3" s="62"/>
      <c r="KCL3" s="62"/>
      <c r="KCM3" s="62"/>
      <c r="KCN3" s="62"/>
      <c r="KCO3" s="62"/>
      <c r="KCP3" s="62"/>
      <c r="KCQ3" s="62"/>
      <c r="KCR3" s="62"/>
      <c r="KCS3" s="62"/>
      <c r="KCT3" s="62"/>
      <c r="KCU3" s="62"/>
      <c r="KCV3" s="62"/>
      <c r="KCW3" s="62"/>
      <c r="KCX3" s="62"/>
      <c r="KCY3" s="62"/>
      <c r="KCZ3" s="62"/>
      <c r="KDA3" s="62"/>
      <c r="KDB3" s="62"/>
      <c r="KDC3" s="62"/>
      <c r="KDD3" s="62"/>
      <c r="KDE3" s="62"/>
      <c r="KDF3" s="62"/>
      <c r="KDG3" s="62"/>
      <c r="KDH3" s="62"/>
      <c r="KDI3" s="62"/>
      <c r="KDJ3" s="62"/>
      <c r="KDK3" s="62"/>
      <c r="KDL3" s="62"/>
      <c r="KDM3" s="62"/>
      <c r="KDN3" s="62"/>
      <c r="KDO3" s="62"/>
      <c r="KDP3" s="62"/>
      <c r="KDQ3" s="62"/>
      <c r="KDR3" s="62"/>
      <c r="KDS3" s="62"/>
      <c r="KDT3" s="62"/>
      <c r="KDU3" s="62"/>
      <c r="KDV3" s="62"/>
      <c r="KDW3" s="62"/>
      <c r="KDX3" s="62"/>
      <c r="KDY3" s="62"/>
      <c r="KDZ3" s="62"/>
      <c r="KEA3" s="62"/>
      <c r="KEB3" s="62"/>
      <c r="KEC3" s="62"/>
      <c r="KED3" s="62"/>
      <c r="KEE3" s="62"/>
      <c r="KEF3" s="62"/>
      <c r="KEG3" s="62"/>
      <c r="KEH3" s="62"/>
      <c r="KEI3" s="62"/>
      <c r="KEJ3" s="62"/>
      <c r="KEK3" s="62"/>
      <c r="KEL3" s="62"/>
      <c r="KEM3" s="62"/>
      <c r="KEN3" s="62"/>
      <c r="KEO3" s="62"/>
      <c r="KEP3" s="62"/>
      <c r="KEQ3" s="62"/>
      <c r="KER3" s="62"/>
      <c r="KES3" s="62"/>
      <c r="KET3" s="62"/>
      <c r="KEU3" s="62"/>
      <c r="KEV3" s="62"/>
      <c r="KEW3" s="62"/>
      <c r="KEX3" s="62"/>
      <c r="KEY3" s="62"/>
      <c r="KEZ3" s="62"/>
      <c r="KFA3" s="62"/>
      <c r="KFB3" s="62"/>
      <c r="KFC3" s="62"/>
      <c r="KFD3" s="62"/>
      <c r="KFE3" s="62"/>
      <c r="KFF3" s="62"/>
      <c r="KFG3" s="62"/>
      <c r="KFH3" s="62"/>
      <c r="KFI3" s="62"/>
      <c r="KFJ3" s="62"/>
      <c r="KFK3" s="62"/>
      <c r="KFL3" s="62"/>
      <c r="KFM3" s="62"/>
      <c r="KFN3" s="62"/>
      <c r="KFO3" s="62"/>
      <c r="KFP3" s="62"/>
      <c r="KFQ3" s="62"/>
      <c r="KFR3" s="62"/>
      <c r="KFS3" s="62"/>
      <c r="KFT3" s="62"/>
      <c r="KFU3" s="62"/>
      <c r="KFV3" s="62"/>
      <c r="KFW3" s="62"/>
      <c r="KFX3" s="62"/>
      <c r="KFY3" s="62"/>
      <c r="KFZ3" s="62"/>
      <c r="KGA3" s="62"/>
      <c r="KGB3" s="62"/>
      <c r="KGC3" s="62"/>
      <c r="KGD3" s="62"/>
      <c r="KGE3" s="62"/>
      <c r="KGF3" s="62"/>
      <c r="KGG3" s="62"/>
      <c r="KGH3" s="62"/>
      <c r="KGI3" s="62"/>
      <c r="KGJ3" s="62"/>
      <c r="KGK3" s="62"/>
      <c r="KGL3" s="62"/>
      <c r="KGM3" s="62"/>
      <c r="KGN3" s="62"/>
      <c r="KGO3" s="62"/>
      <c r="KGP3" s="62"/>
      <c r="KGQ3" s="62"/>
      <c r="KGR3" s="62"/>
      <c r="KGS3" s="62"/>
      <c r="KGT3" s="62"/>
      <c r="KGU3" s="62"/>
      <c r="KGV3" s="62"/>
      <c r="KGW3" s="62"/>
      <c r="KGX3" s="62"/>
      <c r="KGY3" s="62"/>
      <c r="KGZ3" s="62"/>
      <c r="KHA3" s="62"/>
      <c r="KHB3" s="62"/>
      <c r="KHC3" s="62"/>
      <c r="KHD3" s="62"/>
      <c r="KHE3" s="62"/>
      <c r="KHF3" s="62"/>
      <c r="KHG3" s="62"/>
      <c r="KHH3" s="62"/>
      <c r="KHI3" s="62"/>
      <c r="KHJ3" s="62"/>
      <c r="KHK3" s="62"/>
      <c r="KHL3" s="62"/>
      <c r="KHM3" s="62"/>
      <c r="KHN3" s="62"/>
      <c r="KHO3" s="62"/>
      <c r="KHP3" s="62"/>
      <c r="KHQ3" s="62"/>
      <c r="KHR3" s="62"/>
      <c r="KHS3" s="62"/>
      <c r="KHT3" s="62"/>
      <c r="KHU3" s="62"/>
      <c r="KHV3" s="62"/>
      <c r="KHW3" s="62"/>
      <c r="KHX3" s="62"/>
      <c r="KHY3" s="62"/>
      <c r="KHZ3" s="62"/>
      <c r="KIA3" s="62"/>
      <c r="KIB3" s="62"/>
      <c r="KIC3" s="62"/>
      <c r="KID3" s="62"/>
      <c r="KIE3" s="62"/>
      <c r="KIF3" s="62"/>
      <c r="KIG3" s="62"/>
      <c r="KIH3" s="62"/>
      <c r="KII3" s="62"/>
      <c r="KIJ3" s="62"/>
      <c r="KIK3" s="62"/>
      <c r="KIL3" s="62"/>
      <c r="KIM3" s="62"/>
      <c r="KIN3" s="62"/>
      <c r="KIO3" s="62"/>
      <c r="KIP3" s="62"/>
      <c r="KIQ3" s="62"/>
      <c r="KIR3" s="62"/>
      <c r="KIS3" s="62"/>
      <c r="KIT3" s="62"/>
      <c r="KIU3" s="62"/>
      <c r="KIV3" s="62"/>
      <c r="KIW3" s="62"/>
      <c r="KIX3" s="62"/>
      <c r="KIY3" s="62"/>
      <c r="KIZ3" s="62"/>
      <c r="KJA3" s="62"/>
      <c r="KJB3" s="62"/>
      <c r="KJC3" s="62"/>
      <c r="KJD3" s="62"/>
      <c r="KJE3" s="62"/>
      <c r="KJF3" s="62"/>
      <c r="KJG3" s="62"/>
      <c r="KJH3" s="62"/>
      <c r="KJI3" s="62"/>
      <c r="KJJ3" s="62"/>
      <c r="KJK3" s="62"/>
      <c r="KJL3" s="62"/>
      <c r="KJM3" s="62"/>
      <c r="KJN3" s="62"/>
      <c r="KJO3" s="62"/>
      <c r="KJP3" s="62"/>
      <c r="KJQ3" s="62"/>
      <c r="KJR3" s="62"/>
      <c r="KJS3" s="62"/>
      <c r="KJT3" s="62"/>
      <c r="KJU3" s="62"/>
      <c r="KJV3" s="62"/>
      <c r="KJW3" s="62"/>
      <c r="KJX3" s="62"/>
      <c r="KJY3" s="62"/>
      <c r="KJZ3" s="62"/>
      <c r="KKA3" s="62"/>
      <c r="KKB3" s="62"/>
      <c r="KKC3" s="62"/>
      <c r="KKD3" s="62"/>
      <c r="KKE3" s="62"/>
      <c r="KKF3" s="62"/>
      <c r="KKG3" s="62"/>
      <c r="KKH3" s="62"/>
      <c r="KKI3" s="62"/>
      <c r="KKJ3" s="62"/>
      <c r="KKK3" s="62"/>
      <c r="KKL3" s="62"/>
      <c r="KKM3" s="62"/>
      <c r="KKN3" s="62"/>
      <c r="KKO3" s="62"/>
      <c r="KKP3" s="62"/>
      <c r="KKQ3" s="62"/>
      <c r="KKR3" s="62"/>
      <c r="KKS3" s="62"/>
      <c r="KKT3" s="62"/>
      <c r="KKU3" s="62"/>
      <c r="KKV3" s="62"/>
      <c r="KKW3" s="62"/>
      <c r="KKX3" s="62"/>
      <c r="KKY3" s="62"/>
      <c r="KKZ3" s="62"/>
      <c r="KLA3" s="62"/>
      <c r="KLB3" s="62"/>
      <c r="KLC3" s="62"/>
      <c r="KLD3" s="62"/>
      <c r="KLE3" s="62"/>
      <c r="KLF3" s="62"/>
      <c r="KLG3" s="62"/>
      <c r="KLH3" s="62"/>
      <c r="KLI3" s="62"/>
      <c r="KLJ3" s="62"/>
      <c r="KLK3" s="62"/>
      <c r="KLL3" s="62"/>
      <c r="KLM3" s="62"/>
      <c r="KLN3" s="62"/>
      <c r="KLO3" s="62"/>
      <c r="KLP3" s="62"/>
      <c r="KLQ3" s="62"/>
      <c r="KLR3" s="62"/>
      <c r="KLS3" s="62"/>
      <c r="KLT3" s="62"/>
      <c r="KLU3" s="62"/>
      <c r="KLV3" s="62"/>
      <c r="KLW3" s="62"/>
      <c r="KLX3" s="62"/>
      <c r="KLY3" s="62"/>
      <c r="KLZ3" s="62"/>
      <c r="KMA3" s="62"/>
      <c r="KMB3" s="62"/>
      <c r="KMC3" s="62"/>
      <c r="KMD3" s="62"/>
      <c r="KME3" s="62"/>
      <c r="KMF3" s="62"/>
      <c r="KMG3" s="62"/>
      <c r="KMH3" s="62"/>
      <c r="KMI3" s="62"/>
      <c r="KMJ3" s="62"/>
      <c r="KMK3" s="62"/>
      <c r="KML3" s="62"/>
      <c r="KMM3" s="62"/>
      <c r="KMN3" s="62"/>
      <c r="KMO3" s="62"/>
      <c r="KMP3" s="62"/>
      <c r="KMQ3" s="62"/>
      <c r="KMR3" s="62"/>
      <c r="KMS3" s="62"/>
      <c r="KMT3" s="62"/>
      <c r="KMU3" s="62"/>
      <c r="KMV3" s="62"/>
      <c r="KMW3" s="62"/>
      <c r="KMX3" s="62"/>
      <c r="KMY3" s="62"/>
      <c r="KMZ3" s="62"/>
      <c r="KNA3" s="62"/>
      <c r="KNB3" s="62"/>
      <c r="KNC3" s="62"/>
      <c r="KND3" s="62"/>
      <c r="KNE3" s="62"/>
      <c r="KNF3" s="62"/>
      <c r="KNG3" s="62"/>
      <c r="KNH3" s="62"/>
      <c r="KNI3" s="62"/>
      <c r="KNJ3" s="62"/>
      <c r="KNK3" s="62"/>
      <c r="KNL3" s="62"/>
      <c r="KNM3" s="62"/>
      <c r="KNN3" s="62"/>
      <c r="KNO3" s="62"/>
      <c r="KNP3" s="62"/>
      <c r="KNQ3" s="62"/>
      <c r="KNR3" s="62"/>
      <c r="KNS3" s="62"/>
      <c r="KNT3" s="62"/>
      <c r="KNU3" s="62"/>
      <c r="KNV3" s="62"/>
      <c r="KNW3" s="62"/>
      <c r="KNX3" s="62"/>
      <c r="KNY3" s="62"/>
      <c r="KNZ3" s="62"/>
      <c r="KOA3" s="62"/>
      <c r="KOB3" s="62"/>
      <c r="KOC3" s="62"/>
      <c r="KOD3" s="62"/>
      <c r="KOE3" s="62"/>
      <c r="KOF3" s="62"/>
      <c r="KOG3" s="62"/>
      <c r="KOH3" s="62"/>
      <c r="KOI3" s="62"/>
      <c r="KOJ3" s="62"/>
      <c r="KOK3" s="62"/>
      <c r="KOL3" s="62"/>
      <c r="KOM3" s="62"/>
      <c r="KON3" s="62"/>
      <c r="KOO3" s="62"/>
      <c r="KOP3" s="62"/>
      <c r="KOQ3" s="62"/>
      <c r="KOR3" s="62"/>
      <c r="KOS3" s="62"/>
      <c r="KOT3" s="62"/>
      <c r="KOU3" s="62"/>
      <c r="KOV3" s="62"/>
      <c r="KOW3" s="62"/>
      <c r="KOX3" s="62"/>
      <c r="KOY3" s="62"/>
      <c r="KOZ3" s="62"/>
      <c r="KPA3" s="62"/>
      <c r="KPB3" s="62"/>
      <c r="KPC3" s="62"/>
      <c r="KPD3" s="62"/>
      <c r="KPE3" s="62"/>
      <c r="KPF3" s="62"/>
      <c r="KPG3" s="62"/>
      <c r="KPH3" s="62"/>
      <c r="KPI3" s="62"/>
      <c r="KPJ3" s="62"/>
      <c r="KPK3" s="62"/>
      <c r="KPL3" s="62"/>
      <c r="KPM3" s="62"/>
      <c r="KPN3" s="62"/>
      <c r="KPO3" s="62"/>
      <c r="KPP3" s="62"/>
      <c r="KPQ3" s="62"/>
      <c r="KPR3" s="62"/>
      <c r="KPS3" s="62"/>
      <c r="KPT3" s="62"/>
      <c r="KPU3" s="62"/>
      <c r="KPV3" s="62"/>
      <c r="KPW3" s="62"/>
      <c r="KPX3" s="62"/>
      <c r="KPY3" s="62"/>
      <c r="KPZ3" s="62"/>
      <c r="KQA3" s="62"/>
      <c r="KQB3" s="62"/>
      <c r="KQC3" s="62"/>
      <c r="KQD3" s="62"/>
      <c r="KQE3" s="62"/>
      <c r="KQF3" s="62"/>
      <c r="KQG3" s="62"/>
      <c r="KQH3" s="62"/>
      <c r="KQI3" s="62"/>
      <c r="KQJ3" s="62"/>
      <c r="KQK3" s="62"/>
      <c r="KQL3" s="62"/>
      <c r="KQM3" s="62"/>
      <c r="KQN3" s="62"/>
      <c r="KQO3" s="62"/>
      <c r="KQP3" s="62"/>
      <c r="KQQ3" s="62"/>
      <c r="KQR3" s="62"/>
      <c r="KQS3" s="62"/>
      <c r="KQT3" s="62"/>
      <c r="KQU3" s="62"/>
      <c r="KQV3" s="62"/>
      <c r="KQW3" s="62"/>
      <c r="KQX3" s="62"/>
      <c r="KQY3" s="62"/>
      <c r="KQZ3" s="62"/>
      <c r="KRA3" s="62"/>
      <c r="KRB3" s="62"/>
      <c r="KRC3" s="62"/>
      <c r="KRD3" s="62"/>
      <c r="KRE3" s="62"/>
      <c r="KRF3" s="62"/>
      <c r="KRG3" s="62"/>
      <c r="KRH3" s="62"/>
      <c r="KRI3" s="62"/>
      <c r="KRJ3" s="62"/>
      <c r="KRK3" s="62"/>
      <c r="KRL3" s="62"/>
      <c r="KRM3" s="62"/>
      <c r="KRN3" s="62"/>
      <c r="KRO3" s="62"/>
      <c r="KRP3" s="62"/>
      <c r="KRQ3" s="62"/>
      <c r="KRR3" s="62"/>
      <c r="KRS3" s="62"/>
      <c r="KRT3" s="62"/>
      <c r="KRU3" s="62"/>
      <c r="KRV3" s="62"/>
      <c r="KRW3" s="62"/>
      <c r="KRX3" s="62"/>
      <c r="KRY3" s="62"/>
      <c r="KRZ3" s="62"/>
      <c r="KSA3" s="62"/>
      <c r="KSB3" s="62"/>
      <c r="KSC3" s="62"/>
      <c r="KSD3" s="62"/>
      <c r="KSE3" s="62"/>
      <c r="KSF3" s="62"/>
      <c r="KSG3" s="62"/>
      <c r="KSH3" s="62"/>
      <c r="KSI3" s="62"/>
      <c r="KSJ3" s="62"/>
      <c r="KSK3" s="62"/>
      <c r="KSL3" s="62"/>
      <c r="KSM3" s="62"/>
      <c r="KSN3" s="62"/>
      <c r="KSO3" s="62"/>
      <c r="KSP3" s="62"/>
      <c r="KSQ3" s="62"/>
      <c r="KSR3" s="62"/>
      <c r="KSS3" s="62"/>
      <c r="KST3" s="62"/>
      <c r="KSU3" s="62"/>
      <c r="KSV3" s="62"/>
      <c r="KSW3" s="62"/>
      <c r="KSX3" s="62"/>
      <c r="KSY3" s="62"/>
      <c r="KSZ3" s="62"/>
      <c r="KTA3" s="62"/>
      <c r="KTB3" s="62"/>
      <c r="KTC3" s="62"/>
      <c r="KTD3" s="62"/>
      <c r="KTE3" s="62"/>
      <c r="KTF3" s="62"/>
      <c r="KTG3" s="62"/>
      <c r="KTH3" s="62"/>
      <c r="KTI3" s="62"/>
      <c r="KTJ3" s="62"/>
      <c r="KTK3" s="62"/>
      <c r="KTL3" s="62"/>
      <c r="KTM3" s="62"/>
      <c r="KTN3" s="62"/>
      <c r="KTO3" s="62"/>
      <c r="KTP3" s="62"/>
      <c r="KTQ3" s="62"/>
      <c r="KTR3" s="62"/>
      <c r="KTS3" s="62"/>
      <c r="KTT3" s="62"/>
      <c r="KTU3" s="62"/>
      <c r="KTV3" s="62"/>
      <c r="KTW3" s="62"/>
      <c r="KTX3" s="62"/>
      <c r="KTY3" s="62"/>
      <c r="KTZ3" s="62"/>
      <c r="KUA3" s="62"/>
      <c r="KUB3" s="62"/>
      <c r="KUC3" s="62"/>
      <c r="KUD3" s="62"/>
      <c r="KUE3" s="62"/>
      <c r="KUF3" s="62"/>
      <c r="KUG3" s="62"/>
      <c r="KUH3" s="62"/>
      <c r="KUI3" s="62"/>
      <c r="KUJ3" s="62"/>
      <c r="KUK3" s="62"/>
      <c r="KUL3" s="62"/>
      <c r="KUM3" s="62"/>
      <c r="KUN3" s="62"/>
      <c r="KUO3" s="62"/>
      <c r="KUP3" s="62"/>
      <c r="KUQ3" s="62"/>
      <c r="KUR3" s="62"/>
      <c r="KUS3" s="62"/>
      <c r="KUT3" s="62"/>
      <c r="KUU3" s="62"/>
      <c r="KUV3" s="62"/>
      <c r="KUW3" s="62"/>
      <c r="KUX3" s="62"/>
      <c r="KUY3" s="62"/>
      <c r="KUZ3" s="62"/>
      <c r="KVA3" s="62"/>
      <c r="KVB3" s="62"/>
      <c r="KVC3" s="62"/>
      <c r="KVD3" s="62"/>
      <c r="KVE3" s="62"/>
      <c r="KVF3" s="62"/>
      <c r="KVG3" s="62"/>
      <c r="KVH3" s="62"/>
      <c r="KVI3" s="62"/>
      <c r="KVJ3" s="62"/>
      <c r="KVK3" s="62"/>
      <c r="KVL3" s="62"/>
      <c r="KVM3" s="62"/>
      <c r="KVN3" s="62"/>
      <c r="KVO3" s="62"/>
      <c r="KVP3" s="62"/>
      <c r="KVQ3" s="62"/>
      <c r="KVR3" s="62"/>
      <c r="KVS3" s="62"/>
      <c r="KVT3" s="62"/>
      <c r="KVU3" s="62"/>
      <c r="KVV3" s="62"/>
      <c r="KVW3" s="62"/>
      <c r="KVX3" s="62"/>
      <c r="KVY3" s="62"/>
      <c r="KVZ3" s="62"/>
      <c r="KWA3" s="62"/>
      <c r="KWB3" s="62"/>
      <c r="KWC3" s="62"/>
      <c r="KWD3" s="62"/>
      <c r="KWE3" s="62"/>
      <c r="KWF3" s="62"/>
      <c r="KWG3" s="62"/>
      <c r="KWH3" s="62"/>
      <c r="KWI3" s="62"/>
      <c r="KWJ3" s="62"/>
      <c r="KWK3" s="62"/>
      <c r="KWL3" s="62"/>
      <c r="KWM3" s="62"/>
      <c r="KWN3" s="62"/>
      <c r="KWO3" s="62"/>
      <c r="KWP3" s="62"/>
      <c r="KWQ3" s="62"/>
      <c r="KWR3" s="62"/>
      <c r="KWS3" s="62"/>
      <c r="KWT3" s="62"/>
      <c r="KWU3" s="62"/>
      <c r="KWV3" s="62"/>
      <c r="KWW3" s="62"/>
      <c r="KWX3" s="62"/>
      <c r="KWY3" s="62"/>
      <c r="KWZ3" s="62"/>
      <c r="KXA3" s="62"/>
      <c r="KXB3" s="62"/>
      <c r="KXC3" s="62"/>
      <c r="KXD3" s="62"/>
      <c r="KXE3" s="62"/>
      <c r="KXF3" s="62"/>
      <c r="KXG3" s="62"/>
      <c r="KXH3" s="62"/>
      <c r="KXI3" s="62"/>
      <c r="KXJ3" s="62"/>
      <c r="KXK3" s="62"/>
      <c r="KXL3" s="62"/>
      <c r="KXM3" s="62"/>
      <c r="KXN3" s="62"/>
      <c r="KXO3" s="62"/>
      <c r="KXP3" s="62"/>
      <c r="KXQ3" s="62"/>
      <c r="KXR3" s="62"/>
      <c r="KXS3" s="62"/>
      <c r="KXT3" s="62"/>
      <c r="KXU3" s="62"/>
      <c r="KXV3" s="62"/>
      <c r="KXW3" s="62"/>
      <c r="KXX3" s="62"/>
      <c r="KXY3" s="62"/>
      <c r="KXZ3" s="62"/>
      <c r="KYA3" s="62"/>
      <c r="KYB3" s="62"/>
      <c r="KYC3" s="62"/>
      <c r="KYD3" s="62"/>
      <c r="KYE3" s="62"/>
      <c r="KYF3" s="62"/>
      <c r="KYG3" s="62"/>
      <c r="KYH3" s="62"/>
      <c r="KYI3" s="62"/>
      <c r="KYJ3" s="62"/>
      <c r="KYK3" s="62"/>
      <c r="KYL3" s="62"/>
      <c r="KYM3" s="62"/>
      <c r="KYN3" s="62"/>
      <c r="KYO3" s="62"/>
      <c r="KYP3" s="62"/>
      <c r="KYQ3" s="62"/>
      <c r="KYR3" s="62"/>
      <c r="KYS3" s="62"/>
      <c r="KYT3" s="62"/>
      <c r="KYU3" s="62"/>
      <c r="KYV3" s="62"/>
      <c r="KYW3" s="62"/>
      <c r="KYX3" s="62"/>
      <c r="KYY3" s="62"/>
      <c r="KYZ3" s="62"/>
      <c r="KZA3" s="62"/>
      <c r="KZB3" s="62"/>
      <c r="KZC3" s="62"/>
      <c r="KZD3" s="62"/>
      <c r="KZE3" s="62"/>
      <c r="KZF3" s="62"/>
      <c r="KZG3" s="62"/>
      <c r="KZH3" s="62"/>
      <c r="KZI3" s="62"/>
      <c r="KZJ3" s="62"/>
      <c r="KZK3" s="62"/>
      <c r="KZL3" s="62"/>
      <c r="KZM3" s="62"/>
      <c r="KZN3" s="62"/>
      <c r="KZO3" s="62"/>
      <c r="KZP3" s="62"/>
      <c r="KZQ3" s="62"/>
      <c r="KZR3" s="62"/>
      <c r="KZS3" s="62"/>
      <c r="KZT3" s="62"/>
      <c r="KZU3" s="62"/>
      <c r="KZV3" s="62"/>
      <c r="KZW3" s="62"/>
      <c r="KZX3" s="62"/>
      <c r="KZY3" s="62"/>
      <c r="KZZ3" s="62"/>
      <c r="LAA3" s="62"/>
      <c r="LAB3" s="62"/>
      <c r="LAC3" s="62"/>
      <c r="LAD3" s="62"/>
      <c r="LAE3" s="62"/>
      <c r="LAF3" s="62"/>
      <c r="LAG3" s="62"/>
      <c r="LAH3" s="62"/>
      <c r="LAI3" s="62"/>
      <c r="LAJ3" s="62"/>
      <c r="LAK3" s="62"/>
      <c r="LAL3" s="62"/>
      <c r="LAM3" s="62"/>
      <c r="LAN3" s="62"/>
      <c r="LAO3" s="62"/>
      <c r="LAP3" s="62"/>
      <c r="LAQ3" s="62"/>
      <c r="LAR3" s="62"/>
      <c r="LAS3" s="62"/>
      <c r="LAT3" s="62"/>
      <c r="LAU3" s="62"/>
      <c r="LAV3" s="62"/>
      <c r="LAW3" s="62"/>
      <c r="LAX3" s="62"/>
      <c r="LAY3" s="62"/>
      <c r="LAZ3" s="62"/>
      <c r="LBA3" s="62"/>
      <c r="LBB3" s="62"/>
      <c r="LBC3" s="62"/>
      <c r="LBD3" s="62"/>
      <c r="LBE3" s="62"/>
      <c r="LBF3" s="62"/>
      <c r="LBG3" s="62"/>
      <c r="LBH3" s="62"/>
      <c r="LBI3" s="62"/>
      <c r="LBJ3" s="62"/>
      <c r="LBK3" s="62"/>
      <c r="LBL3" s="62"/>
      <c r="LBM3" s="62"/>
      <c r="LBN3" s="62"/>
      <c r="LBO3" s="62"/>
      <c r="LBP3" s="62"/>
      <c r="LBQ3" s="62"/>
      <c r="LBR3" s="62"/>
      <c r="LBS3" s="62"/>
      <c r="LBT3" s="62"/>
      <c r="LBU3" s="62"/>
      <c r="LBV3" s="62"/>
      <c r="LBW3" s="62"/>
      <c r="LBX3" s="62"/>
      <c r="LBY3" s="62"/>
      <c r="LBZ3" s="62"/>
      <c r="LCA3" s="62"/>
      <c r="LCB3" s="62"/>
      <c r="LCC3" s="62"/>
      <c r="LCD3" s="62"/>
      <c r="LCE3" s="62"/>
      <c r="LCF3" s="62"/>
      <c r="LCG3" s="62"/>
      <c r="LCH3" s="62"/>
      <c r="LCI3" s="62"/>
      <c r="LCJ3" s="62"/>
      <c r="LCK3" s="62"/>
      <c r="LCL3" s="62"/>
      <c r="LCM3" s="62"/>
      <c r="LCN3" s="62"/>
      <c r="LCO3" s="62"/>
      <c r="LCP3" s="62"/>
      <c r="LCQ3" s="62"/>
      <c r="LCR3" s="62"/>
      <c r="LCS3" s="62"/>
      <c r="LCT3" s="62"/>
      <c r="LCU3" s="62"/>
      <c r="LCV3" s="62"/>
      <c r="LCW3" s="62"/>
      <c r="LCX3" s="62"/>
      <c r="LCY3" s="62"/>
      <c r="LCZ3" s="62"/>
      <c r="LDA3" s="62"/>
      <c r="LDB3" s="62"/>
      <c r="LDC3" s="62"/>
      <c r="LDD3" s="62"/>
      <c r="LDE3" s="62"/>
      <c r="LDF3" s="62"/>
      <c r="LDG3" s="62"/>
      <c r="LDH3" s="62"/>
      <c r="LDI3" s="62"/>
      <c r="LDJ3" s="62"/>
      <c r="LDK3" s="62"/>
      <c r="LDL3" s="62"/>
      <c r="LDM3" s="62"/>
      <c r="LDN3" s="62"/>
      <c r="LDO3" s="62"/>
      <c r="LDP3" s="62"/>
      <c r="LDQ3" s="62"/>
      <c r="LDR3" s="62"/>
      <c r="LDS3" s="62"/>
      <c r="LDT3" s="62"/>
      <c r="LDU3" s="62"/>
      <c r="LDV3" s="62"/>
      <c r="LDW3" s="62"/>
      <c r="LDX3" s="62"/>
      <c r="LDY3" s="62"/>
      <c r="LDZ3" s="62"/>
      <c r="LEA3" s="62"/>
      <c r="LEB3" s="62"/>
      <c r="LEC3" s="62"/>
      <c r="LED3" s="62"/>
      <c r="LEE3" s="62"/>
      <c r="LEF3" s="62"/>
      <c r="LEG3" s="62"/>
      <c r="LEH3" s="62"/>
      <c r="LEI3" s="62"/>
      <c r="LEJ3" s="62"/>
      <c r="LEK3" s="62"/>
      <c r="LEL3" s="62"/>
      <c r="LEM3" s="62"/>
      <c r="LEN3" s="62"/>
      <c r="LEO3" s="62"/>
      <c r="LEP3" s="62"/>
      <c r="LEQ3" s="62"/>
      <c r="LER3" s="62"/>
      <c r="LES3" s="62"/>
      <c r="LET3" s="62"/>
      <c r="LEU3" s="62"/>
      <c r="LEV3" s="62"/>
      <c r="LEW3" s="62"/>
      <c r="LEX3" s="62"/>
      <c r="LEY3" s="62"/>
      <c r="LEZ3" s="62"/>
      <c r="LFA3" s="62"/>
      <c r="LFB3" s="62"/>
      <c r="LFC3" s="62"/>
      <c r="LFD3" s="62"/>
      <c r="LFE3" s="62"/>
      <c r="LFF3" s="62"/>
      <c r="LFG3" s="62"/>
      <c r="LFH3" s="62"/>
      <c r="LFI3" s="62"/>
      <c r="LFJ3" s="62"/>
      <c r="LFK3" s="62"/>
      <c r="LFL3" s="62"/>
      <c r="LFM3" s="62"/>
      <c r="LFN3" s="62"/>
      <c r="LFO3" s="62"/>
      <c r="LFP3" s="62"/>
      <c r="LFQ3" s="62"/>
      <c r="LFR3" s="62"/>
      <c r="LFS3" s="62"/>
      <c r="LFT3" s="62"/>
      <c r="LFU3" s="62"/>
      <c r="LFV3" s="62"/>
      <c r="LFW3" s="62"/>
      <c r="LFX3" s="62"/>
      <c r="LFY3" s="62"/>
      <c r="LFZ3" s="62"/>
      <c r="LGA3" s="62"/>
      <c r="LGB3" s="62"/>
      <c r="LGC3" s="62"/>
      <c r="LGD3" s="62"/>
      <c r="LGE3" s="62"/>
      <c r="LGF3" s="62"/>
      <c r="LGG3" s="62"/>
      <c r="LGH3" s="62"/>
      <c r="LGI3" s="62"/>
      <c r="LGJ3" s="62"/>
      <c r="LGK3" s="62"/>
      <c r="LGL3" s="62"/>
      <c r="LGM3" s="62"/>
      <c r="LGN3" s="62"/>
      <c r="LGO3" s="62"/>
      <c r="LGP3" s="62"/>
      <c r="LGQ3" s="62"/>
      <c r="LGR3" s="62"/>
      <c r="LGS3" s="62"/>
      <c r="LGT3" s="62"/>
      <c r="LGU3" s="62"/>
      <c r="LGV3" s="62"/>
      <c r="LGW3" s="62"/>
      <c r="LGX3" s="62"/>
      <c r="LGY3" s="62"/>
      <c r="LGZ3" s="62"/>
      <c r="LHA3" s="62"/>
      <c r="LHB3" s="62"/>
      <c r="LHC3" s="62"/>
      <c r="LHD3" s="62"/>
      <c r="LHE3" s="62"/>
      <c r="LHF3" s="62"/>
      <c r="LHG3" s="62"/>
      <c r="LHH3" s="62"/>
      <c r="LHI3" s="62"/>
      <c r="LHJ3" s="62"/>
      <c r="LHK3" s="62"/>
      <c r="LHL3" s="62"/>
      <c r="LHM3" s="62"/>
      <c r="LHN3" s="62"/>
      <c r="LHO3" s="62"/>
      <c r="LHP3" s="62"/>
      <c r="LHQ3" s="62"/>
      <c r="LHR3" s="62"/>
      <c r="LHS3" s="62"/>
      <c r="LHT3" s="62"/>
      <c r="LHU3" s="62"/>
      <c r="LHV3" s="62"/>
      <c r="LHW3" s="62"/>
      <c r="LHX3" s="62"/>
      <c r="LHY3" s="62"/>
      <c r="LHZ3" s="62"/>
      <c r="LIA3" s="62"/>
      <c r="LIB3" s="62"/>
      <c r="LIC3" s="62"/>
      <c r="LID3" s="62"/>
      <c r="LIE3" s="62"/>
      <c r="LIF3" s="62"/>
      <c r="LIG3" s="62"/>
      <c r="LIH3" s="62"/>
      <c r="LII3" s="62"/>
      <c r="LIJ3" s="62"/>
      <c r="LIK3" s="62"/>
      <c r="LIL3" s="62"/>
      <c r="LIM3" s="62"/>
      <c r="LIN3" s="62"/>
      <c r="LIO3" s="62"/>
      <c r="LIP3" s="62"/>
      <c r="LIQ3" s="62"/>
      <c r="LIR3" s="62"/>
      <c r="LIS3" s="62"/>
      <c r="LIT3" s="62"/>
      <c r="LIU3" s="62"/>
      <c r="LIV3" s="62"/>
      <c r="LIW3" s="62"/>
      <c r="LIX3" s="62"/>
      <c r="LIY3" s="62"/>
      <c r="LIZ3" s="62"/>
      <c r="LJA3" s="62"/>
      <c r="LJB3" s="62"/>
      <c r="LJC3" s="62"/>
      <c r="LJD3" s="62"/>
      <c r="LJE3" s="62"/>
      <c r="LJF3" s="62"/>
      <c r="LJG3" s="62"/>
      <c r="LJH3" s="62"/>
      <c r="LJI3" s="62"/>
      <c r="LJJ3" s="62"/>
      <c r="LJK3" s="62"/>
      <c r="LJL3" s="62"/>
      <c r="LJM3" s="62"/>
      <c r="LJN3" s="62"/>
      <c r="LJO3" s="62"/>
      <c r="LJP3" s="62"/>
      <c r="LJQ3" s="62"/>
      <c r="LJR3" s="62"/>
      <c r="LJS3" s="62"/>
      <c r="LJT3" s="62"/>
      <c r="LJU3" s="62"/>
      <c r="LJV3" s="62"/>
      <c r="LJW3" s="62"/>
      <c r="LJX3" s="62"/>
      <c r="LJY3" s="62"/>
      <c r="LJZ3" s="62"/>
      <c r="LKA3" s="62"/>
      <c r="LKB3" s="62"/>
      <c r="LKC3" s="62"/>
      <c r="LKD3" s="62"/>
      <c r="LKE3" s="62"/>
      <c r="LKF3" s="62"/>
      <c r="LKG3" s="62"/>
      <c r="LKH3" s="62"/>
      <c r="LKI3" s="62"/>
      <c r="LKJ3" s="62"/>
      <c r="LKK3" s="62"/>
      <c r="LKL3" s="62"/>
      <c r="LKM3" s="62"/>
      <c r="LKN3" s="62"/>
      <c r="LKO3" s="62"/>
      <c r="LKP3" s="62"/>
      <c r="LKQ3" s="62"/>
      <c r="LKR3" s="62"/>
      <c r="LKS3" s="62"/>
      <c r="LKT3" s="62"/>
      <c r="LKU3" s="62"/>
      <c r="LKV3" s="62"/>
      <c r="LKW3" s="62"/>
      <c r="LKX3" s="62"/>
      <c r="LKY3" s="62"/>
      <c r="LKZ3" s="62"/>
      <c r="LLA3" s="62"/>
      <c r="LLB3" s="62"/>
      <c r="LLC3" s="62"/>
      <c r="LLD3" s="62"/>
      <c r="LLE3" s="62"/>
      <c r="LLF3" s="62"/>
      <c r="LLG3" s="62"/>
      <c r="LLH3" s="62"/>
      <c r="LLI3" s="62"/>
      <c r="LLJ3" s="62"/>
      <c r="LLK3" s="62"/>
      <c r="LLL3" s="62"/>
      <c r="LLM3" s="62"/>
      <c r="LLN3" s="62"/>
      <c r="LLO3" s="62"/>
      <c r="LLP3" s="62"/>
      <c r="LLQ3" s="62"/>
      <c r="LLR3" s="62"/>
      <c r="LLS3" s="62"/>
      <c r="LLT3" s="62"/>
      <c r="LLU3" s="62"/>
      <c r="LLV3" s="62"/>
      <c r="LLW3" s="62"/>
      <c r="LLX3" s="62"/>
      <c r="LLY3" s="62"/>
      <c r="LLZ3" s="62"/>
      <c r="LMA3" s="62"/>
      <c r="LMB3" s="62"/>
      <c r="LMC3" s="62"/>
      <c r="LMD3" s="62"/>
      <c r="LME3" s="62"/>
      <c r="LMF3" s="62"/>
      <c r="LMG3" s="62"/>
      <c r="LMH3" s="62"/>
      <c r="LMI3" s="62"/>
      <c r="LMJ3" s="62"/>
      <c r="LMK3" s="62"/>
      <c r="LML3" s="62"/>
      <c r="LMM3" s="62"/>
      <c r="LMN3" s="62"/>
      <c r="LMO3" s="62"/>
      <c r="LMP3" s="62"/>
      <c r="LMQ3" s="62"/>
      <c r="LMR3" s="62"/>
      <c r="LMS3" s="62"/>
      <c r="LMT3" s="62"/>
      <c r="LMU3" s="62"/>
      <c r="LMV3" s="62"/>
      <c r="LMW3" s="62"/>
      <c r="LMX3" s="62"/>
      <c r="LMY3" s="62"/>
      <c r="LMZ3" s="62"/>
      <c r="LNA3" s="62"/>
      <c r="LNB3" s="62"/>
      <c r="LNC3" s="62"/>
      <c r="LND3" s="62"/>
      <c r="LNE3" s="62"/>
      <c r="LNF3" s="62"/>
      <c r="LNG3" s="62"/>
      <c r="LNH3" s="62"/>
      <c r="LNI3" s="62"/>
      <c r="LNJ3" s="62"/>
      <c r="LNK3" s="62"/>
      <c r="LNL3" s="62"/>
      <c r="LNM3" s="62"/>
      <c r="LNN3" s="62"/>
      <c r="LNO3" s="62"/>
      <c r="LNP3" s="62"/>
      <c r="LNQ3" s="62"/>
      <c r="LNR3" s="62"/>
      <c r="LNS3" s="62"/>
      <c r="LNT3" s="62"/>
      <c r="LNU3" s="62"/>
      <c r="LNV3" s="62"/>
      <c r="LNW3" s="62"/>
      <c r="LNX3" s="62"/>
      <c r="LNY3" s="62"/>
      <c r="LNZ3" s="62"/>
      <c r="LOA3" s="62"/>
      <c r="LOB3" s="62"/>
      <c r="LOC3" s="62"/>
      <c r="LOD3" s="62"/>
      <c r="LOE3" s="62"/>
      <c r="LOF3" s="62"/>
      <c r="LOG3" s="62"/>
      <c r="LOH3" s="62"/>
      <c r="LOI3" s="62"/>
      <c r="LOJ3" s="62"/>
      <c r="LOK3" s="62"/>
      <c r="LOL3" s="62"/>
      <c r="LOM3" s="62"/>
      <c r="LON3" s="62"/>
      <c r="LOO3" s="62"/>
      <c r="LOP3" s="62"/>
      <c r="LOQ3" s="62"/>
      <c r="LOR3" s="62"/>
      <c r="LOS3" s="62"/>
      <c r="LOT3" s="62"/>
      <c r="LOU3" s="62"/>
      <c r="LOV3" s="62"/>
      <c r="LOW3" s="62"/>
      <c r="LOX3" s="62"/>
      <c r="LOY3" s="62"/>
      <c r="LOZ3" s="62"/>
      <c r="LPA3" s="62"/>
      <c r="LPB3" s="62"/>
      <c r="LPC3" s="62"/>
      <c r="LPD3" s="62"/>
      <c r="LPE3" s="62"/>
      <c r="LPF3" s="62"/>
      <c r="LPG3" s="62"/>
      <c r="LPH3" s="62"/>
      <c r="LPI3" s="62"/>
      <c r="LPJ3" s="62"/>
      <c r="LPK3" s="62"/>
      <c r="LPL3" s="62"/>
      <c r="LPM3" s="62"/>
      <c r="LPN3" s="62"/>
      <c r="LPO3" s="62"/>
      <c r="LPP3" s="62"/>
      <c r="LPQ3" s="62"/>
      <c r="LPR3" s="62"/>
      <c r="LPS3" s="62"/>
      <c r="LPT3" s="62"/>
      <c r="LPU3" s="62"/>
      <c r="LPV3" s="62"/>
      <c r="LPW3" s="62"/>
      <c r="LPX3" s="62"/>
      <c r="LPY3" s="62"/>
      <c r="LPZ3" s="62"/>
      <c r="LQA3" s="62"/>
      <c r="LQB3" s="62"/>
      <c r="LQC3" s="62"/>
      <c r="LQD3" s="62"/>
      <c r="LQE3" s="62"/>
      <c r="LQF3" s="62"/>
      <c r="LQG3" s="62"/>
      <c r="LQH3" s="62"/>
      <c r="LQI3" s="62"/>
      <c r="LQJ3" s="62"/>
      <c r="LQK3" s="62"/>
      <c r="LQL3" s="62"/>
      <c r="LQM3" s="62"/>
      <c r="LQN3" s="62"/>
      <c r="LQO3" s="62"/>
      <c r="LQP3" s="62"/>
      <c r="LQQ3" s="62"/>
      <c r="LQR3" s="62"/>
      <c r="LQS3" s="62"/>
      <c r="LQT3" s="62"/>
      <c r="LQU3" s="62"/>
      <c r="LQV3" s="62"/>
      <c r="LQW3" s="62"/>
      <c r="LQX3" s="62"/>
      <c r="LQY3" s="62"/>
      <c r="LQZ3" s="62"/>
      <c r="LRA3" s="62"/>
      <c r="LRB3" s="62"/>
      <c r="LRC3" s="62"/>
      <c r="LRD3" s="62"/>
      <c r="LRE3" s="62"/>
      <c r="LRF3" s="62"/>
      <c r="LRG3" s="62"/>
      <c r="LRH3" s="62"/>
      <c r="LRI3" s="62"/>
      <c r="LRJ3" s="62"/>
      <c r="LRK3" s="62"/>
      <c r="LRL3" s="62"/>
      <c r="LRM3" s="62"/>
      <c r="LRN3" s="62"/>
      <c r="LRO3" s="62"/>
      <c r="LRP3" s="62"/>
      <c r="LRQ3" s="62"/>
      <c r="LRR3" s="62"/>
      <c r="LRS3" s="62"/>
      <c r="LRT3" s="62"/>
      <c r="LRU3" s="62"/>
      <c r="LRV3" s="62"/>
      <c r="LRW3" s="62"/>
      <c r="LRX3" s="62"/>
      <c r="LRY3" s="62"/>
      <c r="LRZ3" s="62"/>
      <c r="LSA3" s="62"/>
      <c r="LSB3" s="62"/>
      <c r="LSC3" s="62"/>
      <c r="LSD3" s="62"/>
      <c r="LSE3" s="62"/>
      <c r="LSF3" s="62"/>
      <c r="LSG3" s="62"/>
      <c r="LSH3" s="62"/>
      <c r="LSI3" s="62"/>
      <c r="LSJ3" s="62"/>
      <c r="LSK3" s="62"/>
      <c r="LSL3" s="62"/>
      <c r="LSM3" s="62"/>
      <c r="LSN3" s="62"/>
      <c r="LSO3" s="62"/>
      <c r="LSP3" s="62"/>
      <c r="LSQ3" s="62"/>
      <c r="LSR3" s="62"/>
      <c r="LSS3" s="62"/>
      <c r="LST3" s="62"/>
      <c r="LSU3" s="62"/>
      <c r="LSV3" s="62"/>
      <c r="LSW3" s="62"/>
      <c r="LSX3" s="62"/>
      <c r="LSY3" s="62"/>
      <c r="LSZ3" s="62"/>
      <c r="LTA3" s="62"/>
      <c r="LTB3" s="62"/>
      <c r="LTC3" s="62"/>
      <c r="LTD3" s="62"/>
      <c r="LTE3" s="62"/>
      <c r="LTF3" s="62"/>
      <c r="LTG3" s="62"/>
      <c r="LTH3" s="62"/>
      <c r="LTI3" s="62"/>
      <c r="LTJ3" s="62"/>
      <c r="LTK3" s="62"/>
      <c r="LTL3" s="62"/>
      <c r="LTM3" s="62"/>
      <c r="LTN3" s="62"/>
      <c r="LTO3" s="62"/>
      <c r="LTP3" s="62"/>
      <c r="LTQ3" s="62"/>
      <c r="LTR3" s="62"/>
      <c r="LTS3" s="62"/>
      <c r="LTT3" s="62"/>
      <c r="LTU3" s="62"/>
      <c r="LTV3" s="62"/>
      <c r="LTW3" s="62"/>
      <c r="LTX3" s="62"/>
      <c r="LTY3" s="62"/>
      <c r="LTZ3" s="62"/>
      <c r="LUA3" s="62"/>
      <c r="LUB3" s="62"/>
      <c r="LUC3" s="62"/>
      <c r="LUD3" s="62"/>
      <c r="LUE3" s="62"/>
      <c r="LUF3" s="62"/>
      <c r="LUG3" s="62"/>
      <c r="LUH3" s="62"/>
      <c r="LUI3" s="62"/>
      <c r="LUJ3" s="62"/>
      <c r="LUK3" s="62"/>
      <c r="LUL3" s="62"/>
      <c r="LUM3" s="62"/>
      <c r="LUN3" s="62"/>
      <c r="LUO3" s="62"/>
      <c r="LUP3" s="62"/>
      <c r="LUQ3" s="62"/>
      <c r="LUR3" s="62"/>
      <c r="LUS3" s="62"/>
      <c r="LUT3" s="62"/>
      <c r="LUU3" s="62"/>
      <c r="LUV3" s="62"/>
      <c r="LUW3" s="62"/>
      <c r="LUX3" s="62"/>
      <c r="LUY3" s="62"/>
      <c r="LUZ3" s="62"/>
      <c r="LVA3" s="62"/>
      <c r="LVB3" s="62"/>
      <c r="LVC3" s="62"/>
      <c r="LVD3" s="62"/>
      <c r="LVE3" s="62"/>
      <c r="LVF3" s="62"/>
      <c r="LVG3" s="62"/>
      <c r="LVH3" s="62"/>
      <c r="LVI3" s="62"/>
      <c r="LVJ3" s="62"/>
      <c r="LVK3" s="62"/>
      <c r="LVL3" s="62"/>
      <c r="LVM3" s="62"/>
      <c r="LVN3" s="62"/>
      <c r="LVO3" s="62"/>
      <c r="LVP3" s="62"/>
      <c r="LVQ3" s="62"/>
      <c r="LVR3" s="62"/>
      <c r="LVS3" s="62"/>
      <c r="LVT3" s="62"/>
      <c r="LVU3" s="62"/>
      <c r="LVV3" s="62"/>
      <c r="LVW3" s="62"/>
      <c r="LVX3" s="62"/>
      <c r="LVY3" s="62"/>
      <c r="LVZ3" s="62"/>
      <c r="LWA3" s="62"/>
      <c r="LWB3" s="62"/>
      <c r="LWC3" s="62"/>
      <c r="LWD3" s="62"/>
      <c r="LWE3" s="62"/>
      <c r="LWF3" s="62"/>
      <c r="LWG3" s="62"/>
      <c r="LWH3" s="62"/>
      <c r="LWI3" s="62"/>
      <c r="LWJ3" s="62"/>
      <c r="LWK3" s="62"/>
      <c r="LWL3" s="62"/>
      <c r="LWM3" s="62"/>
      <c r="LWN3" s="62"/>
      <c r="LWO3" s="62"/>
      <c r="LWP3" s="62"/>
      <c r="LWQ3" s="62"/>
      <c r="LWR3" s="62"/>
      <c r="LWS3" s="62"/>
      <c r="LWT3" s="62"/>
      <c r="LWU3" s="62"/>
      <c r="LWV3" s="62"/>
      <c r="LWW3" s="62"/>
      <c r="LWX3" s="62"/>
      <c r="LWY3" s="62"/>
      <c r="LWZ3" s="62"/>
      <c r="LXA3" s="62"/>
      <c r="LXB3" s="62"/>
      <c r="LXC3" s="62"/>
      <c r="LXD3" s="62"/>
      <c r="LXE3" s="62"/>
      <c r="LXF3" s="62"/>
      <c r="LXG3" s="62"/>
      <c r="LXH3" s="62"/>
      <c r="LXI3" s="62"/>
      <c r="LXJ3" s="62"/>
      <c r="LXK3" s="62"/>
      <c r="LXL3" s="62"/>
      <c r="LXM3" s="62"/>
      <c r="LXN3" s="62"/>
      <c r="LXO3" s="62"/>
      <c r="LXP3" s="62"/>
      <c r="LXQ3" s="62"/>
      <c r="LXR3" s="62"/>
      <c r="LXS3" s="62"/>
      <c r="LXT3" s="62"/>
      <c r="LXU3" s="62"/>
      <c r="LXV3" s="62"/>
      <c r="LXW3" s="62"/>
      <c r="LXX3" s="62"/>
      <c r="LXY3" s="62"/>
      <c r="LXZ3" s="62"/>
      <c r="LYA3" s="62"/>
      <c r="LYB3" s="62"/>
      <c r="LYC3" s="62"/>
      <c r="LYD3" s="62"/>
      <c r="LYE3" s="62"/>
      <c r="LYF3" s="62"/>
      <c r="LYG3" s="62"/>
      <c r="LYH3" s="62"/>
      <c r="LYI3" s="62"/>
      <c r="LYJ3" s="62"/>
      <c r="LYK3" s="62"/>
      <c r="LYL3" s="62"/>
      <c r="LYM3" s="62"/>
      <c r="LYN3" s="62"/>
      <c r="LYO3" s="62"/>
      <c r="LYP3" s="62"/>
      <c r="LYQ3" s="62"/>
      <c r="LYR3" s="62"/>
      <c r="LYS3" s="62"/>
      <c r="LYT3" s="62"/>
      <c r="LYU3" s="62"/>
      <c r="LYV3" s="62"/>
      <c r="LYW3" s="62"/>
      <c r="LYX3" s="62"/>
      <c r="LYY3" s="62"/>
      <c r="LYZ3" s="62"/>
      <c r="LZA3" s="62"/>
      <c r="LZB3" s="62"/>
      <c r="LZC3" s="62"/>
      <c r="LZD3" s="62"/>
      <c r="LZE3" s="62"/>
      <c r="LZF3" s="62"/>
      <c r="LZG3" s="62"/>
      <c r="LZH3" s="62"/>
      <c r="LZI3" s="62"/>
      <c r="LZJ3" s="62"/>
      <c r="LZK3" s="62"/>
      <c r="LZL3" s="62"/>
      <c r="LZM3" s="62"/>
      <c r="LZN3" s="62"/>
      <c r="LZO3" s="62"/>
      <c r="LZP3" s="62"/>
      <c r="LZQ3" s="62"/>
      <c r="LZR3" s="62"/>
      <c r="LZS3" s="62"/>
      <c r="LZT3" s="62"/>
      <c r="LZU3" s="62"/>
      <c r="LZV3" s="62"/>
      <c r="LZW3" s="62"/>
      <c r="LZX3" s="62"/>
      <c r="LZY3" s="62"/>
      <c r="LZZ3" s="62"/>
      <c r="MAA3" s="62"/>
      <c r="MAB3" s="62"/>
      <c r="MAC3" s="62"/>
      <c r="MAD3" s="62"/>
      <c r="MAE3" s="62"/>
      <c r="MAF3" s="62"/>
      <c r="MAG3" s="62"/>
      <c r="MAH3" s="62"/>
      <c r="MAI3" s="62"/>
      <c r="MAJ3" s="62"/>
      <c r="MAK3" s="62"/>
      <c r="MAL3" s="62"/>
      <c r="MAM3" s="62"/>
      <c r="MAN3" s="62"/>
      <c r="MAO3" s="62"/>
      <c r="MAP3" s="62"/>
      <c r="MAQ3" s="62"/>
      <c r="MAR3" s="62"/>
      <c r="MAS3" s="62"/>
      <c r="MAT3" s="62"/>
      <c r="MAU3" s="62"/>
      <c r="MAV3" s="62"/>
      <c r="MAW3" s="62"/>
      <c r="MAX3" s="62"/>
      <c r="MAY3" s="62"/>
      <c r="MAZ3" s="62"/>
      <c r="MBA3" s="62"/>
      <c r="MBB3" s="62"/>
      <c r="MBC3" s="62"/>
      <c r="MBD3" s="62"/>
      <c r="MBE3" s="62"/>
      <c r="MBF3" s="62"/>
      <c r="MBG3" s="62"/>
      <c r="MBH3" s="62"/>
      <c r="MBI3" s="62"/>
      <c r="MBJ3" s="62"/>
      <c r="MBK3" s="62"/>
      <c r="MBL3" s="62"/>
      <c r="MBM3" s="62"/>
      <c r="MBN3" s="62"/>
      <c r="MBO3" s="62"/>
      <c r="MBP3" s="62"/>
      <c r="MBQ3" s="62"/>
      <c r="MBR3" s="62"/>
      <c r="MBS3" s="62"/>
      <c r="MBT3" s="62"/>
      <c r="MBU3" s="62"/>
      <c r="MBV3" s="62"/>
      <c r="MBW3" s="62"/>
      <c r="MBX3" s="62"/>
      <c r="MBY3" s="62"/>
      <c r="MBZ3" s="62"/>
      <c r="MCA3" s="62"/>
      <c r="MCB3" s="62"/>
      <c r="MCC3" s="62"/>
      <c r="MCD3" s="62"/>
      <c r="MCE3" s="62"/>
      <c r="MCF3" s="62"/>
      <c r="MCG3" s="62"/>
      <c r="MCH3" s="62"/>
      <c r="MCI3" s="62"/>
      <c r="MCJ3" s="62"/>
      <c r="MCK3" s="62"/>
      <c r="MCL3" s="62"/>
      <c r="MCM3" s="62"/>
      <c r="MCN3" s="62"/>
      <c r="MCO3" s="62"/>
      <c r="MCP3" s="62"/>
      <c r="MCQ3" s="62"/>
      <c r="MCR3" s="62"/>
      <c r="MCS3" s="62"/>
      <c r="MCT3" s="62"/>
      <c r="MCU3" s="62"/>
      <c r="MCV3" s="62"/>
      <c r="MCW3" s="62"/>
      <c r="MCX3" s="62"/>
      <c r="MCY3" s="62"/>
      <c r="MCZ3" s="62"/>
      <c r="MDA3" s="62"/>
      <c r="MDB3" s="62"/>
      <c r="MDC3" s="62"/>
      <c r="MDD3" s="62"/>
      <c r="MDE3" s="62"/>
      <c r="MDF3" s="62"/>
      <c r="MDG3" s="62"/>
      <c r="MDH3" s="62"/>
      <c r="MDI3" s="62"/>
      <c r="MDJ3" s="62"/>
      <c r="MDK3" s="62"/>
      <c r="MDL3" s="62"/>
      <c r="MDM3" s="62"/>
      <c r="MDN3" s="62"/>
      <c r="MDO3" s="62"/>
      <c r="MDP3" s="62"/>
      <c r="MDQ3" s="62"/>
      <c r="MDR3" s="62"/>
      <c r="MDS3" s="62"/>
      <c r="MDT3" s="62"/>
      <c r="MDU3" s="62"/>
      <c r="MDV3" s="62"/>
      <c r="MDW3" s="62"/>
      <c r="MDX3" s="62"/>
      <c r="MDY3" s="62"/>
      <c r="MDZ3" s="62"/>
      <c r="MEA3" s="62"/>
      <c r="MEB3" s="62"/>
      <c r="MEC3" s="62"/>
      <c r="MED3" s="62"/>
      <c r="MEE3" s="62"/>
      <c r="MEF3" s="62"/>
      <c r="MEG3" s="62"/>
      <c r="MEH3" s="62"/>
      <c r="MEI3" s="62"/>
      <c r="MEJ3" s="62"/>
      <c r="MEK3" s="62"/>
      <c r="MEL3" s="62"/>
      <c r="MEM3" s="62"/>
      <c r="MEN3" s="62"/>
      <c r="MEO3" s="62"/>
      <c r="MEP3" s="62"/>
      <c r="MEQ3" s="62"/>
      <c r="MER3" s="62"/>
      <c r="MES3" s="62"/>
      <c r="MET3" s="62"/>
      <c r="MEU3" s="62"/>
      <c r="MEV3" s="62"/>
      <c r="MEW3" s="62"/>
      <c r="MEX3" s="62"/>
      <c r="MEY3" s="62"/>
      <c r="MEZ3" s="62"/>
      <c r="MFA3" s="62"/>
      <c r="MFB3" s="62"/>
      <c r="MFC3" s="62"/>
      <c r="MFD3" s="62"/>
      <c r="MFE3" s="62"/>
      <c r="MFF3" s="62"/>
      <c r="MFG3" s="62"/>
      <c r="MFH3" s="62"/>
      <c r="MFI3" s="62"/>
      <c r="MFJ3" s="62"/>
      <c r="MFK3" s="62"/>
      <c r="MFL3" s="62"/>
      <c r="MFM3" s="62"/>
      <c r="MFN3" s="62"/>
      <c r="MFO3" s="62"/>
      <c r="MFP3" s="62"/>
      <c r="MFQ3" s="62"/>
      <c r="MFR3" s="62"/>
      <c r="MFS3" s="62"/>
      <c r="MFT3" s="62"/>
      <c r="MFU3" s="62"/>
      <c r="MFV3" s="62"/>
      <c r="MFW3" s="62"/>
      <c r="MFX3" s="62"/>
      <c r="MFY3" s="62"/>
      <c r="MFZ3" s="62"/>
      <c r="MGA3" s="62"/>
      <c r="MGB3" s="62"/>
      <c r="MGC3" s="62"/>
      <c r="MGD3" s="62"/>
      <c r="MGE3" s="62"/>
      <c r="MGF3" s="62"/>
      <c r="MGG3" s="62"/>
      <c r="MGH3" s="62"/>
      <c r="MGI3" s="62"/>
      <c r="MGJ3" s="62"/>
      <c r="MGK3" s="62"/>
      <c r="MGL3" s="62"/>
      <c r="MGM3" s="62"/>
      <c r="MGN3" s="62"/>
      <c r="MGO3" s="62"/>
      <c r="MGP3" s="62"/>
      <c r="MGQ3" s="62"/>
      <c r="MGR3" s="62"/>
      <c r="MGS3" s="62"/>
      <c r="MGT3" s="62"/>
      <c r="MGU3" s="62"/>
      <c r="MGV3" s="62"/>
      <c r="MGW3" s="62"/>
      <c r="MGX3" s="62"/>
      <c r="MGY3" s="62"/>
      <c r="MGZ3" s="62"/>
      <c r="MHA3" s="62"/>
      <c r="MHB3" s="62"/>
      <c r="MHC3" s="62"/>
      <c r="MHD3" s="62"/>
      <c r="MHE3" s="62"/>
      <c r="MHF3" s="62"/>
      <c r="MHG3" s="62"/>
      <c r="MHH3" s="62"/>
      <c r="MHI3" s="62"/>
      <c r="MHJ3" s="62"/>
      <c r="MHK3" s="62"/>
      <c r="MHL3" s="62"/>
      <c r="MHM3" s="62"/>
      <c r="MHN3" s="62"/>
      <c r="MHO3" s="62"/>
      <c r="MHP3" s="62"/>
      <c r="MHQ3" s="62"/>
      <c r="MHR3" s="62"/>
      <c r="MHS3" s="62"/>
      <c r="MHT3" s="62"/>
      <c r="MHU3" s="62"/>
      <c r="MHV3" s="62"/>
      <c r="MHW3" s="62"/>
      <c r="MHX3" s="62"/>
      <c r="MHY3" s="62"/>
      <c r="MHZ3" s="62"/>
      <c r="MIA3" s="62"/>
      <c r="MIB3" s="62"/>
      <c r="MIC3" s="62"/>
      <c r="MID3" s="62"/>
      <c r="MIE3" s="62"/>
      <c r="MIF3" s="62"/>
      <c r="MIG3" s="62"/>
      <c r="MIH3" s="62"/>
      <c r="MII3" s="62"/>
      <c r="MIJ3" s="62"/>
      <c r="MIK3" s="62"/>
      <c r="MIL3" s="62"/>
      <c r="MIM3" s="62"/>
      <c r="MIN3" s="62"/>
      <c r="MIO3" s="62"/>
      <c r="MIP3" s="62"/>
      <c r="MIQ3" s="62"/>
      <c r="MIR3" s="62"/>
      <c r="MIS3" s="62"/>
      <c r="MIT3" s="62"/>
      <c r="MIU3" s="62"/>
      <c r="MIV3" s="62"/>
      <c r="MIW3" s="62"/>
      <c r="MIX3" s="62"/>
      <c r="MIY3" s="62"/>
      <c r="MIZ3" s="62"/>
      <c r="MJA3" s="62"/>
      <c r="MJB3" s="62"/>
      <c r="MJC3" s="62"/>
      <c r="MJD3" s="62"/>
      <c r="MJE3" s="62"/>
      <c r="MJF3" s="62"/>
      <c r="MJG3" s="62"/>
      <c r="MJH3" s="62"/>
      <c r="MJI3" s="62"/>
      <c r="MJJ3" s="62"/>
      <c r="MJK3" s="62"/>
      <c r="MJL3" s="62"/>
      <c r="MJM3" s="62"/>
      <c r="MJN3" s="62"/>
      <c r="MJO3" s="62"/>
      <c r="MJP3" s="62"/>
      <c r="MJQ3" s="62"/>
      <c r="MJR3" s="62"/>
      <c r="MJS3" s="62"/>
      <c r="MJT3" s="62"/>
      <c r="MJU3" s="62"/>
      <c r="MJV3" s="62"/>
      <c r="MJW3" s="62"/>
      <c r="MJX3" s="62"/>
      <c r="MJY3" s="62"/>
      <c r="MJZ3" s="62"/>
      <c r="MKA3" s="62"/>
      <c r="MKB3" s="62"/>
      <c r="MKC3" s="62"/>
      <c r="MKD3" s="62"/>
      <c r="MKE3" s="62"/>
      <c r="MKF3" s="62"/>
      <c r="MKG3" s="62"/>
      <c r="MKH3" s="62"/>
      <c r="MKI3" s="62"/>
      <c r="MKJ3" s="62"/>
      <c r="MKK3" s="62"/>
      <c r="MKL3" s="62"/>
      <c r="MKM3" s="62"/>
      <c r="MKN3" s="62"/>
      <c r="MKO3" s="62"/>
      <c r="MKP3" s="62"/>
      <c r="MKQ3" s="62"/>
      <c r="MKR3" s="62"/>
      <c r="MKS3" s="62"/>
      <c r="MKT3" s="62"/>
      <c r="MKU3" s="62"/>
      <c r="MKV3" s="62"/>
      <c r="MKW3" s="62"/>
      <c r="MKX3" s="62"/>
      <c r="MKY3" s="62"/>
      <c r="MKZ3" s="62"/>
      <c r="MLA3" s="62"/>
      <c r="MLB3" s="62"/>
      <c r="MLC3" s="62"/>
      <c r="MLD3" s="62"/>
      <c r="MLE3" s="62"/>
      <c r="MLF3" s="62"/>
      <c r="MLG3" s="62"/>
      <c r="MLH3" s="62"/>
      <c r="MLI3" s="62"/>
      <c r="MLJ3" s="62"/>
      <c r="MLK3" s="62"/>
      <c r="MLL3" s="62"/>
      <c r="MLM3" s="62"/>
      <c r="MLN3" s="62"/>
      <c r="MLO3" s="62"/>
      <c r="MLP3" s="62"/>
      <c r="MLQ3" s="62"/>
      <c r="MLR3" s="62"/>
      <c r="MLS3" s="62"/>
      <c r="MLT3" s="62"/>
      <c r="MLU3" s="62"/>
      <c r="MLV3" s="62"/>
      <c r="MLW3" s="62"/>
      <c r="MLX3" s="62"/>
      <c r="MLY3" s="62"/>
      <c r="MLZ3" s="62"/>
      <c r="MMA3" s="62"/>
      <c r="MMB3" s="62"/>
      <c r="MMC3" s="62"/>
      <c r="MMD3" s="62"/>
      <c r="MME3" s="62"/>
      <c r="MMF3" s="62"/>
      <c r="MMG3" s="62"/>
      <c r="MMH3" s="62"/>
      <c r="MMI3" s="62"/>
      <c r="MMJ3" s="62"/>
      <c r="MMK3" s="62"/>
      <c r="MML3" s="62"/>
      <c r="MMM3" s="62"/>
      <c r="MMN3" s="62"/>
      <c r="MMO3" s="62"/>
      <c r="MMP3" s="62"/>
      <c r="MMQ3" s="62"/>
      <c r="MMR3" s="62"/>
      <c r="MMS3" s="62"/>
      <c r="MMT3" s="62"/>
      <c r="MMU3" s="62"/>
      <c r="MMV3" s="62"/>
      <c r="MMW3" s="62"/>
      <c r="MMX3" s="62"/>
      <c r="MMY3" s="62"/>
      <c r="MMZ3" s="62"/>
      <c r="MNA3" s="62"/>
      <c r="MNB3" s="62"/>
      <c r="MNC3" s="62"/>
      <c r="MND3" s="62"/>
      <c r="MNE3" s="62"/>
      <c r="MNF3" s="62"/>
      <c r="MNG3" s="62"/>
      <c r="MNH3" s="62"/>
      <c r="MNI3" s="62"/>
      <c r="MNJ3" s="62"/>
      <c r="MNK3" s="62"/>
      <c r="MNL3" s="62"/>
      <c r="MNM3" s="62"/>
      <c r="MNN3" s="62"/>
      <c r="MNO3" s="62"/>
      <c r="MNP3" s="62"/>
      <c r="MNQ3" s="62"/>
      <c r="MNR3" s="62"/>
      <c r="MNS3" s="62"/>
      <c r="MNT3" s="62"/>
      <c r="MNU3" s="62"/>
      <c r="MNV3" s="62"/>
      <c r="MNW3" s="62"/>
      <c r="MNX3" s="62"/>
      <c r="MNY3" s="62"/>
      <c r="MNZ3" s="62"/>
      <c r="MOA3" s="62"/>
      <c r="MOB3" s="62"/>
      <c r="MOC3" s="62"/>
      <c r="MOD3" s="62"/>
      <c r="MOE3" s="62"/>
      <c r="MOF3" s="62"/>
      <c r="MOG3" s="62"/>
      <c r="MOH3" s="62"/>
      <c r="MOI3" s="62"/>
      <c r="MOJ3" s="62"/>
      <c r="MOK3" s="62"/>
      <c r="MOL3" s="62"/>
      <c r="MOM3" s="62"/>
      <c r="MON3" s="62"/>
      <c r="MOO3" s="62"/>
      <c r="MOP3" s="62"/>
      <c r="MOQ3" s="62"/>
      <c r="MOR3" s="62"/>
      <c r="MOS3" s="62"/>
      <c r="MOT3" s="62"/>
      <c r="MOU3" s="62"/>
      <c r="MOV3" s="62"/>
      <c r="MOW3" s="62"/>
      <c r="MOX3" s="62"/>
      <c r="MOY3" s="62"/>
      <c r="MOZ3" s="62"/>
      <c r="MPA3" s="62"/>
      <c r="MPB3" s="62"/>
      <c r="MPC3" s="62"/>
      <c r="MPD3" s="62"/>
      <c r="MPE3" s="62"/>
      <c r="MPF3" s="62"/>
      <c r="MPG3" s="62"/>
      <c r="MPH3" s="62"/>
      <c r="MPI3" s="62"/>
      <c r="MPJ3" s="62"/>
      <c r="MPK3" s="62"/>
      <c r="MPL3" s="62"/>
      <c r="MPM3" s="62"/>
      <c r="MPN3" s="62"/>
      <c r="MPO3" s="62"/>
      <c r="MPP3" s="62"/>
      <c r="MPQ3" s="62"/>
      <c r="MPR3" s="62"/>
      <c r="MPS3" s="62"/>
      <c r="MPT3" s="62"/>
      <c r="MPU3" s="62"/>
      <c r="MPV3" s="62"/>
      <c r="MPW3" s="62"/>
      <c r="MPX3" s="62"/>
      <c r="MPY3" s="62"/>
      <c r="MPZ3" s="62"/>
      <c r="MQA3" s="62"/>
      <c r="MQB3" s="62"/>
      <c r="MQC3" s="62"/>
      <c r="MQD3" s="62"/>
      <c r="MQE3" s="62"/>
      <c r="MQF3" s="62"/>
      <c r="MQG3" s="62"/>
      <c r="MQH3" s="62"/>
      <c r="MQI3" s="62"/>
      <c r="MQJ3" s="62"/>
      <c r="MQK3" s="62"/>
      <c r="MQL3" s="62"/>
      <c r="MQM3" s="62"/>
      <c r="MQN3" s="62"/>
      <c r="MQO3" s="62"/>
      <c r="MQP3" s="62"/>
      <c r="MQQ3" s="62"/>
      <c r="MQR3" s="62"/>
      <c r="MQS3" s="62"/>
      <c r="MQT3" s="62"/>
      <c r="MQU3" s="62"/>
      <c r="MQV3" s="62"/>
      <c r="MQW3" s="62"/>
      <c r="MQX3" s="62"/>
      <c r="MQY3" s="62"/>
      <c r="MQZ3" s="62"/>
      <c r="MRA3" s="62"/>
      <c r="MRB3" s="62"/>
      <c r="MRC3" s="62"/>
      <c r="MRD3" s="62"/>
      <c r="MRE3" s="62"/>
      <c r="MRF3" s="62"/>
      <c r="MRG3" s="62"/>
      <c r="MRH3" s="62"/>
      <c r="MRI3" s="62"/>
      <c r="MRJ3" s="62"/>
      <c r="MRK3" s="62"/>
      <c r="MRL3" s="62"/>
      <c r="MRM3" s="62"/>
      <c r="MRN3" s="62"/>
      <c r="MRO3" s="62"/>
      <c r="MRP3" s="62"/>
      <c r="MRQ3" s="62"/>
      <c r="MRR3" s="62"/>
      <c r="MRS3" s="62"/>
      <c r="MRT3" s="62"/>
      <c r="MRU3" s="62"/>
      <c r="MRV3" s="62"/>
      <c r="MRW3" s="62"/>
      <c r="MRX3" s="62"/>
      <c r="MRY3" s="62"/>
      <c r="MRZ3" s="62"/>
      <c r="MSA3" s="62"/>
      <c r="MSB3" s="62"/>
      <c r="MSC3" s="62"/>
      <c r="MSD3" s="62"/>
      <c r="MSE3" s="62"/>
      <c r="MSF3" s="62"/>
      <c r="MSG3" s="62"/>
      <c r="MSH3" s="62"/>
      <c r="MSI3" s="62"/>
      <c r="MSJ3" s="62"/>
      <c r="MSK3" s="62"/>
      <c r="MSL3" s="62"/>
      <c r="MSM3" s="62"/>
      <c r="MSN3" s="62"/>
      <c r="MSO3" s="62"/>
      <c r="MSP3" s="62"/>
      <c r="MSQ3" s="62"/>
      <c r="MSR3" s="62"/>
      <c r="MSS3" s="62"/>
      <c r="MST3" s="62"/>
      <c r="MSU3" s="62"/>
      <c r="MSV3" s="62"/>
      <c r="MSW3" s="62"/>
      <c r="MSX3" s="62"/>
      <c r="MSY3" s="62"/>
      <c r="MSZ3" s="62"/>
      <c r="MTA3" s="62"/>
      <c r="MTB3" s="62"/>
      <c r="MTC3" s="62"/>
      <c r="MTD3" s="62"/>
      <c r="MTE3" s="62"/>
      <c r="MTF3" s="62"/>
      <c r="MTG3" s="62"/>
      <c r="MTH3" s="62"/>
      <c r="MTI3" s="62"/>
      <c r="MTJ3" s="62"/>
      <c r="MTK3" s="62"/>
      <c r="MTL3" s="62"/>
      <c r="MTM3" s="62"/>
      <c r="MTN3" s="62"/>
      <c r="MTO3" s="62"/>
      <c r="MTP3" s="62"/>
      <c r="MTQ3" s="62"/>
      <c r="MTR3" s="62"/>
      <c r="MTS3" s="62"/>
      <c r="MTT3" s="62"/>
      <c r="MTU3" s="62"/>
      <c r="MTV3" s="62"/>
      <c r="MTW3" s="62"/>
      <c r="MTX3" s="62"/>
      <c r="MTY3" s="62"/>
      <c r="MTZ3" s="62"/>
      <c r="MUA3" s="62"/>
      <c r="MUB3" s="62"/>
      <c r="MUC3" s="62"/>
      <c r="MUD3" s="62"/>
      <c r="MUE3" s="62"/>
      <c r="MUF3" s="62"/>
      <c r="MUG3" s="62"/>
      <c r="MUH3" s="62"/>
      <c r="MUI3" s="62"/>
      <c r="MUJ3" s="62"/>
      <c r="MUK3" s="62"/>
      <c r="MUL3" s="62"/>
      <c r="MUM3" s="62"/>
      <c r="MUN3" s="62"/>
      <c r="MUO3" s="62"/>
      <c r="MUP3" s="62"/>
      <c r="MUQ3" s="62"/>
      <c r="MUR3" s="62"/>
      <c r="MUS3" s="62"/>
      <c r="MUT3" s="62"/>
      <c r="MUU3" s="62"/>
      <c r="MUV3" s="62"/>
      <c r="MUW3" s="62"/>
      <c r="MUX3" s="62"/>
      <c r="MUY3" s="62"/>
      <c r="MUZ3" s="62"/>
      <c r="MVA3" s="62"/>
      <c r="MVB3" s="62"/>
      <c r="MVC3" s="62"/>
      <c r="MVD3" s="62"/>
      <c r="MVE3" s="62"/>
      <c r="MVF3" s="62"/>
      <c r="MVG3" s="62"/>
      <c r="MVH3" s="62"/>
      <c r="MVI3" s="62"/>
      <c r="MVJ3" s="62"/>
      <c r="MVK3" s="62"/>
      <c r="MVL3" s="62"/>
      <c r="MVM3" s="62"/>
      <c r="MVN3" s="62"/>
      <c r="MVO3" s="62"/>
      <c r="MVP3" s="62"/>
      <c r="MVQ3" s="62"/>
      <c r="MVR3" s="62"/>
      <c r="MVS3" s="62"/>
      <c r="MVT3" s="62"/>
      <c r="MVU3" s="62"/>
      <c r="MVV3" s="62"/>
      <c r="MVW3" s="62"/>
      <c r="MVX3" s="62"/>
      <c r="MVY3" s="62"/>
      <c r="MVZ3" s="62"/>
      <c r="MWA3" s="62"/>
      <c r="MWB3" s="62"/>
      <c r="MWC3" s="62"/>
      <c r="MWD3" s="62"/>
      <c r="MWE3" s="62"/>
      <c r="MWF3" s="62"/>
      <c r="MWG3" s="62"/>
      <c r="MWH3" s="62"/>
      <c r="MWI3" s="62"/>
      <c r="MWJ3" s="62"/>
      <c r="MWK3" s="62"/>
      <c r="MWL3" s="62"/>
      <c r="MWM3" s="62"/>
      <c r="MWN3" s="62"/>
      <c r="MWO3" s="62"/>
      <c r="MWP3" s="62"/>
      <c r="MWQ3" s="62"/>
      <c r="MWR3" s="62"/>
      <c r="MWS3" s="62"/>
      <c r="MWT3" s="62"/>
      <c r="MWU3" s="62"/>
      <c r="MWV3" s="62"/>
      <c r="MWW3" s="62"/>
      <c r="MWX3" s="62"/>
      <c r="MWY3" s="62"/>
      <c r="MWZ3" s="62"/>
      <c r="MXA3" s="62"/>
      <c r="MXB3" s="62"/>
      <c r="MXC3" s="62"/>
      <c r="MXD3" s="62"/>
      <c r="MXE3" s="62"/>
      <c r="MXF3" s="62"/>
      <c r="MXG3" s="62"/>
      <c r="MXH3" s="62"/>
      <c r="MXI3" s="62"/>
      <c r="MXJ3" s="62"/>
      <c r="MXK3" s="62"/>
      <c r="MXL3" s="62"/>
      <c r="MXM3" s="62"/>
      <c r="MXN3" s="62"/>
      <c r="MXO3" s="62"/>
      <c r="MXP3" s="62"/>
      <c r="MXQ3" s="62"/>
      <c r="MXR3" s="62"/>
      <c r="MXS3" s="62"/>
      <c r="MXT3" s="62"/>
      <c r="MXU3" s="62"/>
      <c r="MXV3" s="62"/>
      <c r="MXW3" s="62"/>
      <c r="MXX3" s="62"/>
      <c r="MXY3" s="62"/>
      <c r="MXZ3" s="62"/>
      <c r="MYA3" s="62"/>
      <c r="MYB3" s="62"/>
      <c r="MYC3" s="62"/>
      <c r="MYD3" s="62"/>
      <c r="MYE3" s="62"/>
      <c r="MYF3" s="62"/>
      <c r="MYG3" s="62"/>
      <c r="MYH3" s="62"/>
      <c r="MYI3" s="62"/>
      <c r="MYJ3" s="62"/>
      <c r="MYK3" s="62"/>
      <c r="MYL3" s="62"/>
      <c r="MYM3" s="62"/>
      <c r="MYN3" s="62"/>
      <c r="MYO3" s="62"/>
      <c r="MYP3" s="62"/>
      <c r="MYQ3" s="62"/>
      <c r="MYR3" s="62"/>
      <c r="MYS3" s="62"/>
      <c r="MYT3" s="62"/>
      <c r="MYU3" s="62"/>
      <c r="MYV3" s="62"/>
      <c r="MYW3" s="62"/>
      <c r="MYX3" s="62"/>
      <c r="MYY3" s="62"/>
      <c r="MYZ3" s="62"/>
      <c r="MZA3" s="62"/>
      <c r="MZB3" s="62"/>
      <c r="MZC3" s="62"/>
      <c r="MZD3" s="62"/>
      <c r="MZE3" s="62"/>
      <c r="MZF3" s="62"/>
      <c r="MZG3" s="62"/>
      <c r="MZH3" s="62"/>
      <c r="MZI3" s="62"/>
      <c r="MZJ3" s="62"/>
      <c r="MZK3" s="62"/>
      <c r="MZL3" s="62"/>
      <c r="MZM3" s="62"/>
      <c r="MZN3" s="62"/>
      <c r="MZO3" s="62"/>
      <c r="MZP3" s="62"/>
      <c r="MZQ3" s="62"/>
      <c r="MZR3" s="62"/>
      <c r="MZS3" s="62"/>
      <c r="MZT3" s="62"/>
      <c r="MZU3" s="62"/>
      <c r="MZV3" s="62"/>
      <c r="MZW3" s="62"/>
      <c r="MZX3" s="62"/>
      <c r="MZY3" s="62"/>
      <c r="MZZ3" s="62"/>
      <c r="NAA3" s="62"/>
      <c r="NAB3" s="62"/>
      <c r="NAC3" s="62"/>
      <c r="NAD3" s="62"/>
      <c r="NAE3" s="62"/>
      <c r="NAF3" s="62"/>
      <c r="NAG3" s="62"/>
      <c r="NAH3" s="62"/>
      <c r="NAI3" s="62"/>
      <c r="NAJ3" s="62"/>
      <c r="NAK3" s="62"/>
      <c r="NAL3" s="62"/>
      <c r="NAM3" s="62"/>
      <c r="NAN3" s="62"/>
      <c r="NAO3" s="62"/>
      <c r="NAP3" s="62"/>
      <c r="NAQ3" s="62"/>
      <c r="NAR3" s="62"/>
      <c r="NAS3" s="62"/>
      <c r="NAT3" s="62"/>
      <c r="NAU3" s="62"/>
      <c r="NAV3" s="62"/>
      <c r="NAW3" s="62"/>
      <c r="NAX3" s="62"/>
      <c r="NAY3" s="62"/>
      <c r="NAZ3" s="62"/>
      <c r="NBA3" s="62"/>
      <c r="NBB3" s="62"/>
      <c r="NBC3" s="62"/>
      <c r="NBD3" s="62"/>
      <c r="NBE3" s="62"/>
      <c r="NBF3" s="62"/>
      <c r="NBG3" s="62"/>
      <c r="NBH3" s="62"/>
      <c r="NBI3" s="62"/>
      <c r="NBJ3" s="62"/>
      <c r="NBK3" s="62"/>
      <c r="NBL3" s="62"/>
      <c r="NBM3" s="62"/>
      <c r="NBN3" s="62"/>
      <c r="NBO3" s="62"/>
      <c r="NBP3" s="62"/>
      <c r="NBQ3" s="62"/>
      <c r="NBR3" s="62"/>
      <c r="NBS3" s="62"/>
      <c r="NBT3" s="62"/>
      <c r="NBU3" s="62"/>
      <c r="NBV3" s="62"/>
      <c r="NBW3" s="62"/>
      <c r="NBX3" s="62"/>
      <c r="NBY3" s="62"/>
      <c r="NBZ3" s="62"/>
      <c r="NCA3" s="62"/>
      <c r="NCB3" s="62"/>
      <c r="NCC3" s="62"/>
      <c r="NCD3" s="62"/>
      <c r="NCE3" s="62"/>
      <c r="NCF3" s="62"/>
      <c r="NCG3" s="62"/>
      <c r="NCH3" s="62"/>
      <c r="NCI3" s="62"/>
      <c r="NCJ3" s="62"/>
      <c r="NCK3" s="62"/>
      <c r="NCL3" s="62"/>
      <c r="NCM3" s="62"/>
      <c r="NCN3" s="62"/>
      <c r="NCO3" s="62"/>
      <c r="NCP3" s="62"/>
      <c r="NCQ3" s="62"/>
      <c r="NCR3" s="62"/>
      <c r="NCS3" s="62"/>
      <c r="NCT3" s="62"/>
      <c r="NCU3" s="62"/>
      <c r="NCV3" s="62"/>
      <c r="NCW3" s="62"/>
      <c r="NCX3" s="62"/>
      <c r="NCY3" s="62"/>
      <c r="NCZ3" s="62"/>
      <c r="NDA3" s="62"/>
      <c r="NDB3" s="62"/>
      <c r="NDC3" s="62"/>
      <c r="NDD3" s="62"/>
      <c r="NDE3" s="62"/>
      <c r="NDF3" s="62"/>
      <c r="NDG3" s="62"/>
      <c r="NDH3" s="62"/>
      <c r="NDI3" s="62"/>
      <c r="NDJ3" s="62"/>
      <c r="NDK3" s="62"/>
      <c r="NDL3" s="62"/>
      <c r="NDM3" s="62"/>
      <c r="NDN3" s="62"/>
      <c r="NDO3" s="62"/>
      <c r="NDP3" s="62"/>
      <c r="NDQ3" s="62"/>
      <c r="NDR3" s="62"/>
      <c r="NDS3" s="62"/>
      <c r="NDT3" s="62"/>
      <c r="NDU3" s="62"/>
      <c r="NDV3" s="62"/>
      <c r="NDW3" s="62"/>
      <c r="NDX3" s="62"/>
      <c r="NDY3" s="62"/>
      <c r="NDZ3" s="62"/>
      <c r="NEA3" s="62"/>
      <c r="NEB3" s="62"/>
      <c r="NEC3" s="62"/>
      <c r="NED3" s="62"/>
      <c r="NEE3" s="62"/>
      <c r="NEF3" s="62"/>
      <c r="NEG3" s="62"/>
      <c r="NEH3" s="62"/>
      <c r="NEI3" s="62"/>
      <c r="NEJ3" s="62"/>
      <c r="NEK3" s="62"/>
      <c r="NEL3" s="62"/>
      <c r="NEM3" s="62"/>
      <c r="NEN3" s="62"/>
      <c r="NEO3" s="62"/>
      <c r="NEP3" s="62"/>
      <c r="NEQ3" s="62"/>
      <c r="NER3" s="62"/>
      <c r="NES3" s="62"/>
      <c r="NET3" s="62"/>
      <c r="NEU3" s="62"/>
      <c r="NEV3" s="62"/>
      <c r="NEW3" s="62"/>
      <c r="NEX3" s="62"/>
      <c r="NEY3" s="62"/>
      <c r="NEZ3" s="62"/>
      <c r="NFA3" s="62"/>
      <c r="NFB3" s="62"/>
      <c r="NFC3" s="62"/>
      <c r="NFD3" s="62"/>
      <c r="NFE3" s="62"/>
      <c r="NFF3" s="62"/>
      <c r="NFG3" s="62"/>
      <c r="NFH3" s="62"/>
      <c r="NFI3" s="62"/>
      <c r="NFJ3" s="62"/>
      <c r="NFK3" s="62"/>
      <c r="NFL3" s="62"/>
      <c r="NFM3" s="62"/>
      <c r="NFN3" s="62"/>
      <c r="NFO3" s="62"/>
      <c r="NFP3" s="62"/>
      <c r="NFQ3" s="62"/>
      <c r="NFR3" s="62"/>
      <c r="NFS3" s="62"/>
      <c r="NFT3" s="62"/>
      <c r="NFU3" s="62"/>
      <c r="NFV3" s="62"/>
      <c r="NFW3" s="62"/>
      <c r="NFX3" s="62"/>
      <c r="NFY3" s="62"/>
      <c r="NFZ3" s="62"/>
      <c r="NGA3" s="62"/>
      <c r="NGB3" s="62"/>
      <c r="NGC3" s="62"/>
      <c r="NGD3" s="62"/>
      <c r="NGE3" s="62"/>
      <c r="NGF3" s="62"/>
      <c r="NGG3" s="62"/>
      <c r="NGH3" s="62"/>
      <c r="NGI3" s="62"/>
      <c r="NGJ3" s="62"/>
      <c r="NGK3" s="62"/>
      <c r="NGL3" s="62"/>
      <c r="NGM3" s="62"/>
      <c r="NGN3" s="62"/>
      <c r="NGO3" s="62"/>
      <c r="NGP3" s="62"/>
      <c r="NGQ3" s="62"/>
      <c r="NGR3" s="62"/>
      <c r="NGS3" s="62"/>
      <c r="NGT3" s="62"/>
      <c r="NGU3" s="62"/>
      <c r="NGV3" s="62"/>
      <c r="NGW3" s="62"/>
      <c r="NGX3" s="62"/>
      <c r="NGY3" s="62"/>
      <c r="NGZ3" s="62"/>
      <c r="NHA3" s="62"/>
      <c r="NHB3" s="62"/>
      <c r="NHC3" s="62"/>
      <c r="NHD3" s="62"/>
      <c r="NHE3" s="62"/>
      <c r="NHF3" s="62"/>
      <c r="NHG3" s="62"/>
      <c r="NHH3" s="62"/>
      <c r="NHI3" s="62"/>
      <c r="NHJ3" s="62"/>
      <c r="NHK3" s="62"/>
      <c r="NHL3" s="62"/>
      <c r="NHM3" s="62"/>
      <c r="NHN3" s="62"/>
      <c r="NHO3" s="62"/>
      <c r="NHP3" s="62"/>
      <c r="NHQ3" s="62"/>
      <c r="NHR3" s="62"/>
      <c r="NHS3" s="62"/>
      <c r="NHT3" s="62"/>
      <c r="NHU3" s="62"/>
      <c r="NHV3" s="62"/>
      <c r="NHW3" s="62"/>
      <c r="NHX3" s="62"/>
      <c r="NHY3" s="62"/>
      <c r="NHZ3" s="62"/>
      <c r="NIA3" s="62"/>
      <c r="NIB3" s="62"/>
      <c r="NIC3" s="62"/>
      <c r="NID3" s="62"/>
      <c r="NIE3" s="62"/>
      <c r="NIF3" s="62"/>
      <c r="NIG3" s="62"/>
      <c r="NIH3" s="62"/>
      <c r="NII3" s="62"/>
      <c r="NIJ3" s="62"/>
      <c r="NIK3" s="62"/>
      <c r="NIL3" s="62"/>
      <c r="NIM3" s="62"/>
      <c r="NIN3" s="62"/>
      <c r="NIO3" s="62"/>
      <c r="NIP3" s="62"/>
      <c r="NIQ3" s="62"/>
      <c r="NIR3" s="62"/>
      <c r="NIS3" s="62"/>
      <c r="NIT3" s="62"/>
      <c r="NIU3" s="62"/>
      <c r="NIV3" s="62"/>
      <c r="NIW3" s="62"/>
      <c r="NIX3" s="62"/>
      <c r="NIY3" s="62"/>
      <c r="NIZ3" s="62"/>
      <c r="NJA3" s="62"/>
      <c r="NJB3" s="62"/>
      <c r="NJC3" s="62"/>
      <c r="NJD3" s="62"/>
      <c r="NJE3" s="62"/>
      <c r="NJF3" s="62"/>
      <c r="NJG3" s="62"/>
      <c r="NJH3" s="62"/>
      <c r="NJI3" s="62"/>
      <c r="NJJ3" s="62"/>
      <c r="NJK3" s="62"/>
      <c r="NJL3" s="62"/>
      <c r="NJM3" s="62"/>
      <c r="NJN3" s="62"/>
      <c r="NJO3" s="62"/>
      <c r="NJP3" s="62"/>
      <c r="NJQ3" s="62"/>
      <c r="NJR3" s="62"/>
      <c r="NJS3" s="62"/>
      <c r="NJT3" s="62"/>
      <c r="NJU3" s="62"/>
      <c r="NJV3" s="62"/>
      <c r="NJW3" s="62"/>
      <c r="NJX3" s="62"/>
      <c r="NJY3" s="62"/>
      <c r="NJZ3" s="62"/>
      <c r="NKA3" s="62"/>
      <c r="NKB3" s="62"/>
      <c r="NKC3" s="62"/>
      <c r="NKD3" s="62"/>
      <c r="NKE3" s="62"/>
      <c r="NKF3" s="62"/>
      <c r="NKG3" s="62"/>
      <c r="NKH3" s="62"/>
      <c r="NKI3" s="62"/>
      <c r="NKJ3" s="62"/>
      <c r="NKK3" s="62"/>
      <c r="NKL3" s="62"/>
      <c r="NKM3" s="62"/>
      <c r="NKN3" s="62"/>
      <c r="NKO3" s="62"/>
      <c r="NKP3" s="62"/>
      <c r="NKQ3" s="62"/>
      <c r="NKR3" s="62"/>
      <c r="NKS3" s="62"/>
      <c r="NKT3" s="62"/>
      <c r="NKU3" s="62"/>
      <c r="NKV3" s="62"/>
      <c r="NKW3" s="62"/>
      <c r="NKX3" s="62"/>
      <c r="NKY3" s="62"/>
      <c r="NKZ3" s="62"/>
      <c r="NLA3" s="62"/>
      <c r="NLB3" s="62"/>
      <c r="NLC3" s="62"/>
      <c r="NLD3" s="62"/>
      <c r="NLE3" s="62"/>
      <c r="NLF3" s="62"/>
      <c r="NLG3" s="62"/>
      <c r="NLH3" s="62"/>
      <c r="NLI3" s="62"/>
      <c r="NLJ3" s="62"/>
      <c r="NLK3" s="62"/>
      <c r="NLL3" s="62"/>
      <c r="NLM3" s="62"/>
      <c r="NLN3" s="62"/>
      <c r="NLO3" s="62"/>
      <c r="NLP3" s="62"/>
      <c r="NLQ3" s="62"/>
      <c r="NLR3" s="62"/>
      <c r="NLS3" s="62"/>
      <c r="NLT3" s="62"/>
      <c r="NLU3" s="62"/>
      <c r="NLV3" s="62"/>
      <c r="NLW3" s="62"/>
      <c r="NLX3" s="62"/>
      <c r="NLY3" s="62"/>
      <c r="NLZ3" s="62"/>
      <c r="NMA3" s="62"/>
      <c r="NMB3" s="62"/>
      <c r="NMC3" s="62"/>
      <c r="NMD3" s="62"/>
      <c r="NME3" s="62"/>
      <c r="NMF3" s="62"/>
      <c r="NMG3" s="62"/>
      <c r="NMH3" s="62"/>
      <c r="NMI3" s="62"/>
      <c r="NMJ3" s="62"/>
      <c r="NMK3" s="62"/>
      <c r="NML3" s="62"/>
      <c r="NMM3" s="62"/>
      <c r="NMN3" s="62"/>
      <c r="NMO3" s="62"/>
      <c r="NMP3" s="62"/>
      <c r="NMQ3" s="62"/>
      <c r="NMR3" s="62"/>
      <c r="NMS3" s="62"/>
      <c r="NMT3" s="62"/>
      <c r="NMU3" s="62"/>
      <c r="NMV3" s="62"/>
      <c r="NMW3" s="62"/>
      <c r="NMX3" s="62"/>
      <c r="NMY3" s="62"/>
      <c r="NMZ3" s="62"/>
      <c r="NNA3" s="62"/>
      <c r="NNB3" s="62"/>
      <c r="NNC3" s="62"/>
      <c r="NND3" s="62"/>
      <c r="NNE3" s="62"/>
      <c r="NNF3" s="62"/>
      <c r="NNG3" s="62"/>
      <c r="NNH3" s="62"/>
      <c r="NNI3" s="62"/>
      <c r="NNJ3" s="62"/>
      <c r="NNK3" s="62"/>
      <c r="NNL3" s="62"/>
      <c r="NNM3" s="62"/>
      <c r="NNN3" s="62"/>
      <c r="NNO3" s="62"/>
      <c r="NNP3" s="62"/>
      <c r="NNQ3" s="62"/>
      <c r="NNR3" s="62"/>
      <c r="NNS3" s="62"/>
      <c r="NNT3" s="62"/>
      <c r="NNU3" s="62"/>
      <c r="NNV3" s="62"/>
      <c r="NNW3" s="62"/>
      <c r="NNX3" s="62"/>
      <c r="NNY3" s="62"/>
      <c r="NNZ3" s="62"/>
      <c r="NOA3" s="62"/>
      <c r="NOB3" s="62"/>
      <c r="NOC3" s="62"/>
      <c r="NOD3" s="62"/>
      <c r="NOE3" s="62"/>
      <c r="NOF3" s="62"/>
      <c r="NOG3" s="62"/>
      <c r="NOH3" s="62"/>
      <c r="NOI3" s="62"/>
      <c r="NOJ3" s="62"/>
      <c r="NOK3" s="62"/>
      <c r="NOL3" s="62"/>
      <c r="NOM3" s="62"/>
      <c r="NON3" s="62"/>
      <c r="NOO3" s="62"/>
      <c r="NOP3" s="62"/>
      <c r="NOQ3" s="62"/>
      <c r="NOR3" s="62"/>
      <c r="NOS3" s="62"/>
      <c r="NOT3" s="62"/>
      <c r="NOU3" s="62"/>
      <c r="NOV3" s="62"/>
      <c r="NOW3" s="62"/>
      <c r="NOX3" s="62"/>
      <c r="NOY3" s="62"/>
      <c r="NOZ3" s="62"/>
      <c r="NPA3" s="62"/>
      <c r="NPB3" s="62"/>
      <c r="NPC3" s="62"/>
      <c r="NPD3" s="62"/>
      <c r="NPE3" s="62"/>
      <c r="NPF3" s="62"/>
      <c r="NPG3" s="62"/>
      <c r="NPH3" s="62"/>
      <c r="NPI3" s="62"/>
      <c r="NPJ3" s="62"/>
      <c r="NPK3" s="62"/>
      <c r="NPL3" s="62"/>
      <c r="NPM3" s="62"/>
      <c r="NPN3" s="62"/>
      <c r="NPO3" s="62"/>
      <c r="NPP3" s="62"/>
      <c r="NPQ3" s="62"/>
      <c r="NPR3" s="62"/>
      <c r="NPS3" s="62"/>
      <c r="NPT3" s="62"/>
      <c r="NPU3" s="62"/>
      <c r="NPV3" s="62"/>
      <c r="NPW3" s="62"/>
      <c r="NPX3" s="62"/>
      <c r="NPY3" s="62"/>
      <c r="NPZ3" s="62"/>
      <c r="NQA3" s="62"/>
      <c r="NQB3" s="62"/>
      <c r="NQC3" s="62"/>
      <c r="NQD3" s="62"/>
      <c r="NQE3" s="62"/>
      <c r="NQF3" s="62"/>
      <c r="NQG3" s="62"/>
      <c r="NQH3" s="62"/>
      <c r="NQI3" s="62"/>
      <c r="NQJ3" s="62"/>
      <c r="NQK3" s="62"/>
      <c r="NQL3" s="62"/>
      <c r="NQM3" s="62"/>
      <c r="NQN3" s="62"/>
      <c r="NQO3" s="62"/>
      <c r="NQP3" s="62"/>
      <c r="NQQ3" s="62"/>
      <c r="NQR3" s="62"/>
      <c r="NQS3" s="62"/>
      <c r="NQT3" s="62"/>
      <c r="NQU3" s="62"/>
      <c r="NQV3" s="62"/>
      <c r="NQW3" s="62"/>
      <c r="NQX3" s="62"/>
      <c r="NQY3" s="62"/>
      <c r="NQZ3" s="62"/>
      <c r="NRA3" s="62"/>
      <c r="NRB3" s="62"/>
      <c r="NRC3" s="62"/>
      <c r="NRD3" s="62"/>
      <c r="NRE3" s="62"/>
      <c r="NRF3" s="62"/>
      <c r="NRG3" s="62"/>
      <c r="NRH3" s="62"/>
      <c r="NRI3" s="62"/>
      <c r="NRJ3" s="62"/>
      <c r="NRK3" s="62"/>
      <c r="NRL3" s="62"/>
      <c r="NRM3" s="62"/>
      <c r="NRN3" s="62"/>
      <c r="NRO3" s="62"/>
      <c r="NRP3" s="62"/>
      <c r="NRQ3" s="62"/>
      <c r="NRR3" s="62"/>
      <c r="NRS3" s="62"/>
      <c r="NRT3" s="62"/>
      <c r="NRU3" s="62"/>
      <c r="NRV3" s="62"/>
      <c r="NRW3" s="62"/>
      <c r="NRX3" s="62"/>
      <c r="NRY3" s="62"/>
      <c r="NRZ3" s="62"/>
      <c r="NSA3" s="62"/>
      <c r="NSB3" s="62"/>
      <c r="NSC3" s="62"/>
      <c r="NSD3" s="62"/>
      <c r="NSE3" s="62"/>
      <c r="NSF3" s="62"/>
      <c r="NSG3" s="62"/>
      <c r="NSH3" s="62"/>
      <c r="NSI3" s="62"/>
      <c r="NSJ3" s="62"/>
      <c r="NSK3" s="62"/>
      <c r="NSL3" s="62"/>
      <c r="NSM3" s="62"/>
      <c r="NSN3" s="62"/>
      <c r="NSO3" s="62"/>
      <c r="NSP3" s="62"/>
      <c r="NSQ3" s="62"/>
      <c r="NSR3" s="62"/>
      <c r="NSS3" s="62"/>
      <c r="NST3" s="62"/>
      <c r="NSU3" s="62"/>
      <c r="NSV3" s="62"/>
      <c r="NSW3" s="62"/>
      <c r="NSX3" s="62"/>
      <c r="NSY3" s="62"/>
      <c r="NSZ3" s="62"/>
      <c r="NTA3" s="62"/>
      <c r="NTB3" s="62"/>
      <c r="NTC3" s="62"/>
      <c r="NTD3" s="62"/>
      <c r="NTE3" s="62"/>
      <c r="NTF3" s="62"/>
      <c r="NTG3" s="62"/>
      <c r="NTH3" s="62"/>
      <c r="NTI3" s="62"/>
      <c r="NTJ3" s="62"/>
      <c r="NTK3" s="62"/>
      <c r="NTL3" s="62"/>
      <c r="NTM3" s="62"/>
      <c r="NTN3" s="62"/>
      <c r="NTO3" s="62"/>
      <c r="NTP3" s="62"/>
      <c r="NTQ3" s="62"/>
      <c r="NTR3" s="62"/>
      <c r="NTS3" s="62"/>
      <c r="NTT3" s="62"/>
      <c r="NTU3" s="62"/>
      <c r="NTV3" s="62"/>
      <c r="NTW3" s="62"/>
      <c r="NTX3" s="62"/>
      <c r="NTY3" s="62"/>
      <c r="NTZ3" s="62"/>
      <c r="NUA3" s="62"/>
      <c r="NUB3" s="62"/>
      <c r="NUC3" s="62"/>
      <c r="NUD3" s="62"/>
      <c r="NUE3" s="62"/>
      <c r="NUF3" s="62"/>
      <c r="NUG3" s="62"/>
      <c r="NUH3" s="62"/>
      <c r="NUI3" s="62"/>
      <c r="NUJ3" s="62"/>
      <c r="NUK3" s="62"/>
      <c r="NUL3" s="62"/>
      <c r="NUM3" s="62"/>
      <c r="NUN3" s="62"/>
      <c r="NUO3" s="62"/>
      <c r="NUP3" s="62"/>
      <c r="NUQ3" s="62"/>
      <c r="NUR3" s="62"/>
      <c r="NUS3" s="62"/>
      <c r="NUT3" s="62"/>
      <c r="NUU3" s="62"/>
      <c r="NUV3" s="62"/>
      <c r="NUW3" s="62"/>
      <c r="NUX3" s="62"/>
      <c r="NUY3" s="62"/>
      <c r="NUZ3" s="62"/>
      <c r="NVA3" s="62"/>
      <c r="NVB3" s="62"/>
      <c r="NVC3" s="62"/>
      <c r="NVD3" s="62"/>
      <c r="NVE3" s="62"/>
      <c r="NVF3" s="62"/>
      <c r="NVG3" s="62"/>
      <c r="NVH3" s="62"/>
      <c r="NVI3" s="62"/>
      <c r="NVJ3" s="62"/>
      <c r="NVK3" s="62"/>
      <c r="NVL3" s="62"/>
      <c r="NVM3" s="62"/>
      <c r="NVN3" s="62"/>
      <c r="NVO3" s="62"/>
      <c r="NVP3" s="62"/>
      <c r="NVQ3" s="62"/>
      <c r="NVR3" s="62"/>
      <c r="NVS3" s="62"/>
      <c r="NVT3" s="62"/>
      <c r="NVU3" s="62"/>
      <c r="NVV3" s="62"/>
      <c r="NVW3" s="62"/>
      <c r="NVX3" s="62"/>
      <c r="NVY3" s="62"/>
      <c r="NVZ3" s="62"/>
      <c r="NWA3" s="62"/>
      <c r="NWB3" s="62"/>
      <c r="NWC3" s="62"/>
      <c r="NWD3" s="62"/>
      <c r="NWE3" s="62"/>
      <c r="NWF3" s="62"/>
      <c r="NWG3" s="62"/>
      <c r="NWH3" s="62"/>
      <c r="NWI3" s="62"/>
      <c r="NWJ3" s="62"/>
      <c r="NWK3" s="62"/>
      <c r="NWL3" s="62"/>
      <c r="NWM3" s="62"/>
      <c r="NWN3" s="62"/>
      <c r="NWO3" s="62"/>
      <c r="NWP3" s="62"/>
      <c r="NWQ3" s="62"/>
      <c r="NWR3" s="62"/>
      <c r="NWS3" s="62"/>
      <c r="NWT3" s="62"/>
      <c r="NWU3" s="62"/>
      <c r="NWV3" s="62"/>
      <c r="NWW3" s="62"/>
      <c r="NWX3" s="62"/>
      <c r="NWY3" s="62"/>
      <c r="NWZ3" s="62"/>
      <c r="NXA3" s="62"/>
      <c r="NXB3" s="62"/>
      <c r="NXC3" s="62"/>
      <c r="NXD3" s="62"/>
      <c r="NXE3" s="62"/>
      <c r="NXF3" s="62"/>
      <c r="NXG3" s="62"/>
      <c r="NXH3" s="62"/>
      <c r="NXI3" s="62"/>
      <c r="NXJ3" s="62"/>
      <c r="NXK3" s="62"/>
      <c r="NXL3" s="62"/>
      <c r="NXM3" s="62"/>
      <c r="NXN3" s="62"/>
      <c r="NXO3" s="62"/>
      <c r="NXP3" s="62"/>
      <c r="NXQ3" s="62"/>
      <c r="NXR3" s="62"/>
      <c r="NXS3" s="62"/>
      <c r="NXT3" s="62"/>
      <c r="NXU3" s="62"/>
      <c r="NXV3" s="62"/>
      <c r="NXW3" s="62"/>
      <c r="NXX3" s="62"/>
      <c r="NXY3" s="62"/>
      <c r="NXZ3" s="62"/>
      <c r="NYA3" s="62"/>
      <c r="NYB3" s="62"/>
      <c r="NYC3" s="62"/>
      <c r="NYD3" s="62"/>
      <c r="NYE3" s="62"/>
      <c r="NYF3" s="62"/>
      <c r="NYG3" s="62"/>
      <c r="NYH3" s="62"/>
      <c r="NYI3" s="62"/>
      <c r="NYJ3" s="62"/>
      <c r="NYK3" s="62"/>
      <c r="NYL3" s="62"/>
      <c r="NYM3" s="62"/>
      <c r="NYN3" s="62"/>
      <c r="NYO3" s="62"/>
      <c r="NYP3" s="62"/>
      <c r="NYQ3" s="62"/>
      <c r="NYR3" s="62"/>
      <c r="NYS3" s="62"/>
      <c r="NYT3" s="62"/>
      <c r="NYU3" s="62"/>
      <c r="NYV3" s="62"/>
      <c r="NYW3" s="62"/>
      <c r="NYX3" s="62"/>
      <c r="NYY3" s="62"/>
      <c r="NYZ3" s="62"/>
      <c r="NZA3" s="62"/>
      <c r="NZB3" s="62"/>
      <c r="NZC3" s="62"/>
      <c r="NZD3" s="62"/>
      <c r="NZE3" s="62"/>
      <c r="NZF3" s="62"/>
      <c r="NZG3" s="62"/>
      <c r="NZH3" s="62"/>
      <c r="NZI3" s="62"/>
      <c r="NZJ3" s="62"/>
      <c r="NZK3" s="62"/>
      <c r="NZL3" s="62"/>
      <c r="NZM3" s="62"/>
      <c r="NZN3" s="62"/>
      <c r="NZO3" s="62"/>
      <c r="NZP3" s="62"/>
      <c r="NZQ3" s="62"/>
      <c r="NZR3" s="62"/>
      <c r="NZS3" s="62"/>
      <c r="NZT3" s="62"/>
      <c r="NZU3" s="62"/>
      <c r="NZV3" s="62"/>
      <c r="NZW3" s="62"/>
      <c r="NZX3" s="62"/>
      <c r="NZY3" s="62"/>
      <c r="NZZ3" s="62"/>
      <c r="OAA3" s="62"/>
      <c r="OAB3" s="62"/>
      <c r="OAC3" s="62"/>
      <c r="OAD3" s="62"/>
      <c r="OAE3" s="62"/>
      <c r="OAF3" s="62"/>
      <c r="OAG3" s="62"/>
      <c r="OAH3" s="62"/>
      <c r="OAI3" s="62"/>
      <c r="OAJ3" s="62"/>
      <c r="OAK3" s="62"/>
      <c r="OAL3" s="62"/>
      <c r="OAM3" s="62"/>
      <c r="OAN3" s="62"/>
      <c r="OAO3" s="62"/>
      <c r="OAP3" s="62"/>
      <c r="OAQ3" s="62"/>
      <c r="OAR3" s="62"/>
      <c r="OAS3" s="62"/>
      <c r="OAT3" s="62"/>
      <c r="OAU3" s="62"/>
      <c r="OAV3" s="62"/>
      <c r="OAW3" s="62"/>
      <c r="OAX3" s="62"/>
      <c r="OAY3" s="62"/>
      <c r="OAZ3" s="62"/>
      <c r="OBA3" s="62"/>
      <c r="OBB3" s="62"/>
      <c r="OBC3" s="62"/>
      <c r="OBD3" s="62"/>
      <c r="OBE3" s="62"/>
      <c r="OBF3" s="62"/>
      <c r="OBG3" s="62"/>
      <c r="OBH3" s="62"/>
      <c r="OBI3" s="62"/>
      <c r="OBJ3" s="62"/>
      <c r="OBK3" s="62"/>
      <c r="OBL3" s="62"/>
      <c r="OBM3" s="62"/>
      <c r="OBN3" s="62"/>
      <c r="OBO3" s="62"/>
      <c r="OBP3" s="62"/>
      <c r="OBQ3" s="62"/>
      <c r="OBR3" s="62"/>
      <c r="OBS3" s="62"/>
      <c r="OBT3" s="62"/>
      <c r="OBU3" s="62"/>
      <c r="OBV3" s="62"/>
      <c r="OBW3" s="62"/>
      <c r="OBX3" s="62"/>
      <c r="OBY3" s="62"/>
      <c r="OBZ3" s="62"/>
      <c r="OCA3" s="62"/>
      <c r="OCB3" s="62"/>
      <c r="OCC3" s="62"/>
      <c r="OCD3" s="62"/>
      <c r="OCE3" s="62"/>
      <c r="OCF3" s="62"/>
      <c r="OCG3" s="62"/>
      <c r="OCH3" s="62"/>
      <c r="OCI3" s="62"/>
      <c r="OCJ3" s="62"/>
      <c r="OCK3" s="62"/>
      <c r="OCL3" s="62"/>
      <c r="OCM3" s="62"/>
      <c r="OCN3" s="62"/>
      <c r="OCO3" s="62"/>
      <c r="OCP3" s="62"/>
      <c r="OCQ3" s="62"/>
      <c r="OCR3" s="62"/>
      <c r="OCS3" s="62"/>
      <c r="OCT3" s="62"/>
      <c r="OCU3" s="62"/>
      <c r="OCV3" s="62"/>
      <c r="OCW3" s="62"/>
      <c r="OCX3" s="62"/>
      <c r="OCY3" s="62"/>
      <c r="OCZ3" s="62"/>
      <c r="ODA3" s="62"/>
      <c r="ODB3" s="62"/>
      <c r="ODC3" s="62"/>
      <c r="ODD3" s="62"/>
      <c r="ODE3" s="62"/>
      <c r="ODF3" s="62"/>
      <c r="ODG3" s="62"/>
      <c r="ODH3" s="62"/>
      <c r="ODI3" s="62"/>
      <c r="ODJ3" s="62"/>
      <c r="ODK3" s="62"/>
      <c r="ODL3" s="62"/>
      <c r="ODM3" s="62"/>
      <c r="ODN3" s="62"/>
      <c r="ODO3" s="62"/>
      <c r="ODP3" s="62"/>
      <c r="ODQ3" s="62"/>
      <c r="ODR3" s="62"/>
      <c r="ODS3" s="62"/>
      <c r="ODT3" s="62"/>
      <c r="ODU3" s="62"/>
      <c r="ODV3" s="62"/>
      <c r="ODW3" s="62"/>
      <c r="ODX3" s="62"/>
      <c r="ODY3" s="62"/>
      <c r="ODZ3" s="62"/>
      <c r="OEA3" s="62"/>
      <c r="OEB3" s="62"/>
      <c r="OEC3" s="62"/>
      <c r="OED3" s="62"/>
      <c r="OEE3" s="62"/>
      <c r="OEF3" s="62"/>
      <c r="OEG3" s="62"/>
      <c r="OEH3" s="62"/>
      <c r="OEI3" s="62"/>
      <c r="OEJ3" s="62"/>
      <c r="OEK3" s="62"/>
      <c r="OEL3" s="62"/>
      <c r="OEM3" s="62"/>
      <c r="OEN3" s="62"/>
      <c r="OEO3" s="62"/>
      <c r="OEP3" s="62"/>
      <c r="OEQ3" s="62"/>
      <c r="OER3" s="62"/>
      <c r="OES3" s="62"/>
      <c r="OET3" s="62"/>
      <c r="OEU3" s="62"/>
      <c r="OEV3" s="62"/>
      <c r="OEW3" s="62"/>
      <c r="OEX3" s="62"/>
      <c r="OEY3" s="62"/>
      <c r="OEZ3" s="62"/>
      <c r="OFA3" s="62"/>
      <c r="OFB3" s="62"/>
      <c r="OFC3" s="62"/>
      <c r="OFD3" s="62"/>
      <c r="OFE3" s="62"/>
      <c r="OFF3" s="62"/>
      <c r="OFG3" s="62"/>
      <c r="OFH3" s="62"/>
      <c r="OFI3" s="62"/>
      <c r="OFJ3" s="62"/>
      <c r="OFK3" s="62"/>
      <c r="OFL3" s="62"/>
      <c r="OFM3" s="62"/>
      <c r="OFN3" s="62"/>
      <c r="OFO3" s="62"/>
      <c r="OFP3" s="62"/>
      <c r="OFQ3" s="62"/>
      <c r="OFR3" s="62"/>
      <c r="OFS3" s="62"/>
      <c r="OFT3" s="62"/>
      <c r="OFU3" s="62"/>
      <c r="OFV3" s="62"/>
      <c r="OFW3" s="62"/>
      <c r="OFX3" s="62"/>
      <c r="OFY3" s="62"/>
      <c r="OFZ3" s="62"/>
      <c r="OGA3" s="62"/>
      <c r="OGB3" s="62"/>
      <c r="OGC3" s="62"/>
      <c r="OGD3" s="62"/>
      <c r="OGE3" s="62"/>
      <c r="OGF3" s="62"/>
      <c r="OGG3" s="62"/>
      <c r="OGH3" s="62"/>
      <c r="OGI3" s="62"/>
      <c r="OGJ3" s="62"/>
      <c r="OGK3" s="62"/>
      <c r="OGL3" s="62"/>
      <c r="OGM3" s="62"/>
      <c r="OGN3" s="62"/>
      <c r="OGO3" s="62"/>
      <c r="OGP3" s="62"/>
      <c r="OGQ3" s="62"/>
      <c r="OGR3" s="62"/>
      <c r="OGS3" s="62"/>
      <c r="OGT3" s="62"/>
      <c r="OGU3" s="62"/>
      <c r="OGV3" s="62"/>
      <c r="OGW3" s="62"/>
      <c r="OGX3" s="62"/>
      <c r="OGY3" s="62"/>
      <c r="OGZ3" s="62"/>
      <c r="OHA3" s="62"/>
      <c r="OHB3" s="62"/>
      <c r="OHC3" s="62"/>
      <c r="OHD3" s="62"/>
      <c r="OHE3" s="62"/>
      <c r="OHF3" s="62"/>
      <c r="OHG3" s="62"/>
      <c r="OHH3" s="62"/>
      <c r="OHI3" s="62"/>
      <c r="OHJ3" s="62"/>
      <c r="OHK3" s="62"/>
      <c r="OHL3" s="62"/>
      <c r="OHM3" s="62"/>
      <c r="OHN3" s="62"/>
      <c r="OHO3" s="62"/>
      <c r="OHP3" s="62"/>
      <c r="OHQ3" s="62"/>
      <c r="OHR3" s="62"/>
      <c r="OHS3" s="62"/>
      <c r="OHT3" s="62"/>
      <c r="OHU3" s="62"/>
      <c r="OHV3" s="62"/>
      <c r="OHW3" s="62"/>
      <c r="OHX3" s="62"/>
      <c r="OHY3" s="62"/>
      <c r="OHZ3" s="62"/>
      <c r="OIA3" s="62"/>
      <c r="OIB3" s="62"/>
      <c r="OIC3" s="62"/>
      <c r="OID3" s="62"/>
      <c r="OIE3" s="62"/>
      <c r="OIF3" s="62"/>
      <c r="OIG3" s="62"/>
      <c r="OIH3" s="62"/>
      <c r="OII3" s="62"/>
      <c r="OIJ3" s="62"/>
      <c r="OIK3" s="62"/>
      <c r="OIL3" s="62"/>
      <c r="OIM3" s="62"/>
      <c r="OIN3" s="62"/>
      <c r="OIO3" s="62"/>
      <c r="OIP3" s="62"/>
      <c r="OIQ3" s="62"/>
      <c r="OIR3" s="62"/>
      <c r="OIS3" s="62"/>
      <c r="OIT3" s="62"/>
      <c r="OIU3" s="62"/>
      <c r="OIV3" s="62"/>
      <c r="OIW3" s="62"/>
      <c r="OIX3" s="62"/>
      <c r="OIY3" s="62"/>
      <c r="OIZ3" s="62"/>
      <c r="OJA3" s="62"/>
      <c r="OJB3" s="62"/>
      <c r="OJC3" s="62"/>
      <c r="OJD3" s="62"/>
      <c r="OJE3" s="62"/>
      <c r="OJF3" s="62"/>
      <c r="OJG3" s="62"/>
      <c r="OJH3" s="62"/>
      <c r="OJI3" s="62"/>
      <c r="OJJ3" s="62"/>
      <c r="OJK3" s="62"/>
      <c r="OJL3" s="62"/>
      <c r="OJM3" s="62"/>
      <c r="OJN3" s="62"/>
      <c r="OJO3" s="62"/>
      <c r="OJP3" s="62"/>
      <c r="OJQ3" s="62"/>
      <c r="OJR3" s="62"/>
      <c r="OJS3" s="62"/>
      <c r="OJT3" s="62"/>
      <c r="OJU3" s="62"/>
      <c r="OJV3" s="62"/>
      <c r="OJW3" s="62"/>
      <c r="OJX3" s="62"/>
      <c r="OJY3" s="62"/>
      <c r="OJZ3" s="62"/>
      <c r="OKA3" s="62"/>
      <c r="OKB3" s="62"/>
      <c r="OKC3" s="62"/>
      <c r="OKD3" s="62"/>
      <c r="OKE3" s="62"/>
      <c r="OKF3" s="62"/>
      <c r="OKG3" s="62"/>
      <c r="OKH3" s="62"/>
      <c r="OKI3" s="62"/>
      <c r="OKJ3" s="62"/>
      <c r="OKK3" s="62"/>
      <c r="OKL3" s="62"/>
      <c r="OKM3" s="62"/>
      <c r="OKN3" s="62"/>
      <c r="OKO3" s="62"/>
      <c r="OKP3" s="62"/>
      <c r="OKQ3" s="62"/>
      <c r="OKR3" s="62"/>
      <c r="OKS3" s="62"/>
      <c r="OKT3" s="62"/>
      <c r="OKU3" s="62"/>
      <c r="OKV3" s="62"/>
      <c r="OKW3" s="62"/>
      <c r="OKX3" s="62"/>
      <c r="OKY3" s="62"/>
      <c r="OKZ3" s="62"/>
      <c r="OLA3" s="62"/>
      <c r="OLB3" s="62"/>
      <c r="OLC3" s="62"/>
      <c r="OLD3" s="62"/>
      <c r="OLE3" s="62"/>
      <c r="OLF3" s="62"/>
      <c r="OLG3" s="62"/>
      <c r="OLH3" s="62"/>
      <c r="OLI3" s="62"/>
      <c r="OLJ3" s="62"/>
      <c r="OLK3" s="62"/>
      <c r="OLL3" s="62"/>
      <c r="OLM3" s="62"/>
      <c r="OLN3" s="62"/>
      <c r="OLO3" s="62"/>
      <c r="OLP3" s="62"/>
      <c r="OLQ3" s="62"/>
      <c r="OLR3" s="62"/>
      <c r="OLS3" s="62"/>
      <c r="OLT3" s="62"/>
      <c r="OLU3" s="62"/>
      <c r="OLV3" s="62"/>
      <c r="OLW3" s="62"/>
      <c r="OLX3" s="62"/>
      <c r="OLY3" s="62"/>
      <c r="OLZ3" s="62"/>
      <c r="OMA3" s="62"/>
      <c r="OMB3" s="62"/>
      <c r="OMC3" s="62"/>
      <c r="OMD3" s="62"/>
      <c r="OME3" s="62"/>
      <c r="OMF3" s="62"/>
      <c r="OMG3" s="62"/>
      <c r="OMH3" s="62"/>
      <c r="OMI3" s="62"/>
      <c r="OMJ3" s="62"/>
      <c r="OMK3" s="62"/>
      <c r="OML3" s="62"/>
      <c r="OMM3" s="62"/>
      <c r="OMN3" s="62"/>
      <c r="OMO3" s="62"/>
      <c r="OMP3" s="62"/>
      <c r="OMQ3" s="62"/>
      <c r="OMR3" s="62"/>
      <c r="OMS3" s="62"/>
      <c r="OMT3" s="62"/>
      <c r="OMU3" s="62"/>
      <c r="OMV3" s="62"/>
      <c r="OMW3" s="62"/>
      <c r="OMX3" s="62"/>
      <c r="OMY3" s="62"/>
      <c r="OMZ3" s="62"/>
      <c r="ONA3" s="62"/>
      <c r="ONB3" s="62"/>
      <c r="ONC3" s="62"/>
      <c r="OND3" s="62"/>
      <c r="ONE3" s="62"/>
      <c r="ONF3" s="62"/>
      <c r="ONG3" s="62"/>
      <c r="ONH3" s="62"/>
      <c r="ONI3" s="62"/>
      <c r="ONJ3" s="62"/>
      <c r="ONK3" s="62"/>
      <c r="ONL3" s="62"/>
      <c r="ONM3" s="62"/>
      <c r="ONN3" s="62"/>
      <c r="ONO3" s="62"/>
      <c r="ONP3" s="62"/>
      <c r="ONQ3" s="62"/>
      <c r="ONR3" s="62"/>
      <c r="ONS3" s="62"/>
      <c r="ONT3" s="62"/>
      <c r="ONU3" s="62"/>
      <c r="ONV3" s="62"/>
      <c r="ONW3" s="62"/>
      <c r="ONX3" s="62"/>
      <c r="ONY3" s="62"/>
      <c r="ONZ3" s="62"/>
      <c r="OOA3" s="62"/>
      <c r="OOB3" s="62"/>
      <c r="OOC3" s="62"/>
      <c r="OOD3" s="62"/>
      <c r="OOE3" s="62"/>
      <c r="OOF3" s="62"/>
      <c r="OOG3" s="62"/>
      <c r="OOH3" s="62"/>
      <c r="OOI3" s="62"/>
      <c r="OOJ3" s="62"/>
      <c r="OOK3" s="62"/>
      <c r="OOL3" s="62"/>
      <c r="OOM3" s="62"/>
      <c r="OON3" s="62"/>
      <c r="OOO3" s="62"/>
      <c r="OOP3" s="62"/>
      <c r="OOQ3" s="62"/>
      <c r="OOR3" s="62"/>
      <c r="OOS3" s="62"/>
      <c r="OOT3" s="62"/>
      <c r="OOU3" s="62"/>
      <c r="OOV3" s="62"/>
      <c r="OOW3" s="62"/>
      <c r="OOX3" s="62"/>
      <c r="OOY3" s="62"/>
      <c r="OOZ3" s="62"/>
      <c r="OPA3" s="62"/>
      <c r="OPB3" s="62"/>
      <c r="OPC3" s="62"/>
      <c r="OPD3" s="62"/>
      <c r="OPE3" s="62"/>
      <c r="OPF3" s="62"/>
      <c r="OPG3" s="62"/>
      <c r="OPH3" s="62"/>
      <c r="OPI3" s="62"/>
      <c r="OPJ3" s="62"/>
      <c r="OPK3" s="62"/>
      <c r="OPL3" s="62"/>
      <c r="OPM3" s="62"/>
      <c r="OPN3" s="62"/>
      <c r="OPO3" s="62"/>
      <c r="OPP3" s="62"/>
      <c r="OPQ3" s="62"/>
      <c r="OPR3" s="62"/>
      <c r="OPS3" s="62"/>
      <c r="OPT3" s="62"/>
      <c r="OPU3" s="62"/>
      <c r="OPV3" s="62"/>
      <c r="OPW3" s="62"/>
      <c r="OPX3" s="62"/>
      <c r="OPY3" s="62"/>
      <c r="OPZ3" s="62"/>
      <c r="OQA3" s="62"/>
      <c r="OQB3" s="62"/>
      <c r="OQC3" s="62"/>
      <c r="OQD3" s="62"/>
      <c r="OQE3" s="62"/>
      <c r="OQF3" s="62"/>
      <c r="OQG3" s="62"/>
      <c r="OQH3" s="62"/>
      <c r="OQI3" s="62"/>
      <c r="OQJ3" s="62"/>
      <c r="OQK3" s="62"/>
      <c r="OQL3" s="62"/>
      <c r="OQM3" s="62"/>
      <c r="OQN3" s="62"/>
      <c r="OQO3" s="62"/>
      <c r="OQP3" s="62"/>
      <c r="OQQ3" s="62"/>
      <c r="OQR3" s="62"/>
      <c r="OQS3" s="62"/>
      <c r="OQT3" s="62"/>
      <c r="OQU3" s="62"/>
      <c r="OQV3" s="62"/>
      <c r="OQW3" s="62"/>
      <c r="OQX3" s="62"/>
      <c r="OQY3" s="62"/>
      <c r="OQZ3" s="62"/>
      <c r="ORA3" s="62"/>
      <c r="ORB3" s="62"/>
      <c r="ORC3" s="62"/>
      <c r="ORD3" s="62"/>
      <c r="ORE3" s="62"/>
      <c r="ORF3" s="62"/>
      <c r="ORG3" s="62"/>
      <c r="ORH3" s="62"/>
      <c r="ORI3" s="62"/>
      <c r="ORJ3" s="62"/>
      <c r="ORK3" s="62"/>
      <c r="ORL3" s="62"/>
      <c r="ORM3" s="62"/>
      <c r="ORN3" s="62"/>
      <c r="ORO3" s="62"/>
      <c r="ORP3" s="62"/>
      <c r="ORQ3" s="62"/>
      <c r="ORR3" s="62"/>
      <c r="ORS3" s="62"/>
      <c r="ORT3" s="62"/>
      <c r="ORU3" s="62"/>
      <c r="ORV3" s="62"/>
      <c r="ORW3" s="62"/>
      <c r="ORX3" s="62"/>
      <c r="ORY3" s="62"/>
      <c r="ORZ3" s="62"/>
      <c r="OSA3" s="62"/>
      <c r="OSB3" s="62"/>
      <c r="OSC3" s="62"/>
      <c r="OSD3" s="62"/>
      <c r="OSE3" s="62"/>
      <c r="OSF3" s="62"/>
      <c r="OSG3" s="62"/>
      <c r="OSH3" s="62"/>
      <c r="OSI3" s="62"/>
      <c r="OSJ3" s="62"/>
      <c r="OSK3" s="62"/>
      <c r="OSL3" s="62"/>
      <c r="OSM3" s="62"/>
      <c r="OSN3" s="62"/>
      <c r="OSO3" s="62"/>
      <c r="OSP3" s="62"/>
      <c r="OSQ3" s="62"/>
      <c r="OSR3" s="62"/>
      <c r="OSS3" s="62"/>
      <c r="OST3" s="62"/>
      <c r="OSU3" s="62"/>
      <c r="OSV3" s="62"/>
      <c r="OSW3" s="62"/>
      <c r="OSX3" s="62"/>
      <c r="OSY3" s="62"/>
      <c r="OSZ3" s="62"/>
      <c r="OTA3" s="62"/>
      <c r="OTB3" s="62"/>
      <c r="OTC3" s="62"/>
      <c r="OTD3" s="62"/>
      <c r="OTE3" s="62"/>
      <c r="OTF3" s="62"/>
      <c r="OTG3" s="62"/>
      <c r="OTH3" s="62"/>
      <c r="OTI3" s="62"/>
      <c r="OTJ3" s="62"/>
      <c r="OTK3" s="62"/>
      <c r="OTL3" s="62"/>
      <c r="OTM3" s="62"/>
      <c r="OTN3" s="62"/>
      <c r="OTO3" s="62"/>
      <c r="OTP3" s="62"/>
      <c r="OTQ3" s="62"/>
      <c r="OTR3" s="62"/>
      <c r="OTS3" s="62"/>
      <c r="OTT3" s="62"/>
      <c r="OTU3" s="62"/>
      <c r="OTV3" s="62"/>
      <c r="OTW3" s="62"/>
      <c r="OTX3" s="62"/>
      <c r="OTY3" s="62"/>
      <c r="OTZ3" s="62"/>
      <c r="OUA3" s="62"/>
      <c r="OUB3" s="62"/>
      <c r="OUC3" s="62"/>
      <c r="OUD3" s="62"/>
      <c r="OUE3" s="62"/>
      <c r="OUF3" s="62"/>
      <c r="OUG3" s="62"/>
      <c r="OUH3" s="62"/>
      <c r="OUI3" s="62"/>
      <c r="OUJ3" s="62"/>
      <c r="OUK3" s="62"/>
      <c r="OUL3" s="62"/>
      <c r="OUM3" s="62"/>
      <c r="OUN3" s="62"/>
      <c r="OUO3" s="62"/>
      <c r="OUP3" s="62"/>
      <c r="OUQ3" s="62"/>
      <c r="OUR3" s="62"/>
      <c r="OUS3" s="62"/>
      <c r="OUT3" s="62"/>
      <c r="OUU3" s="62"/>
      <c r="OUV3" s="62"/>
      <c r="OUW3" s="62"/>
      <c r="OUX3" s="62"/>
      <c r="OUY3" s="62"/>
      <c r="OUZ3" s="62"/>
      <c r="OVA3" s="62"/>
      <c r="OVB3" s="62"/>
      <c r="OVC3" s="62"/>
      <c r="OVD3" s="62"/>
      <c r="OVE3" s="62"/>
      <c r="OVF3" s="62"/>
      <c r="OVG3" s="62"/>
      <c r="OVH3" s="62"/>
      <c r="OVI3" s="62"/>
      <c r="OVJ3" s="62"/>
      <c r="OVK3" s="62"/>
      <c r="OVL3" s="62"/>
      <c r="OVM3" s="62"/>
      <c r="OVN3" s="62"/>
      <c r="OVO3" s="62"/>
      <c r="OVP3" s="62"/>
      <c r="OVQ3" s="62"/>
      <c r="OVR3" s="62"/>
      <c r="OVS3" s="62"/>
      <c r="OVT3" s="62"/>
      <c r="OVU3" s="62"/>
      <c r="OVV3" s="62"/>
      <c r="OVW3" s="62"/>
      <c r="OVX3" s="62"/>
      <c r="OVY3" s="62"/>
      <c r="OVZ3" s="62"/>
      <c r="OWA3" s="62"/>
      <c r="OWB3" s="62"/>
      <c r="OWC3" s="62"/>
      <c r="OWD3" s="62"/>
      <c r="OWE3" s="62"/>
      <c r="OWF3" s="62"/>
      <c r="OWG3" s="62"/>
      <c r="OWH3" s="62"/>
      <c r="OWI3" s="62"/>
      <c r="OWJ3" s="62"/>
      <c r="OWK3" s="62"/>
      <c r="OWL3" s="62"/>
      <c r="OWM3" s="62"/>
      <c r="OWN3" s="62"/>
      <c r="OWO3" s="62"/>
      <c r="OWP3" s="62"/>
      <c r="OWQ3" s="62"/>
      <c r="OWR3" s="62"/>
      <c r="OWS3" s="62"/>
      <c r="OWT3" s="62"/>
      <c r="OWU3" s="62"/>
      <c r="OWV3" s="62"/>
      <c r="OWW3" s="62"/>
      <c r="OWX3" s="62"/>
      <c r="OWY3" s="62"/>
      <c r="OWZ3" s="62"/>
      <c r="OXA3" s="62"/>
      <c r="OXB3" s="62"/>
      <c r="OXC3" s="62"/>
      <c r="OXD3" s="62"/>
      <c r="OXE3" s="62"/>
      <c r="OXF3" s="62"/>
      <c r="OXG3" s="62"/>
      <c r="OXH3" s="62"/>
      <c r="OXI3" s="62"/>
      <c r="OXJ3" s="62"/>
      <c r="OXK3" s="62"/>
      <c r="OXL3" s="62"/>
      <c r="OXM3" s="62"/>
      <c r="OXN3" s="62"/>
      <c r="OXO3" s="62"/>
      <c r="OXP3" s="62"/>
      <c r="OXQ3" s="62"/>
      <c r="OXR3" s="62"/>
      <c r="OXS3" s="62"/>
      <c r="OXT3" s="62"/>
      <c r="OXU3" s="62"/>
      <c r="OXV3" s="62"/>
      <c r="OXW3" s="62"/>
      <c r="OXX3" s="62"/>
      <c r="OXY3" s="62"/>
      <c r="OXZ3" s="62"/>
      <c r="OYA3" s="62"/>
      <c r="OYB3" s="62"/>
      <c r="OYC3" s="62"/>
      <c r="OYD3" s="62"/>
      <c r="OYE3" s="62"/>
      <c r="OYF3" s="62"/>
      <c r="OYG3" s="62"/>
      <c r="OYH3" s="62"/>
      <c r="OYI3" s="62"/>
      <c r="OYJ3" s="62"/>
      <c r="OYK3" s="62"/>
      <c r="OYL3" s="62"/>
      <c r="OYM3" s="62"/>
      <c r="OYN3" s="62"/>
      <c r="OYO3" s="62"/>
      <c r="OYP3" s="62"/>
      <c r="OYQ3" s="62"/>
      <c r="OYR3" s="62"/>
      <c r="OYS3" s="62"/>
      <c r="OYT3" s="62"/>
      <c r="OYU3" s="62"/>
      <c r="OYV3" s="62"/>
      <c r="OYW3" s="62"/>
      <c r="OYX3" s="62"/>
      <c r="OYY3" s="62"/>
      <c r="OYZ3" s="62"/>
      <c r="OZA3" s="62"/>
      <c r="OZB3" s="62"/>
      <c r="OZC3" s="62"/>
      <c r="OZD3" s="62"/>
      <c r="OZE3" s="62"/>
      <c r="OZF3" s="62"/>
      <c r="OZG3" s="62"/>
      <c r="OZH3" s="62"/>
      <c r="OZI3" s="62"/>
      <c r="OZJ3" s="62"/>
      <c r="OZK3" s="62"/>
      <c r="OZL3" s="62"/>
      <c r="OZM3" s="62"/>
      <c r="OZN3" s="62"/>
      <c r="OZO3" s="62"/>
      <c r="OZP3" s="62"/>
      <c r="OZQ3" s="62"/>
      <c r="OZR3" s="62"/>
      <c r="OZS3" s="62"/>
      <c r="OZT3" s="62"/>
      <c r="OZU3" s="62"/>
      <c r="OZV3" s="62"/>
      <c r="OZW3" s="62"/>
      <c r="OZX3" s="62"/>
      <c r="OZY3" s="62"/>
      <c r="OZZ3" s="62"/>
      <c r="PAA3" s="62"/>
      <c r="PAB3" s="62"/>
      <c r="PAC3" s="62"/>
      <c r="PAD3" s="62"/>
      <c r="PAE3" s="62"/>
      <c r="PAF3" s="62"/>
      <c r="PAG3" s="62"/>
      <c r="PAH3" s="62"/>
      <c r="PAI3" s="62"/>
      <c r="PAJ3" s="62"/>
      <c r="PAK3" s="62"/>
      <c r="PAL3" s="62"/>
      <c r="PAM3" s="62"/>
      <c r="PAN3" s="62"/>
      <c r="PAO3" s="62"/>
      <c r="PAP3" s="62"/>
      <c r="PAQ3" s="62"/>
      <c r="PAR3" s="62"/>
      <c r="PAS3" s="62"/>
      <c r="PAT3" s="62"/>
      <c r="PAU3" s="62"/>
      <c r="PAV3" s="62"/>
      <c r="PAW3" s="62"/>
      <c r="PAX3" s="62"/>
      <c r="PAY3" s="62"/>
      <c r="PAZ3" s="62"/>
      <c r="PBA3" s="62"/>
      <c r="PBB3" s="62"/>
      <c r="PBC3" s="62"/>
      <c r="PBD3" s="62"/>
      <c r="PBE3" s="62"/>
      <c r="PBF3" s="62"/>
      <c r="PBG3" s="62"/>
      <c r="PBH3" s="62"/>
      <c r="PBI3" s="62"/>
      <c r="PBJ3" s="62"/>
      <c r="PBK3" s="62"/>
      <c r="PBL3" s="62"/>
      <c r="PBM3" s="62"/>
      <c r="PBN3" s="62"/>
      <c r="PBO3" s="62"/>
      <c r="PBP3" s="62"/>
      <c r="PBQ3" s="62"/>
      <c r="PBR3" s="62"/>
      <c r="PBS3" s="62"/>
      <c r="PBT3" s="62"/>
      <c r="PBU3" s="62"/>
      <c r="PBV3" s="62"/>
      <c r="PBW3" s="62"/>
      <c r="PBX3" s="62"/>
      <c r="PBY3" s="62"/>
      <c r="PBZ3" s="62"/>
      <c r="PCA3" s="62"/>
      <c r="PCB3" s="62"/>
      <c r="PCC3" s="62"/>
      <c r="PCD3" s="62"/>
      <c r="PCE3" s="62"/>
      <c r="PCF3" s="62"/>
      <c r="PCG3" s="62"/>
      <c r="PCH3" s="62"/>
      <c r="PCI3" s="62"/>
      <c r="PCJ3" s="62"/>
      <c r="PCK3" s="62"/>
      <c r="PCL3" s="62"/>
      <c r="PCM3" s="62"/>
      <c r="PCN3" s="62"/>
      <c r="PCO3" s="62"/>
      <c r="PCP3" s="62"/>
      <c r="PCQ3" s="62"/>
      <c r="PCR3" s="62"/>
      <c r="PCS3" s="62"/>
      <c r="PCT3" s="62"/>
      <c r="PCU3" s="62"/>
      <c r="PCV3" s="62"/>
      <c r="PCW3" s="62"/>
      <c r="PCX3" s="62"/>
      <c r="PCY3" s="62"/>
      <c r="PCZ3" s="62"/>
      <c r="PDA3" s="62"/>
      <c r="PDB3" s="62"/>
      <c r="PDC3" s="62"/>
      <c r="PDD3" s="62"/>
      <c r="PDE3" s="62"/>
      <c r="PDF3" s="62"/>
      <c r="PDG3" s="62"/>
      <c r="PDH3" s="62"/>
      <c r="PDI3" s="62"/>
      <c r="PDJ3" s="62"/>
      <c r="PDK3" s="62"/>
      <c r="PDL3" s="62"/>
      <c r="PDM3" s="62"/>
      <c r="PDN3" s="62"/>
      <c r="PDO3" s="62"/>
      <c r="PDP3" s="62"/>
      <c r="PDQ3" s="62"/>
      <c r="PDR3" s="62"/>
      <c r="PDS3" s="62"/>
      <c r="PDT3" s="62"/>
      <c r="PDU3" s="62"/>
      <c r="PDV3" s="62"/>
      <c r="PDW3" s="62"/>
      <c r="PDX3" s="62"/>
      <c r="PDY3" s="62"/>
      <c r="PDZ3" s="62"/>
      <c r="PEA3" s="62"/>
      <c r="PEB3" s="62"/>
      <c r="PEC3" s="62"/>
      <c r="PED3" s="62"/>
      <c r="PEE3" s="62"/>
      <c r="PEF3" s="62"/>
      <c r="PEG3" s="62"/>
      <c r="PEH3" s="62"/>
      <c r="PEI3" s="62"/>
      <c r="PEJ3" s="62"/>
      <c r="PEK3" s="62"/>
      <c r="PEL3" s="62"/>
      <c r="PEM3" s="62"/>
      <c r="PEN3" s="62"/>
      <c r="PEO3" s="62"/>
      <c r="PEP3" s="62"/>
      <c r="PEQ3" s="62"/>
      <c r="PER3" s="62"/>
      <c r="PES3" s="62"/>
      <c r="PET3" s="62"/>
      <c r="PEU3" s="62"/>
      <c r="PEV3" s="62"/>
      <c r="PEW3" s="62"/>
      <c r="PEX3" s="62"/>
      <c r="PEY3" s="62"/>
      <c r="PEZ3" s="62"/>
      <c r="PFA3" s="62"/>
      <c r="PFB3" s="62"/>
      <c r="PFC3" s="62"/>
      <c r="PFD3" s="62"/>
      <c r="PFE3" s="62"/>
      <c r="PFF3" s="62"/>
      <c r="PFG3" s="62"/>
      <c r="PFH3" s="62"/>
      <c r="PFI3" s="62"/>
      <c r="PFJ3" s="62"/>
      <c r="PFK3" s="62"/>
      <c r="PFL3" s="62"/>
      <c r="PFM3" s="62"/>
      <c r="PFN3" s="62"/>
      <c r="PFO3" s="62"/>
      <c r="PFP3" s="62"/>
      <c r="PFQ3" s="62"/>
      <c r="PFR3" s="62"/>
      <c r="PFS3" s="62"/>
      <c r="PFT3" s="62"/>
      <c r="PFU3" s="62"/>
      <c r="PFV3" s="62"/>
      <c r="PFW3" s="62"/>
      <c r="PFX3" s="62"/>
      <c r="PFY3" s="62"/>
      <c r="PFZ3" s="62"/>
      <c r="PGA3" s="62"/>
      <c r="PGB3" s="62"/>
      <c r="PGC3" s="62"/>
      <c r="PGD3" s="62"/>
      <c r="PGE3" s="62"/>
      <c r="PGF3" s="62"/>
      <c r="PGG3" s="62"/>
      <c r="PGH3" s="62"/>
      <c r="PGI3" s="62"/>
      <c r="PGJ3" s="62"/>
      <c r="PGK3" s="62"/>
      <c r="PGL3" s="62"/>
      <c r="PGM3" s="62"/>
      <c r="PGN3" s="62"/>
      <c r="PGO3" s="62"/>
      <c r="PGP3" s="62"/>
      <c r="PGQ3" s="62"/>
      <c r="PGR3" s="62"/>
      <c r="PGS3" s="62"/>
      <c r="PGT3" s="62"/>
      <c r="PGU3" s="62"/>
      <c r="PGV3" s="62"/>
      <c r="PGW3" s="62"/>
      <c r="PGX3" s="62"/>
      <c r="PGY3" s="62"/>
      <c r="PGZ3" s="62"/>
      <c r="PHA3" s="62"/>
      <c r="PHB3" s="62"/>
      <c r="PHC3" s="62"/>
      <c r="PHD3" s="62"/>
      <c r="PHE3" s="62"/>
      <c r="PHF3" s="62"/>
      <c r="PHG3" s="62"/>
      <c r="PHH3" s="62"/>
      <c r="PHI3" s="62"/>
      <c r="PHJ3" s="62"/>
      <c r="PHK3" s="62"/>
      <c r="PHL3" s="62"/>
      <c r="PHM3" s="62"/>
      <c r="PHN3" s="62"/>
      <c r="PHO3" s="62"/>
      <c r="PHP3" s="62"/>
      <c r="PHQ3" s="62"/>
      <c r="PHR3" s="62"/>
      <c r="PHS3" s="62"/>
      <c r="PHT3" s="62"/>
      <c r="PHU3" s="62"/>
      <c r="PHV3" s="62"/>
      <c r="PHW3" s="62"/>
      <c r="PHX3" s="62"/>
      <c r="PHY3" s="62"/>
      <c r="PHZ3" s="62"/>
      <c r="PIA3" s="62"/>
      <c r="PIB3" s="62"/>
      <c r="PIC3" s="62"/>
      <c r="PID3" s="62"/>
      <c r="PIE3" s="62"/>
      <c r="PIF3" s="62"/>
      <c r="PIG3" s="62"/>
      <c r="PIH3" s="62"/>
      <c r="PII3" s="62"/>
      <c r="PIJ3" s="62"/>
      <c r="PIK3" s="62"/>
      <c r="PIL3" s="62"/>
      <c r="PIM3" s="62"/>
      <c r="PIN3" s="62"/>
      <c r="PIO3" s="62"/>
      <c r="PIP3" s="62"/>
      <c r="PIQ3" s="62"/>
      <c r="PIR3" s="62"/>
      <c r="PIS3" s="62"/>
      <c r="PIT3" s="62"/>
      <c r="PIU3" s="62"/>
      <c r="PIV3" s="62"/>
      <c r="PIW3" s="62"/>
      <c r="PIX3" s="62"/>
      <c r="PIY3" s="62"/>
      <c r="PIZ3" s="62"/>
      <c r="PJA3" s="62"/>
      <c r="PJB3" s="62"/>
      <c r="PJC3" s="62"/>
      <c r="PJD3" s="62"/>
      <c r="PJE3" s="62"/>
      <c r="PJF3" s="62"/>
      <c r="PJG3" s="62"/>
      <c r="PJH3" s="62"/>
      <c r="PJI3" s="62"/>
      <c r="PJJ3" s="62"/>
      <c r="PJK3" s="62"/>
      <c r="PJL3" s="62"/>
      <c r="PJM3" s="62"/>
      <c r="PJN3" s="62"/>
      <c r="PJO3" s="62"/>
      <c r="PJP3" s="62"/>
      <c r="PJQ3" s="62"/>
      <c r="PJR3" s="62"/>
      <c r="PJS3" s="62"/>
      <c r="PJT3" s="62"/>
      <c r="PJU3" s="62"/>
      <c r="PJV3" s="62"/>
      <c r="PJW3" s="62"/>
      <c r="PJX3" s="62"/>
      <c r="PJY3" s="62"/>
      <c r="PJZ3" s="62"/>
      <c r="PKA3" s="62"/>
      <c r="PKB3" s="62"/>
      <c r="PKC3" s="62"/>
      <c r="PKD3" s="62"/>
      <c r="PKE3" s="62"/>
      <c r="PKF3" s="62"/>
      <c r="PKG3" s="62"/>
      <c r="PKH3" s="62"/>
      <c r="PKI3" s="62"/>
      <c r="PKJ3" s="62"/>
      <c r="PKK3" s="62"/>
      <c r="PKL3" s="62"/>
      <c r="PKM3" s="62"/>
      <c r="PKN3" s="62"/>
      <c r="PKO3" s="62"/>
      <c r="PKP3" s="62"/>
      <c r="PKQ3" s="62"/>
      <c r="PKR3" s="62"/>
      <c r="PKS3" s="62"/>
      <c r="PKT3" s="62"/>
      <c r="PKU3" s="62"/>
      <c r="PKV3" s="62"/>
      <c r="PKW3" s="62"/>
      <c r="PKX3" s="62"/>
      <c r="PKY3" s="62"/>
      <c r="PKZ3" s="62"/>
      <c r="PLA3" s="62"/>
      <c r="PLB3" s="62"/>
      <c r="PLC3" s="62"/>
      <c r="PLD3" s="62"/>
      <c r="PLE3" s="62"/>
      <c r="PLF3" s="62"/>
      <c r="PLG3" s="62"/>
      <c r="PLH3" s="62"/>
      <c r="PLI3" s="62"/>
      <c r="PLJ3" s="62"/>
      <c r="PLK3" s="62"/>
      <c r="PLL3" s="62"/>
      <c r="PLM3" s="62"/>
      <c r="PLN3" s="62"/>
      <c r="PLO3" s="62"/>
      <c r="PLP3" s="62"/>
      <c r="PLQ3" s="62"/>
      <c r="PLR3" s="62"/>
      <c r="PLS3" s="62"/>
      <c r="PLT3" s="62"/>
      <c r="PLU3" s="62"/>
      <c r="PLV3" s="62"/>
      <c r="PLW3" s="62"/>
      <c r="PLX3" s="62"/>
      <c r="PLY3" s="62"/>
      <c r="PLZ3" s="62"/>
      <c r="PMA3" s="62"/>
      <c r="PMB3" s="62"/>
      <c r="PMC3" s="62"/>
      <c r="PMD3" s="62"/>
      <c r="PME3" s="62"/>
      <c r="PMF3" s="62"/>
      <c r="PMG3" s="62"/>
      <c r="PMH3" s="62"/>
      <c r="PMI3" s="62"/>
      <c r="PMJ3" s="62"/>
      <c r="PMK3" s="62"/>
      <c r="PML3" s="62"/>
      <c r="PMM3" s="62"/>
      <c r="PMN3" s="62"/>
      <c r="PMO3" s="62"/>
      <c r="PMP3" s="62"/>
      <c r="PMQ3" s="62"/>
      <c r="PMR3" s="62"/>
      <c r="PMS3" s="62"/>
      <c r="PMT3" s="62"/>
      <c r="PMU3" s="62"/>
      <c r="PMV3" s="62"/>
      <c r="PMW3" s="62"/>
      <c r="PMX3" s="62"/>
      <c r="PMY3" s="62"/>
      <c r="PMZ3" s="62"/>
      <c r="PNA3" s="62"/>
      <c r="PNB3" s="62"/>
      <c r="PNC3" s="62"/>
      <c r="PND3" s="62"/>
      <c r="PNE3" s="62"/>
      <c r="PNF3" s="62"/>
      <c r="PNG3" s="62"/>
      <c r="PNH3" s="62"/>
      <c r="PNI3" s="62"/>
      <c r="PNJ3" s="62"/>
      <c r="PNK3" s="62"/>
      <c r="PNL3" s="62"/>
      <c r="PNM3" s="62"/>
      <c r="PNN3" s="62"/>
      <c r="PNO3" s="62"/>
      <c r="PNP3" s="62"/>
      <c r="PNQ3" s="62"/>
      <c r="PNR3" s="62"/>
      <c r="PNS3" s="62"/>
      <c r="PNT3" s="62"/>
      <c r="PNU3" s="62"/>
      <c r="PNV3" s="62"/>
      <c r="PNW3" s="62"/>
      <c r="PNX3" s="62"/>
      <c r="PNY3" s="62"/>
      <c r="PNZ3" s="62"/>
      <c r="POA3" s="62"/>
      <c r="POB3" s="62"/>
      <c r="POC3" s="62"/>
      <c r="POD3" s="62"/>
      <c r="POE3" s="62"/>
      <c r="POF3" s="62"/>
      <c r="POG3" s="62"/>
      <c r="POH3" s="62"/>
      <c r="POI3" s="62"/>
      <c r="POJ3" s="62"/>
      <c r="POK3" s="62"/>
      <c r="POL3" s="62"/>
      <c r="POM3" s="62"/>
      <c r="PON3" s="62"/>
      <c r="POO3" s="62"/>
      <c r="POP3" s="62"/>
      <c r="POQ3" s="62"/>
      <c r="POR3" s="62"/>
      <c r="POS3" s="62"/>
      <c r="POT3" s="62"/>
      <c r="POU3" s="62"/>
      <c r="POV3" s="62"/>
      <c r="POW3" s="62"/>
      <c r="POX3" s="62"/>
      <c r="POY3" s="62"/>
      <c r="POZ3" s="62"/>
      <c r="PPA3" s="62"/>
      <c r="PPB3" s="62"/>
      <c r="PPC3" s="62"/>
      <c r="PPD3" s="62"/>
      <c r="PPE3" s="62"/>
      <c r="PPF3" s="62"/>
      <c r="PPG3" s="62"/>
      <c r="PPH3" s="62"/>
      <c r="PPI3" s="62"/>
      <c r="PPJ3" s="62"/>
      <c r="PPK3" s="62"/>
      <c r="PPL3" s="62"/>
      <c r="PPM3" s="62"/>
      <c r="PPN3" s="62"/>
      <c r="PPO3" s="62"/>
      <c r="PPP3" s="62"/>
      <c r="PPQ3" s="62"/>
      <c r="PPR3" s="62"/>
      <c r="PPS3" s="62"/>
      <c r="PPT3" s="62"/>
      <c r="PPU3" s="62"/>
      <c r="PPV3" s="62"/>
      <c r="PPW3" s="62"/>
      <c r="PPX3" s="62"/>
      <c r="PPY3" s="62"/>
      <c r="PPZ3" s="62"/>
      <c r="PQA3" s="62"/>
      <c r="PQB3" s="62"/>
      <c r="PQC3" s="62"/>
      <c r="PQD3" s="62"/>
      <c r="PQE3" s="62"/>
      <c r="PQF3" s="62"/>
      <c r="PQG3" s="62"/>
      <c r="PQH3" s="62"/>
      <c r="PQI3" s="62"/>
      <c r="PQJ3" s="62"/>
      <c r="PQK3" s="62"/>
      <c r="PQL3" s="62"/>
      <c r="PQM3" s="62"/>
      <c r="PQN3" s="62"/>
      <c r="PQO3" s="62"/>
      <c r="PQP3" s="62"/>
      <c r="PQQ3" s="62"/>
      <c r="PQR3" s="62"/>
      <c r="PQS3" s="62"/>
      <c r="PQT3" s="62"/>
      <c r="PQU3" s="62"/>
      <c r="PQV3" s="62"/>
      <c r="PQW3" s="62"/>
      <c r="PQX3" s="62"/>
      <c r="PQY3" s="62"/>
      <c r="PQZ3" s="62"/>
      <c r="PRA3" s="62"/>
      <c r="PRB3" s="62"/>
      <c r="PRC3" s="62"/>
      <c r="PRD3" s="62"/>
      <c r="PRE3" s="62"/>
      <c r="PRF3" s="62"/>
      <c r="PRG3" s="62"/>
      <c r="PRH3" s="62"/>
      <c r="PRI3" s="62"/>
      <c r="PRJ3" s="62"/>
      <c r="PRK3" s="62"/>
      <c r="PRL3" s="62"/>
      <c r="PRM3" s="62"/>
      <c r="PRN3" s="62"/>
      <c r="PRO3" s="62"/>
      <c r="PRP3" s="62"/>
      <c r="PRQ3" s="62"/>
      <c r="PRR3" s="62"/>
      <c r="PRS3" s="62"/>
      <c r="PRT3" s="62"/>
      <c r="PRU3" s="62"/>
      <c r="PRV3" s="62"/>
      <c r="PRW3" s="62"/>
      <c r="PRX3" s="62"/>
      <c r="PRY3" s="62"/>
      <c r="PRZ3" s="62"/>
      <c r="PSA3" s="62"/>
      <c r="PSB3" s="62"/>
      <c r="PSC3" s="62"/>
      <c r="PSD3" s="62"/>
      <c r="PSE3" s="62"/>
      <c r="PSF3" s="62"/>
      <c r="PSG3" s="62"/>
      <c r="PSH3" s="62"/>
      <c r="PSI3" s="62"/>
      <c r="PSJ3" s="62"/>
      <c r="PSK3" s="62"/>
      <c r="PSL3" s="62"/>
      <c r="PSM3" s="62"/>
      <c r="PSN3" s="62"/>
      <c r="PSO3" s="62"/>
      <c r="PSP3" s="62"/>
      <c r="PSQ3" s="62"/>
      <c r="PSR3" s="62"/>
      <c r="PSS3" s="62"/>
      <c r="PST3" s="62"/>
      <c r="PSU3" s="62"/>
      <c r="PSV3" s="62"/>
      <c r="PSW3" s="62"/>
      <c r="PSX3" s="62"/>
      <c r="PSY3" s="62"/>
      <c r="PSZ3" s="62"/>
      <c r="PTA3" s="62"/>
      <c r="PTB3" s="62"/>
      <c r="PTC3" s="62"/>
      <c r="PTD3" s="62"/>
      <c r="PTE3" s="62"/>
      <c r="PTF3" s="62"/>
      <c r="PTG3" s="62"/>
      <c r="PTH3" s="62"/>
      <c r="PTI3" s="62"/>
      <c r="PTJ3" s="62"/>
      <c r="PTK3" s="62"/>
      <c r="PTL3" s="62"/>
      <c r="PTM3" s="62"/>
      <c r="PTN3" s="62"/>
      <c r="PTO3" s="62"/>
      <c r="PTP3" s="62"/>
      <c r="PTQ3" s="62"/>
      <c r="PTR3" s="62"/>
      <c r="PTS3" s="62"/>
      <c r="PTT3" s="62"/>
      <c r="PTU3" s="62"/>
      <c r="PTV3" s="62"/>
      <c r="PTW3" s="62"/>
      <c r="PTX3" s="62"/>
      <c r="PTY3" s="62"/>
      <c r="PTZ3" s="62"/>
      <c r="PUA3" s="62"/>
      <c r="PUB3" s="62"/>
      <c r="PUC3" s="62"/>
      <c r="PUD3" s="62"/>
      <c r="PUE3" s="62"/>
      <c r="PUF3" s="62"/>
      <c r="PUG3" s="62"/>
      <c r="PUH3" s="62"/>
      <c r="PUI3" s="62"/>
      <c r="PUJ3" s="62"/>
      <c r="PUK3" s="62"/>
      <c r="PUL3" s="62"/>
      <c r="PUM3" s="62"/>
      <c r="PUN3" s="62"/>
      <c r="PUO3" s="62"/>
      <c r="PUP3" s="62"/>
      <c r="PUQ3" s="62"/>
      <c r="PUR3" s="62"/>
      <c r="PUS3" s="62"/>
      <c r="PUT3" s="62"/>
      <c r="PUU3" s="62"/>
      <c r="PUV3" s="62"/>
      <c r="PUW3" s="62"/>
      <c r="PUX3" s="62"/>
      <c r="PUY3" s="62"/>
      <c r="PUZ3" s="62"/>
      <c r="PVA3" s="62"/>
      <c r="PVB3" s="62"/>
      <c r="PVC3" s="62"/>
      <c r="PVD3" s="62"/>
      <c r="PVE3" s="62"/>
      <c r="PVF3" s="62"/>
      <c r="PVG3" s="62"/>
      <c r="PVH3" s="62"/>
      <c r="PVI3" s="62"/>
      <c r="PVJ3" s="62"/>
      <c r="PVK3" s="62"/>
      <c r="PVL3" s="62"/>
      <c r="PVM3" s="62"/>
      <c r="PVN3" s="62"/>
      <c r="PVO3" s="62"/>
      <c r="PVP3" s="62"/>
      <c r="PVQ3" s="62"/>
      <c r="PVR3" s="62"/>
      <c r="PVS3" s="62"/>
      <c r="PVT3" s="62"/>
      <c r="PVU3" s="62"/>
      <c r="PVV3" s="62"/>
      <c r="PVW3" s="62"/>
      <c r="PVX3" s="62"/>
      <c r="PVY3" s="62"/>
      <c r="PVZ3" s="62"/>
      <c r="PWA3" s="62"/>
      <c r="PWB3" s="62"/>
      <c r="PWC3" s="62"/>
      <c r="PWD3" s="62"/>
      <c r="PWE3" s="62"/>
      <c r="PWF3" s="62"/>
      <c r="PWG3" s="62"/>
      <c r="PWH3" s="62"/>
      <c r="PWI3" s="62"/>
      <c r="PWJ3" s="62"/>
      <c r="PWK3" s="62"/>
      <c r="PWL3" s="62"/>
      <c r="PWM3" s="62"/>
      <c r="PWN3" s="62"/>
      <c r="PWO3" s="62"/>
      <c r="PWP3" s="62"/>
      <c r="PWQ3" s="62"/>
      <c r="PWR3" s="62"/>
      <c r="PWS3" s="62"/>
      <c r="PWT3" s="62"/>
      <c r="PWU3" s="62"/>
      <c r="PWV3" s="62"/>
      <c r="PWW3" s="62"/>
      <c r="PWX3" s="62"/>
      <c r="PWY3" s="62"/>
      <c r="PWZ3" s="62"/>
      <c r="PXA3" s="62"/>
      <c r="PXB3" s="62"/>
      <c r="PXC3" s="62"/>
      <c r="PXD3" s="62"/>
      <c r="PXE3" s="62"/>
      <c r="PXF3" s="62"/>
      <c r="PXG3" s="62"/>
      <c r="PXH3" s="62"/>
      <c r="PXI3" s="62"/>
      <c r="PXJ3" s="62"/>
      <c r="PXK3" s="62"/>
      <c r="PXL3" s="62"/>
      <c r="PXM3" s="62"/>
      <c r="PXN3" s="62"/>
      <c r="PXO3" s="62"/>
      <c r="PXP3" s="62"/>
      <c r="PXQ3" s="62"/>
      <c r="PXR3" s="62"/>
      <c r="PXS3" s="62"/>
      <c r="PXT3" s="62"/>
      <c r="PXU3" s="62"/>
      <c r="PXV3" s="62"/>
      <c r="PXW3" s="62"/>
      <c r="PXX3" s="62"/>
      <c r="PXY3" s="62"/>
      <c r="PXZ3" s="62"/>
      <c r="PYA3" s="62"/>
      <c r="PYB3" s="62"/>
      <c r="PYC3" s="62"/>
      <c r="PYD3" s="62"/>
      <c r="PYE3" s="62"/>
      <c r="PYF3" s="62"/>
      <c r="PYG3" s="62"/>
      <c r="PYH3" s="62"/>
      <c r="PYI3" s="62"/>
      <c r="PYJ3" s="62"/>
      <c r="PYK3" s="62"/>
      <c r="PYL3" s="62"/>
      <c r="PYM3" s="62"/>
      <c r="PYN3" s="62"/>
      <c r="PYO3" s="62"/>
      <c r="PYP3" s="62"/>
      <c r="PYQ3" s="62"/>
      <c r="PYR3" s="62"/>
      <c r="PYS3" s="62"/>
      <c r="PYT3" s="62"/>
      <c r="PYU3" s="62"/>
      <c r="PYV3" s="62"/>
      <c r="PYW3" s="62"/>
      <c r="PYX3" s="62"/>
      <c r="PYY3" s="62"/>
      <c r="PYZ3" s="62"/>
      <c r="PZA3" s="62"/>
      <c r="PZB3" s="62"/>
      <c r="PZC3" s="62"/>
      <c r="PZD3" s="62"/>
      <c r="PZE3" s="62"/>
      <c r="PZF3" s="62"/>
      <c r="PZG3" s="62"/>
      <c r="PZH3" s="62"/>
      <c r="PZI3" s="62"/>
      <c r="PZJ3" s="62"/>
      <c r="PZK3" s="62"/>
      <c r="PZL3" s="62"/>
      <c r="PZM3" s="62"/>
      <c r="PZN3" s="62"/>
      <c r="PZO3" s="62"/>
      <c r="PZP3" s="62"/>
      <c r="PZQ3" s="62"/>
      <c r="PZR3" s="62"/>
      <c r="PZS3" s="62"/>
      <c r="PZT3" s="62"/>
      <c r="PZU3" s="62"/>
      <c r="PZV3" s="62"/>
      <c r="PZW3" s="62"/>
      <c r="PZX3" s="62"/>
      <c r="PZY3" s="62"/>
      <c r="PZZ3" s="62"/>
      <c r="QAA3" s="62"/>
      <c r="QAB3" s="62"/>
      <c r="QAC3" s="62"/>
      <c r="QAD3" s="62"/>
      <c r="QAE3" s="62"/>
      <c r="QAF3" s="62"/>
      <c r="QAG3" s="62"/>
      <c r="QAH3" s="62"/>
      <c r="QAI3" s="62"/>
      <c r="QAJ3" s="62"/>
      <c r="QAK3" s="62"/>
      <c r="QAL3" s="62"/>
      <c r="QAM3" s="62"/>
      <c r="QAN3" s="62"/>
      <c r="QAO3" s="62"/>
      <c r="QAP3" s="62"/>
      <c r="QAQ3" s="62"/>
      <c r="QAR3" s="62"/>
      <c r="QAS3" s="62"/>
      <c r="QAT3" s="62"/>
      <c r="QAU3" s="62"/>
      <c r="QAV3" s="62"/>
      <c r="QAW3" s="62"/>
      <c r="QAX3" s="62"/>
      <c r="QAY3" s="62"/>
      <c r="QAZ3" s="62"/>
      <c r="QBA3" s="62"/>
      <c r="QBB3" s="62"/>
      <c r="QBC3" s="62"/>
      <c r="QBD3" s="62"/>
      <c r="QBE3" s="62"/>
      <c r="QBF3" s="62"/>
      <c r="QBG3" s="62"/>
      <c r="QBH3" s="62"/>
      <c r="QBI3" s="62"/>
      <c r="QBJ3" s="62"/>
      <c r="QBK3" s="62"/>
      <c r="QBL3" s="62"/>
      <c r="QBM3" s="62"/>
      <c r="QBN3" s="62"/>
      <c r="QBO3" s="62"/>
      <c r="QBP3" s="62"/>
      <c r="QBQ3" s="62"/>
      <c r="QBR3" s="62"/>
      <c r="QBS3" s="62"/>
      <c r="QBT3" s="62"/>
      <c r="QBU3" s="62"/>
      <c r="QBV3" s="62"/>
      <c r="QBW3" s="62"/>
      <c r="QBX3" s="62"/>
      <c r="QBY3" s="62"/>
      <c r="QBZ3" s="62"/>
      <c r="QCA3" s="62"/>
      <c r="QCB3" s="62"/>
      <c r="QCC3" s="62"/>
      <c r="QCD3" s="62"/>
      <c r="QCE3" s="62"/>
      <c r="QCF3" s="62"/>
      <c r="QCG3" s="62"/>
      <c r="QCH3" s="62"/>
      <c r="QCI3" s="62"/>
      <c r="QCJ3" s="62"/>
      <c r="QCK3" s="62"/>
      <c r="QCL3" s="62"/>
      <c r="QCM3" s="62"/>
      <c r="QCN3" s="62"/>
      <c r="QCO3" s="62"/>
      <c r="QCP3" s="62"/>
      <c r="QCQ3" s="62"/>
      <c r="QCR3" s="62"/>
      <c r="QCS3" s="62"/>
      <c r="QCT3" s="62"/>
      <c r="QCU3" s="62"/>
      <c r="QCV3" s="62"/>
      <c r="QCW3" s="62"/>
      <c r="QCX3" s="62"/>
      <c r="QCY3" s="62"/>
      <c r="QCZ3" s="62"/>
      <c r="QDA3" s="62"/>
      <c r="QDB3" s="62"/>
      <c r="QDC3" s="62"/>
      <c r="QDD3" s="62"/>
      <c r="QDE3" s="62"/>
      <c r="QDF3" s="62"/>
      <c r="QDG3" s="62"/>
      <c r="QDH3" s="62"/>
      <c r="QDI3" s="62"/>
      <c r="QDJ3" s="62"/>
      <c r="QDK3" s="62"/>
      <c r="QDL3" s="62"/>
      <c r="QDM3" s="62"/>
      <c r="QDN3" s="62"/>
      <c r="QDO3" s="62"/>
      <c r="QDP3" s="62"/>
      <c r="QDQ3" s="62"/>
      <c r="QDR3" s="62"/>
      <c r="QDS3" s="62"/>
      <c r="QDT3" s="62"/>
      <c r="QDU3" s="62"/>
      <c r="QDV3" s="62"/>
      <c r="QDW3" s="62"/>
      <c r="QDX3" s="62"/>
      <c r="QDY3" s="62"/>
      <c r="QDZ3" s="62"/>
      <c r="QEA3" s="62"/>
      <c r="QEB3" s="62"/>
      <c r="QEC3" s="62"/>
      <c r="QED3" s="62"/>
      <c r="QEE3" s="62"/>
      <c r="QEF3" s="62"/>
      <c r="QEG3" s="62"/>
      <c r="QEH3" s="62"/>
      <c r="QEI3" s="62"/>
      <c r="QEJ3" s="62"/>
      <c r="QEK3" s="62"/>
      <c r="QEL3" s="62"/>
      <c r="QEM3" s="62"/>
      <c r="QEN3" s="62"/>
      <c r="QEO3" s="62"/>
      <c r="QEP3" s="62"/>
      <c r="QEQ3" s="62"/>
      <c r="QER3" s="62"/>
      <c r="QES3" s="62"/>
      <c r="QET3" s="62"/>
      <c r="QEU3" s="62"/>
      <c r="QEV3" s="62"/>
      <c r="QEW3" s="62"/>
      <c r="QEX3" s="62"/>
      <c r="QEY3" s="62"/>
      <c r="QEZ3" s="62"/>
      <c r="QFA3" s="62"/>
      <c r="QFB3" s="62"/>
      <c r="QFC3" s="62"/>
      <c r="QFD3" s="62"/>
      <c r="QFE3" s="62"/>
      <c r="QFF3" s="62"/>
      <c r="QFG3" s="62"/>
      <c r="QFH3" s="62"/>
      <c r="QFI3" s="62"/>
      <c r="QFJ3" s="62"/>
      <c r="QFK3" s="62"/>
      <c r="QFL3" s="62"/>
      <c r="QFM3" s="62"/>
      <c r="QFN3" s="62"/>
      <c r="QFO3" s="62"/>
      <c r="QFP3" s="62"/>
      <c r="QFQ3" s="62"/>
      <c r="QFR3" s="62"/>
      <c r="QFS3" s="62"/>
      <c r="QFT3" s="62"/>
      <c r="QFU3" s="62"/>
      <c r="QFV3" s="62"/>
      <c r="QFW3" s="62"/>
      <c r="QFX3" s="62"/>
      <c r="QFY3" s="62"/>
      <c r="QFZ3" s="62"/>
      <c r="QGA3" s="62"/>
      <c r="QGB3" s="62"/>
      <c r="QGC3" s="62"/>
      <c r="QGD3" s="62"/>
      <c r="QGE3" s="62"/>
      <c r="QGF3" s="62"/>
      <c r="QGG3" s="62"/>
      <c r="QGH3" s="62"/>
      <c r="QGI3" s="62"/>
      <c r="QGJ3" s="62"/>
      <c r="QGK3" s="62"/>
      <c r="QGL3" s="62"/>
      <c r="QGM3" s="62"/>
      <c r="QGN3" s="62"/>
      <c r="QGO3" s="62"/>
      <c r="QGP3" s="62"/>
      <c r="QGQ3" s="62"/>
      <c r="QGR3" s="62"/>
      <c r="QGS3" s="62"/>
      <c r="QGT3" s="62"/>
      <c r="QGU3" s="62"/>
      <c r="QGV3" s="62"/>
      <c r="QGW3" s="62"/>
      <c r="QGX3" s="62"/>
      <c r="QGY3" s="62"/>
      <c r="QGZ3" s="62"/>
      <c r="QHA3" s="62"/>
      <c r="QHB3" s="62"/>
      <c r="QHC3" s="62"/>
      <c r="QHD3" s="62"/>
      <c r="QHE3" s="62"/>
      <c r="QHF3" s="62"/>
      <c r="QHG3" s="62"/>
      <c r="QHH3" s="62"/>
      <c r="QHI3" s="62"/>
      <c r="QHJ3" s="62"/>
      <c r="QHK3" s="62"/>
      <c r="QHL3" s="62"/>
      <c r="QHM3" s="62"/>
      <c r="QHN3" s="62"/>
      <c r="QHO3" s="62"/>
      <c r="QHP3" s="62"/>
      <c r="QHQ3" s="62"/>
      <c r="QHR3" s="62"/>
      <c r="QHS3" s="62"/>
      <c r="QHT3" s="62"/>
      <c r="QHU3" s="62"/>
      <c r="QHV3" s="62"/>
      <c r="QHW3" s="62"/>
      <c r="QHX3" s="62"/>
      <c r="QHY3" s="62"/>
      <c r="QHZ3" s="62"/>
      <c r="QIA3" s="62"/>
      <c r="QIB3" s="62"/>
      <c r="QIC3" s="62"/>
      <c r="QID3" s="62"/>
      <c r="QIE3" s="62"/>
      <c r="QIF3" s="62"/>
      <c r="QIG3" s="62"/>
      <c r="QIH3" s="62"/>
      <c r="QII3" s="62"/>
      <c r="QIJ3" s="62"/>
      <c r="QIK3" s="62"/>
      <c r="QIL3" s="62"/>
      <c r="QIM3" s="62"/>
      <c r="QIN3" s="62"/>
      <c r="QIO3" s="62"/>
      <c r="QIP3" s="62"/>
      <c r="QIQ3" s="62"/>
      <c r="QIR3" s="62"/>
      <c r="QIS3" s="62"/>
      <c r="QIT3" s="62"/>
      <c r="QIU3" s="62"/>
      <c r="QIV3" s="62"/>
      <c r="QIW3" s="62"/>
      <c r="QIX3" s="62"/>
      <c r="QIY3" s="62"/>
      <c r="QIZ3" s="62"/>
      <c r="QJA3" s="62"/>
      <c r="QJB3" s="62"/>
      <c r="QJC3" s="62"/>
      <c r="QJD3" s="62"/>
      <c r="QJE3" s="62"/>
      <c r="QJF3" s="62"/>
      <c r="QJG3" s="62"/>
      <c r="QJH3" s="62"/>
      <c r="QJI3" s="62"/>
      <c r="QJJ3" s="62"/>
      <c r="QJK3" s="62"/>
      <c r="QJL3" s="62"/>
      <c r="QJM3" s="62"/>
      <c r="QJN3" s="62"/>
      <c r="QJO3" s="62"/>
      <c r="QJP3" s="62"/>
      <c r="QJQ3" s="62"/>
      <c r="QJR3" s="62"/>
      <c r="QJS3" s="62"/>
      <c r="QJT3" s="62"/>
      <c r="QJU3" s="62"/>
      <c r="QJV3" s="62"/>
      <c r="QJW3" s="62"/>
      <c r="QJX3" s="62"/>
      <c r="QJY3" s="62"/>
      <c r="QJZ3" s="62"/>
      <c r="QKA3" s="62"/>
      <c r="QKB3" s="62"/>
      <c r="QKC3" s="62"/>
      <c r="QKD3" s="62"/>
      <c r="QKE3" s="62"/>
      <c r="QKF3" s="62"/>
      <c r="QKG3" s="62"/>
      <c r="QKH3" s="62"/>
      <c r="QKI3" s="62"/>
      <c r="QKJ3" s="62"/>
      <c r="QKK3" s="62"/>
      <c r="QKL3" s="62"/>
      <c r="QKM3" s="62"/>
      <c r="QKN3" s="62"/>
      <c r="QKO3" s="62"/>
      <c r="QKP3" s="62"/>
      <c r="QKQ3" s="62"/>
      <c r="QKR3" s="62"/>
      <c r="QKS3" s="62"/>
      <c r="QKT3" s="62"/>
      <c r="QKU3" s="62"/>
      <c r="QKV3" s="62"/>
      <c r="QKW3" s="62"/>
      <c r="QKX3" s="62"/>
      <c r="QKY3" s="62"/>
      <c r="QKZ3" s="62"/>
      <c r="QLA3" s="62"/>
      <c r="QLB3" s="62"/>
      <c r="QLC3" s="62"/>
      <c r="QLD3" s="62"/>
      <c r="QLE3" s="62"/>
      <c r="QLF3" s="62"/>
      <c r="QLG3" s="62"/>
      <c r="QLH3" s="62"/>
      <c r="QLI3" s="62"/>
      <c r="QLJ3" s="62"/>
      <c r="QLK3" s="62"/>
      <c r="QLL3" s="62"/>
      <c r="QLM3" s="62"/>
      <c r="QLN3" s="62"/>
      <c r="QLO3" s="62"/>
      <c r="QLP3" s="62"/>
      <c r="QLQ3" s="62"/>
      <c r="QLR3" s="62"/>
      <c r="QLS3" s="62"/>
      <c r="QLT3" s="62"/>
      <c r="QLU3" s="62"/>
      <c r="QLV3" s="62"/>
      <c r="QLW3" s="62"/>
      <c r="QLX3" s="62"/>
      <c r="QLY3" s="62"/>
      <c r="QLZ3" s="62"/>
      <c r="QMA3" s="62"/>
      <c r="QMB3" s="62"/>
      <c r="QMC3" s="62"/>
      <c r="QMD3" s="62"/>
      <c r="QME3" s="62"/>
      <c r="QMF3" s="62"/>
      <c r="QMG3" s="62"/>
      <c r="QMH3" s="62"/>
      <c r="QMI3" s="62"/>
      <c r="QMJ3" s="62"/>
      <c r="QMK3" s="62"/>
      <c r="QML3" s="62"/>
      <c r="QMM3" s="62"/>
      <c r="QMN3" s="62"/>
      <c r="QMO3" s="62"/>
      <c r="QMP3" s="62"/>
      <c r="QMQ3" s="62"/>
      <c r="QMR3" s="62"/>
      <c r="QMS3" s="62"/>
      <c r="QMT3" s="62"/>
      <c r="QMU3" s="62"/>
      <c r="QMV3" s="62"/>
      <c r="QMW3" s="62"/>
      <c r="QMX3" s="62"/>
      <c r="QMY3" s="62"/>
      <c r="QMZ3" s="62"/>
      <c r="QNA3" s="62"/>
      <c r="QNB3" s="62"/>
      <c r="QNC3" s="62"/>
      <c r="QND3" s="62"/>
      <c r="QNE3" s="62"/>
      <c r="QNF3" s="62"/>
      <c r="QNG3" s="62"/>
      <c r="QNH3" s="62"/>
      <c r="QNI3" s="62"/>
      <c r="QNJ3" s="62"/>
      <c r="QNK3" s="62"/>
      <c r="QNL3" s="62"/>
      <c r="QNM3" s="62"/>
      <c r="QNN3" s="62"/>
      <c r="QNO3" s="62"/>
      <c r="QNP3" s="62"/>
      <c r="QNQ3" s="62"/>
      <c r="QNR3" s="62"/>
      <c r="QNS3" s="62"/>
      <c r="QNT3" s="62"/>
      <c r="QNU3" s="62"/>
      <c r="QNV3" s="62"/>
      <c r="QNW3" s="62"/>
      <c r="QNX3" s="62"/>
      <c r="QNY3" s="62"/>
      <c r="QNZ3" s="62"/>
      <c r="QOA3" s="62"/>
      <c r="QOB3" s="62"/>
      <c r="QOC3" s="62"/>
      <c r="QOD3" s="62"/>
      <c r="QOE3" s="62"/>
      <c r="QOF3" s="62"/>
      <c r="QOG3" s="62"/>
      <c r="QOH3" s="62"/>
      <c r="QOI3" s="62"/>
      <c r="QOJ3" s="62"/>
      <c r="QOK3" s="62"/>
      <c r="QOL3" s="62"/>
      <c r="QOM3" s="62"/>
      <c r="QON3" s="62"/>
      <c r="QOO3" s="62"/>
      <c r="QOP3" s="62"/>
      <c r="QOQ3" s="62"/>
      <c r="QOR3" s="62"/>
      <c r="QOS3" s="62"/>
      <c r="QOT3" s="62"/>
      <c r="QOU3" s="62"/>
      <c r="QOV3" s="62"/>
      <c r="QOW3" s="62"/>
      <c r="QOX3" s="62"/>
      <c r="QOY3" s="62"/>
      <c r="QOZ3" s="62"/>
      <c r="QPA3" s="62"/>
      <c r="QPB3" s="62"/>
      <c r="QPC3" s="62"/>
      <c r="QPD3" s="62"/>
      <c r="QPE3" s="62"/>
      <c r="QPF3" s="62"/>
      <c r="QPG3" s="62"/>
      <c r="QPH3" s="62"/>
      <c r="QPI3" s="62"/>
      <c r="QPJ3" s="62"/>
      <c r="QPK3" s="62"/>
      <c r="QPL3" s="62"/>
      <c r="QPM3" s="62"/>
      <c r="QPN3" s="62"/>
      <c r="QPO3" s="62"/>
      <c r="QPP3" s="62"/>
      <c r="QPQ3" s="62"/>
      <c r="QPR3" s="62"/>
      <c r="QPS3" s="62"/>
      <c r="QPT3" s="62"/>
      <c r="QPU3" s="62"/>
      <c r="QPV3" s="62"/>
      <c r="QPW3" s="62"/>
      <c r="QPX3" s="62"/>
      <c r="QPY3" s="62"/>
      <c r="QPZ3" s="62"/>
      <c r="QQA3" s="62"/>
      <c r="QQB3" s="62"/>
      <c r="QQC3" s="62"/>
      <c r="QQD3" s="62"/>
      <c r="QQE3" s="62"/>
      <c r="QQF3" s="62"/>
      <c r="QQG3" s="62"/>
      <c r="QQH3" s="62"/>
      <c r="QQI3" s="62"/>
      <c r="QQJ3" s="62"/>
      <c r="QQK3" s="62"/>
      <c r="QQL3" s="62"/>
      <c r="QQM3" s="62"/>
      <c r="QQN3" s="62"/>
      <c r="QQO3" s="62"/>
      <c r="QQP3" s="62"/>
      <c r="QQQ3" s="62"/>
      <c r="QQR3" s="62"/>
      <c r="QQS3" s="62"/>
      <c r="QQT3" s="62"/>
      <c r="QQU3" s="62"/>
      <c r="QQV3" s="62"/>
      <c r="QQW3" s="62"/>
      <c r="QQX3" s="62"/>
      <c r="QQY3" s="62"/>
      <c r="QQZ3" s="62"/>
      <c r="QRA3" s="62"/>
      <c r="QRB3" s="62"/>
      <c r="QRC3" s="62"/>
      <c r="QRD3" s="62"/>
      <c r="QRE3" s="62"/>
      <c r="QRF3" s="62"/>
      <c r="QRG3" s="62"/>
      <c r="QRH3" s="62"/>
      <c r="QRI3" s="62"/>
      <c r="QRJ3" s="62"/>
      <c r="QRK3" s="62"/>
      <c r="QRL3" s="62"/>
      <c r="QRM3" s="62"/>
      <c r="QRN3" s="62"/>
      <c r="QRO3" s="62"/>
      <c r="QRP3" s="62"/>
      <c r="QRQ3" s="62"/>
      <c r="QRR3" s="62"/>
      <c r="QRS3" s="62"/>
      <c r="QRT3" s="62"/>
      <c r="QRU3" s="62"/>
      <c r="QRV3" s="62"/>
      <c r="QRW3" s="62"/>
      <c r="QRX3" s="62"/>
      <c r="QRY3" s="62"/>
      <c r="QRZ3" s="62"/>
      <c r="QSA3" s="62"/>
      <c r="QSB3" s="62"/>
      <c r="QSC3" s="62"/>
      <c r="QSD3" s="62"/>
      <c r="QSE3" s="62"/>
      <c r="QSF3" s="62"/>
      <c r="QSG3" s="62"/>
      <c r="QSH3" s="62"/>
      <c r="QSI3" s="62"/>
      <c r="QSJ3" s="62"/>
      <c r="QSK3" s="62"/>
      <c r="QSL3" s="62"/>
      <c r="QSM3" s="62"/>
      <c r="QSN3" s="62"/>
      <c r="QSO3" s="62"/>
      <c r="QSP3" s="62"/>
      <c r="QSQ3" s="62"/>
      <c r="QSR3" s="62"/>
      <c r="QSS3" s="62"/>
      <c r="QST3" s="62"/>
      <c r="QSU3" s="62"/>
      <c r="QSV3" s="62"/>
      <c r="QSW3" s="62"/>
      <c r="QSX3" s="62"/>
      <c r="QSY3" s="62"/>
      <c r="QSZ3" s="62"/>
      <c r="QTA3" s="62"/>
      <c r="QTB3" s="62"/>
      <c r="QTC3" s="62"/>
      <c r="QTD3" s="62"/>
      <c r="QTE3" s="62"/>
      <c r="QTF3" s="62"/>
      <c r="QTG3" s="62"/>
      <c r="QTH3" s="62"/>
      <c r="QTI3" s="62"/>
      <c r="QTJ3" s="62"/>
      <c r="QTK3" s="62"/>
      <c r="QTL3" s="62"/>
      <c r="QTM3" s="62"/>
      <c r="QTN3" s="62"/>
      <c r="QTO3" s="62"/>
      <c r="QTP3" s="62"/>
      <c r="QTQ3" s="62"/>
      <c r="QTR3" s="62"/>
      <c r="QTS3" s="62"/>
      <c r="QTT3" s="62"/>
      <c r="QTU3" s="62"/>
      <c r="QTV3" s="62"/>
      <c r="QTW3" s="62"/>
      <c r="QTX3" s="62"/>
      <c r="QTY3" s="62"/>
      <c r="QTZ3" s="62"/>
      <c r="QUA3" s="62"/>
      <c r="QUB3" s="62"/>
      <c r="QUC3" s="62"/>
      <c r="QUD3" s="62"/>
      <c r="QUE3" s="62"/>
      <c r="QUF3" s="62"/>
      <c r="QUG3" s="62"/>
      <c r="QUH3" s="62"/>
      <c r="QUI3" s="62"/>
      <c r="QUJ3" s="62"/>
      <c r="QUK3" s="62"/>
      <c r="QUL3" s="62"/>
      <c r="QUM3" s="62"/>
      <c r="QUN3" s="62"/>
      <c r="QUO3" s="62"/>
      <c r="QUP3" s="62"/>
      <c r="QUQ3" s="62"/>
      <c r="QUR3" s="62"/>
      <c r="QUS3" s="62"/>
      <c r="QUT3" s="62"/>
      <c r="QUU3" s="62"/>
      <c r="QUV3" s="62"/>
      <c r="QUW3" s="62"/>
      <c r="QUX3" s="62"/>
      <c r="QUY3" s="62"/>
      <c r="QUZ3" s="62"/>
      <c r="QVA3" s="62"/>
      <c r="QVB3" s="62"/>
      <c r="QVC3" s="62"/>
      <c r="QVD3" s="62"/>
      <c r="QVE3" s="62"/>
      <c r="QVF3" s="62"/>
      <c r="QVG3" s="62"/>
      <c r="QVH3" s="62"/>
      <c r="QVI3" s="62"/>
      <c r="QVJ3" s="62"/>
      <c r="QVK3" s="62"/>
      <c r="QVL3" s="62"/>
      <c r="QVM3" s="62"/>
      <c r="QVN3" s="62"/>
      <c r="QVO3" s="62"/>
      <c r="QVP3" s="62"/>
      <c r="QVQ3" s="62"/>
      <c r="QVR3" s="62"/>
      <c r="QVS3" s="62"/>
      <c r="QVT3" s="62"/>
      <c r="QVU3" s="62"/>
      <c r="QVV3" s="62"/>
      <c r="QVW3" s="62"/>
      <c r="QVX3" s="62"/>
      <c r="QVY3" s="62"/>
      <c r="QVZ3" s="62"/>
      <c r="QWA3" s="62"/>
      <c r="QWB3" s="62"/>
      <c r="QWC3" s="62"/>
      <c r="QWD3" s="62"/>
      <c r="QWE3" s="62"/>
      <c r="QWF3" s="62"/>
      <c r="QWG3" s="62"/>
      <c r="QWH3" s="62"/>
      <c r="QWI3" s="62"/>
      <c r="QWJ3" s="62"/>
      <c r="QWK3" s="62"/>
      <c r="QWL3" s="62"/>
      <c r="QWM3" s="62"/>
      <c r="QWN3" s="62"/>
      <c r="QWO3" s="62"/>
      <c r="QWP3" s="62"/>
      <c r="QWQ3" s="62"/>
      <c r="QWR3" s="62"/>
      <c r="QWS3" s="62"/>
      <c r="QWT3" s="62"/>
      <c r="QWU3" s="62"/>
      <c r="QWV3" s="62"/>
      <c r="QWW3" s="62"/>
      <c r="QWX3" s="62"/>
      <c r="QWY3" s="62"/>
      <c r="QWZ3" s="62"/>
      <c r="QXA3" s="62"/>
      <c r="QXB3" s="62"/>
      <c r="QXC3" s="62"/>
      <c r="QXD3" s="62"/>
      <c r="QXE3" s="62"/>
      <c r="QXF3" s="62"/>
      <c r="QXG3" s="62"/>
      <c r="QXH3" s="62"/>
      <c r="QXI3" s="62"/>
      <c r="QXJ3" s="62"/>
      <c r="QXK3" s="62"/>
      <c r="QXL3" s="62"/>
      <c r="QXM3" s="62"/>
      <c r="QXN3" s="62"/>
      <c r="QXO3" s="62"/>
      <c r="QXP3" s="62"/>
      <c r="QXQ3" s="62"/>
      <c r="QXR3" s="62"/>
      <c r="QXS3" s="62"/>
      <c r="QXT3" s="62"/>
      <c r="QXU3" s="62"/>
      <c r="QXV3" s="62"/>
      <c r="QXW3" s="62"/>
      <c r="QXX3" s="62"/>
      <c r="QXY3" s="62"/>
      <c r="QXZ3" s="62"/>
      <c r="QYA3" s="62"/>
      <c r="QYB3" s="62"/>
      <c r="QYC3" s="62"/>
      <c r="QYD3" s="62"/>
      <c r="QYE3" s="62"/>
      <c r="QYF3" s="62"/>
      <c r="QYG3" s="62"/>
      <c r="QYH3" s="62"/>
      <c r="QYI3" s="62"/>
      <c r="QYJ3" s="62"/>
      <c r="QYK3" s="62"/>
      <c r="QYL3" s="62"/>
      <c r="QYM3" s="62"/>
      <c r="QYN3" s="62"/>
      <c r="QYO3" s="62"/>
      <c r="QYP3" s="62"/>
      <c r="QYQ3" s="62"/>
      <c r="QYR3" s="62"/>
      <c r="QYS3" s="62"/>
      <c r="QYT3" s="62"/>
      <c r="QYU3" s="62"/>
      <c r="QYV3" s="62"/>
      <c r="QYW3" s="62"/>
      <c r="QYX3" s="62"/>
      <c r="QYY3" s="62"/>
      <c r="QYZ3" s="62"/>
      <c r="QZA3" s="62"/>
      <c r="QZB3" s="62"/>
      <c r="QZC3" s="62"/>
      <c r="QZD3" s="62"/>
      <c r="QZE3" s="62"/>
      <c r="QZF3" s="62"/>
      <c r="QZG3" s="62"/>
      <c r="QZH3" s="62"/>
      <c r="QZI3" s="62"/>
      <c r="QZJ3" s="62"/>
      <c r="QZK3" s="62"/>
      <c r="QZL3" s="62"/>
      <c r="QZM3" s="62"/>
      <c r="QZN3" s="62"/>
      <c r="QZO3" s="62"/>
      <c r="QZP3" s="62"/>
      <c r="QZQ3" s="62"/>
      <c r="QZR3" s="62"/>
      <c r="QZS3" s="62"/>
      <c r="QZT3" s="62"/>
      <c r="QZU3" s="62"/>
      <c r="QZV3" s="62"/>
      <c r="QZW3" s="62"/>
      <c r="QZX3" s="62"/>
      <c r="QZY3" s="62"/>
      <c r="QZZ3" s="62"/>
      <c r="RAA3" s="62"/>
      <c r="RAB3" s="62"/>
      <c r="RAC3" s="62"/>
      <c r="RAD3" s="62"/>
      <c r="RAE3" s="62"/>
      <c r="RAF3" s="62"/>
      <c r="RAG3" s="62"/>
      <c r="RAH3" s="62"/>
      <c r="RAI3" s="62"/>
      <c r="RAJ3" s="62"/>
      <c r="RAK3" s="62"/>
      <c r="RAL3" s="62"/>
      <c r="RAM3" s="62"/>
      <c r="RAN3" s="62"/>
      <c r="RAO3" s="62"/>
      <c r="RAP3" s="62"/>
      <c r="RAQ3" s="62"/>
      <c r="RAR3" s="62"/>
      <c r="RAS3" s="62"/>
      <c r="RAT3" s="62"/>
      <c r="RAU3" s="62"/>
      <c r="RAV3" s="62"/>
      <c r="RAW3" s="62"/>
      <c r="RAX3" s="62"/>
      <c r="RAY3" s="62"/>
      <c r="RAZ3" s="62"/>
      <c r="RBA3" s="62"/>
      <c r="RBB3" s="62"/>
      <c r="RBC3" s="62"/>
      <c r="RBD3" s="62"/>
      <c r="RBE3" s="62"/>
      <c r="RBF3" s="62"/>
      <c r="RBG3" s="62"/>
      <c r="RBH3" s="62"/>
      <c r="RBI3" s="62"/>
      <c r="RBJ3" s="62"/>
      <c r="RBK3" s="62"/>
      <c r="RBL3" s="62"/>
      <c r="RBM3" s="62"/>
      <c r="RBN3" s="62"/>
      <c r="RBO3" s="62"/>
      <c r="RBP3" s="62"/>
      <c r="RBQ3" s="62"/>
      <c r="RBR3" s="62"/>
      <c r="RBS3" s="62"/>
      <c r="RBT3" s="62"/>
      <c r="RBU3" s="62"/>
      <c r="RBV3" s="62"/>
      <c r="RBW3" s="62"/>
      <c r="RBX3" s="62"/>
      <c r="RBY3" s="62"/>
      <c r="RBZ3" s="62"/>
      <c r="RCA3" s="62"/>
      <c r="RCB3" s="62"/>
      <c r="RCC3" s="62"/>
      <c r="RCD3" s="62"/>
      <c r="RCE3" s="62"/>
      <c r="RCF3" s="62"/>
      <c r="RCG3" s="62"/>
      <c r="RCH3" s="62"/>
      <c r="RCI3" s="62"/>
      <c r="RCJ3" s="62"/>
      <c r="RCK3" s="62"/>
      <c r="RCL3" s="62"/>
      <c r="RCM3" s="62"/>
      <c r="RCN3" s="62"/>
      <c r="RCO3" s="62"/>
      <c r="RCP3" s="62"/>
      <c r="RCQ3" s="62"/>
      <c r="RCR3" s="62"/>
      <c r="RCS3" s="62"/>
      <c r="RCT3" s="62"/>
      <c r="RCU3" s="62"/>
      <c r="RCV3" s="62"/>
      <c r="RCW3" s="62"/>
      <c r="RCX3" s="62"/>
      <c r="RCY3" s="62"/>
      <c r="RCZ3" s="62"/>
      <c r="RDA3" s="62"/>
      <c r="RDB3" s="62"/>
      <c r="RDC3" s="62"/>
      <c r="RDD3" s="62"/>
      <c r="RDE3" s="62"/>
      <c r="RDF3" s="62"/>
      <c r="RDG3" s="62"/>
      <c r="RDH3" s="62"/>
      <c r="RDI3" s="62"/>
      <c r="RDJ3" s="62"/>
      <c r="RDK3" s="62"/>
      <c r="RDL3" s="62"/>
      <c r="RDM3" s="62"/>
      <c r="RDN3" s="62"/>
      <c r="RDO3" s="62"/>
      <c r="RDP3" s="62"/>
      <c r="RDQ3" s="62"/>
      <c r="RDR3" s="62"/>
      <c r="RDS3" s="62"/>
      <c r="RDT3" s="62"/>
      <c r="RDU3" s="62"/>
      <c r="RDV3" s="62"/>
      <c r="RDW3" s="62"/>
      <c r="RDX3" s="62"/>
      <c r="RDY3" s="62"/>
      <c r="RDZ3" s="62"/>
      <c r="REA3" s="62"/>
      <c r="REB3" s="62"/>
      <c r="REC3" s="62"/>
      <c r="RED3" s="62"/>
      <c r="REE3" s="62"/>
      <c r="REF3" s="62"/>
      <c r="REG3" s="62"/>
      <c r="REH3" s="62"/>
      <c r="REI3" s="62"/>
      <c r="REJ3" s="62"/>
      <c r="REK3" s="62"/>
      <c r="REL3" s="62"/>
      <c r="REM3" s="62"/>
      <c r="REN3" s="62"/>
      <c r="REO3" s="62"/>
      <c r="REP3" s="62"/>
      <c r="REQ3" s="62"/>
      <c r="RER3" s="62"/>
      <c r="RES3" s="62"/>
      <c r="RET3" s="62"/>
      <c r="REU3" s="62"/>
      <c r="REV3" s="62"/>
      <c r="REW3" s="62"/>
      <c r="REX3" s="62"/>
      <c r="REY3" s="62"/>
      <c r="REZ3" s="62"/>
      <c r="RFA3" s="62"/>
      <c r="RFB3" s="62"/>
      <c r="RFC3" s="62"/>
      <c r="RFD3" s="62"/>
      <c r="RFE3" s="62"/>
      <c r="RFF3" s="62"/>
      <c r="RFG3" s="62"/>
      <c r="RFH3" s="62"/>
      <c r="RFI3" s="62"/>
      <c r="RFJ3" s="62"/>
      <c r="RFK3" s="62"/>
      <c r="RFL3" s="62"/>
      <c r="RFM3" s="62"/>
      <c r="RFN3" s="62"/>
      <c r="RFO3" s="62"/>
      <c r="RFP3" s="62"/>
      <c r="RFQ3" s="62"/>
      <c r="RFR3" s="62"/>
      <c r="RFS3" s="62"/>
      <c r="RFT3" s="62"/>
      <c r="RFU3" s="62"/>
      <c r="RFV3" s="62"/>
      <c r="RFW3" s="62"/>
      <c r="RFX3" s="62"/>
      <c r="RFY3" s="62"/>
      <c r="RFZ3" s="62"/>
      <c r="RGA3" s="62"/>
      <c r="RGB3" s="62"/>
      <c r="RGC3" s="62"/>
      <c r="RGD3" s="62"/>
      <c r="RGE3" s="62"/>
      <c r="RGF3" s="62"/>
      <c r="RGG3" s="62"/>
      <c r="RGH3" s="62"/>
      <c r="RGI3" s="62"/>
      <c r="RGJ3" s="62"/>
      <c r="RGK3" s="62"/>
      <c r="RGL3" s="62"/>
      <c r="RGM3" s="62"/>
      <c r="RGN3" s="62"/>
      <c r="RGO3" s="62"/>
      <c r="RGP3" s="62"/>
      <c r="RGQ3" s="62"/>
      <c r="RGR3" s="62"/>
      <c r="RGS3" s="62"/>
      <c r="RGT3" s="62"/>
      <c r="RGU3" s="62"/>
      <c r="RGV3" s="62"/>
      <c r="RGW3" s="62"/>
      <c r="RGX3" s="62"/>
      <c r="RGY3" s="62"/>
      <c r="RGZ3" s="62"/>
      <c r="RHA3" s="62"/>
      <c r="RHB3" s="62"/>
      <c r="RHC3" s="62"/>
      <c r="RHD3" s="62"/>
      <c r="RHE3" s="62"/>
      <c r="RHF3" s="62"/>
      <c r="RHG3" s="62"/>
      <c r="RHH3" s="62"/>
      <c r="RHI3" s="62"/>
      <c r="RHJ3" s="62"/>
      <c r="RHK3" s="62"/>
      <c r="RHL3" s="62"/>
      <c r="RHM3" s="62"/>
      <c r="RHN3" s="62"/>
      <c r="RHO3" s="62"/>
      <c r="RHP3" s="62"/>
      <c r="RHQ3" s="62"/>
      <c r="RHR3" s="62"/>
      <c r="RHS3" s="62"/>
      <c r="RHT3" s="62"/>
      <c r="RHU3" s="62"/>
      <c r="RHV3" s="62"/>
      <c r="RHW3" s="62"/>
      <c r="RHX3" s="62"/>
      <c r="RHY3" s="62"/>
      <c r="RHZ3" s="62"/>
      <c r="RIA3" s="62"/>
      <c r="RIB3" s="62"/>
      <c r="RIC3" s="62"/>
      <c r="RID3" s="62"/>
      <c r="RIE3" s="62"/>
      <c r="RIF3" s="62"/>
      <c r="RIG3" s="62"/>
      <c r="RIH3" s="62"/>
      <c r="RII3" s="62"/>
      <c r="RIJ3" s="62"/>
      <c r="RIK3" s="62"/>
      <c r="RIL3" s="62"/>
      <c r="RIM3" s="62"/>
      <c r="RIN3" s="62"/>
      <c r="RIO3" s="62"/>
      <c r="RIP3" s="62"/>
      <c r="RIQ3" s="62"/>
      <c r="RIR3" s="62"/>
      <c r="RIS3" s="62"/>
      <c r="RIT3" s="62"/>
      <c r="RIU3" s="62"/>
      <c r="RIV3" s="62"/>
      <c r="RIW3" s="62"/>
      <c r="RIX3" s="62"/>
      <c r="RIY3" s="62"/>
      <c r="RIZ3" s="62"/>
      <c r="RJA3" s="62"/>
      <c r="RJB3" s="62"/>
      <c r="RJC3" s="62"/>
      <c r="RJD3" s="62"/>
      <c r="RJE3" s="62"/>
      <c r="RJF3" s="62"/>
      <c r="RJG3" s="62"/>
      <c r="RJH3" s="62"/>
      <c r="RJI3" s="62"/>
      <c r="RJJ3" s="62"/>
      <c r="RJK3" s="62"/>
      <c r="RJL3" s="62"/>
      <c r="RJM3" s="62"/>
      <c r="RJN3" s="62"/>
      <c r="RJO3" s="62"/>
      <c r="RJP3" s="62"/>
      <c r="RJQ3" s="62"/>
      <c r="RJR3" s="62"/>
      <c r="RJS3" s="62"/>
      <c r="RJT3" s="62"/>
      <c r="RJU3" s="62"/>
      <c r="RJV3" s="62"/>
      <c r="RJW3" s="62"/>
      <c r="RJX3" s="62"/>
      <c r="RJY3" s="62"/>
      <c r="RJZ3" s="62"/>
      <c r="RKA3" s="62"/>
      <c r="RKB3" s="62"/>
      <c r="RKC3" s="62"/>
      <c r="RKD3" s="62"/>
      <c r="RKE3" s="62"/>
      <c r="RKF3" s="62"/>
      <c r="RKG3" s="62"/>
      <c r="RKH3" s="62"/>
      <c r="RKI3" s="62"/>
      <c r="RKJ3" s="62"/>
      <c r="RKK3" s="62"/>
      <c r="RKL3" s="62"/>
      <c r="RKM3" s="62"/>
      <c r="RKN3" s="62"/>
      <c r="RKO3" s="62"/>
      <c r="RKP3" s="62"/>
      <c r="RKQ3" s="62"/>
      <c r="RKR3" s="62"/>
      <c r="RKS3" s="62"/>
      <c r="RKT3" s="62"/>
      <c r="RKU3" s="62"/>
      <c r="RKV3" s="62"/>
      <c r="RKW3" s="62"/>
      <c r="RKX3" s="62"/>
      <c r="RKY3" s="62"/>
      <c r="RKZ3" s="62"/>
      <c r="RLA3" s="62"/>
      <c r="RLB3" s="62"/>
      <c r="RLC3" s="62"/>
      <c r="RLD3" s="62"/>
      <c r="RLE3" s="62"/>
      <c r="RLF3" s="62"/>
      <c r="RLG3" s="62"/>
      <c r="RLH3" s="62"/>
      <c r="RLI3" s="62"/>
      <c r="RLJ3" s="62"/>
      <c r="RLK3" s="62"/>
      <c r="RLL3" s="62"/>
      <c r="RLM3" s="62"/>
      <c r="RLN3" s="62"/>
      <c r="RLO3" s="62"/>
      <c r="RLP3" s="62"/>
      <c r="RLQ3" s="62"/>
      <c r="RLR3" s="62"/>
      <c r="RLS3" s="62"/>
      <c r="RLT3" s="62"/>
      <c r="RLU3" s="62"/>
      <c r="RLV3" s="62"/>
      <c r="RLW3" s="62"/>
      <c r="RLX3" s="62"/>
      <c r="RLY3" s="62"/>
      <c r="RLZ3" s="62"/>
      <c r="RMA3" s="62"/>
      <c r="RMB3" s="62"/>
      <c r="RMC3" s="62"/>
      <c r="RMD3" s="62"/>
      <c r="RME3" s="62"/>
      <c r="RMF3" s="62"/>
      <c r="RMG3" s="62"/>
      <c r="RMH3" s="62"/>
      <c r="RMI3" s="62"/>
      <c r="RMJ3" s="62"/>
      <c r="RMK3" s="62"/>
      <c r="RML3" s="62"/>
      <c r="RMM3" s="62"/>
      <c r="RMN3" s="62"/>
      <c r="RMO3" s="62"/>
      <c r="RMP3" s="62"/>
      <c r="RMQ3" s="62"/>
      <c r="RMR3" s="62"/>
      <c r="RMS3" s="62"/>
      <c r="RMT3" s="62"/>
      <c r="RMU3" s="62"/>
      <c r="RMV3" s="62"/>
      <c r="RMW3" s="62"/>
      <c r="RMX3" s="62"/>
      <c r="RMY3" s="62"/>
      <c r="RMZ3" s="62"/>
      <c r="RNA3" s="62"/>
      <c r="RNB3" s="62"/>
      <c r="RNC3" s="62"/>
      <c r="RND3" s="62"/>
      <c r="RNE3" s="62"/>
      <c r="RNF3" s="62"/>
      <c r="RNG3" s="62"/>
      <c r="RNH3" s="62"/>
      <c r="RNI3" s="62"/>
      <c r="RNJ3" s="62"/>
      <c r="RNK3" s="62"/>
      <c r="RNL3" s="62"/>
      <c r="RNM3" s="62"/>
      <c r="RNN3" s="62"/>
      <c r="RNO3" s="62"/>
      <c r="RNP3" s="62"/>
      <c r="RNQ3" s="62"/>
      <c r="RNR3" s="62"/>
      <c r="RNS3" s="62"/>
      <c r="RNT3" s="62"/>
      <c r="RNU3" s="62"/>
      <c r="RNV3" s="62"/>
      <c r="RNW3" s="62"/>
      <c r="RNX3" s="62"/>
      <c r="RNY3" s="62"/>
      <c r="RNZ3" s="62"/>
      <c r="ROA3" s="62"/>
      <c r="ROB3" s="62"/>
      <c r="ROC3" s="62"/>
      <c r="ROD3" s="62"/>
      <c r="ROE3" s="62"/>
      <c r="ROF3" s="62"/>
      <c r="ROG3" s="62"/>
      <c r="ROH3" s="62"/>
      <c r="ROI3" s="62"/>
      <c r="ROJ3" s="62"/>
      <c r="ROK3" s="62"/>
      <c r="ROL3" s="62"/>
      <c r="ROM3" s="62"/>
      <c r="RON3" s="62"/>
      <c r="ROO3" s="62"/>
      <c r="ROP3" s="62"/>
      <c r="ROQ3" s="62"/>
      <c r="ROR3" s="62"/>
      <c r="ROS3" s="62"/>
      <c r="ROT3" s="62"/>
      <c r="ROU3" s="62"/>
      <c r="ROV3" s="62"/>
      <c r="ROW3" s="62"/>
      <c r="ROX3" s="62"/>
      <c r="ROY3" s="62"/>
      <c r="ROZ3" s="62"/>
      <c r="RPA3" s="62"/>
      <c r="RPB3" s="62"/>
      <c r="RPC3" s="62"/>
      <c r="RPD3" s="62"/>
      <c r="RPE3" s="62"/>
      <c r="RPF3" s="62"/>
      <c r="RPG3" s="62"/>
      <c r="RPH3" s="62"/>
      <c r="RPI3" s="62"/>
      <c r="RPJ3" s="62"/>
      <c r="RPK3" s="62"/>
      <c r="RPL3" s="62"/>
      <c r="RPM3" s="62"/>
      <c r="RPN3" s="62"/>
      <c r="RPO3" s="62"/>
      <c r="RPP3" s="62"/>
      <c r="RPQ3" s="62"/>
      <c r="RPR3" s="62"/>
      <c r="RPS3" s="62"/>
      <c r="RPT3" s="62"/>
      <c r="RPU3" s="62"/>
      <c r="RPV3" s="62"/>
      <c r="RPW3" s="62"/>
      <c r="RPX3" s="62"/>
      <c r="RPY3" s="62"/>
      <c r="RPZ3" s="62"/>
      <c r="RQA3" s="62"/>
      <c r="RQB3" s="62"/>
      <c r="RQC3" s="62"/>
      <c r="RQD3" s="62"/>
      <c r="RQE3" s="62"/>
      <c r="RQF3" s="62"/>
      <c r="RQG3" s="62"/>
      <c r="RQH3" s="62"/>
      <c r="RQI3" s="62"/>
      <c r="RQJ3" s="62"/>
      <c r="RQK3" s="62"/>
      <c r="RQL3" s="62"/>
      <c r="RQM3" s="62"/>
      <c r="RQN3" s="62"/>
      <c r="RQO3" s="62"/>
      <c r="RQP3" s="62"/>
      <c r="RQQ3" s="62"/>
      <c r="RQR3" s="62"/>
      <c r="RQS3" s="62"/>
      <c r="RQT3" s="62"/>
      <c r="RQU3" s="62"/>
      <c r="RQV3" s="62"/>
      <c r="RQW3" s="62"/>
      <c r="RQX3" s="62"/>
      <c r="RQY3" s="62"/>
      <c r="RQZ3" s="62"/>
      <c r="RRA3" s="62"/>
      <c r="RRB3" s="62"/>
      <c r="RRC3" s="62"/>
      <c r="RRD3" s="62"/>
      <c r="RRE3" s="62"/>
      <c r="RRF3" s="62"/>
      <c r="RRG3" s="62"/>
      <c r="RRH3" s="62"/>
      <c r="RRI3" s="62"/>
      <c r="RRJ3" s="62"/>
      <c r="RRK3" s="62"/>
      <c r="RRL3" s="62"/>
      <c r="RRM3" s="62"/>
      <c r="RRN3" s="62"/>
      <c r="RRO3" s="62"/>
      <c r="RRP3" s="62"/>
      <c r="RRQ3" s="62"/>
      <c r="RRR3" s="62"/>
      <c r="RRS3" s="62"/>
      <c r="RRT3" s="62"/>
      <c r="RRU3" s="62"/>
      <c r="RRV3" s="62"/>
      <c r="RRW3" s="62"/>
      <c r="RRX3" s="62"/>
      <c r="RRY3" s="62"/>
      <c r="RRZ3" s="62"/>
      <c r="RSA3" s="62"/>
      <c r="RSB3" s="62"/>
      <c r="RSC3" s="62"/>
      <c r="RSD3" s="62"/>
      <c r="RSE3" s="62"/>
      <c r="RSF3" s="62"/>
      <c r="RSG3" s="62"/>
      <c r="RSH3" s="62"/>
      <c r="RSI3" s="62"/>
      <c r="RSJ3" s="62"/>
      <c r="RSK3" s="62"/>
      <c r="RSL3" s="62"/>
      <c r="RSM3" s="62"/>
      <c r="RSN3" s="62"/>
      <c r="RSO3" s="62"/>
      <c r="RSP3" s="62"/>
      <c r="RSQ3" s="62"/>
      <c r="RSR3" s="62"/>
      <c r="RSS3" s="62"/>
      <c r="RST3" s="62"/>
      <c r="RSU3" s="62"/>
      <c r="RSV3" s="62"/>
      <c r="RSW3" s="62"/>
      <c r="RSX3" s="62"/>
      <c r="RSY3" s="62"/>
      <c r="RSZ3" s="62"/>
      <c r="RTA3" s="62"/>
      <c r="RTB3" s="62"/>
      <c r="RTC3" s="62"/>
      <c r="RTD3" s="62"/>
      <c r="RTE3" s="62"/>
      <c r="RTF3" s="62"/>
      <c r="RTG3" s="62"/>
      <c r="RTH3" s="62"/>
      <c r="RTI3" s="62"/>
      <c r="RTJ3" s="62"/>
      <c r="RTK3" s="62"/>
      <c r="RTL3" s="62"/>
      <c r="RTM3" s="62"/>
      <c r="RTN3" s="62"/>
      <c r="RTO3" s="62"/>
      <c r="RTP3" s="62"/>
      <c r="RTQ3" s="62"/>
      <c r="RTR3" s="62"/>
      <c r="RTS3" s="62"/>
      <c r="RTT3" s="62"/>
      <c r="RTU3" s="62"/>
      <c r="RTV3" s="62"/>
      <c r="RTW3" s="62"/>
      <c r="RTX3" s="62"/>
      <c r="RTY3" s="62"/>
      <c r="RTZ3" s="62"/>
      <c r="RUA3" s="62"/>
      <c r="RUB3" s="62"/>
      <c r="RUC3" s="62"/>
      <c r="RUD3" s="62"/>
      <c r="RUE3" s="62"/>
      <c r="RUF3" s="62"/>
      <c r="RUG3" s="62"/>
      <c r="RUH3" s="62"/>
      <c r="RUI3" s="62"/>
      <c r="RUJ3" s="62"/>
      <c r="RUK3" s="62"/>
      <c r="RUL3" s="62"/>
      <c r="RUM3" s="62"/>
      <c r="RUN3" s="62"/>
      <c r="RUO3" s="62"/>
      <c r="RUP3" s="62"/>
      <c r="RUQ3" s="62"/>
      <c r="RUR3" s="62"/>
      <c r="RUS3" s="62"/>
      <c r="RUT3" s="62"/>
      <c r="RUU3" s="62"/>
      <c r="RUV3" s="62"/>
      <c r="RUW3" s="62"/>
      <c r="RUX3" s="62"/>
      <c r="RUY3" s="62"/>
      <c r="RUZ3" s="62"/>
      <c r="RVA3" s="62"/>
      <c r="RVB3" s="62"/>
      <c r="RVC3" s="62"/>
      <c r="RVD3" s="62"/>
      <c r="RVE3" s="62"/>
      <c r="RVF3" s="62"/>
      <c r="RVG3" s="62"/>
      <c r="RVH3" s="62"/>
      <c r="RVI3" s="62"/>
      <c r="RVJ3" s="62"/>
      <c r="RVK3" s="62"/>
      <c r="RVL3" s="62"/>
      <c r="RVM3" s="62"/>
      <c r="RVN3" s="62"/>
      <c r="RVO3" s="62"/>
      <c r="RVP3" s="62"/>
      <c r="RVQ3" s="62"/>
      <c r="RVR3" s="62"/>
      <c r="RVS3" s="62"/>
      <c r="RVT3" s="62"/>
      <c r="RVU3" s="62"/>
      <c r="RVV3" s="62"/>
      <c r="RVW3" s="62"/>
      <c r="RVX3" s="62"/>
      <c r="RVY3" s="62"/>
      <c r="RVZ3" s="62"/>
      <c r="RWA3" s="62"/>
      <c r="RWB3" s="62"/>
      <c r="RWC3" s="62"/>
      <c r="RWD3" s="62"/>
      <c r="RWE3" s="62"/>
      <c r="RWF3" s="62"/>
      <c r="RWG3" s="62"/>
      <c r="RWH3" s="62"/>
      <c r="RWI3" s="62"/>
      <c r="RWJ3" s="62"/>
      <c r="RWK3" s="62"/>
      <c r="RWL3" s="62"/>
      <c r="RWM3" s="62"/>
      <c r="RWN3" s="62"/>
      <c r="RWO3" s="62"/>
      <c r="RWP3" s="62"/>
      <c r="RWQ3" s="62"/>
      <c r="RWR3" s="62"/>
      <c r="RWS3" s="62"/>
      <c r="RWT3" s="62"/>
      <c r="RWU3" s="62"/>
      <c r="RWV3" s="62"/>
      <c r="RWW3" s="62"/>
      <c r="RWX3" s="62"/>
      <c r="RWY3" s="62"/>
      <c r="RWZ3" s="62"/>
      <c r="RXA3" s="62"/>
      <c r="RXB3" s="62"/>
      <c r="RXC3" s="62"/>
      <c r="RXD3" s="62"/>
      <c r="RXE3" s="62"/>
      <c r="RXF3" s="62"/>
      <c r="RXG3" s="62"/>
      <c r="RXH3" s="62"/>
      <c r="RXI3" s="62"/>
      <c r="RXJ3" s="62"/>
      <c r="RXK3" s="62"/>
      <c r="RXL3" s="62"/>
      <c r="RXM3" s="62"/>
      <c r="RXN3" s="62"/>
      <c r="RXO3" s="62"/>
      <c r="RXP3" s="62"/>
      <c r="RXQ3" s="62"/>
      <c r="RXR3" s="62"/>
      <c r="RXS3" s="62"/>
      <c r="RXT3" s="62"/>
      <c r="RXU3" s="62"/>
      <c r="RXV3" s="62"/>
      <c r="RXW3" s="62"/>
      <c r="RXX3" s="62"/>
      <c r="RXY3" s="62"/>
      <c r="RXZ3" s="62"/>
      <c r="RYA3" s="62"/>
      <c r="RYB3" s="62"/>
      <c r="RYC3" s="62"/>
      <c r="RYD3" s="62"/>
      <c r="RYE3" s="62"/>
      <c r="RYF3" s="62"/>
      <c r="RYG3" s="62"/>
      <c r="RYH3" s="62"/>
      <c r="RYI3" s="62"/>
      <c r="RYJ3" s="62"/>
      <c r="RYK3" s="62"/>
      <c r="RYL3" s="62"/>
      <c r="RYM3" s="62"/>
      <c r="RYN3" s="62"/>
      <c r="RYO3" s="62"/>
      <c r="RYP3" s="62"/>
      <c r="RYQ3" s="62"/>
      <c r="RYR3" s="62"/>
      <c r="RYS3" s="62"/>
      <c r="RYT3" s="62"/>
      <c r="RYU3" s="62"/>
      <c r="RYV3" s="62"/>
      <c r="RYW3" s="62"/>
      <c r="RYX3" s="62"/>
      <c r="RYY3" s="62"/>
      <c r="RYZ3" s="62"/>
      <c r="RZA3" s="62"/>
      <c r="RZB3" s="62"/>
      <c r="RZC3" s="62"/>
      <c r="RZD3" s="62"/>
      <c r="RZE3" s="62"/>
      <c r="RZF3" s="62"/>
      <c r="RZG3" s="62"/>
      <c r="RZH3" s="62"/>
      <c r="RZI3" s="62"/>
      <c r="RZJ3" s="62"/>
      <c r="RZK3" s="62"/>
      <c r="RZL3" s="62"/>
      <c r="RZM3" s="62"/>
      <c r="RZN3" s="62"/>
      <c r="RZO3" s="62"/>
      <c r="RZP3" s="62"/>
      <c r="RZQ3" s="62"/>
      <c r="RZR3" s="62"/>
      <c r="RZS3" s="62"/>
      <c r="RZT3" s="62"/>
      <c r="RZU3" s="62"/>
      <c r="RZV3" s="62"/>
      <c r="RZW3" s="62"/>
      <c r="RZX3" s="62"/>
      <c r="RZY3" s="62"/>
      <c r="RZZ3" s="62"/>
      <c r="SAA3" s="62"/>
      <c r="SAB3" s="62"/>
      <c r="SAC3" s="62"/>
      <c r="SAD3" s="62"/>
      <c r="SAE3" s="62"/>
      <c r="SAF3" s="62"/>
      <c r="SAG3" s="62"/>
      <c r="SAH3" s="62"/>
      <c r="SAI3" s="62"/>
      <c r="SAJ3" s="62"/>
      <c r="SAK3" s="62"/>
      <c r="SAL3" s="62"/>
      <c r="SAM3" s="62"/>
      <c r="SAN3" s="62"/>
      <c r="SAO3" s="62"/>
      <c r="SAP3" s="62"/>
      <c r="SAQ3" s="62"/>
      <c r="SAR3" s="62"/>
      <c r="SAS3" s="62"/>
      <c r="SAT3" s="62"/>
      <c r="SAU3" s="62"/>
      <c r="SAV3" s="62"/>
      <c r="SAW3" s="62"/>
      <c r="SAX3" s="62"/>
      <c r="SAY3" s="62"/>
      <c r="SAZ3" s="62"/>
      <c r="SBA3" s="62"/>
      <c r="SBB3" s="62"/>
      <c r="SBC3" s="62"/>
      <c r="SBD3" s="62"/>
      <c r="SBE3" s="62"/>
      <c r="SBF3" s="62"/>
      <c r="SBG3" s="62"/>
      <c r="SBH3" s="62"/>
      <c r="SBI3" s="62"/>
      <c r="SBJ3" s="62"/>
      <c r="SBK3" s="62"/>
      <c r="SBL3" s="62"/>
      <c r="SBM3" s="62"/>
      <c r="SBN3" s="62"/>
      <c r="SBO3" s="62"/>
      <c r="SBP3" s="62"/>
      <c r="SBQ3" s="62"/>
      <c r="SBR3" s="62"/>
      <c r="SBS3" s="62"/>
      <c r="SBT3" s="62"/>
      <c r="SBU3" s="62"/>
      <c r="SBV3" s="62"/>
      <c r="SBW3" s="62"/>
      <c r="SBX3" s="62"/>
      <c r="SBY3" s="62"/>
      <c r="SBZ3" s="62"/>
      <c r="SCA3" s="62"/>
      <c r="SCB3" s="62"/>
      <c r="SCC3" s="62"/>
      <c r="SCD3" s="62"/>
      <c r="SCE3" s="62"/>
      <c r="SCF3" s="62"/>
      <c r="SCG3" s="62"/>
      <c r="SCH3" s="62"/>
      <c r="SCI3" s="62"/>
      <c r="SCJ3" s="62"/>
      <c r="SCK3" s="62"/>
      <c r="SCL3" s="62"/>
      <c r="SCM3" s="62"/>
      <c r="SCN3" s="62"/>
      <c r="SCO3" s="62"/>
      <c r="SCP3" s="62"/>
      <c r="SCQ3" s="62"/>
      <c r="SCR3" s="62"/>
      <c r="SCS3" s="62"/>
      <c r="SCT3" s="62"/>
      <c r="SCU3" s="62"/>
      <c r="SCV3" s="62"/>
      <c r="SCW3" s="62"/>
      <c r="SCX3" s="62"/>
      <c r="SCY3" s="62"/>
      <c r="SCZ3" s="62"/>
      <c r="SDA3" s="62"/>
      <c r="SDB3" s="62"/>
      <c r="SDC3" s="62"/>
      <c r="SDD3" s="62"/>
      <c r="SDE3" s="62"/>
      <c r="SDF3" s="62"/>
      <c r="SDG3" s="62"/>
      <c r="SDH3" s="62"/>
      <c r="SDI3" s="62"/>
      <c r="SDJ3" s="62"/>
      <c r="SDK3" s="62"/>
      <c r="SDL3" s="62"/>
      <c r="SDM3" s="62"/>
      <c r="SDN3" s="62"/>
      <c r="SDO3" s="62"/>
      <c r="SDP3" s="62"/>
      <c r="SDQ3" s="62"/>
      <c r="SDR3" s="62"/>
      <c r="SDS3" s="62"/>
      <c r="SDT3" s="62"/>
      <c r="SDU3" s="62"/>
      <c r="SDV3" s="62"/>
      <c r="SDW3" s="62"/>
      <c r="SDX3" s="62"/>
      <c r="SDY3" s="62"/>
      <c r="SDZ3" s="62"/>
      <c r="SEA3" s="62"/>
      <c r="SEB3" s="62"/>
      <c r="SEC3" s="62"/>
      <c r="SED3" s="62"/>
      <c r="SEE3" s="62"/>
      <c r="SEF3" s="62"/>
      <c r="SEG3" s="62"/>
      <c r="SEH3" s="62"/>
      <c r="SEI3" s="62"/>
      <c r="SEJ3" s="62"/>
      <c r="SEK3" s="62"/>
      <c r="SEL3" s="62"/>
      <c r="SEM3" s="62"/>
      <c r="SEN3" s="62"/>
      <c r="SEO3" s="62"/>
      <c r="SEP3" s="62"/>
      <c r="SEQ3" s="62"/>
      <c r="SER3" s="62"/>
      <c r="SES3" s="62"/>
      <c r="SET3" s="62"/>
      <c r="SEU3" s="62"/>
      <c r="SEV3" s="62"/>
      <c r="SEW3" s="62"/>
      <c r="SEX3" s="62"/>
      <c r="SEY3" s="62"/>
      <c r="SEZ3" s="62"/>
      <c r="SFA3" s="62"/>
      <c r="SFB3" s="62"/>
      <c r="SFC3" s="62"/>
      <c r="SFD3" s="62"/>
      <c r="SFE3" s="62"/>
      <c r="SFF3" s="62"/>
      <c r="SFG3" s="62"/>
      <c r="SFH3" s="62"/>
      <c r="SFI3" s="62"/>
      <c r="SFJ3" s="62"/>
      <c r="SFK3" s="62"/>
      <c r="SFL3" s="62"/>
      <c r="SFM3" s="62"/>
      <c r="SFN3" s="62"/>
      <c r="SFO3" s="62"/>
      <c r="SFP3" s="62"/>
      <c r="SFQ3" s="62"/>
      <c r="SFR3" s="62"/>
      <c r="SFS3" s="62"/>
      <c r="SFT3" s="62"/>
      <c r="SFU3" s="62"/>
      <c r="SFV3" s="62"/>
      <c r="SFW3" s="62"/>
      <c r="SFX3" s="62"/>
      <c r="SFY3" s="62"/>
      <c r="SFZ3" s="62"/>
      <c r="SGA3" s="62"/>
      <c r="SGB3" s="62"/>
      <c r="SGC3" s="62"/>
      <c r="SGD3" s="62"/>
      <c r="SGE3" s="62"/>
      <c r="SGF3" s="62"/>
      <c r="SGG3" s="62"/>
      <c r="SGH3" s="62"/>
      <c r="SGI3" s="62"/>
      <c r="SGJ3" s="62"/>
      <c r="SGK3" s="62"/>
      <c r="SGL3" s="62"/>
      <c r="SGM3" s="62"/>
      <c r="SGN3" s="62"/>
      <c r="SGO3" s="62"/>
      <c r="SGP3" s="62"/>
      <c r="SGQ3" s="62"/>
      <c r="SGR3" s="62"/>
      <c r="SGS3" s="62"/>
      <c r="SGT3" s="62"/>
      <c r="SGU3" s="62"/>
      <c r="SGV3" s="62"/>
      <c r="SGW3" s="62"/>
      <c r="SGX3" s="62"/>
      <c r="SGY3" s="62"/>
      <c r="SGZ3" s="62"/>
      <c r="SHA3" s="62"/>
      <c r="SHB3" s="62"/>
      <c r="SHC3" s="62"/>
      <c r="SHD3" s="62"/>
      <c r="SHE3" s="62"/>
      <c r="SHF3" s="62"/>
      <c r="SHG3" s="62"/>
      <c r="SHH3" s="62"/>
      <c r="SHI3" s="62"/>
      <c r="SHJ3" s="62"/>
      <c r="SHK3" s="62"/>
      <c r="SHL3" s="62"/>
      <c r="SHM3" s="62"/>
      <c r="SHN3" s="62"/>
      <c r="SHO3" s="62"/>
      <c r="SHP3" s="62"/>
      <c r="SHQ3" s="62"/>
      <c r="SHR3" s="62"/>
      <c r="SHS3" s="62"/>
      <c r="SHT3" s="62"/>
      <c r="SHU3" s="62"/>
      <c r="SHV3" s="62"/>
      <c r="SHW3" s="62"/>
      <c r="SHX3" s="62"/>
      <c r="SHY3" s="62"/>
      <c r="SHZ3" s="62"/>
      <c r="SIA3" s="62"/>
      <c r="SIB3" s="62"/>
      <c r="SIC3" s="62"/>
      <c r="SID3" s="62"/>
      <c r="SIE3" s="62"/>
      <c r="SIF3" s="62"/>
      <c r="SIG3" s="62"/>
      <c r="SIH3" s="62"/>
      <c r="SII3" s="62"/>
      <c r="SIJ3" s="62"/>
      <c r="SIK3" s="62"/>
      <c r="SIL3" s="62"/>
      <c r="SIM3" s="62"/>
      <c r="SIN3" s="62"/>
      <c r="SIO3" s="62"/>
      <c r="SIP3" s="62"/>
      <c r="SIQ3" s="62"/>
      <c r="SIR3" s="62"/>
      <c r="SIS3" s="62"/>
      <c r="SIT3" s="62"/>
      <c r="SIU3" s="62"/>
      <c r="SIV3" s="62"/>
      <c r="SIW3" s="62"/>
      <c r="SIX3" s="62"/>
      <c r="SIY3" s="62"/>
      <c r="SIZ3" s="62"/>
      <c r="SJA3" s="62"/>
      <c r="SJB3" s="62"/>
      <c r="SJC3" s="62"/>
      <c r="SJD3" s="62"/>
      <c r="SJE3" s="62"/>
      <c r="SJF3" s="62"/>
      <c r="SJG3" s="62"/>
      <c r="SJH3" s="62"/>
      <c r="SJI3" s="62"/>
      <c r="SJJ3" s="62"/>
      <c r="SJK3" s="62"/>
      <c r="SJL3" s="62"/>
      <c r="SJM3" s="62"/>
      <c r="SJN3" s="62"/>
      <c r="SJO3" s="62"/>
      <c r="SJP3" s="62"/>
      <c r="SJQ3" s="62"/>
      <c r="SJR3" s="62"/>
      <c r="SJS3" s="62"/>
      <c r="SJT3" s="62"/>
      <c r="SJU3" s="62"/>
      <c r="SJV3" s="62"/>
      <c r="SJW3" s="62"/>
      <c r="SJX3" s="62"/>
      <c r="SJY3" s="62"/>
      <c r="SJZ3" s="62"/>
      <c r="SKA3" s="62"/>
      <c r="SKB3" s="62"/>
      <c r="SKC3" s="62"/>
      <c r="SKD3" s="62"/>
      <c r="SKE3" s="62"/>
      <c r="SKF3" s="62"/>
      <c r="SKG3" s="62"/>
      <c r="SKH3" s="62"/>
      <c r="SKI3" s="62"/>
      <c r="SKJ3" s="62"/>
      <c r="SKK3" s="62"/>
      <c r="SKL3" s="62"/>
      <c r="SKM3" s="62"/>
      <c r="SKN3" s="62"/>
      <c r="SKO3" s="62"/>
      <c r="SKP3" s="62"/>
      <c r="SKQ3" s="62"/>
      <c r="SKR3" s="62"/>
      <c r="SKS3" s="62"/>
      <c r="SKT3" s="62"/>
      <c r="SKU3" s="62"/>
      <c r="SKV3" s="62"/>
      <c r="SKW3" s="62"/>
      <c r="SKX3" s="62"/>
      <c r="SKY3" s="62"/>
      <c r="SKZ3" s="62"/>
      <c r="SLA3" s="62"/>
      <c r="SLB3" s="62"/>
      <c r="SLC3" s="62"/>
      <c r="SLD3" s="62"/>
      <c r="SLE3" s="62"/>
      <c r="SLF3" s="62"/>
      <c r="SLG3" s="62"/>
      <c r="SLH3" s="62"/>
      <c r="SLI3" s="62"/>
      <c r="SLJ3" s="62"/>
      <c r="SLK3" s="62"/>
      <c r="SLL3" s="62"/>
      <c r="SLM3" s="62"/>
      <c r="SLN3" s="62"/>
      <c r="SLO3" s="62"/>
      <c r="SLP3" s="62"/>
      <c r="SLQ3" s="62"/>
      <c r="SLR3" s="62"/>
      <c r="SLS3" s="62"/>
      <c r="SLT3" s="62"/>
      <c r="SLU3" s="62"/>
      <c r="SLV3" s="62"/>
      <c r="SLW3" s="62"/>
      <c r="SLX3" s="62"/>
      <c r="SLY3" s="62"/>
      <c r="SLZ3" s="62"/>
      <c r="SMA3" s="62"/>
      <c r="SMB3" s="62"/>
      <c r="SMC3" s="62"/>
      <c r="SMD3" s="62"/>
      <c r="SME3" s="62"/>
      <c r="SMF3" s="62"/>
      <c r="SMG3" s="62"/>
      <c r="SMH3" s="62"/>
      <c r="SMI3" s="62"/>
      <c r="SMJ3" s="62"/>
      <c r="SMK3" s="62"/>
      <c r="SML3" s="62"/>
      <c r="SMM3" s="62"/>
      <c r="SMN3" s="62"/>
      <c r="SMO3" s="62"/>
      <c r="SMP3" s="62"/>
      <c r="SMQ3" s="62"/>
      <c r="SMR3" s="62"/>
      <c r="SMS3" s="62"/>
      <c r="SMT3" s="62"/>
      <c r="SMU3" s="62"/>
      <c r="SMV3" s="62"/>
      <c r="SMW3" s="62"/>
      <c r="SMX3" s="62"/>
      <c r="SMY3" s="62"/>
      <c r="SMZ3" s="62"/>
      <c r="SNA3" s="62"/>
      <c r="SNB3" s="62"/>
      <c r="SNC3" s="62"/>
      <c r="SND3" s="62"/>
      <c r="SNE3" s="62"/>
      <c r="SNF3" s="62"/>
      <c r="SNG3" s="62"/>
      <c r="SNH3" s="62"/>
      <c r="SNI3" s="62"/>
      <c r="SNJ3" s="62"/>
      <c r="SNK3" s="62"/>
      <c r="SNL3" s="62"/>
      <c r="SNM3" s="62"/>
      <c r="SNN3" s="62"/>
      <c r="SNO3" s="62"/>
      <c r="SNP3" s="62"/>
      <c r="SNQ3" s="62"/>
      <c r="SNR3" s="62"/>
      <c r="SNS3" s="62"/>
      <c r="SNT3" s="62"/>
      <c r="SNU3" s="62"/>
      <c r="SNV3" s="62"/>
      <c r="SNW3" s="62"/>
      <c r="SNX3" s="62"/>
      <c r="SNY3" s="62"/>
      <c r="SNZ3" s="62"/>
      <c r="SOA3" s="62"/>
      <c r="SOB3" s="62"/>
      <c r="SOC3" s="62"/>
      <c r="SOD3" s="62"/>
      <c r="SOE3" s="62"/>
      <c r="SOF3" s="62"/>
      <c r="SOG3" s="62"/>
      <c r="SOH3" s="62"/>
      <c r="SOI3" s="62"/>
      <c r="SOJ3" s="62"/>
      <c r="SOK3" s="62"/>
      <c r="SOL3" s="62"/>
      <c r="SOM3" s="62"/>
      <c r="SON3" s="62"/>
      <c r="SOO3" s="62"/>
      <c r="SOP3" s="62"/>
      <c r="SOQ3" s="62"/>
      <c r="SOR3" s="62"/>
      <c r="SOS3" s="62"/>
      <c r="SOT3" s="62"/>
      <c r="SOU3" s="62"/>
      <c r="SOV3" s="62"/>
      <c r="SOW3" s="62"/>
      <c r="SOX3" s="62"/>
      <c r="SOY3" s="62"/>
      <c r="SOZ3" s="62"/>
      <c r="SPA3" s="62"/>
      <c r="SPB3" s="62"/>
      <c r="SPC3" s="62"/>
      <c r="SPD3" s="62"/>
      <c r="SPE3" s="62"/>
      <c r="SPF3" s="62"/>
      <c r="SPG3" s="62"/>
      <c r="SPH3" s="62"/>
      <c r="SPI3" s="62"/>
      <c r="SPJ3" s="62"/>
      <c r="SPK3" s="62"/>
      <c r="SPL3" s="62"/>
      <c r="SPM3" s="62"/>
      <c r="SPN3" s="62"/>
      <c r="SPO3" s="62"/>
      <c r="SPP3" s="62"/>
      <c r="SPQ3" s="62"/>
      <c r="SPR3" s="62"/>
      <c r="SPS3" s="62"/>
      <c r="SPT3" s="62"/>
      <c r="SPU3" s="62"/>
      <c r="SPV3" s="62"/>
      <c r="SPW3" s="62"/>
      <c r="SPX3" s="62"/>
      <c r="SPY3" s="62"/>
      <c r="SPZ3" s="62"/>
      <c r="SQA3" s="62"/>
      <c r="SQB3" s="62"/>
      <c r="SQC3" s="62"/>
      <c r="SQD3" s="62"/>
      <c r="SQE3" s="62"/>
      <c r="SQF3" s="62"/>
      <c r="SQG3" s="62"/>
      <c r="SQH3" s="62"/>
      <c r="SQI3" s="62"/>
      <c r="SQJ3" s="62"/>
      <c r="SQK3" s="62"/>
      <c r="SQL3" s="62"/>
      <c r="SQM3" s="62"/>
      <c r="SQN3" s="62"/>
      <c r="SQO3" s="62"/>
      <c r="SQP3" s="62"/>
      <c r="SQQ3" s="62"/>
      <c r="SQR3" s="62"/>
      <c r="SQS3" s="62"/>
      <c r="SQT3" s="62"/>
      <c r="SQU3" s="62"/>
      <c r="SQV3" s="62"/>
      <c r="SQW3" s="62"/>
      <c r="SQX3" s="62"/>
      <c r="SQY3" s="62"/>
      <c r="SQZ3" s="62"/>
      <c r="SRA3" s="62"/>
      <c r="SRB3" s="62"/>
      <c r="SRC3" s="62"/>
      <c r="SRD3" s="62"/>
      <c r="SRE3" s="62"/>
      <c r="SRF3" s="62"/>
      <c r="SRG3" s="62"/>
      <c r="SRH3" s="62"/>
      <c r="SRI3" s="62"/>
      <c r="SRJ3" s="62"/>
      <c r="SRK3" s="62"/>
      <c r="SRL3" s="62"/>
      <c r="SRM3" s="62"/>
      <c r="SRN3" s="62"/>
      <c r="SRO3" s="62"/>
      <c r="SRP3" s="62"/>
      <c r="SRQ3" s="62"/>
      <c r="SRR3" s="62"/>
      <c r="SRS3" s="62"/>
      <c r="SRT3" s="62"/>
      <c r="SRU3" s="62"/>
      <c r="SRV3" s="62"/>
      <c r="SRW3" s="62"/>
      <c r="SRX3" s="62"/>
      <c r="SRY3" s="62"/>
      <c r="SRZ3" s="62"/>
      <c r="SSA3" s="62"/>
      <c r="SSB3" s="62"/>
      <c r="SSC3" s="62"/>
      <c r="SSD3" s="62"/>
      <c r="SSE3" s="62"/>
      <c r="SSF3" s="62"/>
      <c r="SSG3" s="62"/>
      <c r="SSH3" s="62"/>
      <c r="SSI3" s="62"/>
      <c r="SSJ3" s="62"/>
      <c r="SSK3" s="62"/>
      <c r="SSL3" s="62"/>
      <c r="SSM3" s="62"/>
      <c r="SSN3" s="62"/>
      <c r="SSO3" s="62"/>
      <c r="SSP3" s="62"/>
      <c r="SSQ3" s="62"/>
      <c r="SSR3" s="62"/>
      <c r="SSS3" s="62"/>
      <c r="SST3" s="62"/>
      <c r="SSU3" s="62"/>
      <c r="SSV3" s="62"/>
      <c r="SSW3" s="62"/>
      <c r="SSX3" s="62"/>
      <c r="SSY3" s="62"/>
      <c r="SSZ3" s="62"/>
      <c r="STA3" s="62"/>
      <c r="STB3" s="62"/>
      <c r="STC3" s="62"/>
      <c r="STD3" s="62"/>
      <c r="STE3" s="62"/>
      <c r="STF3" s="62"/>
      <c r="STG3" s="62"/>
      <c r="STH3" s="62"/>
      <c r="STI3" s="62"/>
      <c r="STJ3" s="62"/>
      <c r="STK3" s="62"/>
      <c r="STL3" s="62"/>
      <c r="STM3" s="62"/>
      <c r="STN3" s="62"/>
      <c r="STO3" s="62"/>
      <c r="STP3" s="62"/>
      <c r="STQ3" s="62"/>
      <c r="STR3" s="62"/>
      <c r="STS3" s="62"/>
      <c r="STT3" s="62"/>
      <c r="STU3" s="62"/>
      <c r="STV3" s="62"/>
      <c r="STW3" s="62"/>
      <c r="STX3" s="62"/>
      <c r="STY3" s="62"/>
      <c r="STZ3" s="62"/>
      <c r="SUA3" s="62"/>
      <c r="SUB3" s="62"/>
      <c r="SUC3" s="62"/>
      <c r="SUD3" s="62"/>
      <c r="SUE3" s="62"/>
      <c r="SUF3" s="62"/>
      <c r="SUG3" s="62"/>
      <c r="SUH3" s="62"/>
      <c r="SUI3" s="62"/>
      <c r="SUJ3" s="62"/>
      <c r="SUK3" s="62"/>
      <c r="SUL3" s="62"/>
      <c r="SUM3" s="62"/>
      <c r="SUN3" s="62"/>
      <c r="SUO3" s="62"/>
      <c r="SUP3" s="62"/>
      <c r="SUQ3" s="62"/>
      <c r="SUR3" s="62"/>
      <c r="SUS3" s="62"/>
      <c r="SUT3" s="62"/>
      <c r="SUU3" s="62"/>
      <c r="SUV3" s="62"/>
      <c r="SUW3" s="62"/>
      <c r="SUX3" s="62"/>
      <c r="SUY3" s="62"/>
      <c r="SUZ3" s="62"/>
      <c r="SVA3" s="62"/>
      <c r="SVB3" s="62"/>
      <c r="SVC3" s="62"/>
      <c r="SVD3" s="62"/>
      <c r="SVE3" s="62"/>
      <c r="SVF3" s="62"/>
      <c r="SVG3" s="62"/>
      <c r="SVH3" s="62"/>
      <c r="SVI3" s="62"/>
      <c r="SVJ3" s="62"/>
      <c r="SVK3" s="62"/>
      <c r="SVL3" s="62"/>
      <c r="SVM3" s="62"/>
      <c r="SVN3" s="62"/>
      <c r="SVO3" s="62"/>
      <c r="SVP3" s="62"/>
      <c r="SVQ3" s="62"/>
      <c r="SVR3" s="62"/>
      <c r="SVS3" s="62"/>
      <c r="SVT3" s="62"/>
      <c r="SVU3" s="62"/>
      <c r="SVV3" s="62"/>
      <c r="SVW3" s="62"/>
      <c r="SVX3" s="62"/>
      <c r="SVY3" s="62"/>
      <c r="SVZ3" s="62"/>
      <c r="SWA3" s="62"/>
      <c r="SWB3" s="62"/>
      <c r="SWC3" s="62"/>
      <c r="SWD3" s="62"/>
      <c r="SWE3" s="62"/>
      <c r="SWF3" s="62"/>
      <c r="SWG3" s="62"/>
      <c r="SWH3" s="62"/>
      <c r="SWI3" s="62"/>
      <c r="SWJ3" s="62"/>
      <c r="SWK3" s="62"/>
      <c r="SWL3" s="62"/>
      <c r="SWM3" s="62"/>
      <c r="SWN3" s="62"/>
      <c r="SWO3" s="62"/>
      <c r="SWP3" s="62"/>
      <c r="SWQ3" s="62"/>
      <c r="SWR3" s="62"/>
      <c r="SWS3" s="62"/>
      <c r="SWT3" s="62"/>
      <c r="SWU3" s="62"/>
      <c r="SWV3" s="62"/>
      <c r="SWW3" s="62"/>
      <c r="SWX3" s="62"/>
      <c r="SWY3" s="62"/>
      <c r="SWZ3" s="62"/>
      <c r="SXA3" s="62"/>
      <c r="SXB3" s="62"/>
      <c r="SXC3" s="62"/>
      <c r="SXD3" s="62"/>
      <c r="SXE3" s="62"/>
      <c r="SXF3" s="62"/>
      <c r="SXG3" s="62"/>
      <c r="SXH3" s="62"/>
      <c r="SXI3" s="62"/>
      <c r="SXJ3" s="62"/>
      <c r="SXK3" s="62"/>
      <c r="SXL3" s="62"/>
      <c r="SXM3" s="62"/>
      <c r="SXN3" s="62"/>
      <c r="SXO3" s="62"/>
      <c r="SXP3" s="62"/>
      <c r="SXQ3" s="62"/>
      <c r="SXR3" s="62"/>
      <c r="SXS3" s="62"/>
      <c r="SXT3" s="62"/>
      <c r="SXU3" s="62"/>
      <c r="SXV3" s="62"/>
      <c r="SXW3" s="62"/>
      <c r="SXX3" s="62"/>
      <c r="SXY3" s="62"/>
      <c r="SXZ3" s="62"/>
      <c r="SYA3" s="62"/>
      <c r="SYB3" s="62"/>
      <c r="SYC3" s="62"/>
      <c r="SYD3" s="62"/>
      <c r="SYE3" s="62"/>
      <c r="SYF3" s="62"/>
      <c r="SYG3" s="62"/>
      <c r="SYH3" s="62"/>
      <c r="SYI3" s="62"/>
      <c r="SYJ3" s="62"/>
      <c r="SYK3" s="62"/>
      <c r="SYL3" s="62"/>
      <c r="SYM3" s="62"/>
      <c r="SYN3" s="62"/>
      <c r="SYO3" s="62"/>
      <c r="SYP3" s="62"/>
      <c r="SYQ3" s="62"/>
      <c r="SYR3" s="62"/>
      <c r="SYS3" s="62"/>
      <c r="SYT3" s="62"/>
      <c r="SYU3" s="62"/>
      <c r="SYV3" s="62"/>
      <c r="SYW3" s="62"/>
      <c r="SYX3" s="62"/>
      <c r="SYY3" s="62"/>
      <c r="SYZ3" s="62"/>
      <c r="SZA3" s="62"/>
      <c r="SZB3" s="62"/>
      <c r="SZC3" s="62"/>
      <c r="SZD3" s="62"/>
      <c r="SZE3" s="62"/>
      <c r="SZF3" s="62"/>
      <c r="SZG3" s="62"/>
      <c r="SZH3" s="62"/>
      <c r="SZI3" s="62"/>
      <c r="SZJ3" s="62"/>
      <c r="SZK3" s="62"/>
      <c r="SZL3" s="62"/>
      <c r="SZM3" s="62"/>
      <c r="SZN3" s="62"/>
      <c r="SZO3" s="62"/>
      <c r="SZP3" s="62"/>
      <c r="SZQ3" s="62"/>
      <c r="SZR3" s="62"/>
      <c r="SZS3" s="62"/>
      <c r="SZT3" s="62"/>
      <c r="SZU3" s="62"/>
      <c r="SZV3" s="62"/>
      <c r="SZW3" s="62"/>
      <c r="SZX3" s="62"/>
      <c r="SZY3" s="62"/>
      <c r="SZZ3" s="62"/>
      <c r="TAA3" s="62"/>
      <c r="TAB3" s="62"/>
      <c r="TAC3" s="62"/>
      <c r="TAD3" s="62"/>
      <c r="TAE3" s="62"/>
      <c r="TAF3" s="62"/>
      <c r="TAG3" s="62"/>
      <c r="TAH3" s="62"/>
      <c r="TAI3" s="62"/>
      <c r="TAJ3" s="62"/>
      <c r="TAK3" s="62"/>
      <c r="TAL3" s="62"/>
      <c r="TAM3" s="62"/>
      <c r="TAN3" s="62"/>
      <c r="TAO3" s="62"/>
      <c r="TAP3" s="62"/>
      <c r="TAQ3" s="62"/>
      <c r="TAR3" s="62"/>
      <c r="TAS3" s="62"/>
      <c r="TAT3" s="62"/>
      <c r="TAU3" s="62"/>
      <c r="TAV3" s="62"/>
      <c r="TAW3" s="62"/>
      <c r="TAX3" s="62"/>
      <c r="TAY3" s="62"/>
      <c r="TAZ3" s="62"/>
      <c r="TBA3" s="62"/>
      <c r="TBB3" s="62"/>
      <c r="TBC3" s="62"/>
      <c r="TBD3" s="62"/>
      <c r="TBE3" s="62"/>
      <c r="TBF3" s="62"/>
      <c r="TBG3" s="62"/>
      <c r="TBH3" s="62"/>
      <c r="TBI3" s="62"/>
      <c r="TBJ3" s="62"/>
      <c r="TBK3" s="62"/>
      <c r="TBL3" s="62"/>
      <c r="TBM3" s="62"/>
      <c r="TBN3" s="62"/>
      <c r="TBO3" s="62"/>
      <c r="TBP3" s="62"/>
      <c r="TBQ3" s="62"/>
      <c r="TBR3" s="62"/>
      <c r="TBS3" s="62"/>
      <c r="TBT3" s="62"/>
      <c r="TBU3" s="62"/>
      <c r="TBV3" s="62"/>
      <c r="TBW3" s="62"/>
      <c r="TBX3" s="62"/>
      <c r="TBY3" s="62"/>
      <c r="TBZ3" s="62"/>
      <c r="TCA3" s="62"/>
      <c r="TCB3" s="62"/>
      <c r="TCC3" s="62"/>
      <c r="TCD3" s="62"/>
      <c r="TCE3" s="62"/>
      <c r="TCF3" s="62"/>
      <c r="TCG3" s="62"/>
      <c r="TCH3" s="62"/>
      <c r="TCI3" s="62"/>
      <c r="TCJ3" s="62"/>
      <c r="TCK3" s="62"/>
      <c r="TCL3" s="62"/>
      <c r="TCM3" s="62"/>
      <c r="TCN3" s="62"/>
      <c r="TCO3" s="62"/>
      <c r="TCP3" s="62"/>
      <c r="TCQ3" s="62"/>
      <c r="TCR3" s="62"/>
      <c r="TCS3" s="62"/>
      <c r="TCT3" s="62"/>
      <c r="TCU3" s="62"/>
      <c r="TCV3" s="62"/>
      <c r="TCW3" s="62"/>
      <c r="TCX3" s="62"/>
      <c r="TCY3" s="62"/>
      <c r="TCZ3" s="62"/>
      <c r="TDA3" s="62"/>
      <c r="TDB3" s="62"/>
      <c r="TDC3" s="62"/>
      <c r="TDD3" s="62"/>
      <c r="TDE3" s="62"/>
      <c r="TDF3" s="62"/>
      <c r="TDG3" s="62"/>
      <c r="TDH3" s="62"/>
      <c r="TDI3" s="62"/>
      <c r="TDJ3" s="62"/>
      <c r="TDK3" s="62"/>
      <c r="TDL3" s="62"/>
      <c r="TDM3" s="62"/>
      <c r="TDN3" s="62"/>
      <c r="TDO3" s="62"/>
      <c r="TDP3" s="62"/>
      <c r="TDQ3" s="62"/>
      <c r="TDR3" s="62"/>
      <c r="TDS3" s="62"/>
      <c r="TDT3" s="62"/>
      <c r="TDU3" s="62"/>
      <c r="TDV3" s="62"/>
      <c r="TDW3" s="62"/>
      <c r="TDX3" s="62"/>
      <c r="TDY3" s="62"/>
      <c r="TDZ3" s="62"/>
      <c r="TEA3" s="62"/>
      <c r="TEB3" s="62"/>
      <c r="TEC3" s="62"/>
      <c r="TED3" s="62"/>
      <c r="TEE3" s="62"/>
      <c r="TEF3" s="62"/>
      <c r="TEG3" s="62"/>
      <c r="TEH3" s="62"/>
      <c r="TEI3" s="62"/>
      <c r="TEJ3" s="62"/>
      <c r="TEK3" s="62"/>
      <c r="TEL3" s="62"/>
      <c r="TEM3" s="62"/>
      <c r="TEN3" s="62"/>
      <c r="TEO3" s="62"/>
      <c r="TEP3" s="62"/>
      <c r="TEQ3" s="62"/>
      <c r="TER3" s="62"/>
      <c r="TES3" s="62"/>
      <c r="TET3" s="62"/>
      <c r="TEU3" s="62"/>
      <c r="TEV3" s="62"/>
      <c r="TEW3" s="62"/>
      <c r="TEX3" s="62"/>
      <c r="TEY3" s="62"/>
      <c r="TEZ3" s="62"/>
      <c r="TFA3" s="62"/>
      <c r="TFB3" s="62"/>
      <c r="TFC3" s="62"/>
      <c r="TFD3" s="62"/>
      <c r="TFE3" s="62"/>
      <c r="TFF3" s="62"/>
      <c r="TFG3" s="62"/>
      <c r="TFH3" s="62"/>
      <c r="TFI3" s="62"/>
      <c r="TFJ3" s="62"/>
      <c r="TFK3" s="62"/>
      <c r="TFL3" s="62"/>
      <c r="TFM3" s="62"/>
      <c r="TFN3" s="62"/>
      <c r="TFO3" s="62"/>
      <c r="TFP3" s="62"/>
      <c r="TFQ3" s="62"/>
      <c r="TFR3" s="62"/>
      <c r="TFS3" s="62"/>
      <c r="TFT3" s="62"/>
      <c r="TFU3" s="62"/>
      <c r="TFV3" s="62"/>
      <c r="TFW3" s="62"/>
      <c r="TFX3" s="62"/>
      <c r="TFY3" s="62"/>
      <c r="TFZ3" s="62"/>
      <c r="TGA3" s="62"/>
      <c r="TGB3" s="62"/>
      <c r="TGC3" s="62"/>
      <c r="TGD3" s="62"/>
      <c r="TGE3" s="62"/>
      <c r="TGF3" s="62"/>
      <c r="TGG3" s="62"/>
      <c r="TGH3" s="62"/>
      <c r="TGI3" s="62"/>
      <c r="TGJ3" s="62"/>
      <c r="TGK3" s="62"/>
      <c r="TGL3" s="62"/>
      <c r="TGM3" s="62"/>
      <c r="TGN3" s="62"/>
      <c r="TGO3" s="62"/>
      <c r="TGP3" s="62"/>
      <c r="TGQ3" s="62"/>
      <c r="TGR3" s="62"/>
      <c r="TGS3" s="62"/>
      <c r="TGT3" s="62"/>
      <c r="TGU3" s="62"/>
      <c r="TGV3" s="62"/>
      <c r="TGW3" s="62"/>
      <c r="TGX3" s="62"/>
      <c r="TGY3" s="62"/>
      <c r="TGZ3" s="62"/>
      <c r="THA3" s="62"/>
      <c r="THB3" s="62"/>
      <c r="THC3" s="62"/>
      <c r="THD3" s="62"/>
      <c r="THE3" s="62"/>
      <c r="THF3" s="62"/>
      <c r="THG3" s="62"/>
      <c r="THH3" s="62"/>
      <c r="THI3" s="62"/>
      <c r="THJ3" s="62"/>
      <c r="THK3" s="62"/>
      <c r="THL3" s="62"/>
      <c r="THM3" s="62"/>
      <c r="THN3" s="62"/>
      <c r="THO3" s="62"/>
      <c r="THP3" s="62"/>
      <c r="THQ3" s="62"/>
      <c r="THR3" s="62"/>
      <c r="THS3" s="62"/>
      <c r="THT3" s="62"/>
      <c r="THU3" s="62"/>
      <c r="THV3" s="62"/>
      <c r="THW3" s="62"/>
      <c r="THX3" s="62"/>
      <c r="THY3" s="62"/>
      <c r="THZ3" s="62"/>
      <c r="TIA3" s="62"/>
      <c r="TIB3" s="62"/>
      <c r="TIC3" s="62"/>
      <c r="TID3" s="62"/>
      <c r="TIE3" s="62"/>
      <c r="TIF3" s="62"/>
      <c r="TIG3" s="62"/>
      <c r="TIH3" s="62"/>
      <c r="TII3" s="62"/>
      <c r="TIJ3" s="62"/>
      <c r="TIK3" s="62"/>
      <c r="TIL3" s="62"/>
      <c r="TIM3" s="62"/>
      <c r="TIN3" s="62"/>
      <c r="TIO3" s="62"/>
      <c r="TIP3" s="62"/>
      <c r="TIQ3" s="62"/>
      <c r="TIR3" s="62"/>
      <c r="TIS3" s="62"/>
      <c r="TIT3" s="62"/>
      <c r="TIU3" s="62"/>
      <c r="TIV3" s="62"/>
      <c r="TIW3" s="62"/>
      <c r="TIX3" s="62"/>
      <c r="TIY3" s="62"/>
      <c r="TIZ3" s="62"/>
      <c r="TJA3" s="62"/>
      <c r="TJB3" s="62"/>
      <c r="TJC3" s="62"/>
      <c r="TJD3" s="62"/>
      <c r="TJE3" s="62"/>
      <c r="TJF3" s="62"/>
      <c r="TJG3" s="62"/>
      <c r="TJH3" s="62"/>
      <c r="TJI3" s="62"/>
      <c r="TJJ3" s="62"/>
      <c r="TJK3" s="62"/>
      <c r="TJL3" s="62"/>
      <c r="TJM3" s="62"/>
      <c r="TJN3" s="62"/>
      <c r="TJO3" s="62"/>
      <c r="TJP3" s="62"/>
      <c r="TJQ3" s="62"/>
      <c r="TJR3" s="62"/>
      <c r="TJS3" s="62"/>
      <c r="TJT3" s="62"/>
      <c r="TJU3" s="62"/>
      <c r="TJV3" s="62"/>
      <c r="TJW3" s="62"/>
      <c r="TJX3" s="62"/>
      <c r="TJY3" s="62"/>
      <c r="TJZ3" s="62"/>
      <c r="TKA3" s="62"/>
      <c r="TKB3" s="62"/>
      <c r="TKC3" s="62"/>
      <c r="TKD3" s="62"/>
      <c r="TKE3" s="62"/>
      <c r="TKF3" s="62"/>
      <c r="TKG3" s="62"/>
      <c r="TKH3" s="62"/>
      <c r="TKI3" s="62"/>
      <c r="TKJ3" s="62"/>
      <c r="TKK3" s="62"/>
      <c r="TKL3" s="62"/>
      <c r="TKM3" s="62"/>
      <c r="TKN3" s="62"/>
      <c r="TKO3" s="62"/>
      <c r="TKP3" s="62"/>
      <c r="TKQ3" s="62"/>
      <c r="TKR3" s="62"/>
      <c r="TKS3" s="62"/>
      <c r="TKT3" s="62"/>
      <c r="TKU3" s="62"/>
      <c r="TKV3" s="62"/>
      <c r="TKW3" s="62"/>
      <c r="TKX3" s="62"/>
      <c r="TKY3" s="62"/>
      <c r="TKZ3" s="62"/>
      <c r="TLA3" s="62"/>
      <c r="TLB3" s="62"/>
      <c r="TLC3" s="62"/>
      <c r="TLD3" s="62"/>
      <c r="TLE3" s="62"/>
      <c r="TLF3" s="62"/>
      <c r="TLG3" s="62"/>
      <c r="TLH3" s="62"/>
      <c r="TLI3" s="62"/>
      <c r="TLJ3" s="62"/>
      <c r="TLK3" s="62"/>
      <c r="TLL3" s="62"/>
      <c r="TLM3" s="62"/>
      <c r="TLN3" s="62"/>
      <c r="TLO3" s="62"/>
      <c r="TLP3" s="62"/>
      <c r="TLQ3" s="62"/>
      <c r="TLR3" s="62"/>
      <c r="TLS3" s="62"/>
      <c r="TLT3" s="62"/>
      <c r="TLU3" s="62"/>
      <c r="TLV3" s="62"/>
      <c r="TLW3" s="62"/>
      <c r="TLX3" s="62"/>
      <c r="TLY3" s="62"/>
      <c r="TLZ3" s="62"/>
      <c r="TMA3" s="62"/>
      <c r="TMB3" s="62"/>
      <c r="TMC3" s="62"/>
      <c r="TMD3" s="62"/>
      <c r="TME3" s="62"/>
      <c r="TMF3" s="62"/>
      <c r="TMG3" s="62"/>
      <c r="TMH3" s="62"/>
      <c r="TMI3" s="62"/>
      <c r="TMJ3" s="62"/>
      <c r="TMK3" s="62"/>
      <c r="TML3" s="62"/>
      <c r="TMM3" s="62"/>
      <c r="TMN3" s="62"/>
      <c r="TMO3" s="62"/>
      <c r="TMP3" s="62"/>
      <c r="TMQ3" s="62"/>
      <c r="TMR3" s="62"/>
      <c r="TMS3" s="62"/>
      <c r="TMT3" s="62"/>
      <c r="TMU3" s="62"/>
      <c r="TMV3" s="62"/>
      <c r="TMW3" s="62"/>
      <c r="TMX3" s="62"/>
      <c r="TMY3" s="62"/>
      <c r="TMZ3" s="62"/>
      <c r="TNA3" s="62"/>
      <c r="TNB3" s="62"/>
      <c r="TNC3" s="62"/>
      <c r="TND3" s="62"/>
      <c r="TNE3" s="62"/>
      <c r="TNF3" s="62"/>
      <c r="TNG3" s="62"/>
      <c r="TNH3" s="62"/>
      <c r="TNI3" s="62"/>
      <c r="TNJ3" s="62"/>
      <c r="TNK3" s="62"/>
      <c r="TNL3" s="62"/>
      <c r="TNM3" s="62"/>
      <c r="TNN3" s="62"/>
      <c r="TNO3" s="62"/>
      <c r="TNP3" s="62"/>
      <c r="TNQ3" s="62"/>
      <c r="TNR3" s="62"/>
      <c r="TNS3" s="62"/>
      <c r="TNT3" s="62"/>
      <c r="TNU3" s="62"/>
      <c r="TNV3" s="62"/>
      <c r="TNW3" s="62"/>
      <c r="TNX3" s="62"/>
      <c r="TNY3" s="62"/>
      <c r="TNZ3" s="62"/>
      <c r="TOA3" s="62"/>
      <c r="TOB3" s="62"/>
      <c r="TOC3" s="62"/>
      <c r="TOD3" s="62"/>
      <c r="TOE3" s="62"/>
      <c r="TOF3" s="62"/>
      <c r="TOG3" s="62"/>
      <c r="TOH3" s="62"/>
      <c r="TOI3" s="62"/>
      <c r="TOJ3" s="62"/>
      <c r="TOK3" s="62"/>
      <c r="TOL3" s="62"/>
      <c r="TOM3" s="62"/>
      <c r="TON3" s="62"/>
      <c r="TOO3" s="62"/>
      <c r="TOP3" s="62"/>
      <c r="TOQ3" s="62"/>
      <c r="TOR3" s="62"/>
      <c r="TOS3" s="62"/>
      <c r="TOT3" s="62"/>
      <c r="TOU3" s="62"/>
      <c r="TOV3" s="62"/>
      <c r="TOW3" s="62"/>
      <c r="TOX3" s="62"/>
      <c r="TOY3" s="62"/>
      <c r="TOZ3" s="62"/>
      <c r="TPA3" s="62"/>
      <c r="TPB3" s="62"/>
      <c r="TPC3" s="62"/>
      <c r="TPD3" s="62"/>
      <c r="TPE3" s="62"/>
      <c r="TPF3" s="62"/>
      <c r="TPG3" s="62"/>
      <c r="TPH3" s="62"/>
      <c r="TPI3" s="62"/>
      <c r="TPJ3" s="62"/>
      <c r="TPK3" s="62"/>
      <c r="TPL3" s="62"/>
      <c r="TPM3" s="62"/>
      <c r="TPN3" s="62"/>
      <c r="TPO3" s="62"/>
      <c r="TPP3" s="62"/>
      <c r="TPQ3" s="62"/>
      <c r="TPR3" s="62"/>
      <c r="TPS3" s="62"/>
      <c r="TPT3" s="62"/>
      <c r="TPU3" s="62"/>
      <c r="TPV3" s="62"/>
      <c r="TPW3" s="62"/>
      <c r="TPX3" s="62"/>
      <c r="TPY3" s="62"/>
      <c r="TPZ3" s="62"/>
      <c r="TQA3" s="62"/>
      <c r="TQB3" s="62"/>
      <c r="TQC3" s="62"/>
      <c r="TQD3" s="62"/>
      <c r="TQE3" s="62"/>
      <c r="TQF3" s="62"/>
      <c r="TQG3" s="62"/>
      <c r="TQH3" s="62"/>
      <c r="TQI3" s="62"/>
      <c r="TQJ3" s="62"/>
      <c r="TQK3" s="62"/>
      <c r="TQL3" s="62"/>
      <c r="TQM3" s="62"/>
      <c r="TQN3" s="62"/>
      <c r="TQO3" s="62"/>
      <c r="TQP3" s="62"/>
      <c r="TQQ3" s="62"/>
      <c r="TQR3" s="62"/>
      <c r="TQS3" s="62"/>
      <c r="TQT3" s="62"/>
      <c r="TQU3" s="62"/>
      <c r="TQV3" s="62"/>
      <c r="TQW3" s="62"/>
      <c r="TQX3" s="62"/>
      <c r="TQY3" s="62"/>
      <c r="TQZ3" s="62"/>
      <c r="TRA3" s="62"/>
      <c r="TRB3" s="62"/>
      <c r="TRC3" s="62"/>
      <c r="TRD3" s="62"/>
      <c r="TRE3" s="62"/>
      <c r="TRF3" s="62"/>
      <c r="TRG3" s="62"/>
      <c r="TRH3" s="62"/>
      <c r="TRI3" s="62"/>
      <c r="TRJ3" s="62"/>
      <c r="TRK3" s="62"/>
      <c r="TRL3" s="62"/>
      <c r="TRM3" s="62"/>
      <c r="TRN3" s="62"/>
      <c r="TRO3" s="62"/>
      <c r="TRP3" s="62"/>
      <c r="TRQ3" s="62"/>
      <c r="TRR3" s="62"/>
      <c r="TRS3" s="62"/>
      <c r="TRT3" s="62"/>
      <c r="TRU3" s="62"/>
      <c r="TRV3" s="62"/>
      <c r="TRW3" s="62"/>
      <c r="TRX3" s="62"/>
      <c r="TRY3" s="62"/>
      <c r="TRZ3" s="62"/>
      <c r="TSA3" s="62"/>
      <c r="TSB3" s="62"/>
      <c r="TSC3" s="62"/>
      <c r="TSD3" s="62"/>
      <c r="TSE3" s="62"/>
      <c r="TSF3" s="62"/>
      <c r="TSG3" s="62"/>
      <c r="TSH3" s="62"/>
      <c r="TSI3" s="62"/>
      <c r="TSJ3" s="62"/>
      <c r="TSK3" s="62"/>
      <c r="TSL3" s="62"/>
      <c r="TSM3" s="62"/>
      <c r="TSN3" s="62"/>
      <c r="TSO3" s="62"/>
      <c r="TSP3" s="62"/>
      <c r="TSQ3" s="62"/>
      <c r="TSR3" s="62"/>
      <c r="TSS3" s="62"/>
      <c r="TST3" s="62"/>
      <c r="TSU3" s="62"/>
      <c r="TSV3" s="62"/>
      <c r="TSW3" s="62"/>
      <c r="TSX3" s="62"/>
      <c r="TSY3" s="62"/>
      <c r="TSZ3" s="62"/>
      <c r="TTA3" s="62"/>
      <c r="TTB3" s="62"/>
      <c r="TTC3" s="62"/>
      <c r="TTD3" s="62"/>
      <c r="TTE3" s="62"/>
      <c r="TTF3" s="62"/>
      <c r="TTG3" s="62"/>
      <c r="TTH3" s="62"/>
      <c r="TTI3" s="62"/>
      <c r="TTJ3" s="62"/>
      <c r="TTK3" s="62"/>
      <c r="TTL3" s="62"/>
      <c r="TTM3" s="62"/>
      <c r="TTN3" s="62"/>
      <c r="TTO3" s="62"/>
      <c r="TTP3" s="62"/>
      <c r="TTQ3" s="62"/>
      <c r="TTR3" s="62"/>
      <c r="TTS3" s="62"/>
      <c r="TTT3" s="62"/>
      <c r="TTU3" s="62"/>
      <c r="TTV3" s="62"/>
      <c r="TTW3" s="62"/>
      <c r="TTX3" s="62"/>
      <c r="TTY3" s="62"/>
      <c r="TTZ3" s="62"/>
      <c r="TUA3" s="62"/>
      <c r="TUB3" s="62"/>
      <c r="TUC3" s="62"/>
      <c r="TUD3" s="62"/>
      <c r="TUE3" s="62"/>
      <c r="TUF3" s="62"/>
      <c r="TUG3" s="62"/>
      <c r="TUH3" s="62"/>
      <c r="TUI3" s="62"/>
      <c r="TUJ3" s="62"/>
      <c r="TUK3" s="62"/>
      <c r="TUL3" s="62"/>
      <c r="TUM3" s="62"/>
      <c r="TUN3" s="62"/>
      <c r="TUO3" s="62"/>
      <c r="TUP3" s="62"/>
      <c r="TUQ3" s="62"/>
      <c r="TUR3" s="62"/>
      <c r="TUS3" s="62"/>
      <c r="TUT3" s="62"/>
      <c r="TUU3" s="62"/>
      <c r="TUV3" s="62"/>
      <c r="TUW3" s="62"/>
      <c r="TUX3" s="62"/>
      <c r="TUY3" s="62"/>
      <c r="TUZ3" s="62"/>
      <c r="TVA3" s="62"/>
      <c r="TVB3" s="62"/>
      <c r="TVC3" s="62"/>
      <c r="TVD3" s="62"/>
      <c r="TVE3" s="62"/>
      <c r="TVF3" s="62"/>
      <c r="TVG3" s="62"/>
      <c r="TVH3" s="62"/>
      <c r="TVI3" s="62"/>
      <c r="TVJ3" s="62"/>
      <c r="TVK3" s="62"/>
      <c r="TVL3" s="62"/>
      <c r="TVM3" s="62"/>
      <c r="TVN3" s="62"/>
      <c r="TVO3" s="62"/>
      <c r="TVP3" s="62"/>
      <c r="TVQ3" s="62"/>
      <c r="TVR3" s="62"/>
      <c r="TVS3" s="62"/>
      <c r="TVT3" s="62"/>
      <c r="TVU3" s="62"/>
      <c r="TVV3" s="62"/>
      <c r="TVW3" s="62"/>
      <c r="TVX3" s="62"/>
      <c r="TVY3" s="62"/>
      <c r="TVZ3" s="62"/>
      <c r="TWA3" s="62"/>
      <c r="TWB3" s="62"/>
      <c r="TWC3" s="62"/>
      <c r="TWD3" s="62"/>
      <c r="TWE3" s="62"/>
      <c r="TWF3" s="62"/>
      <c r="TWG3" s="62"/>
      <c r="TWH3" s="62"/>
      <c r="TWI3" s="62"/>
      <c r="TWJ3" s="62"/>
      <c r="TWK3" s="62"/>
      <c r="TWL3" s="62"/>
      <c r="TWM3" s="62"/>
      <c r="TWN3" s="62"/>
      <c r="TWO3" s="62"/>
      <c r="TWP3" s="62"/>
      <c r="TWQ3" s="62"/>
      <c r="TWR3" s="62"/>
      <c r="TWS3" s="62"/>
      <c r="TWT3" s="62"/>
      <c r="TWU3" s="62"/>
      <c r="TWV3" s="62"/>
      <c r="TWW3" s="62"/>
      <c r="TWX3" s="62"/>
      <c r="TWY3" s="62"/>
      <c r="TWZ3" s="62"/>
      <c r="TXA3" s="62"/>
      <c r="TXB3" s="62"/>
      <c r="TXC3" s="62"/>
      <c r="TXD3" s="62"/>
      <c r="TXE3" s="62"/>
      <c r="TXF3" s="62"/>
      <c r="TXG3" s="62"/>
      <c r="TXH3" s="62"/>
      <c r="TXI3" s="62"/>
      <c r="TXJ3" s="62"/>
      <c r="TXK3" s="62"/>
      <c r="TXL3" s="62"/>
      <c r="TXM3" s="62"/>
      <c r="TXN3" s="62"/>
      <c r="TXO3" s="62"/>
      <c r="TXP3" s="62"/>
      <c r="TXQ3" s="62"/>
      <c r="TXR3" s="62"/>
      <c r="TXS3" s="62"/>
      <c r="TXT3" s="62"/>
      <c r="TXU3" s="62"/>
      <c r="TXV3" s="62"/>
      <c r="TXW3" s="62"/>
      <c r="TXX3" s="62"/>
      <c r="TXY3" s="62"/>
      <c r="TXZ3" s="62"/>
      <c r="TYA3" s="62"/>
      <c r="TYB3" s="62"/>
      <c r="TYC3" s="62"/>
      <c r="TYD3" s="62"/>
      <c r="TYE3" s="62"/>
      <c r="TYF3" s="62"/>
      <c r="TYG3" s="62"/>
      <c r="TYH3" s="62"/>
      <c r="TYI3" s="62"/>
      <c r="TYJ3" s="62"/>
      <c r="TYK3" s="62"/>
      <c r="TYL3" s="62"/>
      <c r="TYM3" s="62"/>
      <c r="TYN3" s="62"/>
      <c r="TYO3" s="62"/>
      <c r="TYP3" s="62"/>
      <c r="TYQ3" s="62"/>
      <c r="TYR3" s="62"/>
      <c r="TYS3" s="62"/>
      <c r="TYT3" s="62"/>
      <c r="TYU3" s="62"/>
      <c r="TYV3" s="62"/>
      <c r="TYW3" s="62"/>
      <c r="TYX3" s="62"/>
      <c r="TYY3" s="62"/>
      <c r="TYZ3" s="62"/>
      <c r="TZA3" s="62"/>
      <c r="TZB3" s="62"/>
      <c r="TZC3" s="62"/>
      <c r="TZD3" s="62"/>
      <c r="TZE3" s="62"/>
      <c r="TZF3" s="62"/>
      <c r="TZG3" s="62"/>
      <c r="TZH3" s="62"/>
      <c r="TZI3" s="62"/>
      <c r="TZJ3" s="62"/>
      <c r="TZK3" s="62"/>
      <c r="TZL3" s="62"/>
      <c r="TZM3" s="62"/>
      <c r="TZN3" s="62"/>
      <c r="TZO3" s="62"/>
      <c r="TZP3" s="62"/>
      <c r="TZQ3" s="62"/>
      <c r="TZR3" s="62"/>
      <c r="TZS3" s="62"/>
      <c r="TZT3" s="62"/>
      <c r="TZU3" s="62"/>
      <c r="TZV3" s="62"/>
      <c r="TZW3" s="62"/>
      <c r="TZX3" s="62"/>
      <c r="TZY3" s="62"/>
      <c r="TZZ3" s="62"/>
      <c r="UAA3" s="62"/>
      <c r="UAB3" s="62"/>
      <c r="UAC3" s="62"/>
      <c r="UAD3" s="62"/>
      <c r="UAE3" s="62"/>
      <c r="UAF3" s="62"/>
      <c r="UAG3" s="62"/>
      <c r="UAH3" s="62"/>
      <c r="UAI3" s="62"/>
      <c r="UAJ3" s="62"/>
      <c r="UAK3" s="62"/>
      <c r="UAL3" s="62"/>
      <c r="UAM3" s="62"/>
      <c r="UAN3" s="62"/>
      <c r="UAO3" s="62"/>
      <c r="UAP3" s="62"/>
      <c r="UAQ3" s="62"/>
      <c r="UAR3" s="62"/>
      <c r="UAS3" s="62"/>
      <c r="UAT3" s="62"/>
      <c r="UAU3" s="62"/>
      <c r="UAV3" s="62"/>
      <c r="UAW3" s="62"/>
      <c r="UAX3" s="62"/>
      <c r="UAY3" s="62"/>
      <c r="UAZ3" s="62"/>
      <c r="UBA3" s="62"/>
      <c r="UBB3" s="62"/>
      <c r="UBC3" s="62"/>
      <c r="UBD3" s="62"/>
      <c r="UBE3" s="62"/>
      <c r="UBF3" s="62"/>
      <c r="UBG3" s="62"/>
      <c r="UBH3" s="62"/>
      <c r="UBI3" s="62"/>
      <c r="UBJ3" s="62"/>
      <c r="UBK3" s="62"/>
      <c r="UBL3" s="62"/>
      <c r="UBM3" s="62"/>
      <c r="UBN3" s="62"/>
      <c r="UBO3" s="62"/>
      <c r="UBP3" s="62"/>
      <c r="UBQ3" s="62"/>
      <c r="UBR3" s="62"/>
      <c r="UBS3" s="62"/>
      <c r="UBT3" s="62"/>
      <c r="UBU3" s="62"/>
      <c r="UBV3" s="62"/>
      <c r="UBW3" s="62"/>
      <c r="UBX3" s="62"/>
      <c r="UBY3" s="62"/>
      <c r="UBZ3" s="62"/>
      <c r="UCA3" s="62"/>
      <c r="UCB3" s="62"/>
      <c r="UCC3" s="62"/>
      <c r="UCD3" s="62"/>
      <c r="UCE3" s="62"/>
      <c r="UCF3" s="62"/>
      <c r="UCG3" s="62"/>
      <c r="UCH3" s="62"/>
      <c r="UCI3" s="62"/>
      <c r="UCJ3" s="62"/>
      <c r="UCK3" s="62"/>
      <c r="UCL3" s="62"/>
      <c r="UCM3" s="62"/>
      <c r="UCN3" s="62"/>
      <c r="UCO3" s="62"/>
      <c r="UCP3" s="62"/>
      <c r="UCQ3" s="62"/>
      <c r="UCR3" s="62"/>
      <c r="UCS3" s="62"/>
      <c r="UCT3" s="62"/>
      <c r="UCU3" s="62"/>
      <c r="UCV3" s="62"/>
      <c r="UCW3" s="62"/>
      <c r="UCX3" s="62"/>
      <c r="UCY3" s="62"/>
      <c r="UCZ3" s="62"/>
      <c r="UDA3" s="62"/>
      <c r="UDB3" s="62"/>
      <c r="UDC3" s="62"/>
      <c r="UDD3" s="62"/>
      <c r="UDE3" s="62"/>
      <c r="UDF3" s="62"/>
      <c r="UDG3" s="62"/>
      <c r="UDH3" s="62"/>
      <c r="UDI3" s="62"/>
      <c r="UDJ3" s="62"/>
      <c r="UDK3" s="62"/>
      <c r="UDL3" s="62"/>
      <c r="UDM3" s="62"/>
      <c r="UDN3" s="62"/>
      <c r="UDO3" s="62"/>
      <c r="UDP3" s="62"/>
      <c r="UDQ3" s="62"/>
      <c r="UDR3" s="62"/>
      <c r="UDS3" s="62"/>
      <c r="UDT3" s="62"/>
      <c r="UDU3" s="62"/>
      <c r="UDV3" s="62"/>
      <c r="UDW3" s="62"/>
      <c r="UDX3" s="62"/>
      <c r="UDY3" s="62"/>
      <c r="UDZ3" s="62"/>
      <c r="UEA3" s="62"/>
      <c r="UEB3" s="62"/>
      <c r="UEC3" s="62"/>
      <c r="UED3" s="62"/>
      <c r="UEE3" s="62"/>
      <c r="UEF3" s="62"/>
      <c r="UEG3" s="62"/>
      <c r="UEH3" s="62"/>
      <c r="UEI3" s="62"/>
      <c r="UEJ3" s="62"/>
      <c r="UEK3" s="62"/>
      <c r="UEL3" s="62"/>
      <c r="UEM3" s="62"/>
      <c r="UEN3" s="62"/>
      <c r="UEO3" s="62"/>
      <c r="UEP3" s="62"/>
      <c r="UEQ3" s="62"/>
      <c r="UER3" s="62"/>
      <c r="UES3" s="62"/>
      <c r="UET3" s="62"/>
      <c r="UEU3" s="62"/>
      <c r="UEV3" s="62"/>
      <c r="UEW3" s="62"/>
      <c r="UEX3" s="62"/>
      <c r="UEY3" s="62"/>
      <c r="UEZ3" s="62"/>
      <c r="UFA3" s="62"/>
      <c r="UFB3" s="62"/>
      <c r="UFC3" s="62"/>
      <c r="UFD3" s="62"/>
      <c r="UFE3" s="62"/>
      <c r="UFF3" s="62"/>
      <c r="UFG3" s="62"/>
      <c r="UFH3" s="62"/>
      <c r="UFI3" s="62"/>
      <c r="UFJ3" s="62"/>
      <c r="UFK3" s="62"/>
      <c r="UFL3" s="62"/>
      <c r="UFM3" s="62"/>
      <c r="UFN3" s="62"/>
      <c r="UFO3" s="62"/>
      <c r="UFP3" s="62"/>
      <c r="UFQ3" s="62"/>
      <c r="UFR3" s="62"/>
      <c r="UFS3" s="62"/>
      <c r="UFT3" s="62"/>
      <c r="UFU3" s="62"/>
      <c r="UFV3" s="62"/>
      <c r="UFW3" s="62"/>
      <c r="UFX3" s="62"/>
      <c r="UFY3" s="62"/>
      <c r="UFZ3" s="62"/>
      <c r="UGA3" s="62"/>
      <c r="UGB3" s="62"/>
      <c r="UGC3" s="62"/>
      <c r="UGD3" s="62"/>
      <c r="UGE3" s="62"/>
      <c r="UGF3" s="62"/>
      <c r="UGG3" s="62"/>
      <c r="UGH3" s="62"/>
      <c r="UGI3" s="62"/>
      <c r="UGJ3" s="62"/>
      <c r="UGK3" s="62"/>
      <c r="UGL3" s="62"/>
      <c r="UGM3" s="62"/>
      <c r="UGN3" s="62"/>
      <c r="UGO3" s="62"/>
      <c r="UGP3" s="62"/>
      <c r="UGQ3" s="62"/>
      <c r="UGR3" s="62"/>
      <c r="UGS3" s="62"/>
      <c r="UGT3" s="62"/>
      <c r="UGU3" s="62"/>
      <c r="UGV3" s="62"/>
      <c r="UGW3" s="62"/>
      <c r="UGX3" s="62"/>
      <c r="UGY3" s="62"/>
      <c r="UGZ3" s="62"/>
      <c r="UHA3" s="62"/>
      <c r="UHB3" s="62"/>
      <c r="UHC3" s="62"/>
      <c r="UHD3" s="62"/>
      <c r="UHE3" s="62"/>
      <c r="UHF3" s="62"/>
      <c r="UHG3" s="62"/>
      <c r="UHH3" s="62"/>
      <c r="UHI3" s="62"/>
      <c r="UHJ3" s="62"/>
      <c r="UHK3" s="62"/>
      <c r="UHL3" s="62"/>
      <c r="UHM3" s="62"/>
      <c r="UHN3" s="62"/>
      <c r="UHO3" s="62"/>
      <c r="UHP3" s="62"/>
      <c r="UHQ3" s="62"/>
      <c r="UHR3" s="62"/>
      <c r="UHS3" s="62"/>
      <c r="UHT3" s="62"/>
      <c r="UHU3" s="62"/>
      <c r="UHV3" s="62"/>
      <c r="UHW3" s="62"/>
      <c r="UHX3" s="62"/>
      <c r="UHY3" s="62"/>
      <c r="UHZ3" s="62"/>
      <c r="UIA3" s="62"/>
      <c r="UIB3" s="62"/>
      <c r="UIC3" s="62"/>
      <c r="UID3" s="62"/>
      <c r="UIE3" s="62"/>
      <c r="UIF3" s="62"/>
      <c r="UIG3" s="62"/>
      <c r="UIH3" s="62"/>
      <c r="UII3" s="62"/>
      <c r="UIJ3" s="62"/>
      <c r="UIK3" s="62"/>
      <c r="UIL3" s="62"/>
      <c r="UIM3" s="62"/>
      <c r="UIN3" s="62"/>
      <c r="UIO3" s="62"/>
      <c r="UIP3" s="62"/>
      <c r="UIQ3" s="62"/>
      <c r="UIR3" s="62"/>
      <c r="UIS3" s="62"/>
      <c r="UIT3" s="62"/>
      <c r="UIU3" s="62"/>
      <c r="UIV3" s="62"/>
      <c r="UIW3" s="62"/>
      <c r="UIX3" s="62"/>
      <c r="UIY3" s="62"/>
      <c r="UIZ3" s="62"/>
      <c r="UJA3" s="62"/>
      <c r="UJB3" s="62"/>
      <c r="UJC3" s="62"/>
      <c r="UJD3" s="62"/>
      <c r="UJE3" s="62"/>
      <c r="UJF3" s="62"/>
      <c r="UJG3" s="62"/>
      <c r="UJH3" s="62"/>
      <c r="UJI3" s="62"/>
      <c r="UJJ3" s="62"/>
      <c r="UJK3" s="62"/>
      <c r="UJL3" s="62"/>
      <c r="UJM3" s="62"/>
      <c r="UJN3" s="62"/>
      <c r="UJO3" s="62"/>
      <c r="UJP3" s="62"/>
      <c r="UJQ3" s="62"/>
      <c r="UJR3" s="62"/>
      <c r="UJS3" s="62"/>
      <c r="UJT3" s="62"/>
      <c r="UJU3" s="62"/>
      <c r="UJV3" s="62"/>
      <c r="UJW3" s="62"/>
      <c r="UJX3" s="62"/>
      <c r="UJY3" s="62"/>
      <c r="UJZ3" s="62"/>
      <c r="UKA3" s="62"/>
      <c r="UKB3" s="62"/>
      <c r="UKC3" s="62"/>
      <c r="UKD3" s="62"/>
      <c r="UKE3" s="62"/>
      <c r="UKF3" s="62"/>
      <c r="UKG3" s="62"/>
      <c r="UKH3" s="62"/>
      <c r="UKI3" s="62"/>
      <c r="UKJ3" s="62"/>
      <c r="UKK3" s="62"/>
      <c r="UKL3" s="62"/>
      <c r="UKM3" s="62"/>
      <c r="UKN3" s="62"/>
      <c r="UKO3" s="62"/>
      <c r="UKP3" s="62"/>
      <c r="UKQ3" s="62"/>
      <c r="UKR3" s="62"/>
      <c r="UKS3" s="62"/>
      <c r="UKT3" s="62"/>
      <c r="UKU3" s="62"/>
      <c r="UKV3" s="62"/>
      <c r="UKW3" s="62"/>
      <c r="UKX3" s="62"/>
      <c r="UKY3" s="62"/>
      <c r="UKZ3" s="62"/>
      <c r="ULA3" s="62"/>
      <c r="ULB3" s="62"/>
      <c r="ULC3" s="62"/>
      <c r="ULD3" s="62"/>
      <c r="ULE3" s="62"/>
      <c r="ULF3" s="62"/>
      <c r="ULG3" s="62"/>
      <c r="ULH3" s="62"/>
      <c r="ULI3" s="62"/>
      <c r="ULJ3" s="62"/>
      <c r="ULK3" s="62"/>
      <c r="ULL3" s="62"/>
      <c r="ULM3" s="62"/>
      <c r="ULN3" s="62"/>
      <c r="ULO3" s="62"/>
      <c r="ULP3" s="62"/>
      <c r="ULQ3" s="62"/>
      <c r="ULR3" s="62"/>
      <c r="ULS3" s="62"/>
      <c r="ULT3" s="62"/>
      <c r="ULU3" s="62"/>
      <c r="ULV3" s="62"/>
      <c r="ULW3" s="62"/>
      <c r="ULX3" s="62"/>
      <c r="ULY3" s="62"/>
      <c r="ULZ3" s="62"/>
      <c r="UMA3" s="62"/>
      <c r="UMB3" s="62"/>
      <c r="UMC3" s="62"/>
      <c r="UMD3" s="62"/>
      <c r="UME3" s="62"/>
      <c r="UMF3" s="62"/>
      <c r="UMG3" s="62"/>
      <c r="UMH3" s="62"/>
      <c r="UMI3" s="62"/>
      <c r="UMJ3" s="62"/>
      <c r="UMK3" s="62"/>
      <c r="UML3" s="62"/>
      <c r="UMM3" s="62"/>
      <c r="UMN3" s="62"/>
      <c r="UMO3" s="62"/>
      <c r="UMP3" s="62"/>
      <c r="UMQ3" s="62"/>
      <c r="UMR3" s="62"/>
      <c r="UMS3" s="62"/>
      <c r="UMT3" s="62"/>
      <c r="UMU3" s="62"/>
      <c r="UMV3" s="62"/>
      <c r="UMW3" s="62"/>
      <c r="UMX3" s="62"/>
      <c r="UMY3" s="62"/>
      <c r="UMZ3" s="62"/>
      <c r="UNA3" s="62"/>
      <c r="UNB3" s="62"/>
      <c r="UNC3" s="62"/>
      <c r="UND3" s="62"/>
      <c r="UNE3" s="62"/>
      <c r="UNF3" s="62"/>
      <c r="UNG3" s="62"/>
      <c r="UNH3" s="62"/>
      <c r="UNI3" s="62"/>
      <c r="UNJ3" s="62"/>
      <c r="UNK3" s="62"/>
      <c r="UNL3" s="62"/>
      <c r="UNM3" s="62"/>
      <c r="UNN3" s="62"/>
      <c r="UNO3" s="62"/>
      <c r="UNP3" s="62"/>
      <c r="UNQ3" s="62"/>
      <c r="UNR3" s="62"/>
      <c r="UNS3" s="62"/>
      <c r="UNT3" s="62"/>
      <c r="UNU3" s="62"/>
      <c r="UNV3" s="62"/>
      <c r="UNW3" s="62"/>
      <c r="UNX3" s="62"/>
      <c r="UNY3" s="62"/>
      <c r="UNZ3" s="62"/>
      <c r="UOA3" s="62"/>
      <c r="UOB3" s="62"/>
      <c r="UOC3" s="62"/>
      <c r="UOD3" s="62"/>
      <c r="UOE3" s="62"/>
      <c r="UOF3" s="62"/>
      <c r="UOG3" s="62"/>
      <c r="UOH3" s="62"/>
      <c r="UOI3" s="62"/>
      <c r="UOJ3" s="62"/>
      <c r="UOK3" s="62"/>
      <c r="UOL3" s="62"/>
      <c r="UOM3" s="62"/>
      <c r="UON3" s="62"/>
      <c r="UOO3" s="62"/>
      <c r="UOP3" s="62"/>
      <c r="UOQ3" s="62"/>
      <c r="UOR3" s="62"/>
      <c r="UOS3" s="62"/>
      <c r="UOT3" s="62"/>
      <c r="UOU3" s="62"/>
      <c r="UOV3" s="62"/>
      <c r="UOW3" s="62"/>
      <c r="UOX3" s="62"/>
      <c r="UOY3" s="62"/>
      <c r="UOZ3" s="62"/>
      <c r="UPA3" s="62"/>
      <c r="UPB3" s="62"/>
      <c r="UPC3" s="62"/>
      <c r="UPD3" s="62"/>
      <c r="UPE3" s="62"/>
      <c r="UPF3" s="62"/>
      <c r="UPG3" s="62"/>
      <c r="UPH3" s="62"/>
      <c r="UPI3" s="62"/>
      <c r="UPJ3" s="62"/>
      <c r="UPK3" s="62"/>
      <c r="UPL3" s="62"/>
      <c r="UPM3" s="62"/>
      <c r="UPN3" s="62"/>
      <c r="UPO3" s="62"/>
      <c r="UPP3" s="62"/>
      <c r="UPQ3" s="62"/>
      <c r="UPR3" s="62"/>
      <c r="UPS3" s="62"/>
      <c r="UPT3" s="62"/>
      <c r="UPU3" s="62"/>
      <c r="UPV3" s="62"/>
      <c r="UPW3" s="62"/>
      <c r="UPX3" s="62"/>
      <c r="UPY3" s="62"/>
      <c r="UPZ3" s="62"/>
      <c r="UQA3" s="62"/>
      <c r="UQB3" s="62"/>
      <c r="UQC3" s="62"/>
      <c r="UQD3" s="62"/>
      <c r="UQE3" s="62"/>
      <c r="UQF3" s="62"/>
      <c r="UQG3" s="62"/>
      <c r="UQH3" s="62"/>
      <c r="UQI3" s="62"/>
      <c r="UQJ3" s="62"/>
      <c r="UQK3" s="62"/>
      <c r="UQL3" s="62"/>
      <c r="UQM3" s="62"/>
      <c r="UQN3" s="62"/>
      <c r="UQO3" s="62"/>
      <c r="UQP3" s="62"/>
      <c r="UQQ3" s="62"/>
      <c r="UQR3" s="62"/>
      <c r="UQS3" s="62"/>
      <c r="UQT3" s="62"/>
      <c r="UQU3" s="62"/>
      <c r="UQV3" s="62"/>
      <c r="UQW3" s="62"/>
      <c r="UQX3" s="62"/>
      <c r="UQY3" s="62"/>
      <c r="UQZ3" s="62"/>
      <c r="URA3" s="62"/>
      <c r="URB3" s="62"/>
      <c r="URC3" s="62"/>
      <c r="URD3" s="62"/>
      <c r="URE3" s="62"/>
      <c r="URF3" s="62"/>
      <c r="URG3" s="62"/>
      <c r="URH3" s="62"/>
      <c r="URI3" s="62"/>
      <c r="URJ3" s="62"/>
      <c r="URK3" s="62"/>
      <c r="URL3" s="62"/>
      <c r="URM3" s="62"/>
      <c r="URN3" s="62"/>
      <c r="URO3" s="62"/>
      <c r="URP3" s="62"/>
      <c r="URQ3" s="62"/>
      <c r="URR3" s="62"/>
      <c r="URS3" s="62"/>
      <c r="URT3" s="62"/>
      <c r="URU3" s="62"/>
      <c r="URV3" s="62"/>
      <c r="URW3" s="62"/>
      <c r="URX3" s="62"/>
      <c r="URY3" s="62"/>
      <c r="URZ3" s="62"/>
      <c r="USA3" s="62"/>
      <c r="USB3" s="62"/>
      <c r="USC3" s="62"/>
      <c r="USD3" s="62"/>
      <c r="USE3" s="62"/>
      <c r="USF3" s="62"/>
      <c r="USG3" s="62"/>
      <c r="USH3" s="62"/>
      <c r="USI3" s="62"/>
      <c r="USJ3" s="62"/>
      <c r="USK3" s="62"/>
      <c r="USL3" s="62"/>
      <c r="USM3" s="62"/>
      <c r="USN3" s="62"/>
      <c r="USO3" s="62"/>
      <c r="USP3" s="62"/>
      <c r="USQ3" s="62"/>
      <c r="USR3" s="62"/>
      <c r="USS3" s="62"/>
      <c r="UST3" s="62"/>
      <c r="USU3" s="62"/>
      <c r="USV3" s="62"/>
      <c r="USW3" s="62"/>
      <c r="USX3" s="62"/>
      <c r="USY3" s="62"/>
      <c r="USZ3" s="62"/>
      <c r="UTA3" s="62"/>
      <c r="UTB3" s="62"/>
      <c r="UTC3" s="62"/>
      <c r="UTD3" s="62"/>
      <c r="UTE3" s="62"/>
      <c r="UTF3" s="62"/>
      <c r="UTG3" s="62"/>
      <c r="UTH3" s="62"/>
      <c r="UTI3" s="62"/>
      <c r="UTJ3" s="62"/>
      <c r="UTK3" s="62"/>
      <c r="UTL3" s="62"/>
      <c r="UTM3" s="62"/>
      <c r="UTN3" s="62"/>
      <c r="UTO3" s="62"/>
      <c r="UTP3" s="62"/>
      <c r="UTQ3" s="62"/>
      <c r="UTR3" s="62"/>
      <c r="UTS3" s="62"/>
      <c r="UTT3" s="62"/>
      <c r="UTU3" s="62"/>
      <c r="UTV3" s="62"/>
      <c r="UTW3" s="62"/>
      <c r="UTX3" s="62"/>
      <c r="UTY3" s="62"/>
      <c r="UTZ3" s="62"/>
      <c r="UUA3" s="62"/>
      <c r="UUB3" s="62"/>
      <c r="UUC3" s="62"/>
      <c r="UUD3" s="62"/>
      <c r="UUE3" s="62"/>
      <c r="UUF3" s="62"/>
      <c r="UUG3" s="62"/>
      <c r="UUH3" s="62"/>
      <c r="UUI3" s="62"/>
      <c r="UUJ3" s="62"/>
      <c r="UUK3" s="62"/>
      <c r="UUL3" s="62"/>
      <c r="UUM3" s="62"/>
      <c r="UUN3" s="62"/>
      <c r="UUO3" s="62"/>
      <c r="UUP3" s="62"/>
      <c r="UUQ3" s="62"/>
      <c r="UUR3" s="62"/>
      <c r="UUS3" s="62"/>
      <c r="UUT3" s="62"/>
      <c r="UUU3" s="62"/>
      <c r="UUV3" s="62"/>
      <c r="UUW3" s="62"/>
      <c r="UUX3" s="62"/>
      <c r="UUY3" s="62"/>
      <c r="UUZ3" s="62"/>
      <c r="UVA3" s="62"/>
      <c r="UVB3" s="62"/>
      <c r="UVC3" s="62"/>
      <c r="UVD3" s="62"/>
      <c r="UVE3" s="62"/>
      <c r="UVF3" s="62"/>
      <c r="UVG3" s="62"/>
      <c r="UVH3" s="62"/>
      <c r="UVI3" s="62"/>
      <c r="UVJ3" s="62"/>
      <c r="UVK3" s="62"/>
      <c r="UVL3" s="62"/>
      <c r="UVM3" s="62"/>
      <c r="UVN3" s="62"/>
      <c r="UVO3" s="62"/>
      <c r="UVP3" s="62"/>
      <c r="UVQ3" s="62"/>
      <c r="UVR3" s="62"/>
      <c r="UVS3" s="62"/>
      <c r="UVT3" s="62"/>
      <c r="UVU3" s="62"/>
      <c r="UVV3" s="62"/>
      <c r="UVW3" s="62"/>
      <c r="UVX3" s="62"/>
      <c r="UVY3" s="62"/>
      <c r="UVZ3" s="62"/>
      <c r="UWA3" s="62"/>
      <c r="UWB3" s="62"/>
      <c r="UWC3" s="62"/>
      <c r="UWD3" s="62"/>
      <c r="UWE3" s="62"/>
      <c r="UWF3" s="62"/>
      <c r="UWG3" s="62"/>
      <c r="UWH3" s="62"/>
      <c r="UWI3" s="62"/>
      <c r="UWJ3" s="62"/>
      <c r="UWK3" s="62"/>
      <c r="UWL3" s="62"/>
      <c r="UWM3" s="62"/>
      <c r="UWN3" s="62"/>
      <c r="UWO3" s="62"/>
      <c r="UWP3" s="62"/>
      <c r="UWQ3" s="62"/>
      <c r="UWR3" s="62"/>
      <c r="UWS3" s="62"/>
      <c r="UWT3" s="62"/>
      <c r="UWU3" s="62"/>
      <c r="UWV3" s="62"/>
      <c r="UWW3" s="62"/>
      <c r="UWX3" s="62"/>
      <c r="UWY3" s="62"/>
      <c r="UWZ3" s="62"/>
      <c r="UXA3" s="62"/>
      <c r="UXB3" s="62"/>
      <c r="UXC3" s="62"/>
      <c r="UXD3" s="62"/>
      <c r="UXE3" s="62"/>
      <c r="UXF3" s="62"/>
      <c r="UXG3" s="62"/>
      <c r="UXH3" s="62"/>
      <c r="UXI3" s="62"/>
      <c r="UXJ3" s="62"/>
      <c r="UXK3" s="62"/>
      <c r="UXL3" s="62"/>
      <c r="UXM3" s="62"/>
      <c r="UXN3" s="62"/>
      <c r="UXO3" s="62"/>
      <c r="UXP3" s="62"/>
      <c r="UXQ3" s="62"/>
      <c r="UXR3" s="62"/>
      <c r="UXS3" s="62"/>
      <c r="UXT3" s="62"/>
      <c r="UXU3" s="62"/>
      <c r="UXV3" s="62"/>
      <c r="UXW3" s="62"/>
      <c r="UXX3" s="62"/>
      <c r="UXY3" s="62"/>
      <c r="UXZ3" s="62"/>
      <c r="UYA3" s="62"/>
      <c r="UYB3" s="62"/>
      <c r="UYC3" s="62"/>
      <c r="UYD3" s="62"/>
      <c r="UYE3" s="62"/>
      <c r="UYF3" s="62"/>
      <c r="UYG3" s="62"/>
      <c r="UYH3" s="62"/>
      <c r="UYI3" s="62"/>
      <c r="UYJ3" s="62"/>
      <c r="UYK3" s="62"/>
      <c r="UYL3" s="62"/>
      <c r="UYM3" s="62"/>
      <c r="UYN3" s="62"/>
      <c r="UYO3" s="62"/>
      <c r="UYP3" s="62"/>
      <c r="UYQ3" s="62"/>
      <c r="UYR3" s="62"/>
      <c r="UYS3" s="62"/>
      <c r="UYT3" s="62"/>
      <c r="UYU3" s="62"/>
      <c r="UYV3" s="62"/>
      <c r="UYW3" s="62"/>
      <c r="UYX3" s="62"/>
      <c r="UYY3" s="62"/>
      <c r="UYZ3" s="62"/>
      <c r="UZA3" s="62"/>
      <c r="UZB3" s="62"/>
      <c r="UZC3" s="62"/>
      <c r="UZD3" s="62"/>
      <c r="UZE3" s="62"/>
      <c r="UZF3" s="62"/>
      <c r="UZG3" s="62"/>
      <c r="UZH3" s="62"/>
      <c r="UZI3" s="62"/>
      <c r="UZJ3" s="62"/>
      <c r="UZK3" s="62"/>
      <c r="UZL3" s="62"/>
      <c r="UZM3" s="62"/>
      <c r="UZN3" s="62"/>
      <c r="UZO3" s="62"/>
      <c r="UZP3" s="62"/>
      <c r="UZQ3" s="62"/>
      <c r="UZR3" s="62"/>
      <c r="UZS3" s="62"/>
      <c r="UZT3" s="62"/>
      <c r="UZU3" s="62"/>
      <c r="UZV3" s="62"/>
      <c r="UZW3" s="62"/>
      <c r="UZX3" s="62"/>
      <c r="UZY3" s="62"/>
      <c r="UZZ3" s="62"/>
      <c r="VAA3" s="62"/>
      <c r="VAB3" s="62"/>
      <c r="VAC3" s="62"/>
      <c r="VAD3" s="62"/>
      <c r="VAE3" s="62"/>
      <c r="VAF3" s="62"/>
      <c r="VAG3" s="62"/>
      <c r="VAH3" s="62"/>
      <c r="VAI3" s="62"/>
      <c r="VAJ3" s="62"/>
      <c r="VAK3" s="62"/>
      <c r="VAL3" s="62"/>
      <c r="VAM3" s="62"/>
      <c r="VAN3" s="62"/>
      <c r="VAO3" s="62"/>
      <c r="VAP3" s="62"/>
      <c r="VAQ3" s="62"/>
      <c r="VAR3" s="62"/>
      <c r="VAS3" s="62"/>
      <c r="VAT3" s="62"/>
      <c r="VAU3" s="62"/>
      <c r="VAV3" s="62"/>
      <c r="VAW3" s="62"/>
      <c r="VAX3" s="62"/>
      <c r="VAY3" s="62"/>
      <c r="VAZ3" s="62"/>
      <c r="VBA3" s="62"/>
      <c r="VBB3" s="62"/>
      <c r="VBC3" s="62"/>
      <c r="VBD3" s="62"/>
      <c r="VBE3" s="62"/>
      <c r="VBF3" s="62"/>
      <c r="VBG3" s="62"/>
      <c r="VBH3" s="62"/>
      <c r="VBI3" s="62"/>
      <c r="VBJ3" s="62"/>
      <c r="VBK3" s="62"/>
      <c r="VBL3" s="62"/>
      <c r="VBM3" s="62"/>
      <c r="VBN3" s="62"/>
      <c r="VBO3" s="62"/>
      <c r="VBP3" s="62"/>
      <c r="VBQ3" s="62"/>
      <c r="VBR3" s="62"/>
      <c r="VBS3" s="62"/>
      <c r="VBT3" s="62"/>
      <c r="VBU3" s="62"/>
      <c r="VBV3" s="62"/>
      <c r="VBW3" s="62"/>
      <c r="VBX3" s="62"/>
      <c r="VBY3" s="62"/>
      <c r="VBZ3" s="62"/>
      <c r="VCA3" s="62"/>
      <c r="VCB3" s="62"/>
      <c r="VCC3" s="62"/>
      <c r="VCD3" s="62"/>
      <c r="VCE3" s="62"/>
      <c r="VCF3" s="62"/>
      <c r="VCG3" s="62"/>
      <c r="VCH3" s="62"/>
      <c r="VCI3" s="62"/>
      <c r="VCJ3" s="62"/>
      <c r="VCK3" s="62"/>
      <c r="VCL3" s="62"/>
      <c r="VCM3" s="62"/>
      <c r="VCN3" s="62"/>
      <c r="VCO3" s="62"/>
      <c r="VCP3" s="62"/>
      <c r="VCQ3" s="62"/>
      <c r="VCR3" s="62"/>
      <c r="VCS3" s="62"/>
      <c r="VCT3" s="62"/>
      <c r="VCU3" s="62"/>
      <c r="VCV3" s="62"/>
      <c r="VCW3" s="62"/>
      <c r="VCX3" s="62"/>
      <c r="VCY3" s="62"/>
      <c r="VCZ3" s="62"/>
      <c r="VDA3" s="62"/>
      <c r="VDB3" s="62"/>
      <c r="VDC3" s="62"/>
      <c r="VDD3" s="62"/>
      <c r="VDE3" s="62"/>
      <c r="VDF3" s="62"/>
      <c r="VDG3" s="62"/>
      <c r="VDH3" s="62"/>
      <c r="VDI3" s="62"/>
      <c r="VDJ3" s="62"/>
      <c r="VDK3" s="62"/>
      <c r="VDL3" s="62"/>
      <c r="VDM3" s="62"/>
      <c r="VDN3" s="62"/>
      <c r="VDO3" s="62"/>
      <c r="VDP3" s="62"/>
      <c r="VDQ3" s="62"/>
      <c r="VDR3" s="62"/>
      <c r="VDS3" s="62"/>
      <c r="VDT3" s="62"/>
      <c r="VDU3" s="62"/>
      <c r="VDV3" s="62"/>
      <c r="VDW3" s="62"/>
      <c r="VDX3" s="62"/>
      <c r="VDY3" s="62"/>
      <c r="VDZ3" s="62"/>
      <c r="VEA3" s="62"/>
      <c r="VEB3" s="62"/>
      <c r="VEC3" s="62"/>
      <c r="VED3" s="62"/>
      <c r="VEE3" s="62"/>
      <c r="VEF3" s="62"/>
      <c r="VEG3" s="62"/>
      <c r="VEH3" s="62"/>
      <c r="VEI3" s="62"/>
      <c r="VEJ3" s="62"/>
      <c r="VEK3" s="62"/>
      <c r="VEL3" s="62"/>
      <c r="VEM3" s="62"/>
      <c r="VEN3" s="62"/>
      <c r="VEO3" s="62"/>
      <c r="VEP3" s="62"/>
      <c r="VEQ3" s="62"/>
      <c r="VER3" s="62"/>
      <c r="VES3" s="62"/>
      <c r="VET3" s="62"/>
      <c r="VEU3" s="62"/>
      <c r="VEV3" s="62"/>
      <c r="VEW3" s="62"/>
      <c r="VEX3" s="62"/>
      <c r="VEY3" s="62"/>
      <c r="VEZ3" s="62"/>
      <c r="VFA3" s="62"/>
      <c r="VFB3" s="62"/>
      <c r="VFC3" s="62"/>
      <c r="VFD3" s="62"/>
      <c r="VFE3" s="62"/>
      <c r="VFF3" s="62"/>
      <c r="VFG3" s="62"/>
      <c r="VFH3" s="62"/>
      <c r="VFI3" s="62"/>
      <c r="VFJ3" s="62"/>
      <c r="VFK3" s="62"/>
      <c r="VFL3" s="62"/>
      <c r="VFM3" s="62"/>
      <c r="VFN3" s="62"/>
      <c r="VFO3" s="62"/>
      <c r="VFP3" s="62"/>
      <c r="VFQ3" s="62"/>
      <c r="VFR3" s="62"/>
      <c r="VFS3" s="62"/>
      <c r="VFT3" s="62"/>
      <c r="VFU3" s="62"/>
      <c r="VFV3" s="62"/>
      <c r="VFW3" s="62"/>
      <c r="VFX3" s="62"/>
      <c r="VFY3" s="62"/>
      <c r="VFZ3" s="62"/>
      <c r="VGA3" s="62"/>
      <c r="VGB3" s="62"/>
      <c r="VGC3" s="62"/>
      <c r="VGD3" s="62"/>
      <c r="VGE3" s="62"/>
      <c r="VGF3" s="62"/>
      <c r="VGG3" s="62"/>
      <c r="VGH3" s="62"/>
      <c r="VGI3" s="62"/>
      <c r="VGJ3" s="62"/>
      <c r="VGK3" s="62"/>
      <c r="VGL3" s="62"/>
      <c r="VGM3" s="62"/>
      <c r="VGN3" s="62"/>
      <c r="VGO3" s="62"/>
      <c r="VGP3" s="62"/>
      <c r="VGQ3" s="62"/>
      <c r="VGR3" s="62"/>
      <c r="VGS3" s="62"/>
      <c r="VGT3" s="62"/>
      <c r="VGU3" s="62"/>
      <c r="VGV3" s="62"/>
      <c r="VGW3" s="62"/>
      <c r="VGX3" s="62"/>
      <c r="VGY3" s="62"/>
      <c r="VGZ3" s="62"/>
      <c r="VHA3" s="62"/>
      <c r="VHB3" s="62"/>
      <c r="VHC3" s="62"/>
      <c r="VHD3" s="62"/>
      <c r="VHE3" s="62"/>
      <c r="VHF3" s="62"/>
      <c r="VHG3" s="62"/>
      <c r="VHH3" s="62"/>
      <c r="VHI3" s="62"/>
      <c r="VHJ3" s="62"/>
      <c r="VHK3" s="62"/>
      <c r="VHL3" s="62"/>
      <c r="VHM3" s="62"/>
      <c r="VHN3" s="62"/>
      <c r="VHO3" s="62"/>
      <c r="VHP3" s="62"/>
      <c r="VHQ3" s="62"/>
      <c r="VHR3" s="62"/>
      <c r="VHS3" s="62"/>
      <c r="VHT3" s="62"/>
      <c r="VHU3" s="62"/>
      <c r="VHV3" s="62"/>
      <c r="VHW3" s="62"/>
      <c r="VHX3" s="62"/>
      <c r="VHY3" s="62"/>
      <c r="VHZ3" s="62"/>
      <c r="VIA3" s="62"/>
      <c r="VIB3" s="62"/>
      <c r="VIC3" s="62"/>
      <c r="VID3" s="62"/>
      <c r="VIE3" s="62"/>
      <c r="VIF3" s="62"/>
      <c r="VIG3" s="62"/>
      <c r="VIH3" s="62"/>
      <c r="VII3" s="62"/>
      <c r="VIJ3" s="62"/>
      <c r="VIK3" s="62"/>
      <c r="VIL3" s="62"/>
      <c r="VIM3" s="62"/>
      <c r="VIN3" s="62"/>
      <c r="VIO3" s="62"/>
      <c r="VIP3" s="62"/>
      <c r="VIQ3" s="62"/>
      <c r="VIR3" s="62"/>
      <c r="VIS3" s="62"/>
      <c r="VIT3" s="62"/>
      <c r="VIU3" s="62"/>
      <c r="VIV3" s="62"/>
      <c r="VIW3" s="62"/>
      <c r="VIX3" s="62"/>
      <c r="VIY3" s="62"/>
      <c r="VIZ3" s="62"/>
      <c r="VJA3" s="62"/>
      <c r="VJB3" s="62"/>
      <c r="VJC3" s="62"/>
      <c r="VJD3" s="62"/>
      <c r="VJE3" s="62"/>
      <c r="VJF3" s="62"/>
      <c r="VJG3" s="62"/>
      <c r="VJH3" s="62"/>
      <c r="VJI3" s="62"/>
      <c r="VJJ3" s="62"/>
      <c r="VJK3" s="62"/>
      <c r="VJL3" s="62"/>
      <c r="VJM3" s="62"/>
      <c r="VJN3" s="62"/>
      <c r="VJO3" s="62"/>
      <c r="VJP3" s="62"/>
      <c r="VJQ3" s="62"/>
      <c r="VJR3" s="62"/>
      <c r="VJS3" s="62"/>
      <c r="VJT3" s="62"/>
      <c r="VJU3" s="62"/>
      <c r="VJV3" s="62"/>
      <c r="VJW3" s="62"/>
      <c r="VJX3" s="62"/>
      <c r="VJY3" s="62"/>
      <c r="VJZ3" s="62"/>
      <c r="VKA3" s="62"/>
      <c r="VKB3" s="62"/>
      <c r="VKC3" s="62"/>
      <c r="VKD3" s="62"/>
      <c r="VKE3" s="62"/>
      <c r="VKF3" s="62"/>
      <c r="VKG3" s="62"/>
      <c r="VKH3" s="62"/>
      <c r="VKI3" s="62"/>
      <c r="VKJ3" s="62"/>
      <c r="VKK3" s="62"/>
      <c r="VKL3" s="62"/>
      <c r="VKM3" s="62"/>
      <c r="VKN3" s="62"/>
      <c r="VKO3" s="62"/>
      <c r="VKP3" s="62"/>
      <c r="VKQ3" s="62"/>
      <c r="VKR3" s="62"/>
      <c r="VKS3" s="62"/>
      <c r="VKT3" s="62"/>
      <c r="VKU3" s="62"/>
      <c r="VKV3" s="62"/>
      <c r="VKW3" s="62"/>
      <c r="VKX3" s="62"/>
      <c r="VKY3" s="62"/>
      <c r="VKZ3" s="62"/>
      <c r="VLA3" s="62"/>
      <c r="VLB3" s="62"/>
      <c r="VLC3" s="62"/>
      <c r="VLD3" s="62"/>
      <c r="VLE3" s="62"/>
      <c r="VLF3" s="62"/>
      <c r="VLG3" s="62"/>
      <c r="VLH3" s="62"/>
      <c r="VLI3" s="62"/>
      <c r="VLJ3" s="62"/>
      <c r="VLK3" s="62"/>
      <c r="VLL3" s="62"/>
      <c r="VLM3" s="62"/>
      <c r="VLN3" s="62"/>
      <c r="VLO3" s="62"/>
      <c r="VLP3" s="62"/>
      <c r="VLQ3" s="62"/>
      <c r="VLR3" s="62"/>
      <c r="VLS3" s="62"/>
      <c r="VLT3" s="62"/>
      <c r="VLU3" s="62"/>
      <c r="VLV3" s="62"/>
      <c r="VLW3" s="62"/>
      <c r="VLX3" s="62"/>
      <c r="VLY3" s="62"/>
      <c r="VLZ3" s="62"/>
      <c r="VMA3" s="62"/>
      <c r="VMB3" s="62"/>
      <c r="VMC3" s="62"/>
      <c r="VMD3" s="62"/>
      <c r="VME3" s="62"/>
      <c r="VMF3" s="62"/>
      <c r="VMG3" s="62"/>
      <c r="VMH3" s="62"/>
      <c r="VMI3" s="62"/>
      <c r="VMJ3" s="62"/>
      <c r="VMK3" s="62"/>
      <c r="VML3" s="62"/>
      <c r="VMM3" s="62"/>
      <c r="VMN3" s="62"/>
      <c r="VMO3" s="62"/>
      <c r="VMP3" s="62"/>
      <c r="VMQ3" s="62"/>
      <c r="VMR3" s="62"/>
      <c r="VMS3" s="62"/>
      <c r="VMT3" s="62"/>
      <c r="VMU3" s="62"/>
      <c r="VMV3" s="62"/>
      <c r="VMW3" s="62"/>
      <c r="VMX3" s="62"/>
      <c r="VMY3" s="62"/>
      <c r="VMZ3" s="62"/>
      <c r="VNA3" s="62"/>
      <c r="VNB3" s="62"/>
      <c r="VNC3" s="62"/>
      <c r="VND3" s="62"/>
      <c r="VNE3" s="62"/>
      <c r="VNF3" s="62"/>
      <c r="VNG3" s="62"/>
      <c r="VNH3" s="62"/>
      <c r="VNI3" s="62"/>
      <c r="VNJ3" s="62"/>
      <c r="VNK3" s="62"/>
      <c r="VNL3" s="62"/>
      <c r="VNM3" s="62"/>
      <c r="VNN3" s="62"/>
      <c r="VNO3" s="62"/>
      <c r="VNP3" s="62"/>
      <c r="VNQ3" s="62"/>
      <c r="VNR3" s="62"/>
      <c r="VNS3" s="62"/>
      <c r="VNT3" s="62"/>
      <c r="VNU3" s="62"/>
      <c r="VNV3" s="62"/>
      <c r="VNW3" s="62"/>
      <c r="VNX3" s="62"/>
      <c r="VNY3" s="62"/>
      <c r="VNZ3" s="62"/>
      <c r="VOA3" s="62"/>
      <c r="VOB3" s="62"/>
      <c r="VOC3" s="62"/>
      <c r="VOD3" s="62"/>
      <c r="VOE3" s="62"/>
      <c r="VOF3" s="62"/>
      <c r="VOG3" s="62"/>
      <c r="VOH3" s="62"/>
      <c r="VOI3" s="62"/>
      <c r="VOJ3" s="62"/>
      <c r="VOK3" s="62"/>
      <c r="VOL3" s="62"/>
      <c r="VOM3" s="62"/>
      <c r="VON3" s="62"/>
      <c r="VOO3" s="62"/>
      <c r="VOP3" s="62"/>
      <c r="VOQ3" s="62"/>
      <c r="VOR3" s="62"/>
      <c r="VOS3" s="62"/>
      <c r="VOT3" s="62"/>
      <c r="VOU3" s="62"/>
      <c r="VOV3" s="62"/>
      <c r="VOW3" s="62"/>
      <c r="VOX3" s="62"/>
      <c r="VOY3" s="62"/>
      <c r="VOZ3" s="62"/>
      <c r="VPA3" s="62"/>
      <c r="VPB3" s="62"/>
      <c r="VPC3" s="62"/>
      <c r="VPD3" s="62"/>
      <c r="VPE3" s="62"/>
      <c r="VPF3" s="62"/>
      <c r="VPG3" s="62"/>
      <c r="VPH3" s="62"/>
      <c r="VPI3" s="62"/>
      <c r="VPJ3" s="62"/>
      <c r="VPK3" s="62"/>
      <c r="VPL3" s="62"/>
      <c r="VPM3" s="62"/>
      <c r="VPN3" s="62"/>
      <c r="VPO3" s="62"/>
      <c r="VPP3" s="62"/>
      <c r="VPQ3" s="62"/>
      <c r="VPR3" s="62"/>
      <c r="VPS3" s="62"/>
      <c r="VPT3" s="62"/>
      <c r="VPU3" s="62"/>
      <c r="VPV3" s="62"/>
      <c r="VPW3" s="62"/>
      <c r="VPX3" s="62"/>
      <c r="VPY3" s="62"/>
      <c r="VPZ3" s="62"/>
      <c r="VQA3" s="62"/>
      <c r="VQB3" s="62"/>
      <c r="VQC3" s="62"/>
      <c r="VQD3" s="62"/>
      <c r="VQE3" s="62"/>
      <c r="VQF3" s="62"/>
      <c r="VQG3" s="62"/>
      <c r="VQH3" s="62"/>
      <c r="VQI3" s="62"/>
      <c r="VQJ3" s="62"/>
      <c r="VQK3" s="62"/>
      <c r="VQL3" s="62"/>
      <c r="VQM3" s="62"/>
      <c r="VQN3" s="62"/>
      <c r="VQO3" s="62"/>
      <c r="VQP3" s="62"/>
      <c r="VQQ3" s="62"/>
      <c r="VQR3" s="62"/>
      <c r="VQS3" s="62"/>
      <c r="VQT3" s="62"/>
      <c r="VQU3" s="62"/>
      <c r="VQV3" s="62"/>
      <c r="VQW3" s="62"/>
      <c r="VQX3" s="62"/>
      <c r="VQY3" s="62"/>
      <c r="VQZ3" s="62"/>
      <c r="VRA3" s="62"/>
      <c r="VRB3" s="62"/>
      <c r="VRC3" s="62"/>
      <c r="VRD3" s="62"/>
      <c r="VRE3" s="62"/>
      <c r="VRF3" s="62"/>
      <c r="VRG3" s="62"/>
      <c r="VRH3" s="62"/>
      <c r="VRI3" s="62"/>
      <c r="VRJ3" s="62"/>
      <c r="VRK3" s="62"/>
      <c r="VRL3" s="62"/>
      <c r="VRM3" s="62"/>
      <c r="VRN3" s="62"/>
      <c r="VRO3" s="62"/>
      <c r="VRP3" s="62"/>
      <c r="VRQ3" s="62"/>
      <c r="VRR3" s="62"/>
      <c r="VRS3" s="62"/>
      <c r="VRT3" s="62"/>
      <c r="VRU3" s="62"/>
      <c r="VRV3" s="62"/>
      <c r="VRW3" s="62"/>
      <c r="VRX3" s="62"/>
      <c r="VRY3" s="62"/>
      <c r="VRZ3" s="62"/>
      <c r="VSA3" s="62"/>
      <c r="VSB3" s="62"/>
      <c r="VSC3" s="62"/>
      <c r="VSD3" s="62"/>
      <c r="VSE3" s="62"/>
      <c r="VSF3" s="62"/>
      <c r="VSG3" s="62"/>
      <c r="VSH3" s="62"/>
      <c r="VSI3" s="62"/>
      <c r="VSJ3" s="62"/>
      <c r="VSK3" s="62"/>
      <c r="VSL3" s="62"/>
      <c r="VSM3" s="62"/>
      <c r="VSN3" s="62"/>
      <c r="VSO3" s="62"/>
      <c r="VSP3" s="62"/>
      <c r="VSQ3" s="62"/>
      <c r="VSR3" s="62"/>
      <c r="VSS3" s="62"/>
      <c r="VST3" s="62"/>
      <c r="VSU3" s="62"/>
      <c r="VSV3" s="62"/>
      <c r="VSW3" s="62"/>
      <c r="VSX3" s="62"/>
      <c r="VSY3" s="62"/>
      <c r="VSZ3" s="62"/>
      <c r="VTA3" s="62"/>
      <c r="VTB3" s="62"/>
      <c r="VTC3" s="62"/>
      <c r="VTD3" s="62"/>
      <c r="VTE3" s="62"/>
      <c r="VTF3" s="62"/>
      <c r="VTG3" s="62"/>
      <c r="VTH3" s="62"/>
      <c r="VTI3" s="62"/>
      <c r="VTJ3" s="62"/>
      <c r="VTK3" s="62"/>
      <c r="VTL3" s="62"/>
      <c r="VTM3" s="62"/>
      <c r="VTN3" s="62"/>
      <c r="VTO3" s="62"/>
      <c r="VTP3" s="62"/>
      <c r="VTQ3" s="62"/>
      <c r="VTR3" s="62"/>
      <c r="VTS3" s="62"/>
      <c r="VTT3" s="62"/>
      <c r="VTU3" s="62"/>
      <c r="VTV3" s="62"/>
      <c r="VTW3" s="62"/>
      <c r="VTX3" s="62"/>
      <c r="VTY3" s="62"/>
      <c r="VTZ3" s="62"/>
      <c r="VUA3" s="62"/>
      <c r="VUB3" s="62"/>
      <c r="VUC3" s="62"/>
      <c r="VUD3" s="62"/>
      <c r="VUE3" s="62"/>
      <c r="VUF3" s="62"/>
      <c r="VUG3" s="62"/>
      <c r="VUH3" s="62"/>
      <c r="VUI3" s="62"/>
      <c r="VUJ3" s="62"/>
      <c r="VUK3" s="62"/>
      <c r="VUL3" s="62"/>
      <c r="VUM3" s="62"/>
      <c r="VUN3" s="62"/>
      <c r="VUO3" s="62"/>
      <c r="VUP3" s="62"/>
      <c r="VUQ3" s="62"/>
      <c r="VUR3" s="62"/>
      <c r="VUS3" s="62"/>
      <c r="VUT3" s="62"/>
      <c r="VUU3" s="62"/>
      <c r="VUV3" s="62"/>
      <c r="VUW3" s="62"/>
      <c r="VUX3" s="62"/>
      <c r="VUY3" s="62"/>
      <c r="VUZ3" s="62"/>
      <c r="VVA3" s="62"/>
      <c r="VVB3" s="62"/>
      <c r="VVC3" s="62"/>
      <c r="VVD3" s="62"/>
      <c r="VVE3" s="62"/>
      <c r="VVF3" s="62"/>
      <c r="VVG3" s="62"/>
      <c r="VVH3" s="62"/>
      <c r="VVI3" s="62"/>
      <c r="VVJ3" s="62"/>
      <c r="VVK3" s="62"/>
      <c r="VVL3" s="62"/>
      <c r="VVM3" s="62"/>
      <c r="VVN3" s="62"/>
      <c r="VVO3" s="62"/>
      <c r="VVP3" s="62"/>
      <c r="VVQ3" s="62"/>
      <c r="VVR3" s="62"/>
      <c r="VVS3" s="62"/>
      <c r="VVT3" s="62"/>
      <c r="VVU3" s="62"/>
      <c r="VVV3" s="62"/>
      <c r="VVW3" s="62"/>
      <c r="VVX3" s="62"/>
      <c r="VVY3" s="62"/>
      <c r="VVZ3" s="62"/>
      <c r="VWA3" s="62"/>
      <c r="VWB3" s="62"/>
      <c r="VWC3" s="62"/>
      <c r="VWD3" s="62"/>
      <c r="VWE3" s="62"/>
      <c r="VWF3" s="62"/>
      <c r="VWG3" s="62"/>
      <c r="VWH3" s="62"/>
      <c r="VWI3" s="62"/>
      <c r="VWJ3" s="62"/>
      <c r="VWK3" s="62"/>
      <c r="VWL3" s="62"/>
      <c r="VWM3" s="62"/>
      <c r="VWN3" s="62"/>
      <c r="VWO3" s="62"/>
      <c r="VWP3" s="62"/>
      <c r="VWQ3" s="62"/>
      <c r="VWR3" s="62"/>
      <c r="VWS3" s="62"/>
      <c r="VWT3" s="62"/>
      <c r="VWU3" s="62"/>
      <c r="VWV3" s="62"/>
      <c r="VWW3" s="62"/>
      <c r="VWX3" s="62"/>
      <c r="VWY3" s="62"/>
      <c r="VWZ3" s="62"/>
      <c r="VXA3" s="62"/>
      <c r="VXB3" s="62"/>
      <c r="VXC3" s="62"/>
      <c r="VXD3" s="62"/>
      <c r="VXE3" s="62"/>
      <c r="VXF3" s="62"/>
      <c r="VXG3" s="62"/>
      <c r="VXH3" s="62"/>
      <c r="VXI3" s="62"/>
      <c r="VXJ3" s="62"/>
      <c r="VXK3" s="62"/>
      <c r="VXL3" s="62"/>
      <c r="VXM3" s="62"/>
      <c r="VXN3" s="62"/>
      <c r="VXO3" s="62"/>
      <c r="VXP3" s="62"/>
      <c r="VXQ3" s="62"/>
      <c r="VXR3" s="62"/>
      <c r="VXS3" s="62"/>
      <c r="VXT3" s="62"/>
      <c r="VXU3" s="62"/>
      <c r="VXV3" s="62"/>
      <c r="VXW3" s="62"/>
      <c r="VXX3" s="62"/>
      <c r="VXY3" s="62"/>
      <c r="VXZ3" s="62"/>
      <c r="VYA3" s="62"/>
      <c r="VYB3" s="62"/>
      <c r="VYC3" s="62"/>
      <c r="VYD3" s="62"/>
      <c r="VYE3" s="62"/>
      <c r="VYF3" s="62"/>
      <c r="VYG3" s="62"/>
      <c r="VYH3" s="62"/>
      <c r="VYI3" s="62"/>
      <c r="VYJ3" s="62"/>
      <c r="VYK3" s="62"/>
      <c r="VYL3" s="62"/>
      <c r="VYM3" s="62"/>
      <c r="VYN3" s="62"/>
      <c r="VYO3" s="62"/>
      <c r="VYP3" s="62"/>
      <c r="VYQ3" s="62"/>
      <c r="VYR3" s="62"/>
      <c r="VYS3" s="62"/>
      <c r="VYT3" s="62"/>
      <c r="VYU3" s="62"/>
      <c r="VYV3" s="62"/>
      <c r="VYW3" s="62"/>
      <c r="VYX3" s="62"/>
      <c r="VYY3" s="62"/>
      <c r="VYZ3" s="62"/>
      <c r="VZA3" s="62"/>
      <c r="VZB3" s="62"/>
      <c r="VZC3" s="62"/>
      <c r="VZD3" s="62"/>
      <c r="VZE3" s="62"/>
      <c r="VZF3" s="62"/>
      <c r="VZG3" s="62"/>
      <c r="VZH3" s="62"/>
      <c r="VZI3" s="62"/>
      <c r="VZJ3" s="62"/>
      <c r="VZK3" s="62"/>
      <c r="VZL3" s="62"/>
      <c r="VZM3" s="62"/>
      <c r="VZN3" s="62"/>
      <c r="VZO3" s="62"/>
      <c r="VZP3" s="62"/>
      <c r="VZQ3" s="62"/>
      <c r="VZR3" s="62"/>
      <c r="VZS3" s="62"/>
      <c r="VZT3" s="62"/>
      <c r="VZU3" s="62"/>
      <c r="VZV3" s="62"/>
      <c r="VZW3" s="62"/>
      <c r="VZX3" s="62"/>
      <c r="VZY3" s="62"/>
      <c r="VZZ3" s="62"/>
      <c r="WAA3" s="62"/>
      <c r="WAB3" s="62"/>
      <c r="WAC3" s="62"/>
      <c r="WAD3" s="62"/>
      <c r="WAE3" s="62"/>
      <c r="WAF3" s="62"/>
      <c r="WAG3" s="62"/>
      <c r="WAH3" s="62"/>
      <c r="WAI3" s="62"/>
      <c r="WAJ3" s="62"/>
      <c r="WAK3" s="62"/>
      <c r="WAL3" s="62"/>
      <c r="WAM3" s="62"/>
      <c r="WAN3" s="62"/>
      <c r="WAO3" s="62"/>
      <c r="WAP3" s="62"/>
      <c r="WAQ3" s="62"/>
      <c r="WAR3" s="62"/>
      <c r="WAS3" s="62"/>
      <c r="WAT3" s="62"/>
      <c r="WAU3" s="62"/>
      <c r="WAV3" s="62"/>
      <c r="WAW3" s="62"/>
      <c r="WAX3" s="62"/>
      <c r="WAY3" s="62"/>
      <c r="WAZ3" s="62"/>
      <c r="WBA3" s="62"/>
      <c r="WBB3" s="62"/>
      <c r="WBC3" s="62"/>
      <c r="WBD3" s="62"/>
      <c r="WBE3" s="62"/>
      <c r="WBF3" s="62"/>
      <c r="WBG3" s="62"/>
      <c r="WBH3" s="62"/>
      <c r="WBI3" s="62"/>
      <c r="WBJ3" s="62"/>
      <c r="WBK3" s="62"/>
      <c r="WBL3" s="62"/>
      <c r="WBM3" s="62"/>
      <c r="WBN3" s="62"/>
      <c r="WBO3" s="62"/>
      <c r="WBP3" s="62"/>
      <c r="WBQ3" s="62"/>
      <c r="WBR3" s="62"/>
      <c r="WBS3" s="62"/>
      <c r="WBT3" s="62"/>
      <c r="WBU3" s="62"/>
      <c r="WBV3" s="62"/>
      <c r="WBW3" s="62"/>
      <c r="WBX3" s="62"/>
      <c r="WBY3" s="62"/>
      <c r="WBZ3" s="62"/>
      <c r="WCA3" s="62"/>
      <c r="WCB3" s="62"/>
      <c r="WCC3" s="62"/>
      <c r="WCD3" s="62"/>
      <c r="WCE3" s="62"/>
      <c r="WCF3" s="62"/>
      <c r="WCG3" s="62"/>
      <c r="WCH3" s="62"/>
      <c r="WCI3" s="62"/>
      <c r="WCJ3" s="62"/>
      <c r="WCK3" s="62"/>
      <c r="WCL3" s="62"/>
      <c r="WCM3" s="62"/>
      <c r="WCN3" s="62"/>
      <c r="WCO3" s="62"/>
      <c r="WCP3" s="62"/>
      <c r="WCQ3" s="62"/>
      <c r="WCR3" s="62"/>
      <c r="WCS3" s="62"/>
      <c r="WCT3" s="62"/>
      <c r="WCU3" s="62"/>
      <c r="WCV3" s="62"/>
      <c r="WCW3" s="62"/>
      <c r="WCX3" s="62"/>
      <c r="WCY3" s="62"/>
      <c r="WCZ3" s="62"/>
      <c r="WDA3" s="62"/>
      <c r="WDB3" s="62"/>
      <c r="WDC3" s="62"/>
      <c r="WDD3" s="62"/>
      <c r="WDE3" s="62"/>
      <c r="WDF3" s="62"/>
      <c r="WDG3" s="62"/>
      <c r="WDH3" s="62"/>
      <c r="WDI3" s="62"/>
      <c r="WDJ3" s="62"/>
      <c r="WDK3" s="62"/>
      <c r="WDL3" s="62"/>
      <c r="WDM3" s="62"/>
      <c r="WDN3" s="62"/>
      <c r="WDO3" s="62"/>
      <c r="WDP3" s="62"/>
      <c r="WDQ3" s="62"/>
      <c r="WDR3" s="62"/>
      <c r="WDS3" s="62"/>
      <c r="WDT3" s="62"/>
      <c r="WDU3" s="62"/>
      <c r="WDV3" s="62"/>
      <c r="WDW3" s="62"/>
      <c r="WDX3" s="62"/>
      <c r="WDY3" s="62"/>
      <c r="WDZ3" s="62"/>
      <c r="WEA3" s="62"/>
      <c r="WEB3" s="62"/>
      <c r="WEC3" s="62"/>
      <c r="WED3" s="62"/>
      <c r="WEE3" s="62"/>
      <c r="WEF3" s="62"/>
      <c r="WEG3" s="62"/>
      <c r="WEH3" s="62"/>
      <c r="WEI3" s="62"/>
      <c r="WEJ3" s="62"/>
      <c r="WEK3" s="62"/>
      <c r="WEL3" s="62"/>
      <c r="WEM3" s="62"/>
      <c r="WEN3" s="62"/>
      <c r="WEO3" s="62"/>
      <c r="WEP3" s="62"/>
      <c r="WEQ3" s="62"/>
      <c r="WER3" s="62"/>
      <c r="WES3" s="62"/>
      <c r="WET3" s="62"/>
      <c r="WEU3" s="62"/>
      <c r="WEV3" s="62"/>
      <c r="WEW3" s="62"/>
      <c r="WEX3" s="62"/>
      <c r="WEY3" s="62"/>
      <c r="WEZ3" s="62"/>
      <c r="WFA3" s="62"/>
      <c r="WFB3" s="62"/>
      <c r="WFC3" s="62"/>
      <c r="WFD3" s="62"/>
      <c r="WFE3" s="62"/>
      <c r="WFF3" s="62"/>
      <c r="WFG3" s="62"/>
      <c r="WFH3" s="62"/>
      <c r="WFI3" s="62"/>
      <c r="WFJ3" s="62"/>
      <c r="WFK3" s="62"/>
      <c r="WFL3" s="62"/>
      <c r="WFM3" s="62"/>
      <c r="WFN3" s="62"/>
      <c r="WFO3" s="62"/>
      <c r="WFP3" s="62"/>
      <c r="WFQ3" s="62"/>
      <c r="WFR3" s="62"/>
      <c r="WFS3" s="62"/>
      <c r="WFT3" s="62"/>
      <c r="WFU3" s="62"/>
      <c r="WFV3" s="62"/>
      <c r="WFW3" s="62"/>
      <c r="WFX3" s="62"/>
      <c r="WFY3" s="62"/>
      <c r="WFZ3" s="62"/>
      <c r="WGA3" s="62"/>
      <c r="WGB3" s="62"/>
      <c r="WGC3" s="62"/>
      <c r="WGD3" s="62"/>
      <c r="WGE3" s="62"/>
      <c r="WGF3" s="62"/>
      <c r="WGG3" s="62"/>
      <c r="WGH3" s="62"/>
      <c r="WGI3" s="62"/>
      <c r="WGJ3" s="62"/>
      <c r="WGK3" s="62"/>
      <c r="WGL3" s="62"/>
      <c r="WGM3" s="62"/>
      <c r="WGN3" s="62"/>
      <c r="WGO3" s="62"/>
      <c r="WGP3" s="62"/>
      <c r="WGQ3" s="62"/>
      <c r="WGR3" s="62"/>
      <c r="WGS3" s="62"/>
      <c r="WGT3" s="62"/>
      <c r="WGU3" s="62"/>
      <c r="WGV3" s="62"/>
      <c r="WGW3" s="62"/>
      <c r="WGX3" s="62"/>
      <c r="WGY3" s="62"/>
      <c r="WGZ3" s="62"/>
      <c r="WHA3" s="62"/>
      <c r="WHB3" s="62"/>
      <c r="WHC3" s="62"/>
      <c r="WHD3" s="62"/>
      <c r="WHE3" s="62"/>
      <c r="WHF3" s="62"/>
      <c r="WHG3" s="62"/>
      <c r="WHH3" s="62"/>
      <c r="WHI3" s="62"/>
      <c r="WHJ3" s="62"/>
      <c r="WHK3" s="62"/>
      <c r="WHL3" s="62"/>
      <c r="WHM3" s="62"/>
      <c r="WHN3" s="62"/>
      <c r="WHO3" s="62"/>
      <c r="WHP3" s="62"/>
      <c r="WHQ3" s="62"/>
      <c r="WHR3" s="62"/>
      <c r="WHS3" s="62"/>
      <c r="WHT3" s="62"/>
      <c r="WHU3" s="62"/>
      <c r="WHV3" s="62"/>
      <c r="WHW3" s="62"/>
      <c r="WHX3" s="62"/>
      <c r="WHY3" s="62"/>
      <c r="WHZ3" s="62"/>
      <c r="WIA3" s="62"/>
      <c r="WIB3" s="62"/>
      <c r="WIC3" s="62"/>
      <c r="WID3" s="62"/>
      <c r="WIE3" s="62"/>
      <c r="WIF3" s="62"/>
      <c r="WIG3" s="62"/>
      <c r="WIH3" s="62"/>
      <c r="WII3" s="62"/>
      <c r="WIJ3" s="62"/>
      <c r="WIK3" s="62"/>
      <c r="WIL3" s="62"/>
      <c r="WIM3" s="62"/>
      <c r="WIN3" s="62"/>
      <c r="WIO3" s="62"/>
      <c r="WIP3" s="62"/>
      <c r="WIQ3" s="62"/>
      <c r="WIR3" s="62"/>
      <c r="WIS3" s="62"/>
      <c r="WIT3" s="62"/>
      <c r="WIU3" s="62"/>
      <c r="WIV3" s="62"/>
      <c r="WIW3" s="62"/>
      <c r="WIX3" s="62"/>
      <c r="WIY3" s="62"/>
      <c r="WIZ3" s="62"/>
      <c r="WJA3" s="62"/>
      <c r="WJB3" s="62"/>
      <c r="WJC3" s="62"/>
      <c r="WJD3" s="62"/>
      <c r="WJE3" s="62"/>
      <c r="WJF3" s="62"/>
      <c r="WJG3" s="62"/>
      <c r="WJH3" s="62"/>
      <c r="WJI3" s="62"/>
      <c r="WJJ3" s="62"/>
      <c r="WJK3" s="62"/>
      <c r="WJL3" s="62"/>
      <c r="WJM3" s="62"/>
      <c r="WJN3" s="62"/>
      <c r="WJO3" s="62"/>
      <c r="WJP3" s="62"/>
      <c r="WJQ3" s="62"/>
      <c r="WJR3" s="62"/>
      <c r="WJS3" s="62"/>
      <c r="WJT3" s="62"/>
      <c r="WJU3" s="62"/>
      <c r="WJV3" s="62"/>
      <c r="WJW3" s="62"/>
      <c r="WJX3" s="62"/>
      <c r="WJY3" s="62"/>
      <c r="WJZ3" s="62"/>
      <c r="WKA3" s="62"/>
      <c r="WKB3" s="62"/>
      <c r="WKC3" s="62"/>
      <c r="WKD3" s="62"/>
      <c r="WKE3" s="62"/>
      <c r="WKF3" s="62"/>
      <c r="WKG3" s="62"/>
      <c r="WKH3" s="62"/>
      <c r="WKI3" s="62"/>
      <c r="WKJ3" s="62"/>
      <c r="WKK3" s="62"/>
      <c r="WKL3" s="62"/>
      <c r="WKM3" s="62"/>
      <c r="WKN3" s="62"/>
      <c r="WKO3" s="62"/>
      <c r="WKP3" s="62"/>
      <c r="WKQ3" s="62"/>
      <c r="WKR3" s="62"/>
      <c r="WKS3" s="62"/>
      <c r="WKT3" s="62"/>
      <c r="WKU3" s="62"/>
      <c r="WKV3" s="62"/>
      <c r="WKW3" s="62"/>
      <c r="WKX3" s="62"/>
      <c r="WKY3" s="62"/>
      <c r="WKZ3" s="62"/>
      <c r="WLA3" s="62"/>
      <c r="WLB3" s="62"/>
      <c r="WLC3" s="62"/>
      <c r="WLD3" s="62"/>
      <c r="WLE3" s="62"/>
      <c r="WLF3" s="62"/>
      <c r="WLG3" s="62"/>
      <c r="WLH3" s="62"/>
      <c r="WLI3" s="62"/>
      <c r="WLJ3" s="62"/>
      <c r="WLK3" s="62"/>
      <c r="WLL3" s="62"/>
      <c r="WLM3" s="62"/>
      <c r="WLN3" s="62"/>
      <c r="WLO3" s="62"/>
      <c r="WLP3" s="62"/>
      <c r="WLQ3" s="62"/>
      <c r="WLR3" s="62"/>
      <c r="WLS3" s="62"/>
      <c r="WLT3" s="62"/>
      <c r="WLU3" s="62"/>
      <c r="WLV3" s="62"/>
      <c r="WLW3" s="62"/>
      <c r="WLX3" s="62"/>
      <c r="WLY3" s="62"/>
      <c r="WLZ3" s="62"/>
      <c r="WMA3" s="62"/>
      <c r="WMB3" s="62"/>
      <c r="WMC3" s="62"/>
      <c r="WMD3" s="62"/>
      <c r="WME3" s="62"/>
      <c r="WMF3" s="62"/>
      <c r="WMG3" s="62"/>
      <c r="WMH3" s="62"/>
      <c r="WMI3" s="62"/>
      <c r="WMJ3" s="62"/>
      <c r="WMK3" s="62"/>
      <c r="WML3" s="62"/>
      <c r="WMM3" s="62"/>
      <c r="WMN3" s="62"/>
      <c r="WMO3" s="62"/>
      <c r="WMP3" s="62"/>
      <c r="WMQ3" s="62"/>
      <c r="WMR3" s="62"/>
      <c r="WMS3" s="62"/>
      <c r="WMT3" s="62"/>
      <c r="WMU3" s="62"/>
      <c r="WMV3" s="62"/>
      <c r="WMW3" s="62"/>
      <c r="WMX3" s="62"/>
      <c r="WMY3" s="62"/>
      <c r="WMZ3" s="62"/>
      <c r="WNA3" s="62"/>
      <c r="WNB3" s="62"/>
      <c r="WNC3" s="62"/>
      <c r="WND3" s="62"/>
      <c r="WNE3" s="62"/>
      <c r="WNF3" s="62"/>
      <c r="WNG3" s="62"/>
      <c r="WNH3" s="62"/>
      <c r="WNI3" s="62"/>
      <c r="WNJ3" s="62"/>
      <c r="WNK3" s="62"/>
      <c r="WNL3" s="62"/>
      <c r="WNM3" s="62"/>
      <c r="WNN3" s="62"/>
      <c r="WNO3" s="62"/>
      <c r="WNP3" s="62"/>
      <c r="WNQ3" s="62"/>
      <c r="WNR3" s="62"/>
      <c r="WNS3" s="62"/>
      <c r="WNT3" s="62"/>
      <c r="WNU3" s="62"/>
      <c r="WNV3" s="62"/>
      <c r="WNW3" s="62"/>
      <c r="WNX3" s="62"/>
      <c r="WNY3" s="62"/>
      <c r="WNZ3" s="62"/>
      <c r="WOA3" s="62"/>
      <c r="WOB3" s="62"/>
      <c r="WOC3" s="62"/>
      <c r="WOD3" s="62"/>
      <c r="WOE3" s="62"/>
      <c r="WOF3" s="62"/>
      <c r="WOG3" s="62"/>
      <c r="WOH3" s="62"/>
      <c r="WOI3" s="62"/>
      <c r="WOJ3" s="62"/>
      <c r="WOK3" s="62"/>
      <c r="WOL3" s="62"/>
      <c r="WOM3" s="62"/>
      <c r="WON3" s="62"/>
      <c r="WOO3" s="62"/>
      <c r="WOP3" s="62"/>
      <c r="WOQ3" s="62"/>
      <c r="WOR3" s="62"/>
      <c r="WOS3" s="62"/>
      <c r="WOT3" s="62"/>
      <c r="WOU3" s="62"/>
      <c r="WOV3" s="62"/>
      <c r="WOW3" s="62"/>
      <c r="WOX3" s="62"/>
      <c r="WOY3" s="62"/>
      <c r="WOZ3" s="62"/>
      <c r="WPA3" s="62"/>
      <c r="WPB3" s="62"/>
      <c r="WPC3" s="62"/>
      <c r="WPD3" s="62"/>
      <c r="WPE3" s="62"/>
      <c r="WPF3" s="62"/>
      <c r="WPG3" s="62"/>
      <c r="WPH3" s="62"/>
      <c r="WPI3" s="62"/>
      <c r="WPJ3" s="62"/>
      <c r="WPK3" s="62"/>
      <c r="WPL3" s="62"/>
      <c r="WPM3" s="62"/>
      <c r="WPN3" s="62"/>
      <c r="WPO3" s="62"/>
      <c r="WPP3" s="62"/>
      <c r="WPQ3" s="62"/>
      <c r="WPR3" s="62"/>
      <c r="WPS3" s="62"/>
      <c r="WPT3" s="62"/>
      <c r="WPU3" s="62"/>
      <c r="WPV3" s="62"/>
      <c r="WPW3" s="62"/>
      <c r="WPX3" s="62"/>
      <c r="WPY3" s="62"/>
      <c r="WPZ3" s="62"/>
      <c r="WQA3" s="62"/>
      <c r="WQB3" s="62"/>
      <c r="WQC3" s="62"/>
      <c r="WQD3" s="62"/>
      <c r="WQE3" s="62"/>
      <c r="WQF3" s="62"/>
      <c r="WQG3" s="62"/>
      <c r="WQH3" s="62"/>
      <c r="WQI3" s="62"/>
      <c r="WQJ3" s="62"/>
      <c r="WQK3" s="62"/>
      <c r="WQL3" s="62"/>
      <c r="WQM3" s="62"/>
      <c r="WQN3" s="62"/>
      <c r="WQO3" s="62"/>
      <c r="WQP3" s="62"/>
      <c r="WQQ3" s="62"/>
      <c r="WQR3" s="62"/>
      <c r="WQS3" s="62"/>
      <c r="WQT3" s="62"/>
      <c r="WQU3" s="62"/>
      <c r="WQV3" s="62"/>
      <c r="WQW3" s="62"/>
      <c r="WQX3" s="62"/>
      <c r="WQY3" s="62"/>
      <c r="WQZ3" s="62"/>
      <c r="WRA3" s="62"/>
      <c r="WRB3" s="62"/>
      <c r="WRC3" s="62"/>
      <c r="WRD3" s="62"/>
      <c r="WRE3" s="62"/>
      <c r="WRF3" s="62"/>
      <c r="WRG3" s="62"/>
      <c r="WRH3" s="62"/>
      <c r="WRI3" s="62"/>
      <c r="WRJ3" s="62"/>
      <c r="WRK3" s="62"/>
      <c r="WRL3" s="62"/>
      <c r="WRM3" s="62"/>
      <c r="WRN3" s="62"/>
      <c r="WRO3" s="62"/>
      <c r="WRP3" s="62"/>
      <c r="WRQ3" s="62"/>
      <c r="WRR3" s="62"/>
      <c r="WRS3" s="62"/>
      <c r="WRT3" s="62"/>
      <c r="WRU3" s="62"/>
      <c r="WRV3" s="62"/>
      <c r="WRW3" s="62"/>
      <c r="WRX3" s="62"/>
      <c r="WRY3" s="62"/>
      <c r="WRZ3" s="62"/>
      <c r="WSA3" s="62"/>
      <c r="WSB3" s="62"/>
      <c r="WSC3" s="62"/>
      <c r="WSD3" s="62"/>
      <c r="WSE3" s="62"/>
      <c r="WSF3" s="62"/>
      <c r="WSG3" s="62"/>
      <c r="WSH3" s="62"/>
      <c r="WSI3" s="62"/>
      <c r="WSJ3" s="62"/>
      <c r="WSK3" s="62"/>
      <c r="WSL3" s="62"/>
      <c r="WSM3" s="62"/>
      <c r="WSN3" s="62"/>
      <c r="WSO3" s="62"/>
      <c r="WSP3" s="62"/>
      <c r="WSQ3" s="62"/>
      <c r="WSR3" s="62"/>
      <c r="WSS3" s="62"/>
      <c r="WST3" s="62"/>
      <c r="WSU3" s="62"/>
      <c r="WSV3" s="62"/>
      <c r="WSW3" s="62"/>
      <c r="WSX3" s="62"/>
      <c r="WSY3" s="62"/>
      <c r="WSZ3" s="62"/>
      <c r="WTA3" s="62"/>
      <c r="WTB3" s="62"/>
      <c r="WTC3" s="62"/>
      <c r="WTD3" s="62"/>
      <c r="WTE3" s="62"/>
      <c r="WTF3" s="62"/>
      <c r="WTG3" s="62"/>
      <c r="WTH3" s="62"/>
      <c r="WTI3" s="62"/>
      <c r="WTJ3" s="62"/>
      <c r="WTK3" s="62"/>
      <c r="WTL3" s="62"/>
      <c r="WTM3" s="62"/>
      <c r="WTN3" s="62"/>
      <c r="WTO3" s="62"/>
      <c r="WTP3" s="62"/>
      <c r="WTQ3" s="62"/>
      <c r="WTR3" s="62"/>
      <c r="WTS3" s="62"/>
      <c r="WTT3" s="62"/>
      <c r="WTU3" s="62"/>
      <c r="WTV3" s="62"/>
      <c r="WTW3" s="62"/>
      <c r="WTX3" s="62"/>
      <c r="WTY3" s="62"/>
      <c r="WTZ3" s="62"/>
      <c r="WUA3" s="62"/>
      <c r="WUB3" s="62"/>
      <c r="WUC3" s="62"/>
      <c r="WUD3" s="62"/>
      <c r="WUE3" s="62"/>
      <c r="WUF3" s="62"/>
      <c r="WUG3" s="62"/>
      <c r="WUH3" s="62"/>
      <c r="WUI3" s="62"/>
      <c r="WUJ3" s="62"/>
      <c r="WUK3" s="62"/>
      <c r="WUL3" s="62"/>
      <c r="WUM3" s="62"/>
      <c r="WUN3" s="62"/>
      <c r="WUO3" s="62"/>
      <c r="WUP3" s="62"/>
      <c r="WUQ3" s="62"/>
      <c r="WUR3" s="62"/>
      <c r="WUS3" s="62"/>
      <c r="WUT3" s="62"/>
      <c r="WUU3" s="62"/>
      <c r="WUV3" s="62"/>
      <c r="WUW3" s="62"/>
      <c r="WUX3" s="62"/>
      <c r="WUY3" s="62"/>
      <c r="WUZ3" s="62"/>
      <c r="WVA3" s="62"/>
      <c r="WVB3" s="62"/>
      <c r="WVC3" s="62"/>
      <c r="WVD3" s="62"/>
      <c r="WVE3" s="62"/>
      <c r="WVF3" s="62"/>
      <c r="WVG3" s="62"/>
      <c r="WVH3" s="62"/>
      <c r="WVI3" s="62"/>
      <c r="WVJ3" s="62"/>
      <c r="WVK3" s="62"/>
      <c r="WVL3" s="62"/>
      <c r="WVM3" s="62"/>
      <c r="WVN3" s="62"/>
      <c r="WVO3" s="62"/>
      <c r="WVP3" s="62"/>
      <c r="WVQ3" s="62"/>
      <c r="WVR3" s="62"/>
      <c r="WVS3" s="62"/>
      <c r="WVT3" s="62"/>
      <c r="WVU3" s="62"/>
      <c r="WVV3" s="62"/>
      <c r="WVW3" s="62"/>
      <c r="WVX3" s="62"/>
      <c r="WVY3" s="62"/>
      <c r="WVZ3" s="62"/>
      <c r="WWA3" s="62"/>
      <c r="WWB3" s="62"/>
      <c r="WWC3" s="62"/>
      <c r="WWD3" s="62"/>
      <c r="WWE3" s="62"/>
      <c r="WWF3" s="62"/>
      <c r="WWG3" s="62"/>
      <c r="WWH3" s="62"/>
      <c r="WWI3" s="62"/>
      <c r="WWJ3" s="62"/>
      <c r="WWK3" s="62"/>
      <c r="WWL3" s="62"/>
      <c r="WWM3" s="62"/>
      <c r="WWN3" s="62"/>
      <c r="WWO3" s="62"/>
      <c r="WWP3" s="62"/>
      <c r="WWQ3" s="62"/>
      <c r="WWR3" s="62"/>
      <c r="WWS3" s="62"/>
      <c r="WWT3" s="62"/>
      <c r="WWU3" s="62"/>
      <c r="WWV3" s="62"/>
      <c r="WWW3" s="62"/>
      <c r="WWX3" s="62"/>
      <c r="WWY3" s="62"/>
      <c r="WWZ3" s="62"/>
      <c r="WXA3" s="62"/>
      <c r="WXB3" s="62"/>
      <c r="WXC3" s="62"/>
      <c r="WXD3" s="62"/>
      <c r="WXE3" s="62"/>
      <c r="WXF3" s="62"/>
      <c r="WXG3" s="62"/>
      <c r="WXH3" s="62"/>
      <c r="WXI3" s="62"/>
      <c r="WXJ3" s="62"/>
      <c r="WXK3" s="62"/>
      <c r="WXL3" s="62"/>
      <c r="WXM3" s="62"/>
      <c r="WXN3" s="62"/>
      <c r="WXO3" s="62"/>
      <c r="WXP3" s="62"/>
      <c r="WXQ3" s="62"/>
      <c r="WXR3" s="62"/>
      <c r="WXS3" s="62"/>
      <c r="WXT3" s="62"/>
      <c r="WXU3" s="62"/>
      <c r="WXV3" s="62"/>
      <c r="WXW3" s="62"/>
      <c r="WXX3" s="62"/>
      <c r="WXY3" s="62"/>
      <c r="WXZ3" s="62"/>
      <c r="WYA3" s="62"/>
      <c r="WYB3" s="62"/>
      <c r="WYC3" s="62"/>
      <c r="WYD3" s="62"/>
      <c r="WYE3" s="62"/>
      <c r="WYF3" s="62"/>
      <c r="WYG3" s="62"/>
      <c r="WYH3" s="62"/>
      <c r="WYI3" s="62"/>
      <c r="WYJ3" s="62"/>
      <c r="WYK3" s="62"/>
      <c r="WYL3" s="62"/>
      <c r="WYM3" s="62"/>
      <c r="WYN3" s="62"/>
      <c r="WYO3" s="62"/>
      <c r="WYP3" s="62"/>
      <c r="WYQ3" s="62"/>
      <c r="WYR3" s="62"/>
      <c r="WYS3" s="62"/>
      <c r="WYT3" s="62"/>
      <c r="WYU3" s="62"/>
      <c r="WYV3" s="62"/>
      <c r="WYW3" s="62"/>
      <c r="WYX3" s="62"/>
      <c r="WYY3" s="62"/>
      <c r="WYZ3" s="62"/>
      <c r="WZA3" s="62"/>
      <c r="WZB3" s="62"/>
      <c r="WZC3" s="62"/>
      <c r="WZD3" s="62"/>
      <c r="WZE3" s="62"/>
      <c r="WZF3" s="62"/>
      <c r="WZG3" s="62"/>
      <c r="WZH3" s="62"/>
      <c r="WZI3" s="62"/>
      <c r="WZJ3" s="62"/>
      <c r="WZK3" s="62"/>
      <c r="WZL3" s="62"/>
      <c r="WZM3" s="62"/>
      <c r="WZN3" s="62"/>
      <c r="WZO3" s="62"/>
      <c r="WZP3" s="62"/>
      <c r="WZQ3" s="62"/>
      <c r="WZR3" s="62"/>
      <c r="WZS3" s="62"/>
      <c r="WZT3" s="62"/>
      <c r="WZU3" s="62"/>
      <c r="WZV3" s="62"/>
      <c r="WZW3" s="62"/>
      <c r="WZX3" s="62"/>
      <c r="WZY3" s="62"/>
      <c r="WZZ3" s="62"/>
      <c r="XAA3" s="62"/>
      <c r="XAB3" s="62"/>
      <c r="XAC3" s="62"/>
      <c r="XAD3" s="62"/>
      <c r="XAE3" s="62"/>
      <c r="XAF3" s="62"/>
      <c r="XAG3" s="62"/>
      <c r="XAH3" s="62"/>
      <c r="XAI3" s="62"/>
      <c r="XAJ3" s="62"/>
      <c r="XAK3" s="62"/>
      <c r="XAL3" s="62"/>
      <c r="XAM3" s="62"/>
      <c r="XAN3" s="62"/>
      <c r="XAO3" s="62"/>
      <c r="XAP3" s="62"/>
      <c r="XAQ3" s="62"/>
      <c r="XAR3" s="62"/>
      <c r="XAS3" s="62"/>
      <c r="XAT3" s="62"/>
      <c r="XAU3" s="62"/>
      <c r="XAV3" s="62"/>
      <c r="XAW3" s="62"/>
      <c r="XAX3" s="62"/>
      <c r="XAY3" s="62"/>
      <c r="XAZ3" s="62"/>
      <c r="XBA3" s="62"/>
      <c r="XBB3" s="62"/>
      <c r="XBC3" s="62"/>
      <c r="XBD3" s="62"/>
      <c r="XBE3" s="62"/>
      <c r="XBF3" s="62"/>
      <c r="XBG3" s="62"/>
      <c r="XBH3" s="62"/>
      <c r="XBI3" s="62"/>
      <c r="XBJ3" s="62"/>
      <c r="XBK3" s="62"/>
      <c r="XBL3" s="62"/>
      <c r="XBM3" s="62"/>
      <c r="XBN3" s="62"/>
      <c r="XBO3" s="62"/>
      <c r="XBP3" s="62"/>
      <c r="XBQ3" s="62"/>
      <c r="XBR3" s="62"/>
      <c r="XBS3" s="62"/>
      <c r="XBT3" s="62"/>
      <c r="XBU3" s="62"/>
      <c r="XBV3" s="62"/>
      <c r="XBW3" s="62"/>
      <c r="XBX3" s="62"/>
      <c r="XBY3" s="62"/>
      <c r="XBZ3" s="62"/>
      <c r="XCA3" s="62"/>
      <c r="XCB3" s="62"/>
      <c r="XCC3" s="62"/>
      <c r="XCD3" s="62"/>
      <c r="XCE3" s="62"/>
      <c r="XCF3" s="62"/>
      <c r="XCG3" s="62"/>
      <c r="XCH3" s="62"/>
      <c r="XCI3" s="62"/>
      <c r="XCJ3" s="62"/>
      <c r="XCK3" s="62"/>
      <c r="XCL3" s="62"/>
      <c r="XCM3" s="62"/>
      <c r="XCN3" s="62"/>
      <c r="XCO3" s="62"/>
      <c r="XCP3" s="62"/>
      <c r="XCQ3" s="62"/>
      <c r="XCR3" s="62"/>
      <c r="XCS3" s="62"/>
      <c r="XCT3" s="62"/>
      <c r="XCU3" s="62"/>
      <c r="XCV3" s="62"/>
      <c r="XCW3" s="62"/>
      <c r="XCX3" s="62"/>
      <c r="XCY3" s="62"/>
      <c r="XCZ3" s="62"/>
      <c r="XDA3" s="62"/>
      <c r="XDB3" s="62"/>
      <c r="XDC3" s="62"/>
      <c r="XDD3" s="62"/>
      <c r="XDE3" s="62"/>
      <c r="XDF3" s="62"/>
      <c r="XDG3" s="62"/>
      <c r="XDH3" s="62"/>
      <c r="XDI3" s="62"/>
      <c r="XDJ3" s="62"/>
      <c r="XDK3" s="62"/>
      <c r="XDL3" s="62"/>
      <c r="XDM3" s="62"/>
      <c r="XDN3" s="62"/>
      <c r="XDO3" s="62"/>
      <c r="XDP3" s="62"/>
      <c r="XDQ3" s="62"/>
      <c r="XDR3" s="62"/>
      <c r="XDS3" s="62"/>
      <c r="XDT3" s="62"/>
      <c r="XDU3" s="62"/>
      <c r="XDV3" s="62"/>
      <c r="XDW3" s="62"/>
      <c r="XDX3" s="62"/>
      <c r="XDY3" s="62"/>
      <c r="XDZ3" s="62"/>
      <c r="XEA3" s="62"/>
      <c r="XEB3" s="62"/>
      <c r="XEC3" s="62"/>
      <c r="XED3" s="62"/>
      <c r="XEE3" s="62"/>
    </row>
    <row r="4" spans="1:16359" ht="23.25" customHeight="1" x14ac:dyDescent="0.3">
      <c r="A4" s="65"/>
      <c r="B4" s="65"/>
      <c r="C4" s="65"/>
      <c r="D4" s="65" t="s">
        <v>17</v>
      </c>
      <c r="E4" s="542"/>
      <c r="F4" s="542"/>
      <c r="G4" s="542"/>
      <c r="H4" s="571"/>
      <c r="I4" s="542"/>
      <c r="J4" s="572"/>
      <c r="K4" s="542"/>
      <c r="L4" s="562"/>
      <c r="M4" s="542"/>
      <c r="N4" s="63" t="s">
        <v>18</v>
      </c>
      <c r="O4" s="63" t="s">
        <v>19</v>
      </c>
      <c r="P4" s="63" t="s">
        <v>20</v>
      </c>
      <c r="Q4" s="562"/>
      <c r="R4" s="66"/>
      <c r="S4" s="550"/>
      <c r="T4" s="60" t="s">
        <v>21</v>
      </c>
      <c r="U4" s="60" t="s">
        <v>19</v>
      </c>
      <c r="V4" s="60" t="s">
        <v>20</v>
      </c>
      <c r="W4" s="555"/>
      <c r="X4" s="558"/>
      <c r="Y4" s="561"/>
      <c r="Z4" s="61"/>
      <c r="AA4" s="61"/>
      <c r="AB4" s="61"/>
      <c r="AC4" s="61"/>
      <c r="AD4" s="61"/>
      <c r="AE4" s="61"/>
      <c r="AF4" s="61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2"/>
      <c r="BK4" s="62"/>
      <c r="BL4" s="62"/>
      <c r="BM4" s="62"/>
      <c r="BN4" s="62"/>
      <c r="BO4" s="62"/>
      <c r="BP4" s="62"/>
      <c r="BQ4" s="62"/>
      <c r="BR4" s="62"/>
      <c r="BS4" s="62"/>
      <c r="BT4" s="62"/>
      <c r="BU4" s="62"/>
      <c r="BV4" s="62"/>
      <c r="BW4" s="62"/>
      <c r="BX4" s="62"/>
      <c r="BY4" s="62"/>
      <c r="BZ4" s="62"/>
      <c r="CA4" s="62"/>
      <c r="CB4" s="62"/>
      <c r="CC4" s="62"/>
      <c r="CD4" s="62"/>
      <c r="CE4" s="62"/>
      <c r="CF4" s="62"/>
      <c r="CG4" s="62"/>
      <c r="CH4" s="62"/>
      <c r="CI4" s="62"/>
      <c r="CJ4" s="62"/>
      <c r="CK4" s="62"/>
      <c r="CL4" s="62"/>
      <c r="CM4" s="62"/>
      <c r="CN4" s="62"/>
      <c r="CO4" s="62"/>
      <c r="CP4" s="62"/>
      <c r="CQ4" s="62"/>
      <c r="CR4" s="62"/>
      <c r="CS4" s="62"/>
      <c r="CT4" s="62"/>
      <c r="CU4" s="62"/>
      <c r="CV4" s="62"/>
      <c r="CW4" s="62"/>
      <c r="CX4" s="62"/>
      <c r="CY4" s="62"/>
      <c r="CZ4" s="62"/>
      <c r="DA4" s="62"/>
      <c r="DB4" s="62"/>
      <c r="DC4" s="62"/>
      <c r="DD4" s="62"/>
      <c r="DE4" s="62"/>
      <c r="DF4" s="62"/>
      <c r="DG4" s="62"/>
      <c r="DH4" s="62"/>
      <c r="DI4" s="62"/>
      <c r="DJ4" s="62"/>
      <c r="DK4" s="62"/>
      <c r="DL4" s="62"/>
      <c r="DM4" s="62"/>
      <c r="DN4" s="62"/>
      <c r="DO4" s="62"/>
      <c r="DP4" s="62"/>
      <c r="DQ4" s="62"/>
      <c r="DR4" s="62"/>
      <c r="DS4" s="62"/>
      <c r="DT4" s="62"/>
      <c r="DU4" s="62"/>
      <c r="DV4" s="62"/>
      <c r="DW4" s="62"/>
      <c r="DX4" s="62"/>
      <c r="DY4" s="62"/>
      <c r="DZ4" s="62"/>
      <c r="EA4" s="62"/>
      <c r="EB4" s="62"/>
      <c r="EC4" s="62"/>
      <c r="ED4" s="62"/>
      <c r="EE4" s="62"/>
      <c r="EF4" s="62"/>
      <c r="EG4" s="62"/>
      <c r="EH4" s="62"/>
      <c r="EI4" s="62"/>
      <c r="EJ4" s="62"/>
      <c r="EK4" s="62"/>
      <c r="EL4" s="62"/>
      <c r="EM4" s="62"/>
      <c r="EN4" s="62"/>
      <c r="EO4" s="62"/>
      <c r="EP4" s="62"/>
      <c r="EQ4" s="62"/>
      <c r="ER4" s="62"/>
      <c r="ES4" s="62"/>
      <c r="ET4" s="62"/>
      <c r="EU4" s="62"/>
      <c r="EV4" s="62"/>
      <c r="EW4" s="62"/>
      <c r="EX4" s="62"/>
      <c r="EY4" s="62"/>
      <c r="EZ4" s="62"/>
      <c r="FA4" s="62"/>
      <c r="FB4" s="62"/>
      <c r="FC4" s="62"/>
      <c r="FD4" s="62"/>
      <c r="FE4" s="62"/>
      <c r="FF4" s="62"/>
      <c r="FG4" s="62"/>
      <c r="FH4" s="62"/>
      <c r="FI4" s="62"/>
      <c r="FJ4" s="62"/>
      <c r="FK4" s="62"/>
      <c r="FL4" s="62"/>
      <c r="FM4" s="62"/>
      <c r="FN4" s="62"/>
      <c r="FO4" s="62"/>
      <c r="FP4" s="62"/>
      <c r="FQ4" s="62"/>
      <c r="FR4" s="62"/>
      <c r="FS4" s="62"/>
      <c r="FT4" s="62"/>
      <c r="FU4" s="62"/>
      <c r="FV4" s="62"/>
      <c r="FW4" s="62"/>
      <c r="FX4" s="62"/>
      <c r="FY4" s="62"/>
      <c r="FZ4" s="62"/>
      <c r="GA4" s="62"/>
      <c r="GB4" s="62"/>
      <c r="GC4" s="62"/>
      <c r="GD4" s="62"/>
      <c r="GE4" s="62"/>
      <c r="GF4" s="62"/>
      <c r="GG4" s="62"/>
      <c r="GH4" s="62"/>
      <c r="GI4" s="62"/>
      <c r="GJ4" s="62"/>
      <c r="GK4" s="62"/>
      <c r="GL4" s="62"/>
      <c r="GM4" s="62"/>
      <c r="GN4" s="62"/>
      <c r="GO4" s="62"/>
      <c r="GP4" s="62"/>
      <c r="GQ4" s="62"/>
      <c r="GR4" s="62"/>
      <c r="GS4" s="62"/>
      <c r="GT4" s="62"/>
      <c r="GU4" s="62"/>
      <c r="GV4" s="62"/>
      <c r="GW4" s="62"/>
      <c r="GX4" s="62"/>
      <c r="GY4" s="62"/>
      <c r="GZ4" s="62"/>
      <c r="HA4" s="62"/>
      <c r="HB4" s="62"/>
      <c r="HC4" s="62"/>
      <c r="HD4" s="62"/>
      <c r="HE4" s="62"/>
      <c r="HF4" s="62"/>
      <c r="HG4" s="62"/>
      <c r="HH4" s="62"/>
      <c r="HI4" s="62"/>
      <c r="HJ4" s="62"/>
      <c r="HK4" s="62"/>
      <c r="HL4" s="62"/>
      <c r="HM4" s="62"/>
      <c r="HN4" s="62"/>
      <c r="HO4" s="62"/>
      <c r="HP4" s="62"/>
      <c r="HQ4" s="62"/>
      <c r="HR4" s="62"/>
      <c r="HS4" s="62"/>
      <c r="HT4" s="62"/>
      <c r="HU4" s="62"/>
      <c r="HV4" s="62"/>
      <c r="HW4" s="62"/>
      <c r="HX4" s="62"/>
      <c r="HY4" s="62"/>
      <c r="HZ4" s="62"/>
      <c r="IA4" s="62"/>
      <c r="IB4" s="62"/>
      <c r="IC4" s="62"/>
      <c r="ID4" s="62"/>
      <c r="IE4" s="62"/>
      <c r="IF4" s="62"/>
      <c r="IG4" s="62"/>
      <c r="IH4" s="62"/>
      <c r="II4" s="62"/>
      <c r="IJ4" s="62"/>
      <c r="IK4" s="62"/>
      <c r="IL4" s="62"/>
      <c r="IM4" s="62"/>
      <c r="IN4" s="62"/>
      <c r="IO4" s="62"/>
      <c r="IP4" s="62"/>
      <c r="IQ4" s="62"/>
      <c r="IR4" s="62"/>
      <c r="IS4" s="62"/>
      <c r="IT4" s="62"/>
      <c r="IU4" s="62"/>
      <c r="IV4" s="62"/>
      <c r="IW4" s="62"/>
      <c r="IX4" s="62"/>
      <c r="IY4" s="62"/>
      <c r="IZ4" s="62"/>
      <c r="JA4" s="62"/>
      <c r="JB4" s="62"/>
      <c r="JC4" s="62"/>
      <c r="JD4" s="62"/>
      <c r="JE4" s="62"/>
      <c r="JF4" s="62"/>
      <c r="JG4" s="62"/>
      <c r="JH4" s="62"/>
      <c r="JI4" s="62"/>
      <c r="JJ4" s="62"/>
      <c r="JK4" s="62"/>
      <c r="JL4" s="62"/>
      <c r="JM4" s="62"/>
      <c r="JN4" s="62"/>
      <c r="JO4" s="62"/>
      <c r="JP4" s="62"/>
      <c r="JQ4" s="62"/>
      <c r="JR4" s="62"/>
      <c r="JS4" s="62"/>
      <c r="JT4" s="62"/>
      <c r="JU4" s="62"/>
      <c r="JV4" s="62"/>
      <c r="JW4" s="62"/>
      <c r="JX4" s="62"/>
      <c r="JY4" s="62"/>
      <c r="JZ4" s="62"/>
      <c r="KA4" s="62"/>
      <c r="KB4" s="62"/>
      <c r="KC4" s="62"/>
      <c r="KD4" s="62"/>
      <c r="KE4" s="62"/>
      <c r="KF4" s="62"/>
      <c r="KG4" s="62"/>
      <c r="KH4" s="62"/>
      <c r="KI4" s="62"/>
      <c r="KJ4" s="62"/>
      <c r="KK4" s="62"/>
      <c r="KL4" s="62"/>
      <c r="KM4" s="62"/>
      <c r="KN4" s="62"/>
      <c r="KO4" s="62"/>
      <c r="KP4" s="62"/>
      <c r="KQ4" s="62"/>
      <c r="KR4" s="62"/>
      <c r="KS4" s="62"/>
      <c r="KT4" s="62"/>
      <c r="KU4" s="62"/>
      <c r="KV4" s="62"/>
      <c r="KW4" s="62"/>
      <c r="KX4" s="62"/>
      <c r="KY4" s="62"/>
      <c r="KZ4" s="62"/>
      <c r="LA4" s="62"/>
      <c r="LB4" s="62"/>
      <c r="LC4" s="62"/>
      <c r="LD4" s="62"/>
      <c r="LE4" s="62"/>
      <c r="LF4" s="62"/>
      <c r="LG4" s="62"/>
      <c r="LH4" s="62"/>
      <c r="LI4" s="62"/>
      <c r="LJ4" s="62"/>
      <c r="LK4" s="62"/>
      <c r="LL4" s="62"/>
      <c r="LM4" s="62"/>
      <c r="LN4" s="62"/>
      <c r="LO4" s="62"/>
      <c r="LP4" s="62"/>
      <c r="LQ4" s="62"/>
      <c r="LR4" s="62"/>
      <c r="LS4" s="62"/>
      <c r="LT4" s="62"/>
      <c r="LU4" s="62"/>
      <c r="LV4" s="62"/>
      <c r="LW4" s="62"/>
      <c r="LX4" s="62"/>
      <c r="LY4" s="62"/>
      <c r="LZ4" s="62"/>
      <c r="MA4" s="62"/>
      <c r="MB4" s="62"/>
      <c r="MC4" s="62"/>
      <c r="MD4" s="62"/>
      <c r="ME4" s="62"/>
      <c r="MF4" s="62"/>
      <c r="MG4" s="62"/>
      <c r="MH4" s="62"/>
      <c r="MI4" s="62"/>
      <c r="MJ4" s="62"/>
      <c r="MK4" s="62"/>
      <c r="ML4" s="62"/>
      <c r="MM4" s="62"/>
      <c r="MN4" s="62"/>
      <c r="MO4" s="62"/>
      <c r="MP4" s="62"/>
      <c r="MQ4" s="62"/>
      <c r="MR4" s="62"/>
      <c r="MS4" s="62"/>
      <c r="MT4" s="62"/>
      <c r="MU4" s="62"/>
      <c r="MV4" s="62"/>
      <c r="MW4" s="62"/>
      <c r="MX4" s="62"/>
      <c r="MY4" s="62"/>
      <c r="MZ4" s="62"/>
      <c r="NA4" s="62"/>
      <c r="NB4" s="62"/>
      <c r="NC4" s="62"/>
      <c r="ND4" s="62"/>
      <c r="NE4" s="62"/>
      <c r="NF4" s="62"/>
      <c r="NG4" s="62"/>
      <c r="NH4" s="62"/>
      <c r="NI4" s="62"/>
      <c r="NJ4" s="62"/>
      <c r="NK4" s="62"/>
      <c r="NL4" s="62"/>
      <c r="NM4" s="62"/>
      <c r="NN4" s="62"/>
      <c r="NO4" s="62"/>
      <c r="NP4" s="62"/>
      <c r="NQ4" s="62"/>
      <c r="NR4" s="62"/>
      <c r="NS4" s="62"/>
      <c r="NT4" s="62"/>
      <c r="NU4" s="62"/>
      <c r="NV4" s="62"/>
      <c r="NW4" s="62"/>
      <c r="NX4" s="62"/>
      <c r="NY4" s="62"/>
      <c r="NZ4" s="62"/>
      <c r="OA4" s="62"/>
      <c r="OB4" s="62"/>
      <c r="OC4" s="62"/>
      <c r="OD4" s="62"/>
      <c r="OE4" s="62"/>
      <c r="OF4" s="62"/>
      <c r="OG4" s="62"/>
      <c r="OH4" s="62"/>
      <c r="OI4" s="62"/>
      <c r="OJ4" s="62"/>
      <c r="OK4" s="62"/>
      <c r="OL4" s="62"/>
      <c r="OM4" s="62"/>
      <c r="ON4" s="62"/>
      <c r="OO4" s="62"/>
      <c r="OP4" s="62"/>
      <c r="OQ4" s="62"/>
      <c r="OR4" s="62"/>
      <c r="OS4" s="62"/>
      <c r="OT4" s="62"/>
      <c r="OU4" s="62"/>
      <c r="OV4" s="62"/>
      <c r="OW4" s="62"/>
      <c r="OX4" s="62"/>
      <c r="OY4" s="62"/>
      <c r="OZ4" s="62"/>
      <c r="PA4" s="62"/>
      <c r="PB4" s="62"/>
      <c r="PC4" s="62"/>
      <c r="PD4" s="62"/>
      <c r="PE4" s="62"/>
      <c r="PF4" s="62"/>
      <c r="PG4" s="62"/>
      <c r="PH4" s="62"/>
      <c r="PI4" s="62"/>
      <c r="PJ4" s="62"/>
      <c r="PK4" s="62"/>
      <c r="PL4" s="62"/>
      <c r="PM4" s="62"/>
      <c r="PN4" s="62"/>
      <c r="PO4" s="62"/>
      <c r="PP4" s="62"/>
      <c r="PQ4" s="62"/>
      <c r="PR4" s="62"/>
      <c r="PS4" s="62"/>
      <c r="PT4" s="62"/>
      <c r="PU4" s="62"/>
      <c r="PV4" s="62"/>
      <c r="PW4" s="62"/>
      <c r="PX4" s="62"/>
      <c r="PY4" s="62"/>
      <c r="PZ4" s="62"/>
      <c r="QA4" s="62"/>
      <c r="QB4" s="62"/>
      <c r="QC4" s="62"/>
      <c r="QD4" s="62"/>
      <c r="QE4" s="62"/>
      <c r="QF4" s="62"/>
      <c r="QG4" s="62"/>
      <c r="QH4" s="62"/>
      <c r="QI4" s="62"/>
      <c r="QJ4" s="62"/>
      <c r="QK4" s="62"/>
      <c r="QL4" s="62"/>
      <c r="QM4" s="62"/>
      <c r="QN4" s="62"/>
      <c r="QO4" s="62"/>
      <c r="QP4" s="62"/>
      <c r="QQ4" s="62"/>
      <c r="QR4" s="62"/>
      <c r="QS4" s="62"/>
      <c r="QT4" s="62"/>
      <c r="QU4" s="62"/>
      <c r="QV4" s="62"/>
      <c r="QW4" s="62"/>
      <c r="QX4" s="62"/>
      <c r="QY4" s="62"/>
      <c r="QZ4" s="62"/>
      <c r="RA4" s="62"/>
      <c r="RB4" s="62"/>
      <c r="RC4" s="62"/>
      <c r="RD4" s="62"/>
      <c r="RE4" s="62"/>
      <c r="RF4" s="62"/>
      <c r="RG4" s="62"/>
      <c r="RH4" s="62"/>
      <c r="RI4" s="62"/>
      <c r="RJ4" s="62"/>
      <c r="RK4" s="62"/>
      <c r="RL4" s="62"/>
      <c r="RM4" s="62"/>
      <c r="RN4" s="62"/>
      <c r="RO4" s="62"/>
      <c r="RP4" s="62"/>
      <c r="RQ4" s="62"/>
      <c r="RR4" s="62"/>
      <c r="RS4" s="62"/>
      <c r="RT4" s="62"/>
      <c r="RU4" s="62"/>
      <c r="RV4" s="62"/>
      <c r="RW4" s="62"/>
      <c r="RX4" s="62"/>
      <c r="RY4" s="62"/>
      <c r="RZ4" s="62"/>
      <c r="SA4" s="62"/>
      <c r="SB4" s="62"/>
      <c r="SC4" s="62"/>
      <c r="SD4" s="62"/>
      <c r="SE4" s="62"/>
      <c r="SF4" s="62"/>
      <c r="SG4" s="62"/>
      <c r="SH4" s="62"/>
      <c r="SI4" s="62"/>
      <c r="SJ4" s="62"/>
      <c r="SK4" s="62"/>
      <c r="SL4" s="62"/>
      <c r="SM4" s="62"/>
      <c r="SN4" s="62"/>
      <c r="SO4" s="62"/>
      <c r="SP4" s="62"/>
      <c r="SQ4" s="62"/>
      <c r="SR4" s="62"/>
      <c r="SS4" s="62"/>
      <c r="ST4" s="62"/>
      <c r="SU4" s="62"/>
      <c r="SV4" s="62"/>
      <c r="SW4" s="62"/>
      <c r="SX4" s="62"/>
      <c r="SY4" s="62"/>
      <c r="SZ4" s="62"/>
      <c r="TA4" s="62"/>
      <c r="TB4" s="62"/>
      <c r="TC4" s="62"/>
      <c r="TD4" s="62"/>
      <c r="TE4" s="62"/>
      <c r="TF4" s="62"/>
      <c r="TG4" s="62"/>
      <c r="TH4" s="62"/>
      <c r="TI4" s="62"/>
      <c r="TJ4" s="62"/>
      <c r="TK4" s="62"/>
      <c r="TL4" s="62"/>
      <c r="TM4" s="62"/>
      <c r="TN4" s="62"/>
      <c r="TO4" s="62"/>
      <c r="TP4" s="62"/>
      <c r="TQ4" s="62"/>
      <c r="TR4" s="62"/>
      <c r="TS4" s="62"/>
      <c r="TT4" s="62"/>
      <c r="TU4" s="62"/>
      <c r="TV4" s="62"/>
      <c r="TW4" s="62"/>
      <c r="TX4" s="62"/>
      <c r="TY4" s="62"/>
      <c r="TZ4" s="62"/>
      <c r="UA4" s="62"/>
      <c r="UB4" s="62"/>
      <c r="UC4" s="62"/>
      <c r="UD4" s="62"/>
      <c r="UE4" s="62"/>
      <c r="UF4" s="62"/>
      <c r="UG4" s="62"/>
      <c r="UH4" s="62"/>
      <c r="UI4" s="62"/>
      <c r="UJ4" s="62"/>
      <c r="UK4" s="62"/>
      <c r="UL4" s="62"/>
      <c r="UM4" s="62"/>
      <c r="UN4" s="62"/>
      <c r="UO4" s="62"/>
      <c r="UP4" s="62"/>
      <c r="UQ4" s="62"/>
      <c r="UR4" s="62"/>
      <c r="US4" s="62"/>
      <c r="UT4" s="62"/>
      <c r="UU4" s="62"/>
      <c r="UV4" s="62"/>
      <c r="UW4" s="62"/>
      <c r="UX4" s="62"/>
      <c r="UY4" s="62"/>
      <c r="UZ4" s="62"/>
      <c r="VA4" s="62"/>
      <c r="VB4" s="62"/>
      <c r="VC4" s="62"/>
      <c r="VD4" s="62"/>
      <c r="VE4" s="62"/>
      <c r="VF4" s="62"/>
      <c r="VG4" s="62"/>
      <c r="VH4" s="62"/>
      <c r="VI4" s="62"/>
      <c r="VJ4" s="62"/>
      <c r="VK4" s="62"/>
      <c r="VL4" s="62"/>
      <c r="VM4" s="62"/>
      <c r="VN4" s="62"/>
      <c r="VO4" s="62"/>
      <c r="VP4" s="62"/>
      <c r="VQ4" s="62"/>
      <c r="VR4" s="62"/>
      <c r="VS4" s="62"/>
      <c r="VT4" s="62"/>
      <c r="VU4" s="62"/>
      <c r="VV4" s="62"/>
      <c r="VW4" s="62"/>
      <c r="VX4" s="62"/>
      <c r="VY4" s="62"/>
      <c r="VZ4" s="62"/>
      <c r="WA4" s="62"/>
      <c r="WB4" s="62"/>
      <c r="WC4" s="62"/>
      <c r="WD4" s="62"/>
      <c r="WE4" s="62"/>
      <c r="WF4" s="62"/>
      <c r="WG4" s="62"/>
      <c r="WH4" s="62"/>
      <c r="WI4" s="62"/>
      <c r="WJ4" s="62"/>
      <c r="WK4" s="62"/>
      <c r="WL4" s="62"/>
      <c r="WM4" s="62"/>
      <c r="WN4" s="62"/>
      <c r="WO4" s="62"/>
      <c r="WP4" s="62"/>
      <c r="WQ4" s="62"/>
      <c r="WR4" s="62"/>
      <c r="WS4" s="62"/>
      <c r="WT4" s="62"/>
      <c r="WU4" s="62"/>
      <c r="WV4" s="62"/>
      <c r="WW4" s="62"/>
      <c r="WX4" s="62"/>
      <c r="WY4" s="62"/>
      <c r="WZ4" s="62"/>
      <c r="XA4" s="62"/>
      <c r="XB4" s="62"/>
      <c r="XC4" s="62"/>
      <c r="XD4" s="62"/>
      <c r="XE4" s="62"/>
      <c r="XF4" s="62"/>
      <c r="XG4" s="62"/>
      <c r="XH4" s="62"/>
      <c r="XI4" s="62"/>
      <c r="XJ4" s="62"/>
      <c r="XK4" s="62"/>
      <c r="XL4" s="62"/>
      <c r="XM4" s="62"/>
      <c r="XN4" s="62"/>
      <c r="XO4" s="62"/>
      <c r="XP4" s="62"/>
      <c r="XQ4" s="62"/>
      <c r="XR4" s="62"/>
      <c r="XS4" s="62"/>
      <c r="XT4" s="62"/>
      <c r="XU4" s="62"/>
      <c r="XV4" s="62"/>
      <c r="XW4" s="62"/>
      <c r="XX4" s="62"/>
      <c r="XY4" s="62"/>
      <c r="XZ4" s="62"/>
      <c r="YA4" s="62"/>
      <c r="YB4" s="62"/>
      <c r="YC4" s="62"/>
      <c r="YD4" s="62"/>
      <c r="YE4" s="62"/>
      <c r="YF4" s="62"/>
      <c r="YG4" s="62"/>
      <c r="YH4" s="62"/>
      <c r="YI4" s="62"/>
      <c r="YJ4" s="62"/>
      <c r="YK4" s="62"/>
      <c r="YL4" s="62"/>
      <c r="YM4" s="62"/>
      <c r="YN4" s="62"/>
      <c r="YO4" s="62"/>
      <c r="YP4" s="62"/>
      <c r="YQ4" s="62"/>
      <c r="YR4" s="62"/>
      <c r="YS4" s="62"/>
      <c r="YT4" s="62"/>
      <c r="YU4" s="62"/>
      <c r="YV4" s="62"/>
      <c r="YW4" s="62"/>
      <c r="YX4" s="62"/>
      <c r="YY4" s="62"/>
      <c r="YZ4" s="62"/>
      <c r="ZA4" s="62"/>
      <c r="ZB4" s="62"/>
      <c r="ZC4" s="62"/>
      <c r="ZD4" s="62"/>
      <c r="ZE4" s="62"/>
      <c r="ZF4" s="62"/>
      <c r="ZG4" s="62"/>
      <c r="ZH4" s="62"/>
      <c r="ZI4" s="62"/>
      <c r="ZJ4" s="62"/>
      <c r="ZK4" s="62"/>
      <c r="ZL4" s="62"/>
      <c r="ZM4" s="62"/>
      <c r="ZN4" s="62"/>
      <c r="ZO4" s="62"/>
      <c r="ZP4" s="62"/>
      <c r="ZQ4" s="62"/>
      <c r="ZR4" s="62"/>
      <c r="ZS4" s="62"/>
      <c r="ZT4" s="62"/>
      <c r="ZU4" s="62"/>
      <c r="ZV4" s="62"/>
      <c r="ZW4" s="62"/>
      <c r="ZX4" s="62"/>
      <c r="ZY4" s="62"/>
      <c r="ZZ4" s="62"/>
      <c r="AAA4" s="62"/>
      <c r="AAB4" s="62"/>
      <c r="AAC4" s="62"/>
      <c r="AAD4" s="62"/>
      <c r="AAE4" s="62"/>
      <c r="AAF4" s="62"/>
      <c r="AAG4" s="62"/>
      <c r="AAH4" s="62"/>
      <c r="AAI4" s="62"/>
      <c r="AAJ4" s="62"/>
      <c r="AAK4" s="62"/>
      <c r="AAL4" s="62"/>
      <c r="AAM4" s="62"/>
      <c r="AAN4" s="62"/>
      <c r="AAO4" s="62"/>
      <c r="AAP4" s="62"/>
      <c r="AAQ4" s="62"/>
      <c r="AAR4" s="62"/>
      <c r="AAS4" s="62"/>
      <c r="AAT4" s="62"/>
      <c r="AAU4" s="62"/>
      <c r="AAV4" s="62"/>
      <c r="AAW4" s="62"/>
      <c r="AAX4" s="62"/>
      <c r="AAY4" s="62"/>
      <c r="AAZ4" s="62"/>
      <c r="ABA4" s="62"/>
      <c r="ABB4" s="62"/>
      <c r="ABC4" s="62"/>
      <c r="ABD4" s="62"/>
      <c r="ABE4" s="62"/>
      <c r="ABF4" s="62"/>
      <c r="ABG4" s="62"/>
      <c r="ABH4" s="62"/>
      <c r="ABI4" s="62"/>
      <c r="ABJ4" s="62"/>
      <c r="ABK4" s="62"/>
      <c r="ABL4" s="62"/>
      <c r="ABM4" s="62"/>
      <c r="ABN4" s="62"/>
      <c r="ABO4" s="62"/>
      <c r="ABP4" s="62"/>
      <c r="ABQ4" s="62"/>
      <c r="ABR4" s="62"/>
      <c r="ABS4" s="62"/>
      <c r="ABT4" s="62"/>
      <c r="ABU4" s="62"/>
      <c r="ABV4" s="62"/>
      <c r="ABW4" s="62"/>
      <c r="ABX4" s="62"/>
      <c r="ABY4" s="62"/>
      <c r="ABZ4" s="62"/>
      <c r="ACA4" s="62"/>
      <c r="ACB4" s="62"/>
      <c r="ACC4" s="62"/>
      <c r="ACD4" s="62"/>
      <c r="ACE4" s="62"/>
      <c r="ACF4" s="62"/>
      <c r="ACG4" s="62"/>
      <c r="ACH4" s="62"/>
      <c r="ACI4" s="62"/>
      <c r="ACJ4" s="62"/>
      <c r="ACK4" s="62"/>
      <c r="ACL4" s="62"/>
      <c r="ACM4" s="62"/>
      <c r="ACN4" s="62"/>
      <c r="ACO4" s="62"/>
      <c r="ACP4" s="62"/>
      <c r="ACQ4" s="62"/>
      <c r="ACR4" s="62"/>
      <c r="ACS4" s="62"/>
      <c r="ACT4" s="62"/>
      <c r="ACU4" s="62"/>
      <c r="ACV4" s="62"/>
      <c r="ACW4" s="62"/>
      <c r="ACX4" s="62"/>
      <c r="ACY4" s="62"/>
      <c r="ACZ4" s="62"/>
      <c r="ADA4" s="62"/>
      <c r="ADB4" s="62"/>
      <c r="ADC4" s="62"/>
      <c r="ADD4" s="62"/>
      <c r="ADE4" s="62"/>
      <c r="ADF4" s="62"/>
      <c r="ADG4" s="62"/>
      <c r="ADH4" s="62"/>
      <c r="ADI4" s="62"/>
      <c r="ADJ4" s="62"/>
      <c r="ADK4" s="62"/>
      <c r="ADL4" s="62"/>
      <c r="ADM4" s="62"/>
      <c r="ADN4" s="62"/>
      <c r="ADO4" s="62"/>
      <c r="ADP4" s="62"/>
      <c r="ADQ4" s="62"/>
      <c r="ADR4" s="62"/>
      <c r="ADS4" s="62"/>
      <c r="ADT4" s="62"/>
      <c r="ADU4" s="62"/>
      <c r="ADV4" s="62"/>
      <c r="ADW4" s="62"/>
      <c r="ADX4" s="62"/>
      <c r="ADY4" s="62"/>
      <c r="ADZ4" s="62"/>
      <c r="AEA4" s="62"/>
      <c r="AEB4" s="62"/>
      <c r="AEC4" s="62"/>
      <c r="AED4" s="62"/>
      <c r="AEE4" s="62"/>
      <c r="AEF4" s="62"/>
      <c r="AEG4" s="62"/>
      <c r="AEH4" s="62"/>
      <c r="AEI4" s="62"/>
      <c r="AEJ4" s="62"/>
      <c r="AEK4" s="62"/>
      <c r="AEL4" s="62"/>
      <c r="AEM4" s="62"/>
      <c r="AEN4" s="62"/>
      <c r="AEO4" s="62"/>
      <c r="AEP4" s="62"/>
      <c r="AEQ4" s="62"/>
      <c r="AER4" s="62"/>
      <c r="AES4" s="62"/>
      <c r="AET4" s="62"/>
      <c r="AEU4" s="62"/>
      <c r="AEV4" s="62"/>
      <c r="AEW4" s="62"/>
      <c r="AEX4" s="62"/>
      <c r="AEY4" s="62"/>
      <c r="AEZ4" s="62"/>
      <c r="AFA4" s="62"/>
      <c r="AFB4" s="62"/>
      <c r="AFC4" s="62"/>
      <c r="AFD4" s="62"/>
      <c r="AFE4" s="62"/>
      <c r="AFF4" s="62"/>
      <c r="AFG4" s="62"/>
      <c r="AFH4" s="62"/>
      <c r="AFI4" s="62"/>
      <c r="AFJ4" s="62"/>
      <c r="AFK4" s="62"/>
      <c r="AFL4" s="62"/>
      <c r="AFM4" s="62"/>
      <c r="AFN4" s="62"/>
      <c r="AFO4" s="62"/>
      <c r="AFP4" s="62"/>
      <c r="AFQ4" s="62"/>
      <c r="AFR4" s="62"/>
      <c r="AFS4" s="62"/>
      <c r="AFT4" s="62"/>
      <c r="AFU4" s="62"/>
      <c r="AFV4" s="62"/>
      <c r="AFW4" s="62"/>
      <c r="AFX4" s="62"/>
      <c r="AFY4" s="62"/>
      <c r="AFZ4" s="62"/>
      <c r="AGA4" s="62"/>
      <c r="AGB4" s="62"/>
      <c r="AGC4" s="62"/>
      <c r="AGD4" s="62"/>
      <c r="AGE4" s="62"/>
      <c r="AGF4" s="62"/>
      <c r="AGG4" s="62"/>
      <c r="AGH4" s="62"/>
      <c r="AGI4" s="62"/>
      <c r="AGJ4" s="62"/>
      <c r="AGK4" s="62"/>
      <c r="AGL4" s="62"/>
      <c r="AGM4" s="62"/>
      <c r="AGN4" s="62"/>
      <c r="AGO4" s="62"/>
      <c r="AGP4" s="62"/>
      <c r="AGQ4" s="62"/>
      <c r="AGR4" s="62"/>
      <c r="AGS4" s="62"/>
      <c r="AGT4" s="62"/>
      <c r="AGU4" s="62"/>
      <c r="AGV4" s="62"/>
      <c r="AGW4" s="62"/>
      <c r="AGX4" s="62"/>
      <c r="AGY4" s="62"/>
      <c r="AGZ4" s="62"/>
      <c r="AHA4" s="62"/>
      <c r="AHB4" s="62"/>
      <c r="AHC4" s="62"/>
      <c r="AHD4" s="62"/>
      <c r="AHE4" s="62"/>
      <c r="AHF4" s="62"/>
      <c r="AHG4" s="62"/>
      <c r="AHH4" s="62"/>
      <c r="AHI4" s="62"/>
      <c r="AHJ4" s="62"/>
      <c r="AHK4" s="62"/>
      <c r="AHL4" s="62"/>
      <c r="AHM4" s="62"/>
      <c r="AHN4" s="62"/>
      <c r="AHO4" s="62"/>
      <c r="AHP4" s="62"/>
      <c r="AHQ4" s="62"/>
      <c r="AHR4" s="62"/>
      <c r="AHS4" s="62"/>
      <c r="AHT4" s="62"/>
      <c r="AHU4" s="62"/>
      <c r="AHV4" s="62"/>
      <c r="AHW4" s="62"/>
      <c r="AHX4" s="62"/>
      <c r="AHY4" s="62"/>
      <c r="AHZ4" s="62"/>
      <c r="AIA4" s="62"/>
      <c r="AIB4" s="62"/>
      <c r="AIC4" s="62"/>
      <c r="AID4" s="62"/>
      <c r="AIE4" s="62"/>
      <c r="AIF4" s="62"/>
      <c r="AIG4" s="62"/>
      <c r="AIH4" s="62"/>
      <c r="AII4" s="62"/>
      <c r="AIJ4" s="62"/>
      <c r="AIK4" s="62"/>
      <c r="AIL4" s="62"/>
      <c r="AIM4" s="62"/>
      <c r="AIN4" s="62"/>
      <c r="AIO4" s="62"/>
      <c r="AIP4" s="62"/>
      <c r="AIQ4" s="62"/>
      <c r="AIR4" s="62"/>
      <c r="AIS4" s="62"/>
      <c r="AIT4" s="62"/>
      <c r="AIU4" s="62"/>
      <c r="AIV4" s="62"/>
      <c r="AIW4" s="62"/>
      <c r="AIX4" s="62"/>
      <c r="AIY4" s="62"/>
      <c r="AIZ4" s="62"/>
      <c r="AJA4" s="62"/>
      <c r="AJB4" s="62"/>
      <c r="AJC4" s="62"/>
      <c r="AJD4" s="62"/>
      <c r="AJE4" s="62"/>
      <c r="AJF4" s="62"/>
      <c r="AJG4" s="62"/>
      <c r="AJH4" s="62"/>
      <c r="AJI4" s="62"/>
      <c r="AJJ4" s="62"/>
      <c r="AJK4" s="62"/>
      <c r="AJL4" s="62"/>
      <c r="AJM4" s="62"/>
      <c r="AJN4" s="62"/>
      <c r="AJO4" s="62"/>
      <c r="AJP4" s="62"/>
      <c r="AJQ4" s="62"/>
      <c r="AJR4" s="62"/>
      <c r="AJS4" s="62"/>
      <c r="AJT4" s="62"/>
      <c r="AJU4" s="62"/>
      <c r="AJV4" s="62"/>
      <c r="AJW4" s="62"/>
      <c r="AJX4" s="62"/>
      <c r="AJY4" s="62"/>
      <c r="AJZ4" s="62"/>
      <c r="AKA4" s="62"/>
      <c r="AKB4" s="62"/>
      <c r="AKC4" s="62"/>
      <c r="AKD4" s="62"/>
      <c r="AKE4" s="62"/>
      <c r="AKF4" s="62"/>
      <c r="AKG4" s="62"/>
      <c r="AKH4" s="62"/>
      <c r="AKI4" s="62"/>
      <c r="AKJ4" s="62"/>
      <c r="AKK4" s="62"/>
      <c r="AKL4" s="62"/>
      <c r="AKM4" s="62"/>
      <c r="AKN4" s="62"/>
      <c r="AKO4" s="62"/>
      <c r="AKP4" s="62"/>
      <c r="AKQ4" s="62"/>
      <c r="AKR4" s="62"/>
      <c r="AKS4" s="62"/>
      <c r="AKT4" s="62"/>
      <c r="AKU4" s="62"/>
      <c r="AKV4" s="62"/>
      <c r="AKW4" s="62"/>
      <c r="AKX4" s="62"/>
      <c r="AKY4" s="62"/>
      <c r="AKZ4" s="62"/>
      <c r="ALA4" s="62"/>
      <c r="ALB4" s="62"/>
      <c r="ALC4" s="62"/>
      <c r="ALD4" s="62"/>
      <c r="ALE4" s="62"/>
      <c r="ALF4" s="62"/>
      <c r="ALG4" s="62"/>
      <c r="ALH4" s="62"/>
      <c r="ALI4" s="62"/>
      <c r="ALJ4" s="62"/>
      <c r="ALK4" s="62"/>
      <c r="ALL4" s="62"/>
      <c r="ALM4" s="62"/>
      <c r="ALN4" s="62"/>
      <c r="ALO4" s="62"/>
      <c r="ALP4" s="62"/>
      <c r="ALQ4" s="62"/>
      <c r="ALR4" s="62"/>
      <c r="ALS4" s="62"/>
      <c r="ALT4" s="62"/>
      <c r="ALU4" s="62"/>
      <c r="ALV4" s="62"/>
      <c r="ALW4" s="62"/>
      <c r="ALX4" s="62"/>
      <c r="ALY4" s="62"/>
      <c r="ALZ4" s="62"/>
      <c r="AMA4" s="62"/>
      <c r="AMB4" s="62"/>
      <c r="AMC4" s="62"/>
      <c r="AMD4" s="62"/>
      <c r="AME4" s="62"/>
      <c r="AMF4" s="62"/>
      <c r="AMG4" s="62"/>
      <c r="AMH4" s="62"/>
      <c r="AMI4" s="62"/>
      <c r="AMJ4" s="62"/>
      <c r="AMK4" s="62"/>
      <c r="AML4" s="62"/>
      <c r="AMM4" s="62"/>
      <c r="AMN4" s="62"/>
      <c r="AMO4" s="62"/>
      <c r="AMP4" s="62"/>
      <c r="AMQ4" s="62"/>
      <c r="AMR4" s="62"/>
      <c r="AMS4" s="62"/>
      <c r="AMT4" s="62"/>
      <c r="AMU4" s="62"/>
      <c r="AMV4" s="62"/>
      <c r="AMW4" s="62"/>
      <c r="AMX4" s="62"/>
      <c r="AMY4" s="62"/>
      <c r="AMZ4" s="62"/>
      <c r="ANA4" s="62"/>
      <c r="ANB4" s="62"/>
      <c r="ANC4" s="62"/>
      <c r="AND4" s="62"/>
      <c r="ANE4" s="62"/>
      <c r="ANF4" s="62"/>
      <c r="ANG4" s="62"/>
      <c r="ANH4" s="62"/>
      <c r="ANI4" s="62"/>
      <c r="ANJ4" s="62"/>
      <c r="ANK4" s="62"/>
      <c r="ANL4" s="62"/>
      <c r="ANM4" s="62"/>
      <c r="ANN4" s="62"/>
      <c r="ANO4" s="62"/>
      <c r="ANP4" s="62"/>
      <c r="ANQ4" s="62"/>
      <c r="ANR4" s="62"/>
      <c r="ANS4" s="62"/>
      <c r="ANT4" s="62"/>
      <c r="ANU4" s="62"/>
      <c r="ANV4" s="62"/>
      <c r="ANW4" s="62"/>
      <c r="ANX4" s="62"/>
      <c r="ANY4" s="62"/>
      <c r="ANZ4" s="62"/>
      <c r="AOA4" s="62"/>
      <c r="AOB4" s="62"/>
      <c r="AOC4" s="62"/>
      <c r="AOD4" s="62"/>
      <c r="AOE4" s="62"/>
      <c r="AOF4" s="62"/>
      <c r="AOG4" s="62"/>
      <c r="AOH4" s="62"/>
      <c r="AOI4" s="62"/>
      <c r="AOJ4" s="62"/>
      <c r="AOK4" s="62"/>
      <c r="AOL4" s="62"/>
      <c r="AOM4" s="62"/>
      <c r="AON4" s="62"/>
      <c r="AOO4" s="62"/>
      <c r="AOP4" s="62"/>
      <c r="AOQ4" s="62"/>
      <c r="AOR4" s="62"/>
      <c r="AOS4" s="62"/>
      <c r="AOT4" s="62"/>
      <c r="AOU4" s="62"/>
      <c r="AOV4" s="62"/>
      <c r="AOW4" s="62"/>
      <c r="AOX4" s="62"/>
      <c r="AOY4" s="62"/>
      <c r="AOZ4" s="62"/>
      <c r="APA4" s="62"/>
      <c r="APB4" s="62"/>
      <c r="APC4" s="62"/>
      <c r="APD4" s="62"/>
      <c r="APE4" s="62"/>
      <c r="APF4" s="62"/>
      <c r="APG4" s="62"/>
      <c r="APH4" s="62"/>
      <c r="API4" s="62"/>
      <c r="APJ4" s="62"/>
      <c r="APK4" s="62"/>
      <c r="APL4" s="62"/>
      <c r="APM4" s="62"/>
      <c r="APN4" s="62"/>
      <c r="APO4" s="62"/>
      <c r="APP4" s="62"/>
      <c r="APQ4" s="62"/>
      <c r="APR4" s="62"/>
      <c r="APS4" s="62"/>
      <c r="APT4" s="62"/>
      <c r="APU4" s="62"/>
      <c r="APV4" s="62"/>
      <c r="APW4" s="62"/>
      <c r="APX4" s="62"/>
      <c r="APY4" s="62"/>
      <c r="APZ4" s="62"/>
      <c r="AQA4" s="62"/>
      <c r="AQB4" s="62"/>
      <c r="AQC4" s="62"/>
      <c r="AQD4" s="62"/>
      <c r="AQE4" s="62"/>
      <c r="AQF4" s="62"/>
      <c r="AQG4" s="62"/>
      <c r="AQH4" s="62"/>
      <c r="AQI4" s="62"/>
      <c r="AQJ4" s="62"/>
      <c r="AQK4" s="62"/>
      <c r="AQL4" s="62"/>
      <c r="AQM4" s="62"/>
      <c r="AQN4" s="62"/>
      <c r="AQO4" s="62"/>
      <c r="AQP4" s="62"/>
      <c r="AQQ4" s="62"/>
      <c r="AQR4" s="62"/>
      <c r="AQS4" s="62"/>
      <c r="AQT4" s="62"/>
      <c r="AQU4" s="62"/>
      <c r="AQV4" s="62"/>
      <c r="AQW4" s="62"/>
      <c r="AQX4" s="62"/>
      <c r="AQY4" s="62"/>
      <c r="AQZ4" s="62"/>
      <c r="ARA4" s="62"/>
      <c r="ARB4" s="62"/>
      <c r="ARC4" s="62"/>
      <c r="ARD4" s="62"/>
      <c r="ARE4" s="62"/>
      <c r="ARF4" s="62"/>
      <c r="ARG4" s="62"/>
      <c r="ARH4" s="62"/>
      <c r="ARI4" s="62"/>
      <c r="ARJ4" s="62"/>
      <c r="ARK4" s="62"/>
      <c r="ARL4" s="62"/>
      <c r="ARM4" s="62"/>
      <c r="ARN4" s="62"/>
      <c r="ARO4" s="62"/>
      <c r="ARP4" s="62"/>
      <c r="ARQ4" s="62"/>
      <c r="ARR4" s="62"/>
      <c r="ARS4" s="62"/>
      <c r="ART4" s="62"/>
      <c r="ARU4" s="62"/>
      <c r="ARV4" s="62"/>
      <c r="ARW4" s="62"/>
      <c r="ARX4" s="62"/>
      <c r="ARY4" s="62"/>
      <c r="ARZ4" s="62"/>
      <c r="ASA4" s="62"/>
      <c r="ASB4" s="62"/>
      <c r="ASC4" s="62"/>
      <c r="ASD4" s="62"/>
      <c r="ASE4" s="62"/>
      <c r="ASF4" s="62"/>
      <c r="ASG4" s="62"/>
      <c r="ASH4" s="62"/>
      <c r="ASI4" s="62"/>
      <c r="ASJ4" s="62"/>
      <c r="ASK4" s="62"/>
      <c r="ASL4" s="62"/>
      <c r="ASM4" s="62"/>
      <c r="ASN4" s="62"/>
      <c r="ASO4" s="62"/>
      <c r="ASP4" s="62"/>
      <c r="ASQ4" s="62"/>
      <c r="ASR4" s="62"/>
      <c r="ASS4" s="62"/>
      <c r="AST4" s="62"/>
      <c r="ASU4" s="62"/>
      <c r="ASV4" s="62"/>
      <c r="ASW4" s="62"/>
      <c r="ASX4" s="62"/>
      <c r="ASY4" s="62"/>
      <c r="ASZ4" s="62"/>
      <c r="ATA4" s="62"/>
      <c r="ATB4" s="62"/>
      <c r="ATC4" s="62"/>
      <c r="ATD4" s="62"/>
      <c r="ATE4" s="62"/>
      <c r="ATF4" s="62"/>
      <c r="ATG4" s="62"/>
      <c r="ATH4" s="62"/>
      <c r="ATI4" s="62"/>
      <c r="ATJ4" s="62"/>
      <c r="ATK4" s="62"/>
      <c r="ATL4" s="62"/>
      <c r="ATM4" s="62"/>
      <c r="ATN4" s="62"/>
      <c r="ATO4" s="62"/>
      <c r="ATP4" s="62"/>
      <c r="ATQ4" s="62"/>
      <c r="ATR4" s="62"/>
      <c r="ATS4" s="62"/>
      <c r="ATT4" s="62"/>
      <c r="ATU4" s="62"/>
      <c r="ATV4" s="62"/>
      <c r="ATW4" s="62"/>
      <c r="ATX4" s="62"/>
      <c r="ATY4" s="62"/>
      <c r="ATZ4" s="62"/>
      <c r="AUA4" s="62"/>
      <c r="AUB4" s="62"/>
      <c r="AUC4" s="62"/>
      <c r="AUD4" s="62"/>
      <c r="AUE4" s="62"/>
      <c r="AUF4" s="62"/>
      <c r="AUG4" s="62"/>
      <c r="AUH4" s="62"/>
      <c r="AUI4" s="62"/>
      <c r="AUJ4" s="62"/>
      <c r="AUK4" s="62"/>
      <c r="AUL4" s="62"/>
      <c r="AUM4" s="62"/>
      <c r="AUN4" s="62"/>
      <c r="AUO4" s="62"/>
      <c r="AUP4" s="62"/>
      <c r="AUQ4" s="62"/>
      <c r="AUR4" s="62"/>
      <c r="AUS4" s="62"/>
      <c r="AUT4" s="62"/>
      <c r="AUU4" s="62"/>
      <c r="AUV4" s="62"/>
      <c r="AUW4" s="62"/>
      <c r="AUX4" s="62"/>
      <c r="AUY4" s="62"/>
      <c r="AUZ4" s="62"/>
      <c r="AVA4" s="62"/>
      <c r="AVB4" s="62"/>
      <c r="AVC4" s="62"/>
      <c r="AVD4" s="62"/>
      <c r="AVE4" s="62"/>
      <c r="AVF4" s="62"/>
      <c r="AVG4" s="62"/>
      <c r="AVH4" s="62"/>
      <c r="AVI4" s="62"/>
      <c r="AVJ4" s="62"/>
      <c r="AVK4" s="62"/>
      <c r="AVL4" s="62"/>
      <c r="AVM4" s="62"/>
      <c r="AVN4" s="62"/>
      <c r="AVO4" s="62"/>
      <c r="AVP4" s="62"/>
      <c r="AVQ4" s="62"/>
      <c r="AVR4" s="62"/>
      <c r="AVS4" s="62"/>
      <c r="AVT4" s="62"/>
      <c r="AVU4" s="62"/>
      <c r="AVV4" s="62"/>
      <c r="AVW4" s="62"/>
      <c r="AVX4" s="62"/>
      <c r="AVY4" s="62"/>
      <c r="AVZ4" s="62"/>
      <c r="AWA4" s="62"/>
      <c r="AWB4" s="62"/>
      <c r="AWC4" s="62"/>
      <c r="AWD4" s="62"/>
      <c r="AWE4" s="62"/>
      <c r="AWF4" s="62"/>
      <c r="AWG4" s="62"/>
      <c r="AWH4" s="62"/>
      <c r="AWI4" s="62"/>
      <c r="AWJ4" s="62"/>
      <c r="AWK4" s="62"/>
      <c r="AWL4" s="62"/>
      <c r="AWM4" s="62"/>
      <c r="AWN4" s="62"/>
      <c r="AWO4" s="62"/>
      <c r="AWP4" s="62"/>
      <c r="AWQ4" s="62"/>
      <c r="AWR4" s="62"/>
      <c r="AWS4" s="62"/>
      <c r="AWT4" s="62"/>
      <c r="AWU4" s="62"/>
      <c r="AWV4" s="62"/>
      <c r="AWW4" s="62"/>
      <c r="AWX4" s="62"/>
      <c r="AWY4" s="62"/>
      <c r="AWZ4" s="62"/>
      <c r="AXA4" s="62"/>
      <c r="AXB4" s="62"/>
      <c r="AXC4" s="62"/>
      <c r="AXD4" s="62"/>
      <c r="AXE4" s="62"/>
      <c r="AXF4" s="62"/>
      <c r="AXG4" s="62"/>
      <c r="AXH4" s="62"/>
      <c r="AXI4" s="62"/>
      <c r="AXJ4" s="62"/>
      <c r="AXK4" s="62"/>
      <c r="AXL4" s="62"/>
      <c r="AXM4" s="62"/>
      <c r="AXN4" s="62"/>
      <c r="AXO4" s="62"/>
      <c r="AXP4" s="62"/>
      <c r="AXQ4" s="62"/>
      <c r="AXR4" s="62"/>
      <c r="AXS4" s="62"/>
      <c r="AXT4" s="62"/>
      <c r="AXU4" s="62"/>
      <c r="AXV4" s="62"/>
      <c r="AXW4" s="62"/>
      <c r="AXX4" s="62"/>
      <c r="AXY4" s="62"/>
      <c r="AXZ4" s="62"/>
      <c r="AYA4" s="62"/>
      <c r="AYB4" s="62"/>
      <c r="AYC4" s="62"/>
      <c r="AYD4" s="62"/>
      <c r="AYE4" s="62"/>
      <c r="AYF4" s="62"/>
      <c r="AYG4" s="62"/>
      <c r="AYH4" s="62"/>
      <c r="AYI4" s="62"/>
      <c r="AYJ4" s="62"/>
      <c r="AYK4" s="62"/>
      <c r="AYL4" s="62"/>
      <c r="AYM4" s="62"/>
      <c r="AYN4" s="62"/>
      <c r="AYO4" s="62"/>
      <c r="AYP4" s="62"/>
      <c r="AYQ4" s="62"/>
      <c r="AYR4" s="62"/>
      <c r="AYS4" s="62"/>
      <c r="AYT4" s="62"/>
      <c r="AYU4" s="62"/>
      <c r="AYV4" s="62"/>
      <c r="AYW4" s="62"/>
      <c r="AYX4" s="62"/>
      <c r="AYY4" s="62"/>
      <c r="AYZ4" s="62"/>
      <c r="AZA4" s="62"/>
      <c r="AZB4" s="62"/>
      <c r="AZC4" s="62"/>
      <c r="AZD4" s="62"/>
      <c r="AZE4" s="62"/>
      <c r="AZF4" s="62"/>
      <c r="AZG4" s="62"/>
      <c r="AZH4" s="62"/>
      <c r="AZI4" s="62"/>
      <c r="AZJ4" s="62"/>
      <c r="AZK4" s="62"/>
      <c r="AZL4" s="62"/>
      <c r="AZM4" s="62"/>
      <c r="AZN4" s="62"/>
      <c r="AZO4" s="62"/>
      <c r="AZP4" s="62"/>
      <c r="AZQ4" s="62"/>
      <c r="AZR4" s="62"/>
      <c r="AZS4" s="62"/>
      <c r="AZT4" s="62"/>
      <c r="AZU4" s="62"/>
      <c r="AZV4" s="62"/>
      <c r="AZW4" s="62"/>
      <c r="AZX4" s="62"/>
      <c r="AZY4" s="62"/>
      <c r="AZZ4" s="62"/>
      <c r="BAA4" s="62"/>
      <c r="BAB4" s="62"/>
      <c r="BAC4" s="62"/>
      <c r="BAD4" s="62"/>
      <c r="BAE4" s="62"/>
      <c r="BAF4" s="62"/>
      <c r="BAG4" s="62"/>
      <c r="BAH4" s="62"/>
      <c r="BAI4" s="62"/>
      <c r="BAJ4" s="62"/>
      <c r="BAK4" s="62"/>
      <c r="BAL4" s="62"/>
      <c r="BAM4" s="62"/>
      <c r="BAN4" s="62"/>
      <c r="BAO4" s="62"/>
      <c r="BAP4" s="62"/>
      <c r="BAQ4" s="62"/>
      <c r="BAR4" s="62"/>
      <c r="BAS4" s="62"/>
      <c r="BAT4" s="62"/>
      <c r="BAU4" s="62"/>
      <c r="BAV4" s="62"/>
      <c r="BAW4" s="62"/>
      <c r="BAX4" s="62"/>
      <c r="BAY4" s="62"/>
      <c r="BAZ4" s="62"/>
      <c r="BBA4" s="62"/>
      <c r="BBB4" s="62"/>
      <c r="BBC4" s="62"/>
      <c r="BBD4" s="62"/>
      <c r="BBE4" s="62"/>
      <c r="BBF4" s="62"/>
      <c r="BBG4" s="62"/>
      <c r="BBH4" s="62"/>
      <c r="BBI4" s="62"/>
      <c r="BBJ4" s="62"/>
      <c r="BBK4" s="62"/>
      <c r="BBL4" s="62"/>
      <c r="BBM4" s="62"/>
      <c r="BBN4" s="62"/>
      <c r="BBO4" s="62"/>
      <c r="BBP4" s="62"/>
      <c r="BBQ4" s="62"/>
      <c r="BBR4" s="62"/>
      <c r="BBS4" s="62"/>
      <c r="BBT4" s="62"/>
      <c r="BBU4" s="62"/>
      <c r="BBV4" s="62"/>
      <c r="BBW4" s="62"/>
      <c r="BBX4" s="62"/>
      <c r="BBY4" s="62"/>
      <c r="BBZ4" s="62"/>
      <c r="BCA4" s="62"/>
      <c r="BCB4" s="62"/>
      <c r="BCC4" s="62"/>
      <c r="BCD4" s="62"/>
      <c r="BCE4" s="62"/>
      <c r="BCF4" s="62"/>
      <c r="BCG4" s="62"/>
      <c r="BCH4" s="62"/>
      <c r="BCI4" s="62"/>
      <c r="BCJ4" s="62"/>
      <c r="BCK4" s="62"/>
      <c r="BCL4" s="62"/>
      <c r="BCM4" s="62"/>
      <c r="BCN4" s="62"/>
      <c r="BCO4" s="62"/>
      <c r="BCP4" s="62"/>
      <c r="BCQ4" s="62"/>
      <c r="BCR4" s="62"/>
      <c r="BCS4" s="62"/>
      <c r="BCT4" s="62"/>
      <c r="BCU4" s="62"/>
      <c r="BCV4" s="62"/>
      <c r="BCW4" s="62"/>
      <c r="BCX4" s="62"/>
      <c r="BCY4" s="62"/>
      <c r="BCZ4" s="62"/>
      <c r="BDA4" s="62"/>
      <c r="BDB4" s="62"/>
      <c r="BDC4" s="62"/>
      <c r="BDD4" s="62"/>
      <c r="BDE4" s="62"/>
      <c r="BDF4" s="62"/>
      <c r="BDG4" s="62"/>
      <c r="BDH4" s="62"/>
      <c r="BDI4" s="62"/>
      <c r="BDJ4" s="62"/>
      <c r="BDK4" s="62"/>
      <c r="BDL4" s="62"/>
      <c r="BDM4" s="62"/>
      <c r="BDN4" s="62"/>
      <c r="BDO4" s="62"/>
      <c r="BDP4" s="62"/>
      <c r="BDQ4" s="62"/>
      <c r="BDR4" s="62"/>
      <c r="BDS4" s="62"/>
      <c r="BDT4" s="62"/>
      <c r="BDU4" s="62"/>
      <c r="BDV4" s="62"/>
      <c r="BDW4" s="62"/>
      <c r="BDX4" s="62"/>
      <c r="BDY4" s="62"/>
      <c r="BDZ4" s="62"/>
      <c r="BEA4" s="62"/>
      <c r="BEB4" s="62"/>
      <c r="BEC4" s="62"/>
      <c r="BED4" s="62"/>
      <c r="BEE4" s="62"/>
      <c r="BEF4" s="62"/>
      <c r="BEG4" s="62"/>
      <c r="BEH4" s="62"/>
      <c r="BEI4" s="62"/>
      <c r="BEJ4" s="62"/>
      <c r="BEK4" s="62"/>
      <c r="BEL4" s="62"/>
      <c r="BEM4" s="62"/>
      <c r="BEN4" s="62"/>
      <c r="BEO4" s="62"/>
      <c r="BEP4" s="62"/>
      <c r="BEQ4" s="62"/>
      <c r="BER4" s="62"/>
      <c r="BES4" s="62"/>
      <c r="BET4" s="62"/>
      <c r="BEU4" s="62"/>
      <c r="BEV4" s="62"/>
      <c r="BEW4" s="62"/>
      <c r="BEX4" s="62"/>
      <c r="BEY4" s="62"/>
      <c r="BEZ4" s="62"/>
      <c r="BFA4" s="62"/>
      <c r="BFB4" s="62"/>
      <c r="BFC4" s="62"/>
      <c r="BFD4" s="62"/>
      <c r="BFE4" s="62"/>
      <c r="BFF4" s="62"/>
      <c r="BFG4" s="62"/>
      <c r="BFH4" s="62"/>
      <c r="BFI4" s="62"/>
      <c r="BFJ4" s="62"/>
      <c r="BFK4" s="62"/>
      <c r="BFL4" s="62"/>
      <c r="BFM4" s="62"/>
      <c r="BFN4" s="62"/>
      <c r="BFO4" s="62"/>
      <c r="BFP4" s="62"/>
      <c r="BFQ4" s="62"/>
      <c r="BFR4" s="62"/>
      <c r="BFS4" s="62"/>
      <c r="BFT4" s="62"/>
      <c r="BFU4" s="62"/>
      <c r="BFV4" s="62"/>
      <c r="BFW4" s="62"/>
      <c r="BFX4" s="62"/>
      <c r="BFY4" s="62"/>
      <c r="BFZ4" s="62"/>
      <c r="BGA4" s="62"/>
      <c r="BGB4" s="62"/>
      <c r="BGC4" s="62"/>
      <c r="BGD4" s="62"/>
      <c r="BGE4" s="62"/>
      <c r="BGF4" s="62"/>
      <c r="BGG4" s="62"/>
      <c r="BGH4" s="62"/>
      <c r="BGI4" s="62"/>
      <c r="BGJ4" s="62"/>
      <c r="BGK4" s="62"/>
      <c r="BGL4" s="62"/>
      <c r="BGM4" s="62"/>
      <c r="BGN4" s="62"/>
      <c r="BGO4" s="62"/>
      <c r="BGP4" s="62"/>
      <c r="BGQ4" s="62"/>
      <c r="BGR4" s="62"/>
      <c r="BGS4" s="62"/>
      <c r="BGT4" s="62"/>
      <c r="BGU4" s="62"/>
      <c r="BGV4" s="62"/>
      <c r="BGW4" s="62"/>
      <c r="BGX4" s="62"/>
      <c r="BGY4" s="62"/>
      <c r="BGZ4" s="62"/>
      <c r="BHA4" s="62"/>
      <c r="BHB4" s="62"/>
      <c r="BHC4" s="62"/>
      <c r="BHD4" s="62"/>
      <c r="BHE4" s="62"/>
      <c r="BHF4" s="62"/>
      <c r="BHG4" s="62"/>
      <c r="BHH4" s="62"/>
      <c r="BHI4" s="62"/>
      <c r="BHJ4" s="62"/>
      <c r="BHK4" s="62"/>
      <c r="BHL4" s="62"/>
      <c r="BHM4" s="62"/>
      <c r="BHN4" s="62"/>
      <c r="BHO4" s="62"/>
      <c r="BHP4" s="62"/>
      <c r="BHQ4" s="62"/>
      <c r="BHR4" s="62"/>
      <c r="BHS4" s="62"/>
      <c r="BHT4" s="62"/>
      <c r="BHU4" s="62"/>
      <c r="BHV4" s="62"/>
      <c r="BHW4" s="62"/>
      <c r="BHX4" s="62"/>
      <c r="BHY4" s="62"/>
      <c r="BHZ4" s="62"/>
      <c r="BIA4" s="62"/>
      <c r="BIB4" s="62"/>
      <c r="BIC4" s="62"/>
      <c r="BID4" s="62"/>
      <c r="BIE4" s="62"/>
      <c r="BIF4" s="62"/>
      <c r="BIG4" s="62"/>
      <c r="BIH4" s="62"/>
      <c r="BII4" s="62"/>
      <c r="BIJ4" s="62"/>
      <c r="BIK4" s="62"/>
      <c r="BIL4" s="62"/>
      <c r="BIM4" s="62"/>
      <c r="BIN4" s="62"/>
      <c r="BIO4" s="62"/>
      <c r="BIP4" s="62"/>
      <c r="BIQ4" s="62"/>
      <c r="BIR4" s="62"/>
      <c r="BIS4" s="62"/>
      <c r="BIT4" s="62"/>
      <c r="BIU4" s="62"/>
      <c r="BIV4" s="62"/>
      <c r="BIW4" s="62"/>
      <c r="BIX4" s="62"/>
      <c r="BIY4" s="62"/>
      <c r="BIZ4" s="62"/>
      <c r="BJA4" s="62"/>
      <c r="BJB4" s="62"/>
      <c r="BJC4" s="62"/>
      <c r="BJD4" s="62"/>
      <c r="BJE4" s="62"/>
      <c r="BJF4" s="62"/>
      <c r="BJG4" s="62"/>
      <c r="BJH4" s="62"/>
      <c r="BJI4" s="62"/>
      <c r="BJJ4" s="62"/>
      <c r="BJK4" s="62"/>
      <c r="BJL4" s="62"/>
      <c r="BJM4" s="62"/>
      <c r="BJN4" s="62"/>
      <c r="BJO4" s="62"/>
      <c r="BJP4" s="62"/>
      <c r="BJQ4" s="62"/>
      <c r="BJR4" s="62"/>
      <c r="BJS4" s="62"/>
      <c r="BJT4" s="62"/>
      <c r="BJU4" s="62"/>
      <c r="BJV4" s="62"/>
      <c r="BJW4" s="62"/>
      <c r="BJX4" s="62"/>
      <c r="BJY4" s="62"/>
      <c r="BJZ4" s="62"/>
      <c r="BKA4" s="62"/>
      <c r="BKB4" s="62"/>
      <c r="BKC4" s="62"/>
      <c r="BKD4" s="62"/>
      <c r="BKE4" s="62"/>
      <c r="BKF4" s="62"/>
      <c r="BKG4" s="62"/>
      <c r="BKH4" s="62"/>
      <c r="BKI4" s="62"/>
      <c r="BKJ4" s="62"/>
      <c r="BKK4" s="62"/>
      <c r="BKL4" s="62"/>
      <c r="BKM4" s="62"/>
      <c r="BKN4" s="62"/>
      <c r="BKO4" s="62"/>
      <c r="BKP4" s="62"/>
      <c r="BKQ4" s="62"/>
      <c r="BKR4" s="62"/>
      <c r="BKS4" s="62"/>
      <c r="BKT4" s="62"/>
      <c r="BKU4" s="62"/>
      <c r="BKV4" s="62"/>
      <c r="BKW4" s="62"/>
      <c r="BKX4" s="62"/>
      <c r="BKY4" s="62"/>
      <c r="BKZ4" s="62"/>
      <c r="BLA4" s="62"/>
      <c r="BLB4" s="62"/>
      <c r="BLC4" s="62"/>
      <c r="BLD4" s="62"/>
      <c r="BLE4" s="62"/>
      <c r="BLF4" s="62"/>
      <c r="BLG4" s="62"/>
      <c r="BLH4" s="62"/>
      <c r="BLI4" s="62"/>
      <c r="BLJ4" s="62"/>
      <c r="BLK4" s="62"/>
      <c r="BLL4" s="62"/>
      <c r="BLM4" s="62"/>
      <c r="BLN4" s="62"/>
      <c r="BLO4" s="62"/>
      <c r="BLP4" s="62"/>
      <c r="BLQ4" s="62"/>
      <c r="BLR4" s="62"/>
      <c r="BLS4" s="62"/>
      <c r="BLT4" s="62"/>
      <c r="BLU4" s="62"/>
      <c r="BLV4" s="62"/>
      <c r="BLW4" s="62"/>
      <c r="BLX4" s="62"/>
      <c r="BLY4" s="62"/>
      <c r="BLZ4" s="62"/>
      <c r="BMA4" s="62"/>
      <c r="BMB4" s="62"/>
      <c r="BMC4" s="62"/>
      <c r="BMD4" s="62"/>
      <c r="BME4" s="62"/>
      <c r="BMF4" s="62"/>
      <c r="BMG4" s="62"/>
      <c r="BMH4" s="62"/>
      <c r="BMI4" s="62"/>
      <c r="BMJ4" s="62"/>
      <c r="BMK4" s="62"/>
      <c r="BML4" s="62"/>
      <c r="BMM4" s="62"/>
      <c r="BMN4" s="62"/>
      <c r="BMO4" s="62"/>
      <c r="BMP4" s="62"/>
      <c r="BMQ4" s="62"/>
      <c r="BMR4" s="62"/>
      <c r="BMS4" s="62"/>
      <c r="BMT4" s="62"/>
      <c r="BMU4" s="62"/>
      <c r="BMV4" s="62"/>
      <c r="BMW4" s="62"/>
      <c r="BMX4" s="62"/>
      <c r="BMY4" s="62"/>
      <c r="BMZ4" s="62"/>
      <c r="BNA4" s="62"/>
      <c r="BNB4" s="62"/>
      <c r="BNC4" s="62"/>
      <c r="BND4" s="62"/>
      <c r="BNE4" s="62"/>
      <c r="BNF4" s="62"/>
      <c r="BNG4" s="62"/>
      <c r="BNH4" s="62"/>
      <c r="BNI4" s="62"/>
      <c r="BNJ4" s="62"/>
      <c r="BNK4" s="62"/>
      <c r="BNL4" s="62"/>
      <c r="BNM4" s="62"/>
      <c r="BNN4" s="62"/>
      <c r="BNO4" s="62"/>
      <c r="BNP4" s="62"/>
      <c r="BNQ4" s="62"/>
      <c r="BNR4" s="62"/>
      <c r="BNS4" s="62"/>
      <c r="BNT4" s="62"/>
      <c r="BNU4" s="62"/>
      <c r="BNV4" s="62"/>
      <c r="BNW4" s="62"/>
      <c r="BNX4" s="62"/>
      <c r="BNY4" s="62"/>
      <c r="BNZ4" s="62"/>
      <c r="BOA4" s="62"/>
      <c r="BOB4" s="62"/>
      <c r="BOC4" s="62"/>
      <c r="BOD4" s="62"/>
      <c r="BOE4" s="62"/>
      <c r="BOF4" s="62"/>
      <c r="BOG4" s="62"/>
      <c r="BOH4" s="62"/>
      <c r="BOI4" s="62"/>
      <c r="BOJ4" s="62"/>
      <c r="BOK4" s="62"/>
      <c r="BOL4" s="62"/>
      <c r="BOM4" s="62"/>
      <c r="BON4" s="62"/>
      <c r="BOO4" s="62"/>
      <c r="BOP4" s="62"/>
      <c r="BOQ4" s="62"/>
      <c r="BOR4" s="62"/>
      <c r="BOS4" s="62"/>
      <c r="BOT4" s="62"/>
      <c r="BOU4" s="62"/>
      <c r="BOV4" s="62"/>
      <c r="BOW4" s="62"/>
      <c r="BOX4" s="62"/>
      <c r="BOY4" s="62"/>
      <c r="BOZ4" s="62"/>
      <c r="BPA4" s="62"/>
      <c r="BPB4" s="62"/>
      <c r="BPC4" s="62"/>
      <c r="BPD4" s="62"/>
      <c r="BPE4" s="62"/>
      <c r="BPF4" s="62"/>
      <c r="BPG4" s="62"/>
      <c r="BPH4" s="62"/>
      <c r="BPI4" s="62"/>
      <c r="BPJ4" s="62"/>
      <c r="BPK4" s="62"/>
      <c r="BPL4" s="62"/>
      <c r="BPM4" s="62"/>
      <c r="BPN4" s="62"/>
      <c r="BPO4" s="62"/>
      <c r="BPP4" s="62"/>
      <c r="BPQ4" s="62"/>
      <c r="BPR4" s="62"/>
      <c r="BPS4" s="62"/>
      <c r="BPT4" s="62"/>
      <c r="BPU4" s="62"/>
      <c r="BPV4" s="62"/>
      <c r="BPW4" s="62"/>
      <c r="BPX4" s="62"/>
      <c r="BPY4" s="62"/>
      <c r="BPZ4" s="62"/>
      <c r="BQA4" s="62"/>
      <c r="BQB4" s="62"/>
      <c r="BQC4" s="62"/>
      <c r="BQD4" s="62"/>
      <c r="BQE4" s="62"/>
      <c r="BQF4" s="62"/>
      <c r="BQG4" s="62"/>
      <c r="BQH4" s="62"/>
      <c r="BQI4" s="62"/>
      <c r="BQJ4" s="62"/>
      <c r="BQK4" s="62"/>
      <c r="BQL4" s="62"/>
      <c r="BQM4" s="62"/>
      <c r="BQN4" s="62"/>
      <c r="BQO4" s="62"/>
      <c r="BQP4" s="62"/>
      <c r="BQQ4" s="62"/>
      <c r="BQR4" s="62"/>
      <c r="BQS4" s="62"/>
      <c r="BQT4" s="62"/>
      <c r="BQU4" s="62"/>
      <c r="BQV4" s="62"/>
      <c r="BQW4" s="62"/>
      <c r="BQX4" s="62"/>
      <c r="BQY4" s="62"/>
      <c r="BQZ4" s="62"/>
      <c r="BRA4" s="62"/>
      <c r="BRB4" s="62"/>
      <c r="BRC4" s="62"/>
      <c r="BRD4" s="62"/>
      <c r="BRE4" s="62"/>
      <c r="BRF4" s="62"/>
      <c r="BRG4" s="62"/>
      <c r="BRH4" s="62"/>
      <c r="BRI4" s="62"/>
      <c r="BRJ4" s="62"/>
      <c r="BRK4" s="62"/>
      <c r="BRL4" s="62"/>
      <c r="BRM4" s="62"/>
      <c r="BRN4" s="62"/>
      <c r="BRO4" s="62"/>
      <c r="BRP4" s="62"/>
      <c r="BRQ4" s="62"/>
      <c r="BRR4" s="62"/>
      <c r="BRS4" s="62"/>
      <c r="BRT4" s="62"/>
      <c r="BRU4" s="62"/>
      <c r="BRV4" s="62"/>
      <c r="BRW4" s="62"/>
      <c r="BRX4" s="62"/>
      <c r="BRY4" s="62"/>
      <c r="BRZ4" s="62"/>
      <c r="BSA4" s="62"/>
      <c r="BSB4" s="62"/>
      <c r="BSC4" s="62"/>
      <c r="BSD4" s="62"/>
      <c r="BSE4" s="62"/>
      <c r="BSF4" s="62"/>
      <c r="BSG4" s="62"/>
      <c r="BSH4" s="62"/>
      <c r="BSI4" s="62"/>
      <c r="BSJ4" s="62"/>
      <c r="BSK4" s="62"/>
      <c r="BSL4" s="62"/>
      <c r="BSM4" s="62"/>
      <c r="BSN4" s="62"/>
      <c r="BSO4" s="62"/>
      <c r="BSP4" s="62"/>
      <c r="BSQ4" s="62"/>
      <c r="BSR4" s="62"/>
      <c r="BSS4" s="62"/>
      <c r="BST4" s="62"/>
      <c r="BSU4" s="62"/>
      <c r="BSV4" s="62"/>
      <c r="BSW4" s="62"/>
      <c r="BSX4" s="62"/>
      <c r="BSY4" s="62"/>
      <c r="BSZ4" s="62"/>
      <c r="BTA4" s="62"/>
      <c r="BTB4" s="62"/>
      <c r="BTC4" s="62"/>
      <c r="BTD4" s="62"/>
      <c r="BTE4" s="62"/>
      <c r="BTF4" s="62"/>
      <c r="BTG4" s="62"/>
      <c r="BTH4" s="62"/>
      <c r="BTI4" s="62"/>
      <c r="BTJ4" s="62"/>
      <c r="BTK4" s="62"/>
      <c r="BTL4" s="62"/>
      <c r="BTM4" s="62"/>
      <c r="BTN4" s="62"/>
      <c r="BTO4" s="62"/>
      <c r="BTP4" s="62"/>
      <c r="BTQ4" s="62"/>
      <c r="BTR4" s="62"/>
      <c r="BTS4" s="62"/>
      <c r="BTT4" s="62"/>
      <c r="BTU4" s="62"/>
      <c r="BTV4" s="62"/>
      <c r="BTW4" s="62"/>
      <c r="BTX4" s="62"/>
      <c r="BTY4" s="62"/>
      <c r="BTZ4" s="62"/>
      <c r="BUA4" s="62"/>
      <c r="BUB4" s="62"/>
      <c r="BUC4" s="62"/>
      <c r="BUD4" s="62"/>
      <c r="BUE4" s="62"/>
      <c r="BUF4" s="62"/>
      <c r="BUG4" s="62"/>
      <c r="BUH4" s="62"/>
      <c r="BUI4" s="62"/>
      <c r="BUJ4" s="62"/>
      <c r="BUK4" s="62"/>
      <c r="BUL4" s="62"/>
      <c r="BUM4" s="62"/>
      <c r="BUN4" s="62"/>
      <c r="BUO4" s="62"/>
      <c r="BUP4" s="62"/>
      <c r="BUQ4" s="62"/>
      <c r="BUR4" s="62"/>
      <c r="BUS4" s="62"/>
      <c r="BUT4" s="62"/>
      <c r="BUU4" s="62"/>
      <c r="BUV4" s="62"/>
      <c r="BUW4" s="62"/>
      <c r="BUX4" s="62"/>
      <c r="BUY4" s="62"/>
      <c r="BUZ4" s="62"/>
      <c r="BVA4" s="62"/>
      <c r="BVB4" s="62"/>
      <c r="BVC4" s="62"/>
      <c r="BVD4" s="62"/>
      <c r="BVE4" s="62"/>
      <c r="BVF4" s="62"/>
      <c r="BVG4" s="62"/>
      <c r="BVH4" s="62"/>
      <c r="BVI4" s="62"/>
      <c r="BVJ4" s="62"/>
      <c r="BVK4" s="62"/>
      <c r="BVL4" s="62"/>
      <c r="BVM4" s="62"/>
      <c r="BVN4" s="62"/>
      <c r="BVO4" s="62"/>
      <c r="BVP4" s="62"/>
      <c r="BVQ4" s="62"/>
      <c r="BVR4" s="62"/>
      <c r="BVS4" s="62"/>
      <c r="BVT4" s="62"/>
      <c r="BVU4" s="62"/>
      <c r="BVV4" s="62"/>
      <c r="BVW4" s="62"/>
      <c r="BVX4" s="62"/>
      <c r="BVY4" s="62"/>
      <c r="BVZ4" s="62"/>
      <c r="BWA4" s="62"/>
      <c r="BWB4" s="62"/>
      <c r="BWC4" s="62"/>
      <c r="BWD4" s="62"/>
      <c r="BWE4" s="62"/>
      <c r="BWF4" s="62"/>
      <c r="BWG4" s="62"/>
      <c r="BWH4" s="62"/>
      <c r="BWI4" s="62"/>
      <c r="BWJ4" s="62"/>
      <c r="BWK4" s="62"/>
      <c r="BWL4" s="62"/>
      <c r="BWM4" s="62"/>
      <c r="BWN4" s="62"/>
      <c r="BWO4" s="62"/>
      <c r="BWP4" s="62"/>
      <c r="BWQ4" s="62"/>
      <c r="BWR4" s="62"/>
      <c r="BWS4" s="62"/>
      <c r="BWT4" s="62"/>
      <c r="BWU4" s="62"/>
      <c r="BWV4" s="62"/>
      <c r="BWW4" s="62"/>
      <c r="BWX4" s="62"/>
      <c r="BWY4" s="62"/>
      <c r="BWZ4" s="62"/>
      <c r="BXA4" s="62"/>
      <c r="BXB4" s="62"/>
      <c r="BXC4" s="62"/>
      <c r="BXD4" s="62"/>
      <c r="BXE4" s="62"/>
      <c r="BXF4" s="62"/>
      <c r="BXG4" s="62"/>
      <c r="BXH4" s="62"/>
      <c r="BXI4" s="62"/>
      <c r="BXJ4" s="62"/>
      <c r="BXK4" s="62"/>
      <c r="BXL4" s="62"/>
      <c r="BXM4" s="62"/>
      <c r="BXN4" s="62"/>
      <c r="BXO4" s="62"/>
      <c r="BXP4" s="62"/>
      <c r="BXQ4" s="62"/>
      <c r="BXR4" s="62"/>
      <c r="BXS4" s="62"/>
      <c r="BXT4" s="62"/>
      <c r="BXU4" s="62"/>
      <c r="BXV4" s="62"/>
      <c r="BXW4" s="62"/>
      <c r="BXX4" s="62"/>
      <c r="BXY4" s="62"/>
      <c r="BXZ4" s="62"/>
      <c r="BYA4" s="62"/>
      <c r="BYB4" s="62"/>
      <c r="BYC4" s="62"/>
      <c r="BYD4" s="62"/>
      <c r="BYE4" s="62"/>
      <c r="BYF4" s="62"/>
      <c r="BYG4" s="62"/>
      <c r="BYH4" s="62"/>
      <c r="BYI4" s="62"/>
      <c r="BYJ4" s="62"/>
      <c r="BYK4" s="62"/>
      <c r="BYL4" s="62"/>
      <c r="BYM4" s="62"/>
      <c r="BYN4" s="62"/>
      <c r="BYO4" s="62"/>
      <c r="BYP4" s="62"/>
      <c r="BYQ4" s="62"/>
      <c r="BYR4" s="62"/>
      <c r="BYS4" s="62"/>
      <c r="BYT4" s="62"/>
      <c r="BYU4" s="62"/>
      <c r="BYV4" s="62"/>
      <c r="BYW4" s="62"/>
      <c r="BYX4" s="62"/>
      <c r="BYY4" s="62"/>
      <c r="BYZ4" s="62"/>
      <c r="BZA4" s="62"/>
      <c r="BZB4" s="62"/>
      <c r="BZC4" s="62"/>
      <c r="BZD4" s="62"/>
      <c r="BZE4" s="62"/>
      <c r="BZF4" s="62"/>
      <c r="BZG4" s="62"/>
      <c r="BZH4" s="62"/>
      <c r="BZI4" s="62"/>
      <c r="BZJ4" s="62"/>
      <c r="BZK4" s="62"/>
      <c r="BZL4" s="62"/>
      <c r="BZM4" s="62"/>
      <c r="BZN4" s="62"/>
      <c r="BZO4" s="62"/>
      <c r="BZP4" s="62"/>
      <c r="BZQ4" s="62"/>
      <c r="BZR4" s="62"/>
      <c r="BZS4" s="62"/>
      <c r="BZT4" s="62"/>
      <c r="BZU4" s="62"/>
      <c r="BZV4" s="62"/>
      <c r="BZW4" s="62"/>
      <c r="BZX4" s="62"/>
      <c r="BZY4" s="62"/>
      <c r="BZZ4" s="62"/>
      <c r="CAA4" s="62"/>
      <c r="CAB4" s="62"/>
      <c r="CAC4" s="62"/>
      <c r="CAD4" s="62"/>
      <c r="CAE4" s="62"/>
      <c r="CAF4" s="62"/>
      <c r="CAG4" s="62"/>
      <c r="CAH4" s="62"/>
      <c r="CAI4" s="62"/>
      <c r="CAJ4" s="62"/>
      <c r="CAK4" s="62"/>
      <c r="CAL4" s="62"/>
      <c r="CAM4" s="62"/>
      <c r="CAN4" s="62"/>
      <c r="CAO4" s="62"/>
      <c r="CAP4" s="62"/>
      <c r="CAQ4" s="62"/>
      <c r="CAR4" s="62"/>
      <c r="CAS4" s="62"/>
      <c r="CAT4" s="62"/>
      <c r="CAU4" s="62"/>
      <c r="CAV4" s="62"/>
      <c r="CAW4" s="62"/>
      <c r="CAX4" s="62"/>
      <c r="CAY4" s="62"/>
      <c r="CAZ4" s="62"/>
      <c r="CBA4" s="62"/>
      <c r="CBB4" s="62"/>
      <c r="CBC4" s="62"/>
      <c r="CBD4" s="62"/>
      <c r="CBE4" s="62"/>
      <c r="CBF4" s="62"/>
      <c r="CBG4" s="62"/>
      <c r="CBH4" s="62"/>
      <c r="CBI4" s="62"/>
      <c r="CBJ4" s="62"/>
      <c r="CBK4" s="62"/>
      <c r="CBL4" s="62"/>
      <c r="CBM4" s="62"/>
      <c r="CBN4" s="62"/>
      <c r="CBO4" s="62"/>
      <c r="CBP4" s="62"/>
      <c r="CBQ4" s="62"/>
      <c r="CBR4" s="62"/>
      <c r="CBS4" s="62"/>
      <c r="CBT4" s="62"/>
      <c r="CBU4" s="62"/>
      <c r="CBV4" s="62"/>
      <c r="CBW4" s="62"/>
      <c r="CBX4" s="62"/>
      <c r="CBY4" s="62"/>
      <c r="CBZ4" s="62"/>
      <c r="CCA4" s="62"/>
      <c r="CCB4" s="62"/>
      <c r="CCC4" s="62"/>
      <c r="CCD4" s="62"/>
      <c r="CCE4" s="62"/>
      <c r="CCF4" s="62"/>
      <c r="CCG4" s="62"/>
      <c r="CCH4" s="62"/>
      <c r="CCI4" s="62"/>
      <c r="CCJ4" s="62"/>
      <c r="CCK4" s="62"/>
      <c r="CCL4" s="62"/>
      <c r="CCM4" s="62"/>
      <c r="CCN4" s="62"/>
      <c r="CCO4" s="62"/>
      <c r="CCP4" s="62"/>
      <c r="CCQ4" s="62"/>
      <c r="CCR4" s="62"/>
      <c r="CCS4" s="62"/>
      <c r="CCT4" s="62"/>
      <c r="CCU4" s="62"/>
      <c r="CCV4" s="62"/>
      <c r="CCW4" s="62"/>
      <c r="CCX4" s="62"/>
      <c r="CCY4" s="62"/>
      <c r="CCZ4" s="62"/>
      <c r="CDA4" s="62"/>
      <c r="CDB4" s="62"/>
      <c r="CDC4" s="62"/>
      <c r="CDD4" s="62"/>
      <c r="CDE4" s="62"/>
      <c r="CDF4" s="62"/>
      <c r="CDG4" s="62"/>
      <c r="CDH4" s="62"/>
      <c r="CDI4" s="62"/>
      <c r="CDJ4" s="62"/>
      <c r="CDK4" s="62"/>
      <c r="CDL4" s="62"/>
      <c r="CDM4" s="62"/>
      <c r="CDN4" s="62"/>
      <c r="CDO4" s="62"/>
      <c r="CDP4" s="62"/>
      <c r="CDQ4" s="62"/>
      <c r="CDR4" s="62"/>
      <c r="CDS4" s="62"/>
      <c r="CDT4" s="62"/>
      <c r="CDU4" s="62"/>
      <c r="CDV4" s="62"/>
      <c r="CDW4" s="62"/>
      <c r="CDX4" s="62"/>
      <c r="CDY4" s="62"/>
      <c r="CDZ4" s="62"/>
      <c r="CEA4" s="62"/>
      <c r="CEB4" s="62"/>
      <c r="CEC4" s="62"/>
      <c r="CED4" s="62"/>
      <c r="CEE4" s="62"/>
      <c r="CEF4" s="62"/>
      <c r="CEG4" s="62"/>
      <c r="CEH4" s="62"/>
      <c r="CEI4" s="62"/>
      <c r="CEJ4" s="62"/>
      <c r="CEK4" s="62"/>
      <c r="CEL4" s="62"/>
      <c r="CEM4" s="62"/>
      <c r="CEN4" s="62"/>
      <c r="CEO4" s="62"/>
      <c r="CEP4" s="62"/>
      <c r="CEQ4" s="62"/>
      <c r="CER4" s="62"/>
      <c r="CES4" s="62"/>
      <c r="CET4" s="62"/>
      <c r="CEU4" s="62"/>
      <c r="CEV4" s="62"/>
      <c r="CEW4" s="62"/>
      <c r="CEX4" s="62"/>
      <c r="CEY4" s="62"/>
      <c r="CEZ4" s="62"/>
      <c r="CFA4" s="62"/>
      <c r="CFB4" s="62"/>
      <c r="CFC4" s="62"/>
      <c r="CFD4" s="62"/>
      <c r="CFE4" s="62"/>
      <c r="CFF4" s="62"/>
      <c r="CFG4" s="62"/>
      <c r="CFH4" s="62"/>
      <c r="CFI4" s="62"/>
      <c r="CFJ4" s="62"/>
      <c r="CFK4" s="62"/>
      <c r="CFL4" s="62"/>
      <c r="CFM4" s="62"/>
      <c r="CFN4" s="62"/>
      <c r="CFO4" s="62"/>
      <c r="CFP4" s="62"/>
      <c r="CFQ4" s="62"/>
      <c r="CFR4" s="62"/>
      <c r="CFS4" s="62"/>
      <c r="CFT4" s="62"/>
      <c r="CFU4" s="62"/>
      <c r="CFV4" s="62"/>
      <c r="CFW4" s="62"/>
      <c r="CFX4" s="62"/>
      <c r="CFY4" s="62"/>
      <c r="CFZ4" s="62"/>
      <c r="CGA4" s="62"/>
      <c r="CGB4" s="62"/>
      <c r="CGC4" s="62"/>
      <c r="CGD4" s="62"/>
      <c r="CGE4" s="62"/>
      <c r="CGF4" s="62"/>
      <c r="CGG4" s="62"/>
      <c r="CGH4" s="62"/>
      <c r="CGI4" s="62"/>
      <c r="CGJ4" s="62"/>
      <c r="CGK4" s="62"/>
      <c r="CGL4" s="62"/>
      <c r="CGM4" s="62"/>
      <c r="CGN4" s="62"/>
      <c r="CGO4" s="62"/>
      <c r="CGP4" s="62"/>
      <c r="CGQ4" s="62"/>
      <c r="CGR4" s="62"/>
      <c r="CGS4" s="62"/>
      <c r="CGT4" s="62"/>
      <c r="CGU4" s="62"/>
      <c r="CGV4" s="62"/>
      <c r="CGW4" s="62"/>
      <c r="CGX4" s="62"/>
      <c r="CGY4" s="62"/>
      <c r="CGZ4" s="62"/>
      <c r="CHA4" s="62"/>
      <c r="CHB4" s="62"/>
      <c r="CHC4" s="62"/>
      <c r="CHD4" s="62"/>
      <c r="CHE4" s="62"/>
      <c r="CHF4" s="62"/>
      <c r="CHG4" s="62"/>
      <c r="CHH4" s="62"/>
      <c r="CHI4" s="62"/>
      <c r="CHJ4" s="62"/>
      <c r="CHK4" s="62"/>
      <c r="CHL4" s="62"/>
      <c r="CHM4" s="62"/>
      <c r="CHN4" s="62"/>
      <c r="CHO4" s="62"/>
      <c r="CHP4" s="62"/>
      <c r="CHQ4" s="62"/>
      <c r="CHR4" s="62"/>
      <c r="CHS4" s="62"/>
      <c r="CHT4" s="62"/>
      <c r="CHU4" s="62"/>
      <c r="CHV4" s="62"/>
      <c r="CHW4" s="62"/>
      <c r="CHX4" s="62"/>
      <c r="CHY4" s="62"/>
      <c r="CHZ4" s="62"/>
      <c r="CIA4" s="62"/>
      <c r="CIB4" s="62"/>
      <c r="CIC4" s="62"/>
      <c r="CID4" s="62"/>
      <c r="CIE4" s="62"/>
      <c r="CIF4" s="62"/>
      <c r="CIG4" s="62"/>
      <c r="CIH4" s="62"/>
      <c r="CII4" s="62"/>
      <c r="CIJ4" s="62"/>
      <c r="CIK4" s="62"/>
      <c r="CIL4" s="62"/>
      <c r="CIM4" s="62"/>
      <c r="CIN4" s="62"/>
      <c r="CIO4" s="62"/>
      <c r="CIP4" s="62"/>
      <c r="CIQ4" s="62"/>
      <c r="CIR4" s="62"/>
      <c r="CIS4" s="62"/>
      <c r="CIT4" s="62"/>
      <c r="CIU4" s="62"/>
      <c r="CIV4" s="62"/>
      <c r="CIW4" s="62"/>
      <c r="CIX4" s="62"/>
      <c r="CIY4" s="62"/>
      <c r="CIZ4" s="62"/>
      <c r="CJA4" s="62"/>
      <c r="CJB4" s="62"/>
      <c r="CJC4" s="62"/>
      <c r="CJD4" s="62"/>
      <c r="CJE4" s="62"/>
      <c r="CJF4" s="62"/>
      <c r="CJG4" s="62"/>
      <c r="CJH4" s="62"/>
      <c r="CJI4" s="62"/>
      <c r="CJJ4" s="62"/>
      <c r="CJK4" s="62"/>
      <c r="CJL4" s="62"/>
      <c r="CJM4" s="62"/>
      <c r="CJN4" s="62"/>
      <c r="CJO4" s="62"/>
      <c r="CJP4" s="62"/>
      <c r="CJQ4" s="62"/>
      <c r="CJR4" s="62"/>
      <c r="CJS4" s="62"/>
      <c r="CJT4" s="62"/>
      <c r="CJU4" s="62"/>
      <c r="CJV4" s="62"/>
      <c r="CJW4" s="62"/>
      <c r="CJX4" s="62"/>
      <c r="CJY4" s="62"/>
      <c r="CJZ4" s="62"/>
      <c r="CKA4" s="62"/>
      <c r="CKB4" s="62"/>
      <c r="CKC4" s="62"/>
      <c r="CKD4" s="62"/>
      <c r="CKE4" s="62"/>
      <c r="CKF4" s="62"/>
      <c r="CKG4" s="62"/>
      <c r="CKH4" s="62"/>
      <c r="CKI4" s="62"/>
      <c r="CKJ4" s="62"/>
      <c r="CKK4" s="62"/>
      <c r="CKL4" s="62"/>
      <c r="CKM4" s="62"/>
      <c r="CKN4" s="62"/>
      <c r="CKO4" s="62"/>
      <c r="CKP4" s="62"/>
      <c r="CKQ4" s="62"/>
      <c r="CKR4" s="62"/>
      <c r="CKS4" s="62"/>
      <c r="CKT4" s="62"/>
      <c r="CKU4" s="62"/>
      <c r="CKV4" s="62"/>
      <c r="CKW4" s="62"/>
      <c r="CKX4" s="62"/>
      <c r="CKY4" s="62"/>
      <c r="CKZ4" s="62"/>
      <c r="CLA4" s="62"/>
      <c r="CLB4" s="62"/>
      <c r="CLC4" s="62"/>
      <c r="CLD4" s="62"/>
      <c r="CLE4" s="62"/>
      <c r="CLF4" s="62"/>
      <c r="CLG4" s="62"/>
      <c r="CLH4" s="62"/>
      <c r="CLI4" s="62"/>
      <c r="CLJ4" s="62"/>
      <c r="CLK4" s="62"/>
      <c r="CLL4" s="62"/>
      <c r="CLM4" s="62"/>
      <c r="CLN4" s="62"/>
      <c r="CLO4" s="62"/>
      <c r="CLP4" s="62"/>
      <c r="CLQ4" s="62"/>
      <c r="CLR4" s="62"/>
      <c r="CLS4" s="62"/>
      <c r="CLT4" s="62"/>
      <c r="CLU4" s="62"/>
      <c r="CLV4" s="62"/>
      <c r="CLW4" s="62"/>
      <c r="CLX4" s="62"/>
      <c r="CLY4" s="62"/>
      <c r="CLZ4" s="62"/>
      <c r="CMA4" s="62"/>
      <c r="CMB4" s="62"/>
      <c r="CMC4" s="62"/>
      <c r="CMD4" s="62"/>
      <c r="CME4" s="62"/>
      <c r="CMF4" s="62"/>
      <c r="CMG4" s="62"/>
      <c r="CMH4" s="62"/>
      <c r="CMI4" s="62"/>
      <c r="CMJ4" s="62"/>
      <c r="CMK4" s="62"/>
      <c r="CML4" s="62"/>
      <c r="CMM4" s="62"/>
      <c r="CMN4" s="62"/>
      <c r="CMO4" s="62"/>
      <c r="CMP4" s="62"/>
      <c r="CMQ4" s="62"/>
      <c r="CMR4" s="62"/>
      <c r="CMS4" s="62"/>
      <c r="CMT4" s="62"/>
      <c r="CMU4" s="62"/>
      <c r="CMV4" s="62"/>
      <c r="CMW4" s="62"/>
      <c r="CMX4" s="62"/>
      <c r="CMY4" s="62"/>
      <c r="CMZ4" s="62"/>
      <c r="CNA4" s="62"/>
      <c r="CNB4" s="62"/>
      <c r="CNC4" s="62"/>
      <c r="CND4" s="62"/>
      <c r="CNE4" s="62"/>
      <c r="CNF4" s="62"/>
      <c r="CNG4" s="62"/>
      <c r="CNH4" s="62"/>
      <c r="CNI4" s="62"/>
      <c r="CNJ4" s="62"/>
      <c r="CNK4" s="62"/>
      <c r="CNL4" s="62"/>
      <c r="CNM4" s="62"/>
      <c r="CNN4" s="62"/>
      <c r="CNO4" s="62"/>
      <c r="CNP4" s="62"/>
      <c r="CNQ4" s="62"/>
      <c r="CNR4" s="62"/>
      <c r="CNS4" s="62"/>
      <c r="CNT4" s="62"/>
      <c r="CNU4" s="62"/>
      <c r="CNV4" s="62"/>
      <c r="CNW4" s="62"/>
      <c r="CNX4" s="62"/>
      <c r="CNY4" s="62"/>
      <c r="CNZ4" s="62"/>
      <c r="COA4" s="62"/>
      <c r="COB4" s="62"/>
      <c r="COC4" s="62"/>
      <c r="COD4" s="62"/>
      <c r="COE4" s="62"/>
      <c r="COF4" s="62"/>
      <c r="COG4" s="62"/>
      <c r="COH4" s="62"/>
      <c r="COI4" s="62"/>
      <c r="COJ4" s="62"/>
      <c r="COK4" s="62"/>
      <c r="COL4" s="62"/>
      <c r="COM4" s="62"/>
      <c r="CON4" s="62"/>
      <c r="COO4" s="62"/>
      <c r="COP4" s="62"/>
      <c r="COQ4" s="62"/>
      <c r="COR4" s="62"/>
      <c r="COS4" s="62"/>
      <c r="COT4" s="62"/>
      <c r="COU4" s="62"/>
      <c r="COV4" s="62"/>
      <c r="COW4" s="62"/>
      <c r="COX4" s="62"/>
      <c r="COY4" s="62"/>
      <c r="COZ4" s="62"/>
      <c r="CPA4" s="62"/>
      <c r="CPB4" s="62"/>
      <c r="CPC4" s="62"/>
      <c r="CPD4" s="62"/>
      <c r="CPE4" s="62"/>
      <c r="CPF4" s="62"/>
      <c r="CPG4" s="62"/>
      <c r="CPH4" s="62"/>
      <c r="CPI4" s="62"/>
      <c r="CPJ4" s="62"/>
      <c r="CPK4" s="62"/>
      <c r="CPL4" s="62"/>
      <c r="CPM4" s="62"/>
      <c r="CPN4" s="62"/>
      <c r="CPO4" s="62"/>
      <c r="CPP4" s="62"/>
      <c r="CPQ4" s="62"/>
      <c r="CPR4" s="62"/>
      <c r="CPS4" s="62"/>
      <c r="CPT4" s="62"/>
      <c r="CPU4" s="62"/>
      <c r="CPV4" s="62"/>
      <c r="CPW4" s="62"/>
      <c r="CPX4" s="62"/>
      <c r="CPY4" s="62"/>
      <c r="CPZ4" s="62"/>
      <c r="CQA4" s="62"/>
      <c r="CQB4" s="62"/>
      <c r="CQC4" s="62"/>
      <c r="CQD4" s="62"/>
      <c r="CQE4" s="62"/>
      <c r="CQF4" s="62"/>
      <c r="CQG4" s="62"/>
      <c r="CQH4" s="62"/>
      <c r="CQI4" s="62"/>
      <c r="CQJ4" s="62"/>
      <c r="CQK4" s="62"/>
      <c r="CQL4" s="62"/>
      <c r="CQM4" s="62"/>
      <c r="CQN4" s="62"/>
      <c r="CQO4" s="62"/>
      <c r="CQP4" s="62"/>
      <c r="CQQ4" s="62"/>
      <c r="CQR4" s="62"/>
      <c r="CQS4" s="62"/>
      <c r="CQT4" s="62"/>
      <c r="CQU4" s="62"/>
      <c r="CQV4" s="62"/>
      <c r="CQW4" s="62"/>
      <c r="CQX4" s="62"/>
      <c r="CQY4" s="62"/>
      <c r="CQZ4" s="62"/>
      <c r="CRA4" s="62"/>
      <c r="CRB4" s="62"/>
      <c r="CRC4" s="62"/>
      <c r="CRD4" s="62"/>
      <c r="CRE4" s="62"/>
      <c r="CRF4" s="62"/>
      <c r="CRG4" s="62"/>
      <c r="CRH4" s="62"/>
      <c r="CRI4" s="62"/>
      <c r="CRJ4" s="62"/>
      <c r="CRK4" s="62"/>
      <c r="CRL4" s="62"/>
      <c r="CRM4" s="62"/>
      <c r="CRN4" s="62"/>
      <c r="CRO4" s="62"/>
      <c r="CRP4" s="62"/>
      <c r="CRQ4" s="62"/>
      <c r="CRR4" s="62"/>
      <c r="CRS4" s="62"/>
      <c r="CRT4" s="62"/>
      <c r="CRU4" s="62"/>
      <c r="CRV4" s="62"/>
      <c r="CRW4" s="62"/>
      <c r="CRX4" s="62"/>
      <c r="CRY4" s="62"/>
      <c r="CRZ4" s="62"/>
      <c r="CSA4" s="62"/>
      <c r="CSB4" s="62"/>
      <c r="CSC4" s="62"/>
      <c r="CSD4" s="62"/>
      <c r="CSE4" s="62"/>
      <c r="CSF4" s="62"/>
      <c r="CSG4" s="62"/>
      <c r="CSH4" s="62"/>
      <c r="CSI4" s="62"/>
      <c r="CSJ4" s="62"/>
      <c r="CSK4" s="62"/>
      <c r="CSL4" s="62"/>
      <c r="CSM4" s="62"/>
      <c r="CSN4" s="62"/>
      <c r="CSO4" s="62"/>
      <c r="CSP4" s="62"/>
      <c r="CSQ4" s="62"/>
      <c r="CSR4" s="62"/>
      <c r="CSS4" s="62"/>
      <c r="CST4" s="62"/>
      <c r="CSU4" s="62"/>
      <c r="CSV4" s="62"/>
      <c r="CSW4" s="62"/>
      <c r="CSX4" s="62"/>
      <c r="CSY4" s="62"/>
      <c r="CSZ4" s="62"/>
      <c r="CTA4" s="62"/>
      <c r="CTB4" s="62"/>
      <c r="CTC4" s="62"/>
      <c r="CTD4" s="62"/>
      <c r="CTE4" s="62"/>
      <c r="CTF4" s="62"/>
      <c r="CTG4" s="62"/>
      <c r="CTH4" s="62"/>
      <c r="CTI4" s="62"/>
      <c r="CTJ4" s="62"/>
      <c r="CTK4" s="62"/>
      <c r="CTL4" s="62"/>
      <c r="CTM4" s="62"/>
      <c r="CTN4" s="62"/>
      <c r="CTO4" s="62"/>
      <c r="CTP4" s="62"/>
      <c r="CTQ4" s="62"/>
      <c r="CTR4" s="62"/>
      <c r="CTS4" s="62"/>
      <c r="CTT4" s="62"/>
      <c r="CTU4" s="62"/>
      <c r="CTV4" s="62"/>
      <c r="CTW4" s="62"/>
      <c r="CTX4" s="62"/>
      <c r="CTY4" s="62"/>
      <c r="CTZ4" s="62"/>
      <c r="CUA4" s="62"/>
      <c r="CUB4" s="62"/>
      <c r="CUC4" s="62"/>
      <c r="CUD4" s="62"/>
      <c r="CUE4" s="62"/>
      <c r="CUF4" s="62"/>
      <c r="CUG4" s="62"/>
      <c r="CUH4" s="62"/>
      <c r="CUI4" s="62"/>
      <c r="CUJ4" s="62"/>
      <c r="CUK4" s="62"/>
      <c r="CUL4" s="62"/>
      <c r="CUM4" s="62"/>
      <c r="CUN4" s="62"/>
      <c r="CUO4" s="62"/>
      <c r="CUP4" s="62"/>
      <c r="CUQ4" s="62"/>
      <c r="CUR4" s="62"/>
      <c r="CUS4" s="62"/>
      <c r="CUT4" s="62"/>
      <c r="CUU4" s="62"/>
      <c r="CUV4" s="62"/>
      <c r="CUW4" s="62"/>
      <c r="CUX4" s="62"/>
      <c r="CUY4" s="62"/>
      <c r="CUZ4" s="62"/>
      <c r="CVA4" s="62"/>
      <c r="CVB4" s="62"/>
      <c r="CVC4" s="62"/>
      <c r="CVD4" s="62"/>
      <c r="CVE4" s="62"/>
      <c r="CVF4" s="62"/>
      <c r="CVG4" s="62"/>
      <c r="CVH4" s="62"/>
      <c r="CVI4" s="62"/>
      <c r="CVJ4" s="62"/>
      <c r="CVK4" s="62"/>
      <c r="CVL4" s="62"/>
      <c r="CVM4" s="62"/>
      <c r="CVN4" s="62"/>
      <c r="CVO4" s="62"/>
      <c r="CVP4" s="62"/>
      <c r="CVQ4" s="62"/>
      <c r="CVR4" s="62"/>
      <c r="CVS4" s="62"/>
      <c r="CVT4" s="62"/>
      <c r="CVU4" s="62"/>
      <c r="CVV4" s="62"/>
      <c r="CVW4" s="62"/>
      <c r="CVX4" s="62"/>
      <c r="CVY4" s="62"/>
      <c r="CVZ4" s="62"/>
      <c r="CWA4" s="62"/>
      <c r="CWB4" s="62"/>
      <c r="CWC4" s="62"/>
      <c r="CWD4" s="62"/>
      <c r="CWE4" s="62"/>
      <c r="CWF4" s="62"/>
      <c r="CWG4" s="62"/>
      <c r="CWH4" s="62"/>
      <c r="CWI4" s="62"/>
      <c r="CWJ4" s="62"/>
      <c r="CWK4" s="62"/>
      <c r="CWL4" s="62"/>
      <c r="CWM4" s="62"/>
      <c r="CWN4" s="62"/>
      <c r="CWO4" s="62"/>
      <c r="CWP4" s="62"/>
      <c r="CWQ4" s="62"/>
      <c r="CWR4" s="62"/>
      <c r="CWS4" s="62"/>
      <c r="CWT4" s="62"/>
      <c r="CWU4" s="62"/>
      <c r="CWV4" s="62"/>
      <c r="CWW4" s="62"/>
      <c r="CWX4" s="62"/>
      <c r="CWY4" s="62"/>
      <c r="CWZ4" s="62"/>
      <c r="CXA4" s="62"/>
      <c r="CXB4" s="62"/>
      <c r="CXC4" s="62"/>
      <c r="CXD4" s="62"/>
      <c r="CXE4" s="62"/>
      <c r="CXF4" s="62"/>
      <c r="CXG4" s="62"/>
      <c r="CXH4" s="62"/>
      <c r="CXI4" s="62"/>
      <c r="CXJ4" s="62"/>
      <c r="CXK4" s="62"/>
      <c r="CXL4" s="62"/>
      <c r="CXM4" s="62"/>
      <c r="CXN4" s="62"/>
      <c r="CXO4" s="62"/>
      <c r="CXP4" s="62"/>
      <c r="CXQ4" s="62"/>
      <c r="CXR4" s="62"/>
      <c r="CXS4" s="62"/>
      <c r="CXT4" s="62"/>
      <c r="CXU4" s="62"/>
      <c r="CXV4" s="62"/>
      <c r="CXW4" s="62"/>
      <c r="CXX4" s="62"/>
      <c r="CXY4" s="62"/>
      <c r="CXZ4" s="62"/>
      <c r="CYA4" s="62"/>
      <c r="CYB4" s="62"/>
      <c r="CYC4" s="62"/>
      <c r="CYD4" s="62"/>
      <c r="CYE4" s="62"/>
      <c r="CYF4" s="62"/>
      <c r="CYG4" s="62"/>
      <c r="CYH4" s="62"/>
      <c r="CYI4" s="62"/>
      <c r="CYJ4" s="62"/>
      <c r="CYK4" s="62"/>
      <c r="CYL4" s="62"/>
      <c r="CYM4" s="62"/>
      <c r="CYN4" s="62"/>
      <c r="CYO4" s="62"/>
      <c r="CYP4" s="62"/>
      <c r="CYQ4" s="62"/>
      <c r="CYR4" s="62"/>
      <c r="CYS4" s="62"/>
      <c r="CYT4" s="62"/>
      <c r="CYU4" s="62"/>
      <c r="CYV4" s="62"/>
      <c r="CYW4" s="62"/>
      <c r="CYX4" s="62"/>
      <c r="CYY4" s="62"/>
      <c r="CYZ4" s="62"/>
      <c r="CZA4" s="62"/>
      <c r="CZB4" s="62"/>
      <c r="CZC4" s="62"/>
      <c r="CZD4" s="62"/>
      <c r="CZE4" s="62"/>
      <c r="CZF4" s="62"/>
      <c r="CZG4" s="62"/>
      <c r="CZH4" s="62"/>
      <c r="CZI4" s="62"/>
      <c r="CZJ4" s="62"/>
      <c r="CZK4" s="62"/>
      <c r="CZL4" s="62"/>
      <c r="CZM4" s="62"/>
      <c r="CZN4" s="62"/>
      <c r="CZO4" s="62"/>
      <c r="CZP4" s="62"/>
      <c r="CZQ4" s="62"/>
      <c r="CZR4" s="62"/>
      <c r="CZS4" s="62"/>
      <c r="CZT4" s="62"/>
      <c r="CZU4" s="62"/>
      <c r="CZV4" s="62"/>
      <c r="CZW4" s="62"/>
      <c r="CZX4" s="62"/>
      <c r="CZY4" s="62"/>
      <c r="CZZ4" s="62"/>
      <c r="DAA4" s="62"/>
      <c r="DAB4" s="62"/>
      <c r="DAC4" s="62"/>
      <c r="DAD4" s="62"/>
      <c r="DAE4" s="62"/>
      <c r="DAF4" s="62"/>
      <c r="DAG4" s="62"/>
      <c r="DAH4" s="62"/>
      <c r="DAI4" s="62"/>
      <c r="DAJ4" s="62"/>
      <c r="DAK4" s="62"/>
      <c r="DAL4" s="62"/>
      <c r="DAM4" s="62"/>
      <c r="DAN4" s="62"/>
      <c r="DAO4" s="62"/>
      <c r="DAP4" s="62"/>
      <c r="DAQ4" s="62"/>
      <c r="DAR4" s="62"/>
      <c r="DAS4" s="62"/>
      <c r="DAT4" s="62"/>
      <c r="DAU4" s="62"/>
      <c r="DAV4" s="62"/>
      <c r="DAW4" s="62"/>
      <c r="DAX4" s="62"/>
      <c r="DAY4" s="62"/>
      <c r="DAZ4" s="62"/>
      <c r="DBA4" s="62"/>
      <c r="DBB4" s="62"/>
      <c r="DBC4" s="62"/>
      <c r="DBD4" s="62"/>
      <c r="DBE4" s="62"/>
      <c r="DBF4" s="62"/>
      <c r="DBG4" s="62"/>
      <c r="DBH4" s="62"/>
      <c r="DBI4" s="62"/>
      <c r="DBJ4" s="62"/>
      <c r="DBK4" s="62"/>
      <c r="DBL4" s="62"/>
      <c r="DBM4" s="62"/>
      <c r="DBN4" s="62"/>
      <c r="DBO4" s="62"/>
      <c r="DBP4" s="62"/>
      <c r="DBQ4" s="62"/>
      <c r="DBR4" s="62"/>
      <c r="DBS4" s="62"/>
      <c r="DBT4" s="62"/>
      <c r="DBU4" s="62"/>
      <c r="DBV4" s="62"/>
      <c r="DBW4" s="62"/>
      <c r="DBX4" s="62"/>
      <c r="DBY4" s="62"/>
      <c r="DBZ4" s="62"/>
      <c r="DCA4" s="62"/>
      <c r="DCB4" s="62"/>
      <c r="DCC4" s="62"/>
      <c r="DCD4" s="62"/>
      <c r="DCE4" s="62"/>
      <c r="DCF4" s="62"/>
      <c r="DCG4" s="62"/>
      <c r="DCH4" s="62"/>
      <c r="DCI4" s="62"/>
      <c r="DCJ4" s="62"/>
      <c r="DCK4" s="62"/>
      <c r="DCL4" s="62"/>
      <c r="DCM4" s="62"/>
      <c r="DCN4" s="62"/>
      <c r="DCO4" s="62"/>
      <c r="DCP4" s="62"/>
      <c r="DCQ4" s="62"/>
      <c r="DCR4" s="62"/>
      <c r="DCS4" s="62"/>
      <c r="DCT4" s="62"/>
      <c r="DCU4" s="62"/>
      <c r="DCV4" s="62"/>
      <c r="DCW4" s="62"/>
      <c r="DCX4" s="62"/>
      <c r="DCY4" s="62"/>
      <c r="DCZ4" s="62"/>
      <c r="DDA4" s="62"/>
      <c r="DDB4" s="62"/>
      <c r="DDC4" s="62"/>
      <c r="DDD4" s="62"/>
      <c r="DDE4" s="62"/>
      <c r="DDF4" s="62"/>
      <c r="DDG4" s="62"/>
      <c r="DDH4" s="62"/>
      <c r="DDI4" s="62"/>
      <c r="DDJ4" s="62"/>
      <c r="DDK4" s="62"/>
      <c r="DDL4" s="62"/>
      <c r="DDM4" s="62"/>
      <c r="DDN4" s="62"/>
      <c r="DDO4" s="62"/>
      <c r="DDP4" s="62"/>
      <c r="DDQ4" s="62"/>
      <c r="DDR4" s="62"/>
      <c r="DDS4" s="62"/>
      <c r="DDT4" s="62"/>
      <c r="DDU4" s="62"/>
      <c r="DDV4" s="62"/>
      <c r="DDW4" s="62"/>
      <c r="DDX4" s="62"/>
      <c r="DDY4" s="62"/>
      <c r="DDZ4" s="62"/>
      <c r="DEA4" s="62"/>
      <c r="DEB4" s="62"/>
      <c r="DEC4" s="62"/>
      <c r="DED4" s="62"/>
      <c r="DEE4" s="62"/>
      <c r="DEF4" s="62"/>
      <c r="DEG4" s="62"/>
      <c r="DEH4" s="62"/>
      <c r="DEI4" s="62"/>
      <c r="DEJ4" s="62"/>
      <c r="DEK4" s="62"/>
      <c r="DEL4" s="62"/>
      <c r="DEM4" s="62"/>
      <c r="DEN4" s="62"/>
      <c r="DEO4" s="62"/>
      <c r="DEP4" s="62"/>
      <c r="DEQ4" s="62"/>
      <c r="DER4" s="62"/>
      <c r="DES4" s="62"/>
      <c r="DET4" s="62"/>
      <c r="DEU4" s="62"/>
      <c r="DEV4" s="62"/>
      <c r="DEW4" s="62"/>
      <c r="DEX4" s="62"/>
      <c r="DEY4" s="62"/>
      <c r="DEZ4" s="62"/>
      <c r="DFA4" s="62"/>
      <c r="DFB4" s="62"/>
      <c r="DFC4" s="62"/>
      <c r="DFD4" s="62"/>
      <c r="DFE4" s="62"/>
      <c r="DFF4" s="62"/>
      <c r="DFG4" s="62"/>
      <c r="DFH4" s="62"/>
      <c r="DFI4" s="62"/>
      <c r="DFJ4" s="62"/>
      <c r="DFK4" s="62"/>
      <c r="DFL4" s="62"/>
      <c r="DFM4" s="62"/>
      <c r="DFN4" s="62"/>
      <c r="DFO4" s="62"/>
      <c r="DFP4" s="62"/>
      <c r="DFQ4" s="62"/>
      <c r="DFR4" s="62"/>
      <c r="DFS4" s="62"/>
      <c r="DFT4" s="62"/>
      <c r="DFU4" s="62"/>
      <c r="DFV4" s="62"/>
      <c r="DFW4" s="62"/>
      <c r="DFX4" s="62"/>
      <c r="DFY4" s="62"/>
      <c r="DFZ4" s="62"/>
      <c r="DGA4" s="62"/>
      <c r="DGB4" s="62"/>
      <c r="DGC4" s="62"/>
      <c r="DGD4" s="62"/>
      <c r="DGE4" s="62"/>
      <c r="DGF4" s="62"/>
      <c r="DGG4" s="62"/>
      <c r="DGH4" s="62"/>
      <c r="DGI4" s="62"/>
      <c r="DGJ4" s="62"/>
      <c r="DGK4" s="62"/>
      <c r="DGL4" s="62"/>
      <c r="DGM4" s="62"/>
      <c r="DGN4" s="62"/>
      <c r="DGO4" s="62"/>
      <c r="DGP4" s="62"/>
      <c r="DGQ4" s="62"/>
      <c r="DGR4" s="62"/>
      <c r="DGS4" s="62"/>
      <c r="DGT4" s="62"/>
      <c r="DGU4" s="62"/>
      <c r="DGV4" s="62"/>
      <c r="DGW4" s="62"/>
      <c r="DGX4" s="62"/>
      <c r="DGY4" s="62"/>
      <c r="DGZ4" s="62"/>
      <c r="DHA4" s="62"/>
      <c r="DHB4" s="62"/>
      <c r="DHC4" s="62"/>
      <c r="DHD4" s="62"/>
      <c r="DHE4" s="62"/>
      <c r="DHF4" s="62"/>
      <c r="DHG4" s="62"/>
      <c r="DHH4" s="62"/>
      <c r="DHI4" s="62"/>
      <c r="DHJ4" s="62"/>
      <c r="DHK4" s="62"/>
      <c r="DHL4" s="62"/>
      <c r="DHM4" s="62"/>
      <c r="DHN4" s="62"/>
      <c r="DHO4" s="62"/>
      <c r="DHP4" s="62"/>
      <c r="DHQ4" s="62"/>
      <c r="DHR4" s="62"/>
      <c r="DHS4" s="62"/>
      <c r="DHT4" s="62"/>
      <c r="DHU4" s="62"/>
      <c r="DHV4" s="62"/>
      <c r="DHW4" s="62"/>
      <c r="DHX4" s="62"/>
      <c r="DHY4" s="62"/>
      <c r="DHZ4" s="62"/>
      <c r="DIA4" s="62"/>
      <c r="DIB4" s="62"/>
      <c r="DIC4" s="62"/>
      <c r="DID4" s="62"/>
      <c r="DIE4" s="62"/>
      <c r="DIF4" s="62"/>
      <c r="DIG4" s="62"/>
      <c r="DIH4" s="62"/>
      <c r="DII4" s="62"/>
      <c r="DIJ4" s="62"/>
      <c r="DIK4" s="62"/>
      <c r="DIL4" s="62"/>
      <c r="DIM4" s="62"/>
      <c r="DIN4" s="62"/>
      <c r="DIO4" s="62"/>
      <c r="DIP4" s="62"/>
      <c r="DIQ4" s="62"/>
      <c r="DIR4" s="62"/>
      <c r="DIS4" s="62"/>
      <c r="DIT4" s="62"/>
      <c r="DIU4" s="62"/>
      <c r="DIV4" s="62"/>
      <c r="DIW4" s="62"/>
      <c r="DIX4" s="62"/>
      <c r="DIY4" s="62"/>
      <c r="DIZ4" s="62"/>
      <c r="DJA4" s="62"/>
      <c r="DJB4" s="62"/>
      <c r="DJC4" s="62"/>
      <c r="DJD4" s="62"/>
      <c r="DJE4" s="62"/>
      <c r="DJF4" s="62"/>
      <c r="DJG4" s="62"/>
      <c r="DJH4" s="62"/>
      <c r="DJI4" s="62"/>
      <c r="DJJ4" s="62"/>
      <c r="DJK4" s="62"/>
      <c r="DJL4" s="62"/>
      <c r="DJM4" s="62"/>
      <c r="DJN4" s="62"/>
      <c r="DJO4" s="62"/>
      <c r="DJP4" s="62"/>
      <c r="DJQ4" s="62"/>
      <c r="DJR4" s="62"/>
      <c r="DJS4" s="62"/>
      <c r="DJT4" s="62"/>
      <c r="DJU4" s="62"/>
      <c r="DJV4" s="62"/>
      <c r="DJW4" s="62"/>
      <c r="DJX4" s="62"/>
      <c r="DJY4" s="62"/>
      <c r="DJZ4" s="62"/>
      <c r="DKA4" s="62"/>
      <c r="DKB4" s="62"/>
      <c r="DKC4" s="62"/>
      <c r="DKD4" s="62"/>
      <c r="DKE4" s="62"/>
      <c r="DKF4" s="62"/>
      <c r="DKG4" s="62"/>
      <c r="DKH4" s="62"/>
      <c r="DKI4" s="62"/>
      <c r="DKJ4" s="62"/>
      <c r="DKK4" s="62"/>
      <c r="DKL4" s="62"/>
      <c r="DKM4" s="62"/>
      <c r="DKN4" s="62"/>
      <c r="DKO4" s="62"/>
      <c r="DKP4" s="62"/>
      <c r="DKQ4" s="62"/>
      <c r="DKR4" s="62"/>
      <c r="DKS4" s="62"/>
      <c r="DKT4" s="62"/>
      <c r="DKU4" s="62"/>
      <c r="DKV4" s="62"/>
      <c r="DKW4" s="62"/>
      <c r="DKX4" s="62"/>
      <c r="DKY4" s="62"/>
      <c r="DKZ4" s="62"/>
      <c r="DLA4" s="62"/>
      <c r="DLB4" s="62"/>
      <c r="DLC4" s="62"/>
      <c r="DLD4" s="62"/>
      <c r="DLE4" s="62"/>
      <c r="DLF4" s="62"/>
      <c r="DLG4" s="62"/>
      <c r="DLH4" s="62"/>
      <c r="DLI4" s="62"/>
      <c r="DLJ4" s="62"/>
      <c r="DLK4" s="62"/>
      <c r="DLL4" s="62"/>
      <c r="DLM4" s="62"/>
      <c r="DLN4" s="62"/>
      <c r="DLO4" s="62"/>
      <c r="DLP4" s="62"/>
      <c r="DLQ4" s="62"/>
      <c r="DLR4" s="62"/>
      <c r="DLS4" s="62"/>
      <c r="DLT4" s="62"/>
      <c r="DLU4" s="62"/>
      <c r="DLV4" s="62"/>
      <c r="DLW4" s="62"/>
      <c r="DLX4" s="62"/>
      <c r="DLY4" s="62"/>
      <c r="DLZ4" s="62"/>
      <c r="DMA4" s="62"/>
      <c r="DMB4" s="62"/>
      <c r="DMC4" s="62"/>
      <c r="DMD4" s="62"/>
      <c r="DME4" s="62"/>
      <c r="DMF4" s="62"/>
      <c r="DMG4" s="62"/>
      <c r="DMH4" s="62"/>
      <c r="DMI4" s="62"/>
      <c r="DMJ4" s="62"/>
      <c r="DMK4" s="62"/>
      <c r="DML4" s="62"/>
      <c r="DMM4" s="62"/>
      <c r="DMN4" s="62"/>
      <c r="DMO4" s="62"/>
      <c r="DMP4" s="62"/>
      <c r="DMQ4" s="62"/>
      <c r="DMR4" s="62"/>
      <c r="DMS4" s="62"/>
      <c r="DMT4" s="62"/>
      <c r="DMU4" s="62"/>
      <c r="DMV4" s="62"/>
      <c r="DMW4" s="62"/>
      <c r="DMX4" s="62"/>
      <c r="DMY4" s="62"/>
      <c r="DMZ4" s="62"/>
      <c r="DNA4" s="62"/>
      <c r="DNB4" s="62"/>
      <c r="DNC4" s="62"/>
      <c r="DND4" s="62"/>
      <c r="DNE4" s="62"/>
      <c r="DNF4" s="62"/>
      <c r="DNG4" s="62"/>
      <c r="DNH4" s="62"/>
      <c r="DNI4" s="62"/>
      <c r="DNJ4" s="62"/>
      <c r="DNK4" s="62"/>
      <c r="DNL4" s="62"/>
      <c r="DNM4" s="62"/>
      <c r="DNN4" s="62"/>
      <c r="DNO4" s="62"/>
      <c r="DNP4" s="62"/>
      <c r="DNQ4" s="62"/>
      <c r="DNR4" s="62"/>
      <c r="DNS4" s="62"/>
      <c r="DNT4" s="62"/>
      <c r="DNU4" s="62"/>
      <c r="DNV4" s="62"/>
      <c r="DNW4" s="62"/>
      <c r="DNX4" s="62"/>
      <c r="DNY4" s="62"/>
      <c r="DNZ4" s="62"/>
      <c r="DOA4" s="62"/>
      <c r="DOB4" s="62"/>
      <c r="DOC4" s="62"/>
      <c r="DOD4" s="62"/>
      <c r="DOE4" s="62"/>
      <c r="DOF4" s="62"/>
      <c r="DOG4" s="62"/>
      <c r="DOH4" s="62"/>
      <c r="DOI4" s="62"/>
      <c r="DOJ4" s="62"/>
      <c r="DOK4" s="62"/>
      <c r="DOL4" s="62"/>
      <c r="DOM4" s="62"/>
      <c r="DON4" s="62"/>
      <c r="DOO4" s="62"/>
      <c r="DOP4" s="62"/>
      <c r="DOQ4" s="62"/>
      <c r="DOR4" s="62"/>
      <c r="DOS4" s="62"/>
      <c r="DOT4" s="62"/>
      <c r="DOU4" s="62"/>
      <c r="DOV4" s="62"/>
      <c r="DOW4" s="62"/>
      <c r="DOX4" s="62"/>
      <c r="DOY4" s="62"/>
      <c r="DOZ4" s="62"/>
      <c r="DPA4" s="62"/>
      <c r="DPB4" s="62"/>
      <c r="DPC4" s="62"/>
      <c r="DPD4" s="62"/>
      <c r="DPE4" s="62"/>
      <c r="DPF4" s="62"/>
      <c r="DPG4" s="62"/>
      <c r="DPH4" s="62"/>
      <c r="DPI4" s="62"/>
      <c r="DPJ4" s="62"/>
      <c r="DPK4" s="62"/>
      <c r="DPL4" s="62"/>
      <c r="DPM4" s="62"/>
      <c r="DPN4" s="62"/>
      <c r="DPO4" s="62"/>
      <c r="DPP4" s="62"/>
      <c r="DPQ4" s="62"/>
      <c r="DPR4" s="62"/>
      <c r="DPS4" s="62"/>
      <c r="DPT4" s="62"/>
      <c r="DPU4" s="62"/>
      <c r="DPV4" s="62"/>
      <c r="DPW4" s="62"/>
      <c r="DPX4" s="62"/>
      <c r="DPY4" s="62"/>
      <c r="DPZ4" s="62"/>
      <c r="DQA4" s="62"/>
      <c r="DQB4" s="62"/>
      <c r="DQC4" s="62"/>
      <c r="DQD4" s="62"/>
      <c r="DQE4" s="62"/>
      <c r="DQF4" s="62"/>
      <c r="DQG4" s="62"/>
      <c r="DQH4" s="62"/>
      <c r="DQI4" s="62"/>
      <c r="DQJ4" s="62"/>
      <c r="DQK4" s="62"/>
      <c r="DQL4" s="62"/>
      <c r="DQM4" s="62"/>
      <c r="DQN4" s="62"/>
      <c r="DQO4" s="62"/>
      <c r="DQP4" s="62"/>
      <c r="DQQ4" s="62"/>
      <c r="DQR4" s="62"/>
      <c r="DQS4" s="62"/>
      <c r="DQT4" s="62"/>
      <c r="DQU4" s="62"/>
      <c r="DQV4" s="62"/>
      <c r="DQW4" s="62"/>
      <c r="DQX4" s="62"/>
      <c r="DQY4" s="62"/>
      <c r="DQZ4" s="62"/>
      <c r="DRA4" s="62"/>
      <c r="DRB4" s="62"/>
      <c r="DRC4" s="62"/>
      <c r="DRD4" s="62"/>
      <c r="DRE4" s="62"/>
      <c r="DRF4" s="62"/>
      <c r="DRG4" s="62"/>
      <c r="DRH4" s="62"/>
      <c r="DRI4" s="62"/>
      <c r="DRJ4" s="62"/>
      <c r="DRK4" s="62"/>
      <c r="DRL4" s="62"/>
      <c r="DRM4" s="62"/>
      <c r="DRN4" s="62"/>
      <c r="DRO4" s="62"/>
      <c r="DRP4" s="62"/>
      <c r="DRQ4" s="62"/>
      <c r="DRR4" s="62"/>
      <c r="DRS4" s="62"/>
      <c r="DRT4" s="62"/>
      <c r="DRU4" s="62"/>
      <c r="DRV4" s="62"/>
      <c r="DRW4" s="62"/>
      <c r="DRX4" s="62"/>
      <c r="DRY4" s="62"/>
      <c r="DRZ4" s="62"/>
      <c r="DSA4" s="62"/>
      <c r="DSB4" s="62"/>
      <c r="DSC4" s="62"/>
      <c r="DSD4" s="62"/>
      <c r="DSE4" s="62"/>
      <c r="DSF4" s="62"/>
      <c r="DSG4" s="62"/>
      <c r="DSH4" s="62"/>
      <c r="DSI4" s="62"/>
      <c r="DSJ4" s="62"/>
      <c r="DSK4" s="62"/>
      <c r="DSL4" s="62"/>
      <c r="DSM4" s="62"/>
      <c r="DSN4" s="62"/>
      <c r="DSO4" s="62"/>
      <c r="DSP4" s="62"/>
      <c r="DSQ4" s="62"/>
      <c r="DSR4" s="62"/>
      <c r="DSS4" s="62"/>
      <c r="DST4" s="62"/>
      <c r="DSU4" s="62"/>
      <c r="DSV4" s="62"/>
      <c r="DSW4" s="62"/>
      <c r="DSX4" s="62"/>
      <c r="DSY4" s="62"/>
      <c r="DSZ4" s="62"/>
      <c r="DTA4" s="62"/>
      <c r="DTB4" s="62"/>
      <c r="DTC4" s="62"/>
      <c r="DTD4" s="62"/>
      <c r="DTE4" s="62"/>
      <c r="DTF4" s="62"/>
      <c r="DTG4" s="62"/>
      <c r="DTH4" s="62"/>
      <c r="DTI4" s="62"/>
      <c r="DTJ4" s="62"/>
      <c r="DTK4" s="62"/>
      <c r="DTL4" s="62"/>
      <c r="DTM4" s="62"/>
      <c r="DTN4" s="62"/>
      <c r="DTO4" s="62"/>
      <c r="DTP4" s="62"/>
      <c r="DTQ4" s="62"/>
      <c r="DTR4" s="62"/>
      <c r="DTS4" s="62"/>
      <c r="DTT4" s="62"/>
      <c r="DTU4" s="62"/>
      <c r="DTV4" s="62"/>
      <c r="DTW4" s="62"/>
      <c r="DTX4" s="62"/>
      <c r="DTY4" s="62"/>
      <c r="DTZ4" s="62"/>
      <c r="DUA4" s="62"/>
      <c r="DUB4" s="62"/>
      <c r="DUC4" s="62"/>
      <c r="DUD4" s="62"/>
      <c r="DUE4" s="62"/>
      <c r="DUF4" s="62"/>
      <c r="DUG4" s="62"/>
      <c r="DUH4" s="62"/>
      <c r="DUI4" s="62"/>
      <c r="DUJ4" s="62"/>
      <c r="DUK4" s="62"/>
      <c r="DUL4" s="62"/>
      <c r="DUM4" s="62"/>
      <c r="DUN4" s="62"/>
      <c r="DUO4" s="62"/>
      <c r="DUP4" s="62"/>
      <c r="DUQ4" s="62"/>
      <c r="DUR4" s="62"/>
      <c r="DUS4" s="62"/>
      <c r="DUT4" s="62"/>
      <c r="DUU4" s="62"/>
      <c r="DUV4" s="62"/>
      <c r="DUW4" s="62"/>
      <c r="DUX4" s="62"/>
      <c r="DUY4" s="62"/>
      <c r="DUZ4" s="62"/>
      <c r="DVA4" s="62"/>
      <c r="DVB4" s="62"/>
      <c r="DVC4" s="62"/>
      <c r="DVD4" s="62"/>
      <c r="DVE4" s="62"/>
      <c r="DVF4" s="62"/>
      <c r="DVG4" s="62"/>
      <c r="DVH4" s="62"/>
      <c r="DVI4" s="62"/>
      <c r="DVJ4" s="62"/>
      <c r="DVK4" s="62"/>
      <c r="DVL4" s="62"/>
      <c r="DVM4" s="62"/>
      <c r="DVN4" s="62"/>
      <c r="DVO4" s="62"/>
      <c r="DVP4" s="62"/>
      <c r="DVQ4" s="62"/>
      <c r="DVR4" s="62"/>
      <c r="DVS4" s="62"/>
      <c r="DVT4" s="62"/>
      <c r="DVU4" s="62"/>
      <c r="DVV4" s="62"/>
      <c r="DVW4" s="62"/>
      <c r="DVX4" s="62"/>
      <c r="DVY4" s="62"/>
      <c r="DVZ4" s="62"/>
      <c r="DWA4" s="62"/>
      <c r="DWB4" s="62"/>
      <c r="DWC4" s="62"/>
      <c r="DWD4" s="62"/>
      <c r="DWE4" s="62"/>
      <c r="DWF4" s="62"/>
      <c r="DWG4" s="62"/>
      <c r="DWH4" s="62"/>
      <c r="DWI4" s="62"/>
      <c r="DWJ4" s="62"/>
      <c r="DWK4" s="62"/>
      <c r="DWL4" s="62"/>
      <c r="DWM4" s="62"/>
      <c r="DWN4" s="62"/>
      <c r="DWO4" s="62"/>
      <c r="DWP4" s="62"/>
      <c r="DWQ4" s="62"/>
      <c r="DWR4" s="62"/>
      <c r="DWS4" s="62"/>
      <c r="DWT4" s="62"/>
      <c r="DWU4" s="62"/>
      <c r="DWV4" s="62"/>
      <c r="DWW4" s="62"/>
      <c r="DWX4" s="62"/>
      <c r="DWY4" s="62"/>
      <c r="DWZ4" s="62"/>
      <c r="DXA4" s="62"/>
      <c r="DXB4" s="62"/>
      <c r="DXC4" s="62"/>
      <c r="DXD4" s="62"/>
      <c r="DXE4" s="62"/>
      <c r="DXF4" s="62"/>
      <c r="DXG4" s="62"/>
      <c r="DXH4" s="62"/>
      <c r="DXI4" s="62"/>
      <c r="DXJ4" s="62"/>
      <c r="DXK4" s="62"/>
      <c r="DXL4" s="62"/>
      <c r="DXM4" s="62"/>
      <c r="DXN4" s="62"/>
      <c r="DXO4" s="62"/>
      <c r="DXP4" s="62"/>
      <c r="DXQ4" s="62"/>
      <c r="DXR4" s="62"/>
      <c r="DXS4" s="62"/>
      <c r="DXT4" s="62"/>
      <c r="DXU4" s="62"/>
      <c r="DXV4" s="62"/>
      <c r="DXW4" s="62"/>
      <c r="DXX4" s="62"/>
      <c r="DXY4" s="62"/>
      <c r="DXZ4" s="62"/>
      <c r="DYA4" s="62"/>
      <c r="DYB4" s="62"/>
      <c r="DYC4" s="62"/>
      <c r="DYD4" s="62"/>
      <c r="DYE4" s="62"/>
      <c r="DYF4" s="62"/>
      <c r="DYG4" s="62"/>
      <c r="DYH4" s="62"/>
      <c r="DYI4" s="62"/>
      <c r="DYJ4" s="62"/>
      <c r="DYK4" s="62"/>
      <c r="DYL4" s="62"/>
      <c r="DYM4" s="62"/>
      <c r="DYN4" s="62"/>
      <c r="DYO4" s="62"/>
      <c r="DYP4" s="62"/>
      <c r="DYQ4" s="62"/>
      <c r="DYR4" s="62"/>
      <c r="DYS4" s="62"/>
      <c r="DYT4" s="62"/>
      <c r="DYU4" s="62"/>
      <c r="DYV4" s="62"/>
      <c r="DYW4" s="62"/>
      <c r="DYX4" s="62"/>
      <c r="DYY4" s="62"/>
      <c r="DYZ4" s="62"/>
      <c r="DZA4" s="62"/>
      <c r="DZB4" s="62"/>
      <c r="DZC4" s="62"/>
      <c r="DZD4" s="62"/>
      <c r="DZE4" s="62"/>
      <c r="DZF4" s="62"/>
      <c r="DZG4" s="62"/>
      <c r="DZH4" s="62"/>
      <c r="DZI4" s="62"/>
      <c r="DZJ4" s="62"/>
      <c r="DZK4" s="62"/>
      <c r="DZL4" s="62"/>
      <c r="DZM4" s="62"/>
      <c r="DZN4" s="62"/>
      <c r="DZO4" s="62"/>
      <c r="DZP4" s="62"/>
      <c r="DZQ4" s="62"/>
      <c r="DZR4" s="62"/>
      <c r="DZS4" s="62"/>
      <c r="DZT4" s="62"/>
      <c r="DZU4" s="62"/>
      <c r="DZV4" s="62"/>
      <c r="DZW4" s="62"/>
      <c r="DZX4" s="62"/>
      <c r="DZY4" s="62"/>
      <c r="DZZ4" s="62"/>
      <c r="EAA4" s="62"/>
      <c r="EAB4" s="62"/>
      <c r="EAC4" s="62"/>
      <c r="EAD4" s="62"/>
      <c r="EAE4" s="62"/>
      <c r="EAF4" s="62"/>
      <c r="EAG4" s="62"/>
      <c r="EAH4" s="62"/>
      <c r="EAI4" s="62"/>
      <c r="EAJ4" s="62"/>
      <c r="EAK4" s="62"/>
      <c r="EAL4" s="62"/>
      <c r="EAM4" s="62"/>
      <c r="EAN4" s="62"/>
      <c r="EAO4" s="62"/>
      <c r="EAP4" s="62"/>
      <c r="EAQ4" s="62"/>
      <c r="EAR4" s="62"/>
      <c r="EAS4" s="62"/>
      <c r="EAT4" s="62"/>
      <c r="EAU4" s="62"/>
      <c r="EAV4" s="62"/>
      <c r="EAW4" s="62"/>
      <c r="EAX4" s="62"/>
      <c r="EAY4" s="62"/>
      <c r="EAZ4" s="62"/>
      <c r="EBA4" s="62"/>
      <c r="EBB4" s="62"/>
      <c r="EBC4" s="62"/>
      <c r="EBD4" s="62"/>
      <c r="EBE4" s="62"/>
      <c r="EBF4" s="62"/>
      <c r="EBG4" s="62"/>
      <c r="EBH4" s="62"/>
      <c r="EBI4" s="62"/>
      <c r="EBJ4" s="62"/>
      <c r="EBK4" s="62"/>
      <c r="EBL4" s="62"/>
      <c r="EBM4" s="62"/>
      <c r="EBN4" s="62"/>
      <c r="EBO4" s="62"/>
      <c r="EBP4" s="62"/>
      <c r="EBQ4" s="62"/>
      <c r="EBR4" s="62"/>
      <c r="EBS4" s="62"/>
      <c r="EBT4" s="62"/>
      <c r="EBU4" s="62"/>
      <c r="EBV4" s="62"/>
      <c r="EBW4" s="62"/>
      <c r="EBX4" s="62"/>
      <c r="EBY4" s="62"/>
      <c r="EBZ4" s="62"/>
      <c r="ECA4" s="62"/>
      <c r="ECB4" s="62"/>
      <c r="ECC4" s="62"/>
      <c r="ECD4" s="62"/>
      <c r="ECE4" s="62"/>
      <c r="ECF4" s="62"/>
      <c r="ECG4" s="62"/>
      <c r="ECH4" s="62"/>
      <c r="ECI4" s="62"/>
      <c r="ECJ4" s="62"/>
      <c r="ECK4" s="62"/>
      <c r="ECL4" s="62"/>
      <c r="ECM4" s="62"/>
      <c r="ECN4" s="62"/>
      <c r="ECO4" s="62"/>
      <c r="ECP4" s="62"/>
      <c r="ECQ4" s="62"/>
      <c r="ECR4" s="62"/>
      <c r="ECS4" s="62"/>
      <c r="ECT4" s="62"/>
      <c r="ECU4" s="62"/>
      <c r="ECV4" s="62"/>
      <c r="ECW4" s="62"/>
      <c r="ECX4" s="62"/>
      <c r="ECY4" s="62"/>
      <c r="ECZ4" s="62"/>
      <c r="EDA4" s="62"/>
      <c r="EDB4" s="62"/>
      <c r="EDC4" s="62"/>
      <c r="EDD4" s="62"/>
      <c r="EDE4" s="62"/>
      <c r="EDF4" s="62"/>
      <c r="EDG4" s="62"/>
      <c r="EDH4" s="62"/>
      <c r="EDI4" s="62"/>
      <c r="EDJ4" s="62"/>
      <c r="EDK4" s="62"/>
      <c r="EDL4" s="62"/>
      <c r="EDM4" s="62"/>
      <c r="EDN4" s="62"/>
      <c r="EDO4" s="62"/>
      <c r="EDP4" s="62"/>
      <c r="EDQ4" s="62"/>
      <c r="EDR4" s="62"/>
      <c r="EDS4" s="62"/>
      <c r="EDT4" s="62"/>
      <c r="EDU4" s="62"/>
      <c r="EDV4" s="62"/>
      <c r="EDW4" s="62"/>
      <c r="EDX4" s="62"/>
      <c r="EDY4" s="62"/>
      <c r="EDZ4" s="62"/>
      <c r="EEA4" s="62"/>
      <c r="EEB4" s="62"/>
      <c r="EEC4" s="62"/>
      <c r="EED4" s="62"/>
      <c r="EEE4" s="62"/>
      <c r="EEF4" s="62"/>
      <c r="EEG4" s="62"/>
      <c r="EEH4" s="62"/>
      <c r="EEI4" s="62"/>
      <c r="EEJ4" s="62"/>
      <c r="EEK4" s="62"/>
      <c r="EEL4" s="62"/>
      <c r="EEM4" s="62"/>
      <c r="EEN4" s="62"/>
      <c r="EEO4" s="62"/>
      <c r="EEP4" s="62"/>
      <c r="EEQ4" s="62"/>
      <c r="EER4" s="62"/>
      <c r="EES4" s="62"/>
      <c r="EET4" s="62"/>
      <c r="EEU4" s="62"/>
      <c r="EEV4" s="62"/>
      <c r="EEW4" s="62"/>
      <c r="EEX4" s="62"/>
      <c r="EEY4" s="62"/>
      <c r="EEZ4" s="62"/>
      <c r="EFA4" s="62"/>
      <c r="EFB4" s="62"/>
      <c r="EFC4" s="62"/>
      <c r="EFD4" s="62"/>
      <c r="EFE4" s="62"/>
      <c r="EFF4" s="62"/>
      <c r="EFG4" s="62"/>
      <c r="EFH4" s="62"/>
      <c r="EFI4" s="62"/>
      <c r="EFJ4" s="62"/>
      <c r="EFK4" s="62"/>
      <c r="EFL4" s="62"/>
      <c r="EFM4" s="62"/>
      <c r="EFN4" s="62"/>
      <c r="EFO4" s="62"/>
      <c r="EFP4" s="62"/>
      <c r="EFQ4" s="62"/>
      <c r="EFR4" s="62"/>
      <c r="EFS4" s="62"/>
      <c r="EFT4" s="62"/>
      <c r="EFU4" s="62"/>
      <c r="EFV4" s="62"/>
      <c r="EFW4" s="62"/>
      <c r="EFX4" s="62"/>
      <c r="EFY4" s="62"/>
      <c r="EFZ4" s="62"/>
      <c r="EGA4" s="62"/>
      <c r="EGB4" s="62"/>
      <c r="EGC4" s="62"/>
      <c r="EGD4" s="62"/>
      <c r="EGE4" s="62"/>
      <c r="EGF4" s="62"/>
      <c r="EGG4" s="62"/>
      <c r="EGH4" s="62"/>
      <c r="EGI4" s="62"/>
      <c r="EGJ4" s="62"/>
      <c r="EGK4" s="62"/>
      <c r="EGL4" s="62"/>
      <c r="EGM4" s="62"/>
      <c r="EGN4" s="62"/>
      <c r="EGO4" s="62"/>
      <c r="EGP4" s="62"/>
      <c r="EGQ4" s="62"/>
      <c r="EGR4" s="62"/>
      <c r="EGS4" s="62"/>
      <c r="EGT4" s="62"/>
      <c r="EGU4" s="62"/>
      <c r="EGV4" s="62"/>
      <c r="EGW4" s="62"/>
      <c r="EGX4" s="62"/>
      <c r="EGY4" s="62"/>
      <c r="EGZ4" s="62"/>
      <c r="EHA4" s="62"/>
      <c r="EHB4" s="62"/>
      <c r="EHC4" s="62"/>
      <c r="EHD4" s="62"/>
      <c r="EHE4" s="62"/>
      <c r="EHF4" s="62"/>
      <c r="EHG4" s="62"/>
      <c r="EHH4" s="62"/>
      <c r="EHI4" s="62"/>
      <c r="EHJ4" s="62"/>
      <c r="EHK4" s="62"/>
      <c r="EHL4" s="62"/>
      <c r="EHM4" s="62"/>
      <c r="EHN4" s="62"/>
      <c r="EHO4" s="62"/>
      <c r="EHP4" s="62"/>
      <c r="EHQ4" s="62"/>
      <c r="EHR4" s="62"/>
      <c r="EHS4" s="62"/>
      <c r="EHT4" s="62"/>
      <c r="EHU4" s="62"/>
      <c r="EHV4" s="62"/>
      <c r="EHW4" s="62"/>
      <c r="EHX4" s="62"/>
      <c r="EHY4" s="62"/>
      <c r="EHZ4" s="62"/>
      <c r="EIA4" s="62"/>
      <c r="EIB4" s="62"/>
      <c r="EIC4" s="62"/>
      <c r="EID4" s="62"/>
      <c r="EIE4" s="62"/>
      <c r="EIF4" s="62"/>
      <c r="EIG4" s="62"/>
      <c r="EIH4" s="62"/>
      <c r="EII4" s="62"/>
      <c r="EIJ4" s="62"/>
      <c r="EIK4" s="62"/>
      <c r="EIL4" s="62"/>
      <c r="EIM4" s="62"/>
      <c r="EIN4" s="62"/>
      <c r="EIO4" s="62"/>
      <c r="EIP4" s="62"/>
      <c r="EIQ4" s="62"/>
      <c r="EIR4" s="62"/>
      <c r="EIS4" s="62"/>
      <c r="EIT4" s="62"/>
      <c r="EIU4" s="62"/>
      <c r="EIV4" s="62"/>
      <c r="EIW4" s="62"/>
      <c r="EIX4" s="62"/>
      <c r="EIY4" s="62"/>
      <c r="EIZ4" s="62"/>
      <c r="EJA4" s="62"/>
      <c r="EJB4" s="62"/>
      <c r="EJC4" s="62"/>
      <c r="EJD4" s="62"/>
      <c r="EJE4" s="62"/>
      <c r="EJF4" s="62"/>
      <c r="EJG4" s="62"/>
      <c r="EJH4" s="62"/>
      <c r="EJI4" s="62"/>
      <c r="EJJ4" s="62"/>
      <c r="EJK4" s="62"/>
      <c r="EJL4" s="62"/>
      <c r="EJM4" s="62"/>
      <c r="EJN4" s="62"/>
      <c r="EJO4" s="62"/>
      <c r="EJP4" s="62"/>
      <c r="EJQ4" s="62"/>
      <c r="EJR4" s="62"/>
      <c r="EJS4" s="62"/>
      <c r="EJT4" s="62"/>
      <c r="EJU4" s="62"/>
      <c r="EJV4" s="62"/>
      <c r="EJW4" s="62"/>
      <c r="EJX4" s="62"/>
      <c r="EJY4" s="62"/>
      <c r="EJZ4" s="62"/>
      <c r="EKA4" s="62"/>
      <c r="EKB4" s="62"/>
      <c r="EKC4" s="62"/>
      <c r="EKD4" s="62"/>
      <c r="EKE4" s="62"/>
      <c r="EKF4" s="62"/>
      <c r="EKG4" s="62"/>
      <c r="EKH4" s="62"/>
      <c r="EKI4" s="62"/>
      <c r="EKJ4" s="62"/>
      <c r="EKK4" s="62"/>
      <c r="EKL4" s="62"/>
      <c r="EKM4" s="62"/>
      <c r="EKN4" s="62"/>
      <c r="EKO4" s="62"/>
      <c r="EKP4" s="62"/>
      <c r="EKQ4" s="62"/>
      <c r="EKR4" s="62"/>
      <c r="EKS4" s="62"/>
      <c r="EKT4" s="62"/>
      <c r="EKU4" s="62"/>
      <c r="EKV4" s="62"/>
      <c r="EKW4" s="62"/>
      <c r="EKX4" s="62"/>
      <c r="EKY4" s="62"/>
      <c r="EKZ4" s="62"/>
      <c r="ELA4" s="62"/>
      <c r="ELB4" s="62"/>
      <c r="ELC4" s="62"/>
      <c r="ELD4" s="62"/>
      <c r="ELE4" s="62"/>
      <c r="ELF4" s="62"/>
      <c r="ELG4" s="62"/>
      <c r="ELH4" s="62"/>
      <c r="ELI4" s="62"/>
      <c r="ELJ4" s="62"/>
      <c r="ELK4" s="62"/>
      <c r="ELL4" s="62"/>
      <c r="ELM4" s="62"/>
      <c r="ELN4" s="62"/>
      <c r="ELO4" s="62"/>
      <c r="ELP4" s="62"/>
      <c r="ELQ4" s="62"/>
      <c r="ELR4" s="62"/>
      <c r="ELS4" s="62"/>
      <c r="ELT4" s="62"/>
      <c r="ELU4" s="62"/>
      <c r="ELV4" s="62"/>
      <c r="ELW4" s="62"/>
      <c r="ELX4" s="62"/>
      <c r="ELY4" s="62"/>
      <c r="ELZ4" s="62"/>
      <c r="EMA4" s="62"/>
      <c r="EMB4" s="62"/>
      <c r="EMC4" s="62"/>
      <c r="EMD4" s="62"/>
      <c r="EME4" s="62"/>
      <c r="EMF4" s="62"/>
      <c r="EMG4" s="62"/>
      <c r="EMH4" s="62"/>
      <c r="EMI4" s="62"/>
      <c r="EMJ4" s="62"/>
      <c r="EMK4" s="62"/>
      <c r="EML4" s="62"/>
      <c r="EMM4" s="62"/>
      <c r="EMN4" s="62"/>
      <c r="EMO4" s="62"/>
      <c r="EMP4" s="62"/>
      <c r="EMQ4" s="62"/>
      <c r="EMR4" s="62"/>
      <c r="EMS4" s="62"/>
      <c r="EMT4" s="62"/>
      <c r="EMU4" s="62"/>
      <c r="EMV4" s="62"/>
      <c r="EMW4" s="62"/>
      <c r="EMX4" s="62"/>
      <c r="EMY4" s="62"/>
      <c r="EMZ4" s="62"/>
      <c r="ENA4" s="62"/>
      <c r="ENB4" s="62"/>
      <c r="ENC4" s="62"/>
      <c r="END4" s="62"/>
      <c r="ENE4" s="62"/>
      <c r="ENF4" s="62"/>
      <c r="ENG4" s="62"/>
      <c r="ENH4" s="62"/>
      <c r="ENI4" s="62"/>
      <c r="ENJ4" s="62"/>
      <c r="ENK4" s="62"/>
      <c r="ENL4" s="62"/>
      <c r="ENM4" s="62"/>
      <c r="ENN4" s="62"/>
      <c r="ENO4" s="62"/>
      <c r="ENP4" s="62"/>
      <c r="ENQ4" s="62"/>
      <c r="ENR4" s="62"/>
      <c r="ENS4" s="62"/>
      <c r="ENT4" s="62"/>
      <c r="ENU4" s="62"/>
      <c r="ENV4" s="62"/>
      <c r="ENW4" s="62"/>
      <c r="ENX4" s="62"/>
      <c r="ENY4" s="62"/>
      <c r="ENZ4" s="62"/>
      <c r="EOA4" s="62"/>
      <c r="EOB4" s="62"/>
      <c r="EOC4" s="62"/>
      <c r="EOD4" s="62"/>
      <c r="EOE4" s="62"/>
      <c r="EOF4" s="62"/>
      <c r="EOG4" s="62"/>
      <c r="EOH4" s="62"/>
      <c r="EOI4" s="62"/>
      <c r="EOJ4" s="62"/>
      <c r="EOK4" s="62"/>
      <c r="EOL4" s="62"/>
      <c r="EOM4" s="62"/>
      <c r="EON4" s="62"/>
      <c r="EOO4" s="62"/>
      <c r="EOP4" s="62"/>
      <c r="EOQ4" s="62"/>
      <c r="EOR4" s="62"/>
      <c r="EOS4" s="62"/>
      <c r="EOT4" s="62"/>
      <c r="EOU4" s="62"/>
      <c r="EOV4" s="62"/>
      <c r="EOW4" s="62"/>
      <c r="EOX4" s="62"/>
      <c r="EOY4" s="62"/>
      <c r="EOZ4" s="62"/>
      <c r="EPA4" s="62"/>
      <c r="EPB4" s="62"/>
      <c r="EPC4" s="62"/>
      <c r="EPD4" s="62"/>
      <c r="EPE4" s="62"/>
      <c r="EPF4" s="62"/>
      <c r="EPG4" s="62"/>
      <c r="EPH4" s="62"/>
      <c r="EPI4" s="62"/>
      <c r="EPJ4" s="62"/>
      <c r="EPK4" s="62"/>
      <c r="EPL4" s="62"/>
      <c r="EPM4" s="62"/>
      <c r="EPN4" s="62"/>
      <c r="EPO4" s="62"/>
      <c r="EPP4" s="62"/>
      <c r="EPQ4" s="62"/>
      <c r="EPR4" s="62"/>
      <c r="EPS4" s="62"/>
      <c r="EPT4" s="62"/>
      <c r="EPU4" s="62"/>
      <c r="EPV4" s="62"/>
      <c r="EPW4" s="62"/>
      <c r="EPX4" s="62"/>
      <c r="EPY4" s="62"/>
      <c r="EPZ4" s="62"/>
      <c r="EQA4" s="62"/>
      <c r="EQB4" s="62"/>
      <c r="EQC4" s="62"/>
      <c r="EQD4" s="62"/>
      <c r="EQE4" s="62"/>
      <c r="EQF4" s="62"/>
      <c r="EQG4" s="62"/>
      <c r="EQH4" s="62"/>
      <c r="EQI4" s="62"/>
      <c r="EQJ4" s="62"/>
      <c r="EQK4" s="62"/>
      <c r="EQL4" s="62"/>
      <c r="EQM4" s="62"/>
      <c r="EQN4" s="62"/>
      <c r="EQO4" s="62"/>
      <c r="EQP4" s="62"/>
      <c r="EQQ4" s="62"/>
      <c r="EQR4" s="62"/>
      <c r="EQS4" s="62"/>
      <c r="EQT4" s="62"/>
      <c r="EQU4" s="62"/>
      <c r="EQV4" s="62"/>
      <c r="EQW4" s="62"/>
      <c r="EQX4" s="62"/>
      <c r="EQY4" s="62"/>
      <c r="EQZ4" s="62"/>
      <c r="ERA4" s="62"/>
      <c r="ERB4" s="62"/>
      <c r="ERC4" s="62"/>
      <c r="ERD4" s="62"/>
      <c r="ERE4" s="62"/>
      <c r="ERF4" s="62"/>
      <c r="ERG4" s="62"/>
      <c r="ERH4" s="62"/>
      <c r="ERI4" s="62"/>
      <c r="ERJ4" s="62"/>
      <c r="ERK4" s="62"/>
      <c r="ERL4" s="62"/>
      <c r="ERM4" s="62"/>
      <c r="ERN4" s="62"/>
      <c r="ERO4" s="62"/>
      <c r="ERP4" s="62"/>
      <c r="ERQ4" s="62"/>
      <c r="ERR4" s="62"/>
      <c r="ERS4" s="62"/>
      <c r="ERT4" s="62"/>
      <c r="ERU4" s="62"/>
      <c r="ERV4" s="62"/>
      <c r="ERW4" s="62"/>
      <c r="ERX4" s="62"/>
      <c r="ERY4" s="62"/>
      <c r="ERZ4" s="62"/>
      <c r="ESA4" s="62"/>
      <c r="ESB4" s="62"/>
      <c r="ESC4" s="62"/>
      <c r="ESD4" s="62"/>
      <c r="ESE4" s="62"/>
      <c r="ESF4" s="62"/>
      <c r="ESG4" s="62"/>
      <c r="ESH4" s="62"/>
      <c r="ESI4" s="62"/>
      <c r="ESJ4" s="62"/>
      <c r="ESK4" s="62"/>
      <c r="ESL4" s="62"/>
      <c r="ESM4" s="62"/>
      <c r="ESN4" s="62"/>
      <c r="ESO4" s="62"/>
      <c r="ESP4" s="62"/>
      <c r="ESQ4" s="62"/>
      <c r="ESR4" s="62"/>
      <c r="ESS4" s="62"/>
      <c r="EST4" s="62"/>
      <c r="ESU4" s="62"/>
      <c r="ESV4" s="62"/>
      <c r="ESW4" s="62"/>
      <c r="ESX4" s="62"/>
      <c r="ESY4" s="62"/>
      <c r="ESZ4" s="62"/>
      <c r="ETA4" s="62"/>
      <c r="ETB4" s="62"/>
      <c r="ETC4" s="62"/>
      <c r="ETD4" s="62"/>
      <c r="ETE4" s="62"/>
      <c r="ETF4" s="62"/>
      <c r="ETG4" s="62"/>
      <c r="ETH4" s="62"/>
      <c r="ETI4" s="62"/>
      <c r="ETJ4" s="62"/>
      <c r="ETK4" s="62"/>
      <c r="ETL4" s="62"/>
      <c r="ETM4" s="62"/>
      <c r="ETN4" s="62"/>
      <c r="ETO4" s="62"/>
      <c r="ETP4" s="62"/>
      <c r="ETQ4" s="62"/>
      <c r="ETR4" s="62"/>
      <c r="ETS4" s="62"/>
      <c r="ETT4" s="62"/>
      <c r="ETU4" s="62"/>
      <c r="ETV4" s="62"/>
      <c r="ETW4" s="62"/>
      <c r="ETX4" s="62"/>
      <c r="ETY4" s="62"/>
      <c r="ETZ4" s="62"/>
      <c r="EUA4" s="62"/>
      <c r="EUB4" s="62"/>
      <c r="EUC4" s="62"/>
      <c r="EUD4" s="62"/>
      <c r="EUE4" s="62"/>
      <c r="EUF4" s="62"/>
      <c r="EUG4" s="62"/>
      <c r="EUH4" s="62"/>
      <c r="EUI4" s="62"/>
      <c r="EUJ4" s="62"/>
      <c r="EUK4" s="62"/>
      <c r="EUL4" s="62"/>
      <c r="EUM4" s="62"/>
      <c r="EUN4" s="62"/>
      <c r="EUO4" s="62"/>
      <c r="EUP4" s="62"/>
      <c r="EUQ4" s="62"/>
      <c r="EUR4" s="62"/>
      <c r="EUS4" s="62"/>
      <c r="EUT4" s="62"/>
      <c r="EUU4" s="62"/>
      <c r="EUV4" s="62"/>
      <c r="EUW4" s="62"/>
      <c r="EUX4" s="62"/>
      <c r="EUY4" s="62"/>
      <c r="EUZ4" s="62"/>
      <c r="EVA4" s="62"/>
      <c r="EVB4" s="62"/>
      <c r="EVC4" s="62"/>
      <c r="EVD4" s="62"/>
      <c r="EVE4" s="62"/>
      <c r="EVF4" s="62"/>
      <c r="EVG4" s="62"/>
      <c r="EVH4" s="62"/>
      <c r="EVI4" s="62"/>
      <c r="EVJ4" s="62"/>
      <c r="EVK4" s="62"/>
      <c r="EVL4" s="62"/>
      <c r="EVM4" s="62"/>
      <c r="EVN4" s="62"/>
      <c r="EVO4" s="62"/>
      <c r="EVP4" s="62"/>
      <c r="EVQ4" s="62"/>
      <c r="EVR4" s="62"/>
      <c r="EVS4" s="62"/>
      <c r="EVT4" s="62"/>
      <c r="EVU4" s="62"/>
      <c r="EVV4" s="62"/>
      <c r="EVW4" s="62"/>
      <c r="EVX4" s="62"/>
      <c r="EVY4" s="62"/>
      <c r="EVZ4" s="62"/>
      <c r="EWA4" s="62"/>
      <c r="EWB4" s="62"/>
      <c r="EWC4" s="62"/>
      <c r="EWD4" s="62"/>
      <c r="EWE4" s="62"/>
      <c r="EWF4" s="62"/>
      <c r="EWG4" s="62"/>
      <c r="EWH4" s="62"/>
      <c r="EWI4" s="62"/>
      <c r="EWJ4" s="62"/>
      <c r="EWK4" s="62"/>
      <c r="EWL4" s="62"/>
      <c r="EWM4" s="62"/>
      <c r="EWN4" s="62"/>
      <c r="EWO4" s="62"/>
      <c r="EWP4" s="62"/>
      <c r="EWQ4" s="62"/>
      <c r="EWR4" s="62"/>
      <c r="EWS4" s="62"/>
      <c r="EWT4" s="62"/>
      <c r="EWU4" s="62"/>
      <c r="EWV4" s="62"/>
      <c r="EWW4" s="62"/>
      <c r="EWX4" s="62"/>
      <c r="EWY4" s="62"/>
      <c r="EWZ4" s="62"/>
      <c r="EXA4" s="62"/>
      <c r="EXB4" s="62"/>
      <c r="EXC4" s="62"/>
      <c r="EXD4" s="62"/>
      <c r="EXE4" s="62"/>
      <c r="EXF4" s="62"/>
      <c r="EXG4" s="62"/>
      <c r="EXH4" s="62"/>
      <c r="EXI4" s="62"/>
      <c r="EXJ4" s="62"/>
      <c r="EXK4" s="62"/>
      <c r="EXL4" s="62"/>
      <c r="EXM4" s="62"/>
      <c r="EXN4" s="62"/>
      <c r="EXO4" s="62"/>
      <c r="EXP4" s="62"/>
      <c r="EXQ4" s="62"/>
      <c r="EXR4" s="62"/>
      <c r="EXS4" s="62"/>
      <c r="EXT4" s="62"/>
      <c r="EXU4" s="62"/>
      <c r="EXV4" s="62"/>
      <c r="EXW4" s="62"/>
      <c r="EXX4" s="62"/>
      <c r="EXY4" s="62"/>
      <c r="EXZ4" s="62"/>
      <c r="EYA4" s="62"/>
      <c r="EYB4" s="62"/>
      <c r="EYC4" s="62"/>
      <c r="EYD4" s="62"/>
      <c r="EYE4" s="62"/>
      <c r="EYF4" s="62"/>
      <c r="EYG4" s="62"/>
      <c r="EYH4" s="62"/>
      <c r="EYI4" s="62"/>
      <c r="EYJ4" s="62"/>
      <c r="EYK4" s="62"/>
      <c r="EYL4" s="62"/>
      <c r="EYM4" s="62"/>
      <c r="EYN4" s="62"/>
      <c r="EYO4" s="62"/>
      <c r="EYP4" s="62"/>
      <c r="EYQ4" s="62"/>
      <c r="EYR4" s="62"/>
      <c r="EYS4" s="62"/>
      <c r="EYT4" s="62"/>
      <c r="EYU4" s="62"/>
      <c r="EYV4" s="62"/>
      <c r="EYW4" s="62"/>
      <c r="EYX4" s="62"/>
      <c r="EYY4" s="62"/>
      <c r="EYZ4" s="62"/>
      <c r="EZA4" s="62"/>
      <c r="EZB4" s="62"/>
      <c r="EZC4" s="62"/>
      <c r="EZD4" s="62"/>
      <c r="EZE4" s="62"/>
      <c r="EZF4" s="62"/>
      <c r="EZG4" s="62"/>
      <c r="EZH4" s="62"/>
      <c r="EZI4" s="62"/>
      <c r="EZJ4" s="62"/>
      <c r="EZK4" s="62"/>
      <c r="EZL4" s="62"/>
      <c r="EZM4" s="62"/>
      <c r="EZN4" s="62"/>
      <c r="EZO4" s="62"/>
      <c r="EZP4" s="62"/>
      <c r="EZQ4" s="62"/>
      <c r="EZR4" s="62"/>
      <c r="EZS4" s="62"/>
      <c r="EZT4" s="62"/>
      <c r="EZU4" s="62"/>
      <c r="EZV4" s="62"/>
      <c r="EZW4" s="62"/>
      <c r="EZX4" s="62"/>
      <c r="EZY4" s="62"/>
      <c r="EZZ4" s="62"/>
      <c r="FAA4" s="62"/>
      <c r="FAB4" s="62"/>
      <c r="FAC4" s="62"/>
      <c r="FAD4" s="62"/>
      <c r="FAE4" s="62"/>
      <c r="FAF4" s="62"/>
      <c r="FAG4" s="62"/>
      <c r="FAH4" s="62"/>
      <c r="FAI4" s="62"/>
      <c r="FAJ4" s="62"/>
      <c r="FAK4" s="62"/>
      <c r="FAL4" s="62"/>
      <c r="FAM4" s="62"/>
      <c r="FAN4" s="62"/>
      <c r="FAO4" s="62"/>
      <c r="FAP4" s="62"/>
      <c r="FAQ4" s="62"/>
      <c r="FAR4" s="62"/>
      <c r="FAS4" s="62"/>
      <c r="FAT4" s="62"/>
      <c r="FAU4" s="62"/>
      <c r="FAV4" s="62"/>
      <c r="FAW4" s="62"/>
      <c r="FAX4" s="62"/>
      <c r="FAY4" s="62"/>
      <c r="FAZ4" s="62"/>
      <c r="FBA4" s="62"/>
      <c r="FBB4" s="62"/>
      <c r="FBC4" s="62"/>
      <c r="FBD4" s="62"/>
      <c r="FBE4" s="62"/>
      <c r="FBF4" s="62"/>
      <c r="FBG4" s="62"/>
      <c r="FBH4" s="62"/>
      <c r="FBI4" s="62"/>
      <c r="FBJ4" s="62"/>
      <c r="FBK4" s="62"/>
      <c r="FBL4" s="62"/>
      <c r="FBM4" s="62"/>
      <c r="FBN4" s="62"/>
      <c r="FBO4" s="62"/>
      <c r="FBP4" s="62"/>
      <c r="FBQ4" s="62"/>
      <c r="FBR4" s="62"/>
      <c r="FBS4" s="62"/>
      <c r="FBT4" s="62"/>
      <c r="FBU4" s="62"/>
      <c r="FBV4" s="62"/>
      <c r="FBW4" s="62"/>
      <c r="FBX4" s="62"/>
      <c r="FBY4" s="62"/>
      <c r="FBZ4" s="62"/>
      <c r="FCA4" s="62"/>
      <c r="FCB4" s="62"/>
      <c r="FCC4" s="62"/>
      <c r="FCD4" s="62"/>
      <c r="FCE4" s="62"/>
      <c r="FCF4" s="62"/>
      <c r="FCG4" s="62"/>
      <c r="FCH4" s="62"/>
      <c r="FCI4" s="62"/>
      <c r="FCJ4" s="62"/>
      <c r="FCK4" s="62"/>
      <c r="FCL4" s="62"/>
      <c r="FCM4" s="62"/>
      <c r="FCN4" s="62"/>
      <c r="FCO4" s="62"/>
      <c r="FCP4" s="62"/>
      <c r="FCQ4" s="62"/>
      <c r="FCR4" s="62"/>
      <c r="FCS4" s="62"/>
      <c r="FCT4" s="62"/>
      <c r="FCU4" s="62"/>
      <c r="FCV4" s="62"/>
      <c r="FCW4" s="62"/>
      <c r="FCX4" s="62"/>
      <c r="FCY4" s="62"/>
      <c r="FCZ4" s="62"/>
      <c r="FDA4" s="62"/>
      <c r="FDB4" s="62"/>
      <c r="FDC4" s="62"/>
      <c r="FDD4" s="62"/>
      <c r="FDE4" s="62"/>
      <c r="FDF4" s="62"/>
      <c r="FDG4" s="62"/>
      <c r="FDH4" s="62"/>
      <c r="FDI4" s="62"/>
      <c r="FDJ4" s="62"/>
      <c r="FDK4" s="62"/>
      <c r="FDL4" s="62"/>
      <c r="FDM4" s="62"/>
      <c r="FDN4" s="62"/>
      <c r="FDO4" s="62"/>
      <c r="FDP4" s="62"/>
      <c r="FDQ4" s="62"/>
      <c r="FDR4" s="62"/>
      <c r="FDS4" s="62"/>
      <c r="FDT4" s="62"/>
      <c r="FDU4" s="62"/>
      <c r="FDV4" s="62"/>
      <c r="FDW4" s="62"/>
      <c r="FDX4" s="62"/>
      <c r="FDY4" s="62"/>
      <c r="FDZ4" s="62"/>
      <c r="FEA4" s="62"/>
      <c r="FEB4" s="62"/>
      <c r="FEC4" s="62"/>
      <c r="FED4" s="62"/>
      <c r="FEE4" s="62"/>
      <c r="FEF4" s="62"/>
      <c r="FEG4" s="62"/>
      <c r="FEH4" s="62"/>
      <c r="FEI4" s="62"/>
      <c r="FEJ4" s="62"/>
      <c r="FEK4" s="62"/>
      <c r="FEL4" s="62"/>
      <c r="FEM4" s="62"/>
      <c r="FEN4" s="62"/>
      <c r="FEO4" s="62"/>
      <c r="FEP4" s="62"/>
      <c r="FEQ4" s="62"/>
      <c r="FER4" s="62"/>
      <c r="FES4" s="62"/>
      <c r="FET4" s="62"/>
      <c r="FEU4" s="62"/>
      <c r="FEV4" s="62"/>
      <c r="FEW4" s="62"/>
      <c r="FEX4" s="62"/>
      <c r="FEY4" s="62"/>
      <c r="FEZ4" s="62"/>
      <c r="FFA4" s="62"/>
      <c r="FFB4" s="62"/>
      <c r="FFC4" s="62"/>
      <c r="FFD4" s="62"/>
      <c r="FFE4" s="62"/>
      <c r="FFF4" s="62"/>
      <c r="FFG4" s="62"/>
      <c r="FFH4" s="62"/>
      <c r="FFI4" s="62"/>
      <c r="FFJ4" s="62"/>
      <c r="FFK4" s="62"/>
      <c r="FFL4" s="62"/>
      <c r="FFM4" s="62"/>
      <c r="FFN4" s="62"/>
      <c r="FFO4" s="62"/>
      <c r="FFP4" s="62"/>
      <c r="FFQ4" s="62"/>
      <c r="FFR4" s="62"/>
      <c r="FFS4" s="62"/>
      <c r="FFT4" s="62"/>
      <c r="FFU4" s="62"/>
      <c r="FFV4" s="62"/>
      <c r="FFW4" s="62"/>
      <c r="FFX4" s="62"/>
      <c r="FFY4" s="62"/>
      <c r="FFZ4" s="62"/>
      <c r="FGA4" s="62"/>
      <c r="FGB4" s="62"/>
      <c r="FGC4" s="62"/>
      <c r="FGD4" s="62"/>
      <c r="FGE4" s="62"/>
      <c r="FGF4" s="62"/>
      <c r="FGG4" s="62"/>
      <c r="FGH4" s="62"/>
      <c r="FGI4" s="62"/>
      <c r="FGJ4" s="62"/>
      <c r="FGK4" s="62"/>
      <c r="FGL4" s="62"/>
      <c r="FGM4" s="62"/>
      <c r="FGN4" s="62"/>
      <c r="FGO4" s="62"/>
      <c r="FGP4" s="62"/>
      <c r="FGQ4" s="62"/>
      <c r="FGR4" s="62"/>
      <c r="FGS4" s="62"/>
      <c r="FGT4" s="62"/>
      <c r="FGU4" s="62"/>
      <c r="FGV4" s="62"/>
      <c r="FGW4" s="62"/>
      <c r="FGX4" s="62"/>
      <c r="FGY4" s="62"/>
      <c r="FGZ4" s="62"/>
      <c r="FHA4" s="62"/>
      <c r="FHB4" s="62"/>
      <c r="FHC4" s="62"/>
      <c r="FHD4" s="62"/>
      <c r="FHE4" s="62"/>
      <c r="FHF4" s="62"/>
      <c r="FHG4" s="62"/>
      <c r="FHH4" s="62"/>
      <c r="FHI4" s="62"/>
      <c r="FHJ4" s="62"/>
      <c r="FHK4" s="62"/>
      <c r="FHL4" s="62"/>
      <c r="FHM4" s="62"/>
      <c r="FHN4" s="62"/>
      <c r="FHO4" s="62"/>
      <c r="FHP4" s="62"/>
      <c r="FHQ4" s="62"/>
      <c r="FHR4" s="62"/>
      <c r="FHS4" s="62"/>
      <c r="FHT4" s="62"/>
      <c r="FHU4" s="62"/>
      <c r="FHV4" s="62"/>
      <c r="FHW4" s="62"/>
      <c r="FHX4" s="62"/>
      <c r="FHY4" s="62"/>
      <c r="FHZ4" s="62"/>
      <c r="FIA4" s="62"/>
      <c r="FIB4" s="62"/>
      <c r="FIC4" s="62"/>
      <c r="FID4" s="62"/>
      <c r="FIE4" s="62"/>
      <c r="FIF4" s="62"/>
      <c r="FIG4" s="62"/>
      <c r="FIH4" s="62"/>
      <c r="FII4" s="62"/>
      <c r="FIJ4" s="62"/>
      <c r="FIK4" s="62"/>
      <c r="FIL4" s="62"/>
      <c r="FIM4" s="62"/>
      <c r="FIN4" s="62"/>
      <c r="FIO4" s="62"/>
      <c r="FIP4" s="62"/>
      <c r="FIQ4" s="62"/>
      <c r="FIR4" s="62"/>
      <c r="FIS4" s="62"/>
      <c r="FIT4" s="62"/>
      <c r="FIU4" s="62"/>
      <c r="FIV4" s="62"/>
      <c r="FIW4" s="62"/>
      <c r="FIX4" s="62"/>
      <c r="FIY4" s="62"/>
      <c r="FIZ4" s="62"/>
      <c r="FJA4" s="62"/>
      <c r="FJB4" s="62"/>
      <c r="FJC4" s="62"/>
      <c r="FJD4" s="62"/>
      <c r="FJE4" s="62"/>
      <c r="FJF4" s="62"/>
      <c r="FJG4" s="62"/>
      <c r="FJH4" s="62"/>
      <c r="FJI4" s="62"/>
      <c r="FJJ4" s="62"/>
      <c r="FJK4" s="62"/>
      <c r="FJL4" s="62"/>
      <c r="FJM4" s="62"/>
      <c r="FJN4" s="62"/>
      <c r="FJO4" s="62"/>
      <c r="FJP4" s="62"/>
      <c r="FJQ4" s="62"/>
      <c r="FJR4" s="62"/>
      <c r="FJS4" s="62"/>
      <c r="FJT4" s="62"/>
      <c r="FJU4" s="62"/>
      <c r="FJV4" s="62"/>
      <c r="FJW4" s="62"/>
      <c r="FJX4" s="62"/>
      <c r="FJY4" s="62"/>
      <c r="FJZ4" s="62"/>
      <c r="FKA4" s="62"/>
      <c r="FKB4" s="62"/>
      <c r="FKC4" s="62"/>
      <c r="FKD4" s="62"/>
      <c r="FKE4" s="62"/>
      <c r="FKF4" s="62"/>
      <c r="FKG4" s="62"/>
      <c r="FKH4" s="62"/>
      <c r="FKI4" s="62"/>
      <c r="FKJ4" s="62"/>
      <c r="FKK4" s="62"/>
      <c r="FKL4" s="62"/>
      <c r="FKM4" s="62"/>
      <c r="FKN4" s="62"/>
      <c r="FKO4" s="62"/>
      <c r="FKP4" s="62"/>
      <c r="FKQ4" s="62"/>
      <c r="FKR4" s="62"/>
      <c r="FKS4" s="62"/>
      <c r="FKT4" s="62"/>
      <c r="FKU4" s="62"/>
      <c r="FKV4" s="62"/>
      <c r="FKW4" s="62"/>
      <c r="FKX4" s="62"/>
      <c r="FKY4" s="62"/>
      <c r="FKZ4" s="62"/>
      <c r="FLA4" s="62"/>
      <c r="FLB4" s="62"/>
      <c r="FLC4" s="62"/>
      <c r="FLD4" s="62"/>
      <c r="FLE4" s="62"/>
      <c r="FLF4" s="62"/>
      <c r="FLG4" s="62"/>
      <c r="FLH4" s="62"/>
      <c r="FLI4" s="62"/>
      <c r="FLJ4" s="62"/>
      <c r="FLK4" s="62"/>
      <c r="FLL4" s="62"/>
      <c r="FLM4" s="62"/>
      <c r="FLN4" s="62"/>
      <c r="FLO4" s="62"/>
      <c r="FLP4" s="62"/>
      <c r="FLQ4" s="62"/>
      <c r="FLR4" s="62"/>
      <c r="FLS4" s="62"/>
      <c r="FLT4" s="62"/>
      <c r="FLU4" s="62"/>
      <c r="FLV4" s="62"/>
      <c r="FLW4" s="62"/>
      <c r="FLX4" s="62"/>
      <c r="FLY4" s="62"/>
      <c r="FLZ4" s="62"/>
      <c r="FMA4" s="62"/>
      <c r="FMB4" s="62"/>
      <c r="FMC4" s="62"/>
      <c r="FMD4" s="62"/>
      <c r="FME4" s="62"/>
      <c r="FMF4" s="62"/>
      <c r="FMG4" s="62"/>
      <c r="FMH4" s="62"/>
      <c r="FMI4" s="62"/>
      <c r="FMJ4" s="62"/>
      <c r="FMK4" s="62"/>
      <c r="FML4" s="62"/>
      <c r="FMM4" s="62"/>
      <c r="FMN4" s="62"/>
      <c r="FMO4" s="62"/>
      <c r="FMP4" s="62"/>
      <c r="FMQ4" s="62"/>
      <c r="FMR4" s="62"/>
      <c r="FMS4" s="62"/>
      <c r="FMT4" s="62"/>
      <c r="FMU4" s="62"/>
      <c r="FMV4" s="62"/>
      <c r="FMW4" s="62"/>
      <c r="FMX4" s="62"/>
      <c r="FMY4" s="62"/>
      <c r="FMZ4" s="62"/>
      <c r="FNA4" s="62"/>
      <c r="FNB4" s="62"/>
      <c r="FNC4" s="62"/>
      <c r="FND4" s="62"/>
      <c r="FNE4" s="62"/>
      <c r="FNF4" s="62"/>
      <c r="FNG4" s="62"/>
      <c r="FNH4" s="62"/>
      <c r="FNI4" s="62"/>
      <c r="FNJ4" s="62"/>
      <c r="FNK4" s="62"/>
      <c r="FNL4" s="62"/>
      <c r="FNM4" s="62"/>
      <c r="FNN4" s="62"/>
      <c r="FNO4" s="62"/>
      <c r="FNP4" s="62"/>
      <c r="FNQ4" s="62"/>
      <c r="FNR4" s="62"/>
      <c r="FNS4" s="62"/>
      <c r="FNT4" s="62"/>
      <c r="FNU4" s="62"/>
      <c r="FNV4" s="62"/>
      <c r="FNW4" s="62"/>
      <c r="FNX4" s="62"/>
      <c r="FNY4" s="62"/>
      <c r="FNZ4" s="62"/>
      <c r="FOA4" s="62"/>
      <c r="FOB4" s="62"/>
      <c r="FOC4" s="62"/>
      <c r="FOD4" s="62"/>
      <c r="FOE4" s="62"/>
      <c r="FOF4" s="62"/>
      <c r="FOG4" s="62"/>
      <c r="FOH4" s="62"/>
      <c r="FOI4" s="62"/>
      <c r="FOJ4" s="62"/>
      <c r="FOK4" s="62"/>
      <c r="FOL4" s="62"/>
      <c r="FOM4" s="62"/>
      <c r="FON4" s="62"/>
      <c r="FOO4" s="62"/>
      <c r="FOP4" s="62"/>
      <c r="FOQ4" s="62"/>
      <c r="FOR4" s="62"/>
      <c r="FOS4" s="62"/>
      <c r="FOT4" s="62"/>
      <c r="FOU4" s="62"/>
      <c r="FOV4" s="62"/>
      <c r="FOW4" s="62"/>
      <c r="FOX4" s="62"/>
      <c r="FOY4" s="62"/>
      <c r="FOZ4" s="62"/>
      <c r="FPA4" s="62"/>
      <c r="FPB4" s="62"/>
      <c r="FPC4" s="62"/>
      <c r="FPD4" s="62"/>
      <c r="FPE4" s="62"/>
      <c r="FPF4" s="62"/>
      <c r="FPG4" s="62"/>
      <c r="FPH4" s="62"/>
      <c r="FPI4" s="62"/>
      <c r="FPJ4" s="62"/>
      <c r="FPK4" s="62"/>
      <c r="FPL4" s="62"/>
      <c r="FPM4" s="62"/>
      <c r="FPN4" s="62"/>
      <c r="FPO4" s="62"/>
      <c r="FPP4" s="62"/>
      <c r="FPQ4" s="62"/>
      <c r="FPR4" s="62"/>
      <c r="FPS4" s="62"/>
      <c r="FPT4" s="62"/>
      <c r="FPU4" s="62"/>
      <c r="FPV4" s="62"/>
      <c r="FPW4" s="62"/>
      <c r="FPX4" s="62"/>
      <c r="FPY4" s="62"/>
      <c r="FPZ4" s="62"/>
      <c r="FQA4" s="62"/>
      <c r="FQB4" s="62"/>
      <c r="FQC4" s="62"/>
      <c r="FQD4" s="62"/>
      <c r="FQE4" s="62"/>
      <c r="FQF4" s="62"/>
      <c r="FQG4" s="62"/>
      <c r="FQH4" s="62"/>
      <c r="FQI4" s="62"/>
      <c r="FQJ4" s="62"/>
      <c r="FQK4" s="62"/>
      <c r="FQL4" s="62"/>
      <c r="FQM4" s="62"/>
      <c r="FQN4" s="62"/>
      <c r="FQO4" s="62"/>
      <c r="FQP4" s="62"/>
      <c r="FQQ4" s="62"/>
      <c r="FQR4" s="62"/>
      <c r="FQS4" s="62"/>
      <c r="FQT4" s="62"/>
      <c r="FQU4" s="62"/>
      <c r="FQV4" s="62"/>
      <c r="FQW4" s="62"/>
      <c r="FQX4" s="62"/>
      <c r="FQY4" s="62"/>
      <c r="FQZ4" s="62"/>
      <c r="FRA4" s="62"/>
      <c r="FRB4" s="62"/>
      <c r="FRC4" s="62"/>
      <c r="FRD4" s="62"/>
      <c r="FRE4" s="62"/>
      <c r="FRF4" s="62"/>
      <c r="FRG4" s="62"/>
      <c r="FRH4" s="62"/>
      <c r="FRI4" s="62"/>
      <c r="FRJ4" s="62"/>
      <c r="FRK4" s="62"/>
      <c r="FRL4" s="62"/>
      <c r="FRM4" s="62"/>
      <c r="FRN4" s="62"/>
      <c r="FRO4" s="62"/>
      <c r="FRP4" s="62"/>
      <c r="FRQ4" s="62"/>
      <c r="FRR4" s="62"/>
      <c r="FRS4" s="62"/>
      <c r="FRT4" s="62"/>
      <c r="FRU4" s="62"/>
      <c r="FRV4" s="62"/>
      <c r="FRW4" s="62"/>
      <c r="FRX4" s="62"/>
      <c r="FRY4" s="62"/>
      <c r="FRZ4" s="62"/>
      <c r="FSA4" s="62"/>
      <c r="FSB4" s="62"/>
      <c r="FSC4" s="62"/>
      <c r="FSD4" s="62"/>
      <c r="FSE4" s="62"/>
      <c r="FSF4" s="62"/>
      <c r="FSG4" s="62"/>
      <c r="FSH4" s="62"/>
      <c r="FSI4" s="62"/>
      <c r="FSJ4" s="62"/>
      <c r="FSK4" s="62"/>
      <c r="FSL4" s="62"/>
      <c r="FSM4" s="62"/>
      <c r="FSN4" s="62"/>
      <c r="FSO4" s="62"/>
      <c r="FSP4" s="62"/>
      <c r="FSQ4" s="62"/>
      <c r="FSR4" s="62"/>
      <c r="FSS4" s="62"/>
      <c r="FST4" s="62"/>
      <c r="FSU4" s="62"/>
      <c r="FSV4" s="62"/>
      <c r="FSW4" s="62"/>
      <c r="FSX4" s="62"/>
      <c r="FSY4" s="62"/>
      <c r="FSZ4" s="62"/>
      <c r="FTA4" s="62"/>
      <c r="FTB4" s="62"/>
      <c r="FTC4" s="62"/>
      <c r="FTD4" s="62"/>
      <c r="FTE4" s="62"/>
      <c r="FTF4" s="62"/>
      <c r="FTG4" s="62"/>
      <c r="FTH4" s="62"/>
      <c r="FTI4" s="62"/>
      <c r="FTJ4" s="62"/>
      <c r="FTK4" s="62"/>
      <c r="FTL4" s="62"/>
      <c r="FTM4" s="62"/>
      <c r="FTN4" s="62"/>
      <c r="FTO4" s="62"/>
      <c r="FTP4" s="62"/>
      <c r="FTQ4" s="62"/>
      <c r="FTR4" s="62"/>
      <c r="FTS4" s="62"/>
      <c r="FTT4" s="62"/>
      <c r="FTU4" s="62"/>
      <c r="FTV4" s="62"/>
      <c r="FTW4" s="62"/>
      <c r="FTX4" s="62"/>
      <c r="FTY4" s="62"/>
      <c r="FTZ4" s="62"/>
      <c r="FUA4" s="62"/>
      <c r="FUB4" s="62"/>
      <c r="FUC4" s="62"/>
      <c r="FUD4" s="62"/>
      <c r="FUE4" s="62"/>
      <c r="FUF4" s="62"/>
      <c r="FUG4" s="62"/>
      <c r="FUH4" s="62"/>
      <c r="FUI4" s="62"/>
      <c r="FUJ4" s="62"/>
      <c r="FUK4" s="62"/>
      <c r="FUL4" s="62"/>
      <c r="FUM4" s="62"/>
      <c r="FUN4" s="62"/>
      <c r="FUO4" s="62"/>
      <c r="FUP4" s="62"/>
      <c r="FUQ4" s="62"/>
      <c r="FUR4" s="62"/>
      <c r="FUS4" s="62"/>
      <c r="FUT4" s="62"/>
      <c r="FUU4" s="62"/>
      <c r="FUV4" s="62"/>
      <c r="FUW4" s="62"/>
      <c r="FUX4" s="62"/>
      <c r="FUY4" s="62"/>
      <c r="FUZ4" s="62"/>
      <c r="FVA4" s="62"/>
      <c r="FVB4" s="62"/>
      <c r="FVC4" s="62"/>
      <c r="FVD4" s="62"/>
      <c r="FVE4" s="62"/>
      <c r="FVF4" s="62"/>
      <c r="FVG4" s="62"/>
      <c r="FVH4" s="62"/>
      <c r="FVI4" s="62"/>
      <c r="FVJ4" s="62"/>
      <c r="FVK4" s="62"/>
      <c r="FVL4" s="62"/>
      <c r="FVM4" s="62"/>
      <c r="FVN4" s="62"/>
      <c r="FVO4" s="62"/>
      <c r="FVP4" s="62"/>
      <c r="FVQ4" s="62"/>
      <c r="FVR4" s="62"/>
      <c r="FVS4" s="62"/>
      <c r="FVT4" s="62"/>
      <c r="FVU4" s="62"/>
      <c r="FVV4" s="62"/>
      <c r="FVW4" s="62"/>
      <c r="FVX4" s="62"/>
      <c r="FVY4" s="62"/>
      <c r="FVZ4" s="62"/>
      <c r="FWA4" s="62"/>
      <c r="FWB4" s="62"/>
      <c r="FWC4" s="62"/>
      <c r="FWD4" s="62"/>
      <c r="FWE4" s="62"/>
      <c r="FWF4" s="62"/>
      <c r="FWG4" s="62"/>
      <c r="FWH4" s="62"/>
      <c r="FWI4" s="62"/>
      <c r="FWJ4" s="62"/>
      <c r="FWK4" s="62"/>
      <c r="FWL4" s="62"/>
      <c r="FWM4" s="62"/>
      <c r="FWN4" s="62"/>
      <c r="FWO4" s="62"/>
      <c r="FWP4" s="62"/>
      <c r="FWQ4" s="62"/>
      <c r="FWR4" s="62"/>
      <c r="FWS4" s="62"/>
      <c r="FWT4" s="62"/>
      <c r="FWU4" s="62"/>
      <c r="FWV4" s="62"/>
      <c r="FWW4" s="62"/>
      <c r="FWX4" s="62"/>
      <c r="FWY4" s="62"/>
      <c r="FWZ4" s="62"/>
      <c r="FXA4" s="62"/>
      <c r="FXB4" s="62"/>
      <c r="FXC4" s="62"/>
      <c r="FXD4" s="62"/>
      <c r="FXE4" s="62"/>
      <c r="FXF4" s="62"/>
      <c r="FXG4" s="62"/>
      <c r="FXH4" s="62"/>
      <c r="FXI4" s="62"/>
      <c r="FXJ4" s="62"/>
      <c r="FXK4" s="62"/>
      <c r="FXL4" s="62"/>
      <c r="FXM4" s="62"/>
      <c r="FXN4" s="62"/>
      <c r="FXO4" s="62"/>
      <c r="FXP4" s="62"/>
      <c r="FXQ4" s="62"/>
      <c r="FXR4" s="62"/>
      <c r="FXS4" s="62"/>
      <c r="FXT4" s="62"/>
      <c r="FXU4" s="62"/>
      <c r="FXV4" s="62"/>
      <c r="FXW4" s="62"/>
      <c r="FXX4" s="62"/>
      <c r="FXY4" s="62"/>
      <c r="FXZ4" s="62"/>
      <c r="FYA4" s="62"/>
      <c r="FYB4" s="62"/>
      <c r="FYC4" s="62"/>
      <c r="FYD4" s="62"/>
      <c r="FYE4" s="62"/>
      <c r="FYF4" s="62"/>
      <c r="FYG4" s="62"/>
      <c r="FYH4" s="62"/>
      <c r="FYI4" s="62"/>
      <c r="FYJ4" s="62"/>
      <c r="FYK4" s="62"/>
      <c r="FYL4" s="62"/>
      <c r="FYM4" s="62"/>
      <c r="FYN4" s="62"/>
      <c r="FYO4" s="62"/>
      <c r="FYP4" s="62"/>
      <c r="FYQ4" s="62"/>
      <c r="FYR4" s="62"/>
      <c r="FYS4" s="62"/>
      <c r="FYT4" s="62"/>
      <c r="FYU4" s="62"/>
      <c r="FYV4" s="62"/>
      <c r="FYW4" s="62"/>
      <c r="FYX4" s="62"/>
      <c r="FYY4" s="62"/>
      <c r="FYZ4" s="62"/>
      <c r="FZA4" s="62"/>
      <c r="FZB4" s="62"/>
      <c r="FZC4" s="62"/>
      <c r="FZD4" s="62"/>
      <c r="FZE4" s="62"/>
      <c r="FZF4" s="62"/>
      <c r="FZG4" s="62"/>
      <c r="FZH4" s="62"/>
      <c r="FZI4" s="62"/>
      <c r="FZJ4" s="62"/>
      <c r="FZK4" s="62"/>
      <c r="FZL4" s="62"/>
      <c r="FZM4" s="62"/>
      <c r="FZN4" s="62"/>
      <c r="FZO4" s="62"/>
      <c r="FZP4" s="62"/>
      <c r="FZQ4" s="62"/>
      <c r="FZR4" s="62"/>
      <c r="FZS4" s="62"/>
      <c r="FZT4" s="62"/>
      <c r="FZU4" s="62"/>
      <c r="FZV4" s="62"/>
      <c r="FZW4" s="62"/>
      <c r="FZX4" s="62"/>
      <c r="FZY4" s="62"/>
      <c r="FZZ4" s="62"/>
      <c r="GAA4" s="62"/>
      <c r="GAB4" s="62"/>
      <c r="GAC4" s="62"/>
      <c r="GAD4" s="62"/>
      <c r="GAE4" s="62"/>
      <c r="GAF4" s="62"/>
      <c r="GAG4" s="62"/>
      <c r="GAH4" s="62"/>
      <c r="GAI4" s="62"/>
      <c r="GAJ4" s="62"/>
      <c r="GAK4" s="62"/>
      <c r="GAL4" s="62"/>
      <c r="GAM4" s="62"/>
      <c r="GAN4" s="62"/>
      <c r="GAO4" s="62"/>
      <c r="GAP4" s="62"/>
      <c r="GAQ4" s="62"/>
      <c r="GAR4" s="62"/>
      <c r="GAS4" s="62"/>
      <c r="GAT4" s="62"/>
      <c r="GAU4" s="62"/>
      <c r="GAV4" s="62"/>
      <c r="GAW4" s="62"/>
      <c r="GAX4" s="62"/>
      <c r="GAY4" s="62"/>
      <c r="GAZ4" s="62"/>
      <c r="GBA4" s="62"/>
      <c r="GBB4" s="62"/>
      <c r="GBC4" s="62"/>
      <c r="GBD4" s="62"/>
      <c r="GBE4" s="62"/>
      <c r="GBF4" s="62"/>
      <c r="GBG4" s="62"/>
      <c r="GBH4" s="62"/>
      <c r="GBI4" s="62"/>
      <c r="GBJ4" s="62"/>
      <c r="GBK4" s="62"/>
      <c r="GBL4" s="62"/>
      <c r="GBM4" s="62"/>
      <c r="GBN4" s="62"/>
      <c r="GBO4" s="62"/>
      <c r="GBP4" s="62"/>
      <c r="GBQ4" s="62"/>
      <c r="GBR4" s="62"/>
      <c r="GBS4" s="62"/>
      <c r="GBT4" s="62"/>
      <c r="GBU4" s="62"/>
      <c r="GBV4" s="62"/>
      <c r="GBW4" s="62"/>
      <c r="GBX4" s="62"/>
      <c r="GBY4" s="62"/>
      <c r="GBZ4" s="62"/>
      <c r="GCA4" s="62"/>
      <c r="GCB4" s="62"/>
      <c r="GCC4" s="62"/>
      <c r="GCD4" s="62"/>
      <c r="GCE4" s="62"/>
      <c r="GCF4" s="62"/>
      <c r="GCG4" s="62"/>
      <c r="GCH4" s="62"/>
      <c r="GCI4" s="62"/>
      <c r="GCJ4" s="62"/>
      <c r="GCK4" s="62"/>
      <c r="GCL4" s="62"/>
      <c r="GCM4" s="62"/>
      <c r="GCN4" s="62"/>
      <c r="GCO4" s="62"/>
      <c r="GCP4" s="62"/>
      <c r="GCQ4" s="62"/>
      <c r="GCR4" s="62"/>
      <c r="GCS4" s="62"/>
      <c r="GCT4" s="62"/>
      <c r="GCU4" s="62"/>
      <c r="GCV4" s="62"/>
      <c r="GCW4" s="62"/>
      <c r="GCX4" s="62"/>
      <c r="GCY4" s="62"/>
      <c r="GCZ4" s="62"/>
      <c r="GDA4" s="62"/>
      <c r="GDB4" s="62"/>
      <c r="GDC4" s="62"/>
      <c r="GDD4" s="62"/>
      <c r="GDE4" s="62"/>
      <c r="GDF4" s="62"/>
      <c r="GDG4" s="62"/>
      <c r="GDH4" s="62"/>
      <c r="GDI4" s="62"/>
      <c r="GDJ4" s="62"/>
      <c r="GDK4" s="62"/>
      <c r="GDL4" s="62"/>
      <c r="GDM4" s="62"/>
      <c r="GDN4" s="62"/>
      <c r="GDO4" s="62"/>
      <c r="GDP4" s="62"/>
      <c r="GDQ4" s="62"/>
      <c r="GDR4" s="62"/>
      <c r="GDS4" s="62"/>
      <c r="GDT4" s="62"/>
      <c r="GDU4" s="62"/>
      <c r="GDV4" s="62"/>
      <c r="GDW4" s="62"/>
      <c r="GDX4" s="62"/>
      <c r="GDY4" s="62"/>
      <c r="GDZ4" s="62"/>
      <c r="GEA4" s="62"/>
      <c r="GEB4" s="62"/>
      <c r="GEC4" s="62"/>
      <c r="GED4" s="62"/>
      <c r="GEE4" s="62"/>
      <c r="GEF4" s="62"/>
      <c r="GEG4" s="62"/>
      <c r="GEH4" s="62"/>
      <c r="GEI4" s="62"/>
      <c r="GEJ4" s="62"/>
      <c r="GEK4" s="62"/>
      <c r="GEL4" s="62"/>
      <c r="GEM4" s="62"/>
      <c r="GEN4" s="62"/>
      <c r="GEO4" s="62"/>
      <c r="GEP4" s="62"/>
      <c r="GEQ4" s="62"/>
      <c r="GER4" s="62"/>
      <c r="GES4" s="62"/>
      <c r="GET4" s="62"/>
      <c r="GEU4" s="62"/>
      <c r="GEV4" s="62"/>
      <c r="GEW4" s="62"/>
      <c r="GEX4" s="62"/>
      <c r="GEY4" s="62"/>
      <c r="GEZ4" s="62"/>
      <c r="GFA4" s="62"/>
      <c r="GFB4" s="62"/>
      <c r="GFC4" s="62"/>
      <c r="GFD4" s="62"/>
      <c r="GFE4" s="62"/>
      <c r="GFF4" s="62"/>
      <c r="GFG4" s="62"/>
      <c r="GFH4" s="62"/>
      <c r="GFI4" s="62"/>
      <c r="GFJ4" s="62"/>
      <c r="GFK4" s="62"/>
      <c r="GFL4" s="62"/>
      <c r="GFM4" s="62"/>
      <c r="GFN4" s="62"/>
      <c r="GFO4" s="62"/>
      <c r="GFP4" s="62"/>
      <c r="GFQ4" s="62"/>
      <c r="GFR4" s="62"/>
      <c r="GFS4" s="62"/>
      <c r="GFT4" s="62"/>
      <c r="GFU4" s="62"/>
      <c r="GFV4" s="62"/>
      <c r="GFW4" s="62"/>
      <c r="GFX4" s="62"/>
      <c r="GFY4" s="62"/>
      <c r="GFZ4" s="62"/>
      <c r="GGA4" s="62"/>
      <c r="GGB4" s="62"/>
      <c r="GGC4" s="62"/>
      <c r="GGD4" s="62"/>
      <c r="GGE4" s="62"/>
      <c r="GGF4" s="62"/>
      <c r="GGG4" s="62"/>
      <c r="GGH4" s="62"/>
      <c r="GGI4" s="62"/>
      <c r="GGJ4" s="62"/>
      <c r="GGK4" s="62"/>
      <c r="GGL4" s="62"/>
      <c r="GGM4" s="62"/>
      <c r="GGN4" s="62"/>
      <c r="GGO4" s="62"/>
      <c r="GGP4" s="62"/>
      <c r="GGQ4" s="62"/>
      <c r="GGR4" s="62"/>
      <c r="GGS4" s="62"/>
      <c r="GGT4" s="62"/>
      <c r="GGU4" s="62"/>
      <c r="GGV4" s="62"/>
      <c r="GGW4" s="62"/>
      <c r="GGX4" s="62"/>
      <c r="GGY4" s="62"/>
      <c r="GGZ4" s="62"/>
      <c r="GHA4" s="62"/>
      <c r="GHB4" s="62"/>
      <c r="GHC4" s="62"/>
      <c r="GHD4" s="62"/>
      <c r="GHE4" s="62"/>
      <c r="GHF4" s="62"/>
      <c r="GHG4" s="62"/>
      <c r="GHH4" s="62"/>
      <c r="GHI4" s="62"/>
      <c r="GHJ4" s="62"/>
      <c r="GHK4" s="62"/>
      <c r="GHL4" s="62"/>
      <c r="GHM4" s="62"/>
      <c r="GHN4" s="62"/>
      <c r="GHO4" s="62"/>
      <c r="GHP4" s="62"/>
      <c r="GHQ4" s="62"/>
      <c r="GHR4" s="62"/>
      <c r="GHS4" s="62"/>
      <c r="GHT4" s="62"/>
      <c r="GHU4" s="62"/>
      <c r="GHV4" s="62"/>
      <c r="GHW4" s="62"/>
      <c r="GHX4" s="62"/>
      <c r="GHY4" s="62"/>
      <c r="GHZ4" s="62"/>
      <c r="GIA4" s="62"/>
      <c r="GIB4" s="62"/>
      <c r="GIC4" s="62"/>
      <c r="GID4" s="62"/>
      <c r="GIE4" s="62"/>
      <c r="GIF4" s="62"/>
      <c r="GIG4" s="62"/>
      <c r="GIH4" s="62"/>
      <c r="GII4" s="62"/>
      <c r="GIJ4" s="62"/>
      <c r="GIK4" s="62"/>
      <c r="GIL4" s="62"/>
      <c r="GIM4" s="62"/>
      <c r="GIN4" s="62"/>
      <c r="GIO4" s="62"/>
      <c r="GIP4" s="62"/>
      <c r="GIQ4" s="62"/>
      <c r="GIR4" s="62"/>
      <c r="GIS4" s="62"/>
      <c r="GIT4" s="62"/>
      <c r="GIU4" s="62"/>
      <c r="GIV4" s="62"/>
      <c r="GIW4" s="62"/>
      <c r="GIX4" s="62"/>
      <c r="GIY4" s="62"/>
      <c r="GIZ4" s="62"/>
      <c r="GJA4" s="62"/>
      <c r="GJB4" s="62"/>
      <c r="GJC4" s="62"/>
      <c r="GJD4" s="62"/>
      <c r="GJE4" s="62"/>
      <c r="GJF4" s="62"/>
      <c r="GJG4" s="62"/>
      <c r="GJH4" s="62"/>
      <c r="GJI4" s="62"/>
      <c r="GJJ4" s="62"/>
      <c r="GJK4" s="62"/>
      <c r="GJL4" s="62"/>
      <c r="GJM4" s="62"/>
      <c r="GJN4" s="62"/>
      <c r="GJO4" s="62"/>
      <c r="GJP4" s="62"/>
      <c r="GJQ4" s="62"/>
      <c r="GJR4" s="62"/>
      <c r="GJS4" s="62"/>
      <c r="GJT4" s="62"/>
      <c r="GJU4" s="62"/>
      <c r="GJV4" s="62"/>
      <c r="GJW4" s="62"/>
      <c r="GJX4" s="62"/>
      <c r="GJY4" s="62"/>
      <c r="GJZ4" s="62"/>
      <c r="GKA4" s="62"/>
      <c r="GKB4" s="62"/>
      <c r="GKC4" s="62"/>
      <c r="GKD4" s="62"/>
      <c r="GKE4" s="62"/>
      <c r="GKF4" s="62"/>
      <c r="GKG4" s="62"/>
      <c r="GKH4" s="62"/>
      <c r="GKI4" s="62"/>
      <c r="GKJ4" s="62"/>
      <c r="GKK4" s="62"/>
      <c r="GKL4" s="62"/>
      <c r="GKM4" s="62"/>
      <c r="GKN4" s="62"/>
      <c r="GKO4" s="62"/>
      <c r="GKP4" s="62"/>
      <c r="GKQ4" s="62"/>
      <c r="GKR4" s="62"/>
      <c r="GKS4" s="62"/>
      <c r="GKT4" s="62"/>
      <c r="GKU4" s="62"/>
      <c r="GKV4" s="62"/>
      <c r="GKW4" s="62"/>
      <c r="GKX4" s="62"/>
      <c r="GKY4" s="62"/>
      <c r="GKZ4" s="62"/>
      <c r="GLA4" s="62"/>
      <c r="GLB4" s="62"/>
      <c r="GLC4" s="62"/>
      <c r="GLD4" s="62"/>
      <c r="GLE4" s="62"/>
      <c r="GLF4" s="62"/>
      <c r="GLG4" s="62"/>
      <c r="GLH4" s="62"/>
      <c r="GLI4" s="62"/>
      <c r="GLJ4" s="62"/>
      <c r="GLK4" s="62"/>
      <c r="GLL4" s="62"/>
      <c r="GLM4" s="62"/>
      <c r="GLN4" s="62"/>
      <c r="GLO4" s="62"/>
      <c r="GLP4" s="62"/>
      <c r="GLQ4" s="62"/>
      <c r="GLR4" s="62"/>
      <c r="GLS4" s="62"/>
      <c r="GLT4" s="62"/>
      <c r="GLU4" s="62"/>
      <c r="GLV4" s="62"/>
      <c r="GLW4" s="62"/>
      <c r="GLX4" s="62"/>
      <c r="GLY4" s="62"/>
      <c r="GLZ4" s="62"/>
      <c r="GMA4" s="62"/>
      <c r="GMB4" s="62"/>
      <c r="GMC4" s="62"/>
      <c r="GMD4" s="62"/>
      <c r="GME4" s="62"/>
      <c r="GMF4" s="62"/>
      <c r="GMG4" s="62"/>
      <c r="GMH4" s="62"/>
      <c r="GMI4" s="62"/>
      <c r="GMJ4" s="62"/>
      <c r="GMK4" s="62"/>
      <c r="GML4" s="62"/>
      <c r="GMM4" s="62"/>
      <c r="GMN4" s="62"/>
      <c r="GMO4" s="62"/>
      <c r="GMP4" s="62"/>
      <c r="GMQ4" s="62"/>
      <c r="GMR4" s="62"/>
      <c r="GMS4" s="62"/>
      <c r="GMT4" s="62"/>
      <c r="GMU4" s="62"/>
      <c r="GMV4" s="62"/>
      <c r="GMW4" s="62"/>
      <c r="GMX4" s="62"/>
      <c r="GMY4" s="62"/>
      <c r="GMZ4" s="62"/>
      <c r="GNA4" s="62"/>
      <c r="GNB4" s="62"/>
      <c r="GNC4" s="62"/>
      <c r="GND4" s="62"/>
      <c r="GNE4" s="62"/>
      <c r="GNF4" s="62"/>
      <c r="GNG4" s="62"/>
      <c r="GNH4" s="62"/>
      <c r="GNI4" s="62"/>
      <c r="GNJ4" s="62"/>
      <c r="GNK4" s="62"/>
      <c r="GNL4" s="62"/>
      <c r="GNM4" s="62"/>
      <c r="GNN4" s="62"/>
      <c r="GNO4" s="62"/>
      <c r="GNP4" s="62"/>
      <c r="GNQ4" s="62"/>
      <c r="GNR4" s="62"/>
      <c r="GNS4" s="62"/>
      <c r="GNT4" s="62"/>
      <c r="GNU4" s="62"/>
      <c r="GNV4" s="62"/>
      <c r="GNW4" s="62"/>
      <c r="GNX4" s="62"/>
      <c r="GNY4" s="62"/>
      <c r="GNZ4" s="62"/>
      <c r="GOA4" s="62"/>
      <c r="GOB4" s="62"/>
      <c r="GOC4" s="62"/>
      <c r="GOD4" s="62"/>
      <c r="GOE4" s="62"/>
      <c r="GOF4" s="62"/>
      <c r="GOG4" s="62"/>
      <c r="GOH4" s="62"/>
      <c r="GOI4" s="62"/>
      <c r="GOJ4" s="62"/>
      <c r="GOK4" s="62"/>
      <c r="GOL4" s="62"/>
      <c r="GOM4" s="62"/>
      <c r="GON4" s="62"/>
      <c r="GOO4" s="62"/>
      <c r="GOP4" s="62"/>
      <c r="GOQ4" s="62"/>
      <c r="GOR4" s="62"/>
      <c r="GOS4" s="62"/>
      <c r="GOT4" s="62"/>
      <c r="GOU4" s="62"/>
      <c r="GOV4" s="62"/>
      <c r="GOW4" s="62"/>
      <c r="GOX4" s="62"/>
      <c r="GOY4" s="62"/>
      <c r="GOZ4" s="62"/>
      <c r="GPA4" s="62"/>
      <c r="GPB4" s="62"/>
      <c r="GPC4" s="62"/>
      <c r="GPD4" s="62"/>
      <c r="GPE4" s="62"/>
      <c r="GPF4" s="62"/>
      <c r="GPG4" s="62"/>
      <c r="GPH4" s="62"/>
      <c r="GPI4" s="62"/>
      <c r="GPJ4" s="62"/>
      <c r="GPK4" s="62"/>
      <c r="GPL4" s="62"/>
      <c r="GPM4" s="62"/>
      <c r="GPN4" s="62"/>
      <c r="GPO4" s="62"/>
      <c r="GPP4" s="62"/>
      <c r="GPQ4" s="62"/>
      <c r="GPR4" s="62"/>
      <c r="GPS4" s="62"/>
      <c r="GPT4" s="62"/>
      <c r="GPU4" s="62"/>
      <c r="GPV4" s="62"/>
      <c r="GPW4" s="62"/>
      <c r="GPX4" s="62"/>
      <c r="GPY4" s="62"/>
      <c r="GPZ4" s="62"/>
      <c r="GQA4" s="62"/>
      <c r="GQB4" s="62"/>
      <c r="GQC4" s="62"/>
      <c r="GQD4" s="62"/>
      <c r="GQE4" s="62"/>
      <c r="GQF4" s="62"/>
      <c r="GQG4" s="62"/>
      <c r="GQH4" s="62"/>
      <c r="GQI4" s="62"/>
      <c r="GQJ4" s="62"/>
      <c r="GQK4" s="62"/>
      <c r="GQL4" s="62"/>
      <c r="GQM4" s="62"/>
      <c r="GQN4" s="62"/>
      <c r="GQO4" s="62"/>
      <c r="GQP4" s="62"/>
      <c r="GQQ4" s="62"/>
      <c r="GQR4" s="62"/>
      <c r="GQS4" s="62"/>
      <c r="GQT4" s="62"/>
      <c r="GQU4" s="62"/>
      <c r="GQV4" s="62"/>
      <c r="GQW4" s="62"/>
      <c r="GQX4" s="62"/>
      <c r="GQY4" s="62"/>
      <c r="GQZ4" s="62"/>
      <c r="GRA4" s="62"/>
      <c r="GRB4" s="62"/>
      <c r="GRC4" s="62"/>
      <c r="GRD4" s="62"/>
      <c r="GRE4" s="62"/>
      <c r="GRF4" s="62"/>
      <c r="GRG4" s="62"/>
      <c r="GRH4" s="62"/>
      <c r="GRI4" s="62"/>
      <c r="GRJ4" s="62"/>
      <c r="GRK4" s="62"/>
      <c r="GRL4" s="62"/>
      <c r="GRM4" s="62"/>
      <c r="GRN4" s="62"/>
      <c r="GRO4" s="62"/>
      <c r="GRP4" s="62"/>
      <c r="GRQ4" s="62"/>
      <c r="GRR4" s="62"/>
      <c r="GRS4" s="62"/>
      <c r="GRT4" s="62"/>
      <c r="GRU4" s="62"/>
      <c r="GRV4" s="62"/>
      <c r="GRW4" s="62"/>
      <c r="GRX4" s="62"/>
      <c r="GRY4" s="62"/>
      <c r="GRZ4" s="62"/>
      <c r="GSA4" s="62"/>
      <c r="GSB4" s="62"/>
      <c r="GSC4" s="62"/>
      <c r="GSD4" s="62"/>
      <c r="GSE4" s="62"/>
      <c r="GSF4" s="62"/>
      <c r="GSG4" s="62"/>
      <c r="GSH4" s="62"/>
      <c r="GSI4" s="62"/>
      <c r="GSJ4" s="62"/>
      <c r="GSK4" s="62"/>
      <c r="GSL4" s="62"/>
      <c r="GSM4" s="62"/>
      <c r="GSN4" s="62"/>
      <c r="GSO4" s="62"/>
      <c r="GSP4" s="62"/>
      <c r="GSQ4" s="62"/>
      <c r="GSR4" s="62"/>
      <c r="GSS4" s="62"/>
      <c r="GST4" s="62"/>
      <c r="GSU4" s="62"/>
      <c r="GSV4" s="62"/>
      <c r="GSW4" s="62"/>
      <c r="GSX4" s="62"/>
      <c r="GSY4" s="62"/>
      <c r="GSZ4" s="62"/>
      <c r="GTA4" s="62"/>
      <c r="GTB4" s="62"/>
      <c r="GTC4" s="62"/>
      <c r="GTD4" s="62"/>
      <c r="GTE4" s="62"/>
      <c r="GTF4" s="62"/>
      <c r="GTG4" s="62"/>
      <c r="GTH4" s="62"/>
      <c r="GTI4" s="62"/>
      <c r="GTJ4" s="62"/>
      <c r="GTK4" s="62"/>
      <c r="GTL4" s="62"/>
      <c r="GTM4" s="62"/>
      <c r="GTN4" s="62"/>
      <c r="GTO4" s="62"/>
      <c r="GTP4" s="62"/>
      <c r="GTQ4" s="62"/>
      <c r="GTR4" s="62"/>
      <c r="GTS4" s="62"/>
      <c r="GTT4" s="62"/>
      <c r="GTU4" s="62"/>
      <c r="GTV4" s="62"/>
      <c r="GTW4" s="62"/>
      <c r="GTX4" s="62"/>
      <c r="GTY4" s="62"/>
      <c r="GTZ4" s="62"/>
      <c r="GUA4" s="62"/>
      <c r="GUB4" s="62"/>
      <c r="GUC4" s="62"/>
      <c r="GUD4" s="62"/>
      <c r="GUE4" s="62"/>
      <c r="GUF4" s="62"/>
      <c r="GUG4" s="62"/>
      <c r="GUH4" s="62"/>
      <c r="GUI4" s="62"/>
      <c r="GUJ4" s="62"/>
      <c r="GUK4" s="62"/>
      <c r="GUL4" s="62"/>
      <c r="GUM4" s="62"/>
      <c r="GUN4" s="62"/>
      <c r="GUO4" s="62"/>
      <c r="GUP4" s="62"/>
      <c r="GUQ4" s="62"/>
      <c r="GUR4" s="62"/>
      <c r="GUS4" s="62"/>
      <c r="GUT4" s="62"/>
      <c r="GUU4" s="62"/>
      <c r="GUV4" s="62"/>
      <c r="GUW4" s="62"/>
      <c r="GUX4" s="62"/>
      <c r="GUY4" s="62"/>
      <c r="GUZ4" s="62"/>
      <c r="GVA4" s="62"/>
      <c r="GVB4" s="62"/>
      <c r="GVC4" s="62"/>
      <c r="GVD4" s="62"/>
      <c r="GVE4" s="62"/>
      <c r="GVF4" s="62"/>
      <c r="GVG4" s="62"/>
      <c r="GVH4" s="62"/>
      <c r="GVI4" s="62"/>
      <c r="GVJ4" s="62"/>
      <c r="GVK4" s="62"/>
      <c r="GVL4" s="62"/>
      <c r="GVM4" s="62"/>
      <c r="GVN4" s="62"/>
      <c r="GVO4" s="62"/>
      <c r="GVP4" s="62"/>
      <c r="GVQ4" s="62"/>
      <c r="GVR4" s="62"/>
      <c r="GVS4" s="62"/>
      <c r="GVT4" s="62"/>
      <c r="GVU4" s="62"/>
      <c r="GVV4" s="62"/>
      <c r="GVW4" s="62"/>
      <c r="GVX4" s="62"/>
      <c r="GVY4" s="62"/>
      <c r="GVZ4" s="62"/>
      <c r="GWA4" s="62"/>
      <c r="GWB4" s="62"/>
      <c r="GWC4" s="62"/>
      <c r="GWD4" s="62"/>
      <c r="GWE4" s="62"/>
      <c r="GWF4" s="62"/>
      <c r="GWG4" s="62"/>
      <c r="GWH4" s="62"/>
      <c r="GWI4" s="62"/>
      <c r="GWJ4" s="62"/>
      <c r="GWK4" s="62"/>
      <c r="GWL4" s="62"/>
      <c r="GWM4" s="62"/>
      <c r="GWN4" s="62"/>
      <c r="GWO4" s="62"/>
      <c r="GWP4" s="62"/>
      <c r="GWQ4" s="62"/>
      <c r="GWR4" s="62"/>
      <c r="GWS4" s="62"/>
      <c r="GWT4" s="62"/>
      <c r="GWU4" s="62"/>
      <c r="GWV4" s="62"/>
      <c r="GWW4" s="62"/>
      <c r="GWX4" s="62"/>
      <c r="GWY4" s="62"/>
      <c r="GWZ4" s="62"/>
      <c r="GXA4" s="62"/>
      <c r="GXB4" s="62"/>
      <c r="GXC4" s="62"/>
      <c r="GXD4" s="62"/>
      <c r="GXE4" s="62"/>
      <c r="GXF4" s="62"/>
      <c r="GXG4" s="62"/>
      <c r="GXH4" s="62"/>
      <c r="GXI4" s="62"/>
      <c r="GXJ4" s="62"/>
      <c r="GXK4" s="62"/>
      <c r="GXL4" s="62"/>
      <c r="GXM4" s="62"/>
      <c r="GXN4" s="62"/>
      <c r="GXO4" s="62"/>
      <c r="GXP4" s="62"/>
      <c r="GXQ4" s="62"/>
      <c r="GXR4" s="62"/>
      <c r="GXS4" s="62"/>
      <c r="GXT4" s="62"/>
      <c r="GXU4" s="62"/>
      <c r="GXV4" s="62"/>
      <c r="GXW4" s="62"/>
      <c r="GXX4" s="62"/>
      <c r="GXY4" s="62"/>
      <c r="GXZ4" s="62"/>
      <c r="GYA4" s="62"/>
      <c r="GYB4" s="62"/>
      <c r="GYC4" s="62"/>
      <c r="GYD4" s="62"/>
      <c r="GYE4" s="62"/>
      <c r="GYF4" s="62"/>
      <c r="GYG4" s="62"/>
      <c r="GYH4" s="62"/>
      <c r="GYI4" s="62"/>
      <c r="GYJ4" s="62"/>
      <c r="GYK4" s="62"/>
      <c r="GYL4" s="62"/>
      <c r="GYM4" s="62"/>
      <c r="GYN4" s="62"/>
      <c r="GYO4" s="62"/>
      <c r="GYP4" s="62"/>
      <c r="GYQ4" s="62"/>
      <c r="GYR4" s="62"/>
      <c r="GYS4" s="62"/>
      <c r="GYT4" s="62"/>
      <c r="GYU4" s="62"/>
      <c r="GYV4" s="62"/>
      <c r="GYW4" s="62"/>
      <c r="GYX4" s="62"/>
      <c r="GYY4" s="62"/>
      <c r="GYZ4" s="62"/>
      <c r="GZA4" s="62"/>
      <c r="GZB4" s="62"/>
      <c r="GZC4" s="62"/>
      <c r="GZD4" s="62"/>
      <c r="GZE4" s="62"/>
      <c r="GZF4" s="62"/>
      <c r="GZG4" s="62"/>
      <c r="GZH4" s="62"/>
      <c r="GZI4" s="62"/>
      <c r="GZJ4" s="62"/>
      <c r="GZK4" s="62"/>
      <c r="GZL4" s="62"/>
      <c r="GZM4" s="62"/>
      <c r="GZN4" s="62"/>
      <c r="GZO4" s="62"/>
      <c r="GZP4" s="62"/>
      <c r="GZQ4" s="62"/>
      <c r="GZR4" s="62"/>
      <c r="GZS4" s="62"/>
      <c r="GZT4" s="62"/>
      <c r="GZU4" s="62"/>
      <c r="GZV4" s="62"/>
      <c r="GZW4" s="62"/>
      <c r="GZX4" s="62"/>
      <c r="GZY4" s="62"/>
      <c r="GZZ4" s="62"/>
      <c r="HAA4" s="62"/>
      <c r="HAB4" s="62"/>
      <c r="HAC4" s="62"/>
      <c r="HAD4" s="62"/>
      <c r="HAE4" s="62"/>
      <c r="HAF4" s="62"/>
      <c r="HAG4" s="62"/>
      <c r="HAH4" s="62"/>
      <c r="HAI4" s="62"/>
      <c r="HAJ4" s="62"/>
      <c r="HAK4" s="62"/>
      <c r="HAL4" s="62"/>
      <c r="HAM4" s="62"/>
      <c r="HAN4" s="62"/>
      <c r="HAO4" s="62"/>
      <c r="HAP4" s="62"/>
      <c r="HAQ4" s="62"/>
      <c r="HAR4" s="62"/>
      <c r="HAS4" s="62"/>
      <c r="HAT4" s="62"/>
      <c r="HAU4" s="62"/>
      <c r="HAV4" s="62"/>
      <c r="HAW4" s="62"/>
      <c r="HAX4" s="62"/>
      <c r="HAY4" s="62"/>
      <c r="HAZ4" s="62"/>
      <c r="HBA4" s="62"/>
      <c r="HBB4" s="62"/>
      <c r="HBC4" s="62"/>
      <c r="HBD4" s="62"/>
      <c r="HBE4" s="62"/>
      <c r="HBF4" s="62"/>
      <c r="HBG4" s="62"/>
      <c r="HBH4" s="62"/>
      <c r="HBI4" s="62"/>
      <c r="HBJ4" s="62"/>
      <c r="HBK4" s="62"/>
      <c r="HBL4" s="62"/>
      <c r="HBM4" s="62"/>
      <c r="HBN4" s="62"/>
      <c r="HBO4" s="62"/>
      <c r="HBP4" s="62"/>
      <c r="HBQ4" s="62"/>
      <c r="HBR4" s="62"/>
      <c r="HBS4" s="62"/>
      <c r="HBT4" s="62"/>
      <c r="HBU4" s="62"/>
      <c r="HBV4" s="62"/>
      <c r="HBW4" s="62"/>
      <c r="HBX4" s="62"/>
      <c r="HBY4" s="62"/>
      <c r="HBZ4" s="62"/>
      <c r="HCA4" s="62"/>
      <c r="HCB4" s="62"/>
      <c r="HCC4" s="62"/>
      <c r="HCD4" s="62"/>
      <c r="HCE4" s="62"/>
      <c r="HCF4" s="62"/>
      <c r="HCG4" s="62"/>
      <c r="HCH4" s="62"/>
      <c r="HCI4" s="62"/>
      <c r="HCJ4" s="62"/>
      <c r="HCK4" s="62"/>
      <c r="HCL4" s="62"/>
      <c r="HCM4" s="62"/>
      <c r="HCN4" s="62"/>
      <c r="HCO4" s="62"/>
      <c r="HCP4" s="62"/>
      <c r="HCQ4" s="62"/>
      <c r="HCR4" s="62"/>
      <c r="HCS4" s="62"/>
      <c r="HCT4" s="62"/>
      <c r="HCU4" s="62"/>
      <c r="HCV4" s="62"/>
      <c r="HCW4" s="62"/>
      <c r="HCX4" s="62"/>
      <c r="HCY4" s="62"/>
      <c r="HCZ4" s="62"/>
      <c r="HDA4" s="62"/>
      <c r="HDB4" s="62"/>
      <c r="HDC4" s="62"/>
      <c r="HDD4" s="62"/>
      <c r="HDE4" s="62"/>
      <c r="HDF4" s="62"/>
      <c r="HDG4" s="62"/>
      <c r="HDH4" s="62"/>
      <c r="HDI4" s="62"/>
      <c r="HDJ4" s="62"/>
      <c r="HDK4" s="62"/>
      <c r="HDL4" s="62"/>
      <c r="HDM4" s="62"/>
      <c r="HDN4" s="62"/>
      <c r="HDO4" s="62"/>
      <c r="HDP4" s="62"/>
      <c r="HDQ4" s="62"/>
      <c r="HDR4" s="62"/>
      <c r="HDS4" s="62"/>
      <c r="HDT4" s="62"/>
      <c r="HDU4" s="62"/>
      <c r="HDV4" s="62"/>
      <c r="HDW4" s="62"/>
      <c r="HDX4" s="62"/>
      <c r="HDY4" s="62"/>
      <c r="HDZ4" s="62"/>
      <c r="HEA4" s="62"/>
      <c r="HEB4" s="62"/>
      <c r="HEC4" s="62"/>
      <c r="HED4" s="62"/>
      <c r="HEE4" s="62"/>
      <c r="HEF4" s="62"/>
      <c r="HEG4" s="62"/>
      <c r="HEH4" s="62"/>
      <c r="HEI4" s="62"/>
      <c r="HEJ4" s="62"/>
      <c r="HEK4" s="62"/>
      <c r="HEL4" s="62"/>
      <c r="HEM4" s="62"/>
      <c r="HEN4" s="62"/>
      <c r="HEO4" s="62"/>
      <c r="HEP4" s="62"/>
      <c r="HEQ4" s="62"/>
      <c r="HER4" s="62"/>
      <c r="HES4" s="62"/>
      <c r="HET4" s="62"/>
      <c r="HEU4" s="62"/>
      <c r="HEV4" s="62"/>
      <c r="HEW4" s="62"/>
      <c r="HEX4" s="62"/>
      <c r="HEY4" s="62"/>
      <c r="HEZ4" s="62"/>
      <c r="HFA4" s="62"/>
      <c r="HFB4" s="62"/>
      <c r="HFC4" s="62"/>
      <c r="HFD4" s="62"/>
      <c r="HFE4" s="62"/>
      <c r="HFF4" s="62"/>
      <c r="HFG4" s="62"/>
      <c r="HFH4" s="62"/>
      <c r="HFI4" s="62"/>
      <c r="HFJ4" s="62"/>
      <c r="HFK4" s="62"/>
      <c r="HFL4" s="62"/>
      <c r="HFM4" s="62"/>
      <c r="HFN4" s="62"/>
      <c r="HFO4" s="62"/>
      <c r="HFP4" s="62"/>
      <c r="HFQ4" s="62"/>
      <c r="HFR4" s="62"/>
      <c r="HFS4" s="62"/>
      <c r="HFT4" s="62"/>
      <c r="HFU4" s="62"/>
      <c r="HFV4" s="62"/>
      <c r="HFW4" s="62"/>
      <c r="HFX4" s="62"/>
      <c r="HFY4" s="62"/>
      <c r="HFZ4" s="62"/>
      <c r="HGA4" s="62"/>
      <c r="HGB4" s="62"/>
      <c r="HGC4" s="62"/>
      <c r="HGD4" s="62"/>
      <c r="HGE4" s="62"/>
      <c r="HGF4" s="62"/>
      <c r="HGG4" s="62"/>
      <c r="HGH4" s="62"/>
      <c r="HGI4" s="62"/>
      <c r="HGJ4" s="62"/>
      <c r="HGK4" s="62"/>
      <c r="HGL4" s="62"/>
      <c r="HGM4" s="62"/>
      <c r="HGN4" s="62"/>
      <c r="HGO4" s="62"/>
      <c r="HGP4" s="62"/>
      <c r="HGQ4" s="62"/>
      <c r="HGR4" s="62"/>
      <c r="HGS4" s="62"/>
      <c r="HGT4" s="62"/>
      <c r="HGU4" s="62"/>
      <c r="HGV4" s="62"/>
      <c r="HGW4" s="62"/>
      <c r="HGX4" s="62"/>
      <c r="HGY4" s="62"/>
      <c r="HGZ4" s="62"/>
      <c r="HHA4" s="62"/>
      <c r="HHB4" s="62"/>
      <c r="HHC4" s="62"/>
      <c r="HHD4" s="62"/>
      <c r="HHE4" s="62"/>
      <c r="HHF4" s="62"/>
      <c r="HHG4" s="62"/>
      <c r="HHH4" s="62"/>
      <c r="HHI4" s="62"/>
      <c r="HHJ4" s="62"/>
      <c r="HHK4" s="62"/>
      <c r="HHL4" s="62"/>
      <c r="HHM4" s="62"/>
      <c r="HHN4" s="62"/>
      <c r="HHO4" s="62"/>
      <c r="HHP4" s="62"/>
      <c r="HHQ4" s="62"/>
      <c r="HHR4" s="62"/>
      <c r="HHS4" s="62"/>
      <c r="HHT4" s="62"/>
      <c r="HHU4" s="62"/>
      <c r="HHV4" s="62"/>
      <c r="HHW4" s="62"/>
      <c r="HHX4" s="62"/>
      <c r="HHY4" s="62"/>
      <c r="HHZ4" s="62"/>
      <c r="HIA4" s="62"/>
      <c r="HIB4" s="62"/>
      <c r="HIC4" s="62"/>
      <c r="HID4" s="62"/>
      <c r="HIE4" s="62"/>
      <c r="HIF4" s="62"/>
      <c r="HIG4" s="62"/>
      <c r="HIH4" s="62"/>
      <c r="HII4" s="62"/>
      <c r="HIJ4" s="62"/>
      <c r="HIK4" s="62"/>
      <c r="HIL4" s="62"/>
      <c r="HIM4" s="62"/>
      <c r="HIN4" s="62"/>
      <c r="HIO4" s="62"/>
      <c r="HIP4" s="62"/>
      <c r="HIQ4" s="62"/>
      <c r="HIR4" s="62"/>
      <c r="HIS4" s="62"/>
      <c r="HIT4" s="62"/>
      <c r="HIU4" s="62"/>
      <c r="HIV4" s="62"/>
      <c r="HIW4" s="62"/>
      <c r="HIX4" s="62"/>
      <c r="HIY4" s="62"/>
      <c r="HIZ4" s="62"/>
      <c r="HJA4" s="62"/>
      <c r="HJB4" s="62"/>
      <c r="HJC4" s="62"/>
      <c r="HJD4" s="62"/>
      <c r="HJE4" s="62"/>
      <c r="HJF4" s="62"/>
      <c r="HJG4" s="62"/>
      <c r="HJH4" s="62"/>
      <c r="HJI4" s="62"/>
      <c r="HJJ4" s="62"/>
      <c r="HJK4" s="62"/>
      <c r="HJL4" s="62"/>
      <c r="HJM4" s="62"/>
      <c r="HJN4" s="62"/>
      <c r="HJO4" s="62"/>
      <c r="HJP4" s="62"/>
      <c r="HJQ4" s="62"/>
      <c r="HJR4" s="62"/>
      <c r="HJS4" s="62"/>
      <c r="HJT4" s="62"/>
      <c r="HJU4" s="62"/>
      <c r="HJV4" s="62"/>
      <c r="HJW4" s="62"/>
      <c r="HJX4" s="62"/>
      <c r="HJY4" s="62"/>
      <c r="HJZ4" s="62"/>
      <c r="HKA4" s="62"/>
      <c r="HKB4" s="62"/>
      <c r="HKC4" s="62"/>
      <c r="HKD4" s="62"/>
      <c r="HKE4" s="62"/>
      <c r="HKF4" s="62"/>
      <c r="HKG4" s="62"/>
      <c r="HKH4" s="62"/>
      <c r="HKI4" s="62"/>
      <c r="HKJ4" s="62"/>
      <c r="HKK4" s="62"/>
      <c r="HKL4" s="62"/>
      <c r="HKM4" s="62"/>
      <c r="HKN4" s="62"/>
      <c r="HKO4" s="62"/>
      <c r="HKP4" s="62"/>
      <c r="HKQ4" s="62"/>
      <c r="HKR4" s="62"/>
      <c r="HKS4" s="62"/>
      <c r="HKT4" s="62"/>
      <c r="HKU4" s="62"/>
      <c r="HKV4" s="62"/>
      <c r="HKW4" s="62"/>
      <c r="HKX4" s="62"/>
      <c r="HKY4" s="62"/>
      <c r="HKZ4" s="62"/>
      <c r="HLA4" s="62"/>
      <c r="HLB4" s="62"/>
      <c r="HLC4" s="62"/>
      <c r="HLD4" s="62"/>
      <c r="HLE4" s="62"/>
      <c r="HLF4" s="62"/>
      <c r="HLG4" s="62"/>
      <c r="HLH4" s="62"/>
      <c r="HLI4" s="62"/>
      <c r="HLJ4" s="62"/>
      <c r="HLK4" s="62"/>
      <c r="HLL4" s="62"/>
      <c r="HLM4" s="62"/>
      <c r="HLN4" s="62"/>
      <c r="HLO4" s="62"/>
      <c r="HLP4" s="62"/>
      <c r="HLQ4" s="62"/>
      <c r="HLR4" s="62"/>
      <c r="HLS4" s="62"/>
      <c r="HLT4" s="62"/>
      <c r="HLU4" s="62"/>
      <c r="HLV4" s="62"/>
      <c r="HLW4" s="62"/>
      <c r="HLX4" s="62"/>
      <c r="HLY4" s="62"/>
      <c r="HLZ4" s="62"/>
      <c r="HMA4" s="62"/>
      <c r="HMB4" s="62"/>
      <c r="HMC4" s="62"/>
      <c r="HMD4" s="62"/>
      <c r="HME4" s="62"/>
      <c r="HMF4" s="62"/>
      <c r="HMG4" s="62"/>
      <c r="HMH4" s="62"/>
      <c r="HMI4" s="62"/>
      <c r="HMJ4" s="62"/>
      <c r="HMK4" s="62"/>
      <c r="HML4" s="62"/>
      <c r="HMM4" s="62"/>
      <c r="HMN4" s="62"/>
      <c r="HMO4" s="62"/>
      <c r="HMP4" s="62"/>
      <c r="HMQ4" s="62"/>
      <c r="HMR4" s="62"/>
      <c r="HMS4" s="62"/>
      <c r="HMT4" s="62"/>
      <c r="HMU4" s="62"/>
      <c r="HMV4" s="62"/>
      <c r="HMW4" s="62"/>
      <c r="HMX4" s="62"/>
      <c r="HMY4" s="62"/>
      <c r="HMZ4" s="62"/>
      <c r="HNA4" s="62"/>
      <c r="HNB4" s="62"/>
      <c r="HNC4" s="62"/>
      <c r="HND4" s="62"/>
      <c r="HNE4" s="62"/>
      <c r="HNF4" s="62"/>
      <c r="HNG4" s="62"/>
      <c r="HNH4" s="62"/>
      <c r="HNI4" s="62"/>
      <c r="HNJ4" s="62"/>
      <c r="HNK4" s="62"/>
      <c r="HNL4" s="62"/>
      <c r="HNM4" s="62"/>
      <c r="HNN4" s="62"/>
      <c r="HNO4" s="62"/>
      <c r="HNP4" s="62"/>
      <c r="HNQ4" s="62"/>
      <c r="HNR4" s="62"/>
      <c r="HNS4" s="62"/>
      <c r="HNT4" s="62"/>
      <c r="HNU4" s="62"/>
      <c r="HNV4" s="62"/>
      <c r="HNW4" s="62"/>
      <c r="HNX4" s="62"/>
      <c r="HNY4" s="62"/>
      <c r="HNZ4" s="62"/>
      <c r="HOA4" s="62"/>
      <c r="HOB4" s="62"/>
      <c r="HOC4" s="62"/>
      <c r="HOD4" s="62"/>
      <c r="HOE4" s="62"/>
      <c r="HOF4" s="62"/>
      <c r="HOG4" s="62"/>
      <c r="HOH4" s="62"/>
      <c r="HOI4" s="62"/>
      <c r="HOJ4" s="62"/>
      <c r="HOK4" s="62"/>
      <c r="HOL4" s="62"/>
      <c r="HOM4" s="62"/>
      <c r="HON4" s="62"/>
      <c r="HOO4" s="62"/>
      <c r="HOP4" s="62"/>
      <c r="HOQ4" s="62"/>
      <c r="HOR4" s="62"/>
      <c r="HOS4" s="62"/>
      <c r="HOT4" s="62"/>
      <c r="HOU4" s="62"/>
      <c r="HOV4" s="62"/>
      <c r="HOW4" s="62"/>
      <c r="HOX4" s="62"/>
      <c r="HOY4" s="62"/>
      <c r="HOZ4" s="62"/>
      <c r="HPA4" s="62"/>
      <c r="HPB4" s="62"/>
      <c r="HPC4" s="62"/>
      <c r="HPD4" s="62"/>
      <c r="HPE4" s="62"/>
      <c r="HPF4" s="62"/>
      <c r="HPG4" s="62"/>
      <c r="HPH4" s="62"/>
      <c r="HPI4" s="62"/>
      <c r="HPJ4" s="62"/>
      <c r="HPK4" s="62"/>
      <c r="HPL4" s="62"/>
      <c r="HPM4" s="62"/>
      <c r="HPN4" s="62"/>
      <c r="HPO4" s="62"/>
      <c r="HPP4" s="62"/>
      <c r="HPQ4" s="62"/>
      <c r="HPR4" s="62"/>
      <c r="HPS4" s="62"/>
      <c r="HPT4" s="62"/>
      <c r="HPU4" s="62"/>
      <c r="HPV4" s="62"/>
      <c r="HPW4" s="62"/>
      <c r="HPX4" s="62"/>
      <c r="HPY4" s="62"/>
      <c r="HPZ4" s="62"/>
      <c r="HQA4" s="62"/>
      <c r="HQB4" s="62"/>
      <c r="HQC4" s="62"/>
      <c r="HQD4" s="62"/>
      <c r="HQE4" s="62"/>
      <c r="HQF4" s="62"/>
      <c r="HQG4" s="62"/>
      <c r="HQH4" s="62"/>
      <c r="HQI4" s="62"/>
      <c r="HQJ4" s="62"/>
      <c r="HQK4" s="62"/>
      <c r="HQL4" s="62"/>
      <c r="HQM4" s="62"/>
      <c r="HQN4" s="62"/>
      <c r="HQO4" s="62"/>
      <c r="HQP4" s="62"/>
      <c r="HQQ4" s="62"/>
      <c r="HQR4" s="62"/>
      <c r="HQS4" s="62"/>
      <c r="HQT4" s="62"/>
      <c r="HQU4" s="62"/>
      <c r="HQV4" s="62"/>
      <c r="HQW4" s="62"/>
      <c r="HQX4" s="62"/>
      <c r="HQY4" s="62"/>
      <c r="HQZ4" s="62"/>
      <c r="HRA4" s="62"/>
      <c r="HRB4" s="62"/>
      <c r="HRC4" s="62"/>
      <c r="HRD4" s="62"/>
      <c r="HRE4" s="62"/>
      <c r="HRF4" s="62"/>
      <c r="HRG4" s="62"/>
      <c r="HRH4" s="62"/>
      <c r="HRI4" s="62"/>
      <c r="HRJ4" s="62"/>
      <c r="HRK4" s="62"/>
      <c r="HRL4" s="62"/>
      <c r="HRM4" s="62"/>
      <c r="HRN4" s="62"/>
      <c r="HRO4" s="62"/>
      <c r="HRP4" s="62"/>
      <c r="HRQ4" s="62"/>
      <c r="HRR4" s="62"/>
      <c r="HRS4" s="62"/>
      <c r="HRT4" s="62"/>
      <c r="HRU4" s="62"/>
      <c r="HRV4" s="62"/>
      <c r="HRW4" s="62"/>
      <c r="HRX4" s="62"/>
      <c r="HRY4" s="62"/>
      <c r="HRZ4" s="62"/>
      <c r="HSA4" s="62"/>
      <c r="HSB4" s="62"/>
      <c r="HSC4" s="62"/>
      <c r="HSD4" s="62"/>
      <c r="HSE4" s="62"/>
      <c r="HSF4" s="62"/>
      <c r="HSG4" s="62"/>
      <c r="HSH4" s="62"/>
      <c r="HSI4" s="62"/>
      <c r="HSJ4" s="62"/>
      <c r="HSK4" s="62"/>
      <c r="HSL4" s="62"/>
      <c r="HSM4" s="62"/>
      <c r="HSN4" s="62"/>
      <c r="HSO4" s="62"/>
      <c r="HSP4" s="62"/>
      <c r="HSQ4" s="62"/>
      <c r="HSR4" s="62"/>
      <c r="HSS4" s="62"/>
      <c r="HST4" s="62"/>
      <c r="HSU4" s="62"/>
      <c r="HSV4" s="62"/>
      <c r="HSW4" s="62"/>
      <c r="HSX4" s="62"/>
      <c r="HSY4" s="62"/>
      <c r="HSZ4" s="62"/>
      <c r="HTA4" s="62"/>
      <c r="HTB4" s="62"/>
      <c r="HTC4" s="62"/>
      <c r="HTD4" s="62"/>
      <c r="HTE4" s="62"/>
      <c r="HTF4" s="62"/>
      <c r="HTG4" s="62"/>
      <c r="HTH4" s="62"/>
      <c r="HTI4" s="62"/>
      <c r="HTJ4" s="62"/>
      <c r="HTK4" s="62"/>
      <c r="HTL4" s="62"/>
      <c r="HTM4" s="62"/>
      <c r="HTN4" s="62"/>
      <c r="HTO4" s="62"/>
      <c r="HTP4" s="62"/>
      <c r="HTQ4" s="62"/>
      <c r="HTR4" s="62"/>
      <c r="HTS4" s="62"/>
      <c r="HTT4" s="62"/>
      <c r="HTU4" s="62"/>
      <c r="HTV4" s="62"/>
      <c r="HTW4" s="62"/>
      <c r="HTX4" s="62"/>
      <c r="HTY4" s="62"/>
      <c r="HTZ4" s="62"/>
      <c r="HUA4" s="62"/>
      <c r="HUB4" s="62"/>
      <c r="HUC4" s="62"/>
      <c r="HUD4" s="62"/>
      <c r="HUE4" s="62"/>
      <c r="HUF4" s="62"/>
      <c r="HUG4" s="62"/>
      <c r="HUH4" s="62"/>
      <c r="HUI4" s="62"/>
      <c r="HUJ4" s="62"/>
      <c r="HUK4" s="62"/>
      <c r="HUL4" s="62"/>
      <c r="HUM4" s="62"/>
      <c r="HUN4" s="62"/>
      <c r="HUO4" s="62"/>
      <c r="HUP4" s="62"/>
      <c r="HUQ4" s="62"/>
      <c r="HUR4" s="62"/>
      <c r="HUS4" s="62"/>
      <c r="HUT4" s="62"/>
      <c r="HUU4" s="62"/>
      <c r="HUV4" s="62"/>
      <c r="HUW4" s="62"/>
      <c r="HUX4" s="62"/>
      <c r="HUY4" s="62"/>
      <c r="HUZ4" s="62"/>
      <c r="HVA4" s="62"/>
      <c r="HVB4" s="62"/>
      <c r="HVC4" s="62"/>
      <c r="HVD4" s="62"/>
      <c r="HVE4" s="62"/>
      <c r="HVF4" s="62"/>
      <c r="HVG4" s="62"/>
      <c r="HVH4" s="62"/>
      <c r="HVI4" s="62"/>
      <c r="HVJ4" s="62"/>
      <c r="HVK4" s="62"/>
      <c r="HVL4" s="62"/>
      <c r="HVM4" s="62"/>
      <c r="HVN4" s="62"/>
      <c r="HVO4" s="62"/>
      <c r="HVP4" s="62"/>
      <c r="HVQ4" s="62"/>
      <c r="HVR4" s="62"/>
      <c r="HVS4" s="62"/>
      <c r="HVT4" s="62"/>
      <c r="HVU4" s="62"/>
      <c r="HVV4" s="62"/>
      <c r="HVW4" s="62"/>
      <c r="HVX4" s="62"/>
      <c r="HVY4" s="62"/>
      <c r="HVZ4" s="62"/>
      <c r="HWA4" s="62"/>
      <c r="HWB4" s="62"/>
      <c r="HWC4" s="62"/>
      <c r="HWD4" s="62"/>
      <c r="HWE4" s="62"/>
      <c r="HWF4" s="62"/>
      <c r="HWG4" s="62"/>
      <c r="HWH4" s="62"/>
      <c r="HWI4" s="62"/>
      <c r="HWJ4" s="62"/>
      <c r="HWK4" s="62"/>
      <c r="HWL4" s="62"/>
      <c r="HWM4" s="62"/>
      <c r="HWN4" s="62"/>
      <c r="HWO4" s="62"/>
      <c r="HWP4" s="62"/>
      <c r="HWQ4" s="62"/>
      <c r="HWR4" s="62"/>
      <c r="HWS4" s="62"/>
      <c r="HWT4" s="62"/>
      <c r="HWU4" s="62"/>
      <c r="HWV4" s="62"/>
      <c r="HWW4" s="62"/>
      <c r="HWX4" s="62"/>
      <c r="HWY4" s="62"/>
      <c r="HWZ4" s="62"/>
      <c r="HXA4" s="62"/>
      <c r="HXB4" s="62"/>
      <c r="HXC4" s="62"/>
      <c r="HXD4" s="62"/>
      <c r="HXE4" s="62"/>
      <c r="HXF4" s="62"/>
      <c r="HXG4" s="62"/>
      <c r="HXH4" s="62"/>
      <c r="HXI4" s="62"/>
      <c r="HXJ4" s="62"/>
      <c r="HXK4" s="62"/>
      <c r="HXL4" s="62"/>
      <c r="HXM4" s="62"/>
      <c r="HXN4" s="62"/>
      <c r="HXO4" s="62"/>
      <c r="HXP4" s="62"/>
      <c r="HXQ4" s="62"/>
      <c r="HXR4" s="62"/>
      <c r="HXS4" s="62"/>
      <c r="HXT4" s="62"/>
      <c r="HXU4" s="62"/>
      <c r="HXV4" s="62"/>
      <c r="HXW4" s="62"/>
      <c r="HXX4" s="62"/>
      <c r="HXY4" s="62"/>
      <c r="HXZ4" s="62"/>
      <c r="HYA4" s="62"/>
      <c r="HYB4" s="62"/>
      <c r="HYC4" s="62"/>
      <c r="HYD4" s="62"/>
      <c r="HYE4" s="62"/>
      <c r="HYF4" s="62"/>
      <c r="HYG4" s="62"/>
      <c r="HYH4" s="62"/>
      <c r="HYI4" s="62"/>
      <c r="HYJ4" s="62"/>
      <c r="HYK4" s="62"/>
      <c r="HYL4" s="62"/>
      <c r="HYM4" s="62"/>
      <c r="HYN4" s="62"/>
      <c r="HYO4" s="62"/>
      <c r="HYP4" s="62"/>
      <c r="HYQ4" s="62"/>
      <c r="HYR4" s="62"/>
      <c r="HYS4" s="62"/>
      <c r="HYT4" s="62"/>
      <c r="HYU4" s="62"/>
      <c r="HYV4" s="62"/>
      <c r="HYW4" s="62"/>
      <c r="HYX4" s="62"/>
      <c r="HYY4" s="62"/>
      <c r="HYZ4" s="62"/>
      <c r="HZA4" s="62"/>
      <c r="HZB4" s="62"/>
      <c r="HZC4" s="62"/>
      <c r="HZD4" s="62"/>
      <c r="HZE4" s="62"/>
      <c r="HZF4" s="62"/>
      <c r="HZG4" s="62"/>
      <c r="HZH4" s="62"/>
      <c r="HZI4" s="62"/>
      <c r="HZJ4" s="62"/>
      <c r="HZK4" s="62"/>
      <c r="HZL4" s="62"/>
      <c r="HZM4" s="62"/>
      <c r="HZN4" s="62"/>
      <c r="HZO4" s="62"/>
      <c r="HZP4" s="62"/>
      <c r="HZQ4" s="62"/>
      <c r="HZR4" s="62"/>
      <c r="HZS4" s="62"/>
      <c r="HZT4" s="62"/>
      <c r="HZU4" s="62"/>
      <c r="HZV4" s="62"/>
      <c r="HZW4" s="62"/>
      <c r="HZX4" s="62"/>
      <c r="HZY4" s="62"/>
      <c r="HZZ4" s="62"/>
      <c r="IAA4" s="62"/>
      <c r="IAB4" s="62"/>
      <c r="IAC4" s="62"/>
      <c r="IAD4" s="62"/>
      <c r="IAE4" s="62"/>
      <c r="IAF4" s="62"/>
      <c r="IAG4" s="62"/>
      <c r="IAH4" s="62"/>
      <c r="IAI4" s="62"/>
      <c r="IAJ4" s="62"/>
      <c r="IAK4" s="62"/>
      <c r="IAL4" s="62"/>
      <c r="IAM4" s="62"/>
      <c r="IAN4" s="62"/>
      <c r="IAO4" s="62"/>
      <c r="IAP4" s="62"/>
      <c r="IAQ4" s="62"/>
      <c r="IAR4" s="62"/>
      <c r="IAS4" s="62"/>
      <c r="IAT4" s="62"/>
      <c r="IAU4" s="62"/>
      <c r="IAV4" s="62"/>
      <c r="IAW4" s="62"/>
      <c r="IAX4" s="62"/>
      <c r="IAY4" s="62"/>
      <c r="IAZ4" s="62"/>
      <c r="IBA4" s="62"/>
      <c r="IBB4" s="62"/>
      <c r="IBC4" s="62"/>
      <c r="IBD4" s="62"/>
      <c r="IBE4" s="62"/>
      <c r="IBF4" s="62"/>
      <c r="IBG4" s="62"/>
      <c r="IBH4" s="62"/>
      <c r="IBI4" s="62"/>
      <c r="IBJ4" s="62"/>
      <c r="IBK4" s="62"/>
      <c r="IBL4" s="62"/>
      <c r="IBM4" s="62"/>
      <c r="IBN4" s="62"/>
      <c r="IBO4" s="62"/>
      <c r="IBP4" s="62"/>
      <c r="IBQ4" s="62"/>
      <c r="IBR4" s="62"/>
      <c r="IBS4" s="62"/>
      <c r="IBT4" s="62"/>
      <c r="IBU4" s="62"/>
      <c r="IBV4" s="62"/>
      <c r="IBW4" s="62"/>
      <c r="IBX4" s="62"/>
      <c r="IBY4" s="62"/>
      <c r="IBZ4" s="62"/>
      <c r="ICA4" s="62"/>
      <c r="ICB4" s="62"/>
      <c r="ICC4" s="62"/>
      <c r="ICD4" s="62"/>
      <c r="ICE4" s="62"/>
      <c r="ICF4" s="62"/>
      <c r="ICG4" s="62"/>
      <c r="ICH4" s="62"/>
      <c r="ICI4" s="62"/>
      <c r="ICJ4" s="62"/>
      <c r="ICK4" s="62"/>
      <c r="ICL4" s="62"/>
      <c r="ICM4" s="62"/>
      <c r="ICN4" s="62"/>
      <c r="ICO4" s="62"/>
      <c r="ICP4" s="62"/>
      <c r="ICQ4" s="62"/>
      <c r="ICR4" s="62"/>
      <c r="ICS4" s="62"/>
      <c r="ICT4" s="62"/>
      <c r="ICU4" s="62"/>
      <c r="ICV4" s="62"/>
      <c r="ICW4" s="62"/>
      <c r="ICX4" s="62"/>
      <c r="ICY4" s="62"/>
      <c r="ICZ4" s="62"/>
      <c r="IDA4" s="62"/>
      <c r="IDB4" s="62"/>
      <c r="IDC4" s="62"/>
      <c r="IDD4" s="62"/>
      <c r="IDE4" s="62"/>
      <c r="IDF4" s="62"/>
      <c r="IDG4" s="62"/>
      <c r="IDH4" s="62"/>
      <c r="IDI4" s="62"/>
      <c r="IDJ4" s="62"/>
      <c r="IDK4" s="62"/>
      <c r="IDL4" s="62"/>
      <c r="IDM4" s="62"/>
      <c r="IDN4" s="62"/>
      <c r="IDO4" s="62"/>
      <c r="IDP4" s="62"/>
      <c r="IDQ4" s="62"/>
      <c r="IDR4" s="62"/>
      <c r="IDS4" s="62"/>
      <c r="IDT4" s="62"/>
      <c r="IDU4" s="62"/>
      <c r="IDV4" s="62"/>
      <c r="IDW4" s="62"/>
      <c r="IDX4" s="62"/>
      <c r="IDY4" s="62"/>
      <c r="IDZ4" s="62"/>
      <c r="IEA4" s="62"/>
      <c r="IEB4" s="62"/>
      <c r="IEC4" s="62"/>
      <c r="IED4" s="62"/>
      <c r="IEE4" s="62"/>
      <c r="IEF4" s="62"/>
      <c r="IEG4" s="62"/>
      <c r="IEH4" s="62"/>
      <c r="IEI4" s="62"/>
      <c r="IEJ4" s="62"/>
      <c r="IEK4" s="62"/>
      <c r="IEL4" s="62"/>
      <c r="IEM4" s="62"/>
      <c r="IEN4" s="62"/>
      <c r="IEO4" s="62"/>
      <c r="IEP4" s="62"/>
      <c r="IEQ4" s="62"/>
      <c r="IER4" s="62"/>
      <c r="IES4" s="62"/>
      <c r="IET4" s="62"/>
      <c r="IEU4" s="62"/>
      <c r="IEV4" s="62"/>
      <c r="IEW4" s="62"/>
      <c r="IEX4" s="62"/>
      <c r="IEY4" s="62"/>
      <c r="IEZ4" s="62"/>
      <c r="IFA4" s="62"/>
      <c r="IFB4" s="62"/>
      <c r="IFC4" s="62"/>
      <c r="IFD4" s="62"/>
      <c r="IFE4" s="62"/>
      <c r="IFF4" s="62"/>
      <c r="IFG4" s="62"/>
      <c r="IFH4" s="62"/>
      <c r="IFI4" s="62"/>
      <c r="IFJ4" s="62"/>
      <c r="IFK4" s="62"/>
      <c r="IFL4" s="62"/>
      <c r="IFM4" s="62"/>
      <c r="IFN4" s="62"/>
      <c r="IFO4" s="62"/>
      <c r="IFP4" s="62"/>
      <c r="IFQ4" s="62"/>
      <c r="IFR4" s="62"/>
      <c r="IFS4" s="62"/>
      <c r="IFT4" s="62"/>
      <c r="IFU4" s="62"/>
      <c r="IFV4" s="62"/>
      <c r="IFW4" s="62"/>
      <c r="IFX4" s="62"/>
      <c r="IFY4" s="62"/>
      <c r="IFZ4" s="62"/>
      <c r="IGA4" s="62"/>
      <c r="IGB4" s="62"/>
      <c r="IGC4" s="62"/>
      <c r="IGD4" s="62"/>
      <c r="IGE4" s="62"/>
      <c r="IGF4" s="62"/>
      <c r="IGG4" s="62"/>
      <c r="IGH4" s="62"/>
      <c r="IGI4" s="62"/>
      <c r="IGJ4" s="62"/>
      <c r="IGK4" s="62"/>
      <c r="IGL4" s="62"/>
      <c r="IGM4" s="62"/>
      <c r="IGN4" s="62"/>
      <c r="IGO4" s="62"/>
      <c r="IGP4" s="62"/>
      <c r="IGQ4" s="62"/>
      <c r="IGR4" s="62"/>
      <c r="IGS4" s="62"/>
      <c r="IGT4" s="62"/>
      <c r="IGU4" s="62"/>
      <c r="IGV4" s="62"/>
      <c r="IGW4" s="62"/>
      <c r="IGX4" s="62"/>
      <c r="IGY4" s="62"/>
      <c r="IGZ4" s="62"/>
      <c r="IHA4" s="62"/>
      <c r="IHB4" s="62"/>
      <c r="IHC4" s="62"/>
      <c r="IHD4" s="62"/>
      <c r="IHE4" s="62"/>
      <c r="IHF4" s="62"/>
      <c r="IHG4" s="62"/>
      <c r="IHH4" s="62"/>
      <c r="IHI4" s="62"/>
      <c r="IHJ4" s="62"/>
      <c r="IHK4" s="62"/>
      <c r="IHL4" s="62"/>
      <c r="IHM4" s="62"/>
      <c r="IHN4" s="62"/>
      <c r="IHO4" s="62"/>
      <c r="IHP4" s="62"/>
      <c r="IHQ4" s="62"/>
      <c r="IHR4" s="62"/>
      <c r="IHS4" s="62"/>
      <c r="IHT4" s="62"/>
      <c r="IHU4" s="62"/>
      <c r="IHV4" s="62"/>
      <c r="IHW4" s="62"/>
      <c r="IHX4" s="62"/>
      <c r="IHY4" s="62"/>
      <c r="IHZ4" s="62"/>
      <c r="IIA4" s="62"/>
      <c r="IIB4" s="62"/>
      <c r="IIC4" s="62"/>
      <c r="IID4" s="62"/>
      <c r="IIE4" s="62"/>
      <c r="IIF4" s="62"/>
      <c r="IIG4" s="62"/>
      <c r="IIH4" s="62"/>
      <c r="III4" s="62"/>
      <c r="IIJ4" s="62"/>
      <c r="IIK4" s="62"/>
      <c r="IIL4" s="62"/>
      <c r="IIM4" s="62"/>
      <c r="IIN4" s="62"/>
      <c r="IIO4" s="62"/>
      <c r="IIP4" s="62"/>
      <c r="IIQ4" s="62"/>
      <c r="IIR4" s="62"/>
      <c r="IIS4" s="62"/>
      <c r="IIT4" s="62"/>
      <c r="IIU4" s="62"/>
      <c r="IIV4" s="62"/>
      <c r="IIW4" s="62"/>
      <c r="IIX4" s="62"/>
      <c r="IIY4" s="62"/>
      <c r="IIZ4" s="62"/>
      <c r="IJA4" s="62"/>
      <c r="IJB4" s="62"/>
      <c r="IJC4" s="62"/>
      <c r="IJD4" s="62"/>
      <c r="IJE4" s="62"/>
      <c r="IJF4" s="62"/>
      <c r="IJG4" s="62"/>
      <c r="IJH4" s="62"/>
      <c r="IJI4" s="62"/>
      <c r="IJJ4" s="62"/>
      <c r="IJK4" s="62"/>
      <c r="IJL4" s="62"/>
      <c r="IJM4" s="62"/>
      <c r="IJN4" s="62"/>
      <c r="IJO4" s="62"/>
      <c r="IJP4" s="62"/>
      <c r="IJQ4" s="62"/>
      <c r="IJR4" s="62"/>
      <c r="IJS4" s="62"/>
      <c r="IJT4" s="62"/>
      <c r="IJU4" s="62"/>
      <c r="IJV4" s="62"/>
      <c r="IJW4" s="62"/>
      <c r="IJX4" s="62"/>
      <c r="IJY4" s="62"/>
      <c r="IJZ4" s="62"/>
      <c r="IKA4" s="62"/>
      <c r="IKB4" s="62"/>
      <c r="IKC4" s="62"/>
      <c r="IKD4" s="62"/>
      <c r="IKE4" s="62"/>
      <c r="IKF4" s="62"/>
      <c r="IKG4" s="62"/>
      <c r="IKH4" s="62"/>
      <c r="IKI4" s="62"/>
      <c r="IKJ4" s="62"/>
      <c r="IKK4" s="62"/>
      <c r="IKL4" s="62"/>
      <c r="IKM4" s="62"/>
      <c r="IKN4" s="62"/>
      <c r="IKO4" s="62"/>
      <c r="IKP4" s="62"/>
      <c r="IKQ4" s="62"/>
      <c r="IKR4" s="62"/>
      <c r="IKS4" s="62"/>
      <c r="IKT4" s="62"/>
      <c r="IKU4" s="62"/>
      <c r="IKV4" s="62"/>
      <c r="IKW4" s="62"/>
      <c r="IKX4" s="62"/>
      <c r="IKY4" s="62"/>
      <c r="IKZ4" s="62"/>
      <c r="ILA4" s="62"/>
      <c r="ILB4" s="62"/>
      <c r="ILC4" s="62"/>
      <c r="ILD4" s="62"/>
      <c r="ILE4" s="62"/>
      <c r="ILF4" s="62"/>
      <c r="ILG4" s="62"/>
      <c r="ILH4" s="62"/>
      <c r="ILI4" s="62"/>
      <c r="ILJ4" s="62"/>
      <c r="ILK4" s="62"/>
      <c r="ILL4" s="62"/>
      <c r="ILM4" s="62"/>
      <c r="ILN4" s="62"/>
      <c r="ILO4" s="62"/>
      <c r="ILP4" s="62"/>
      <c r="ILQ4" s="62"/>
      <c r="ILR4" s="62"/>
      <c r="ILS4" s="62"/>
      <c r="ILT4" s="62"/>
      <c r="ILU4" s="62"/>
      <c r="ILV4" s="62"/>
      <c r="ILW4" s="62"/>
      <c r="ILX4" s="62"/>
      <c r="ILY4" s="62"/>
      <c r="ILZ4" s="62"/>
      <c r="IMA4" s="62"/>
      <c r="IMB4" s="62"/>
      <c r="IMC4" s="62"/>
      <c r="IMD4" s="62"/>
      <c r="IME4" s="62"/>
      <c r="IMF4" s="62"/>
      <c r="IMG4" s="62"/>
      <c r="IMH4" s="62"/>
      <c r="IMI4" s="62"/>
      <c r="IMJ4" s="62"/>
      <c r="IMK4" s="62"/>
      <c r="IML4" s="62"/>
      <c r="IMM4" s="62"/>
      <c r="IMN4" s="62"/>
      <c r="IMO4" s="62"/>
      <c r="IMP4" s="62"/>
      <c r="IMQ4" s="62"/>
      <c r="IMR4" s="62"/>
      <c r="IMS4" s="62"/>
      <c r="IMT4" s="62"/>
      <c r="IMU4" s="62"/>
      <c r="IMV4" s="62"/>
      <c r="IMW4" s="62"/>
      <c r="IMX4" s="62"/>
      <c r="IMY4" s="62"/>
      <c r="IMZ4" s="62"/>
      <c r="INA4" s="62"/>
      <c r="INB4" s="62"/>
      <c r="INC4" s="62"/>
      <c r="IND4" s="62"/>
      <c r="INE4" s="62"/>
      <c r="INF4" s="62"/>
      <c r="ING4" s="62"/>
      <c r="INH4" s="62"/>
      <c r="INI4" s="62"/>
      <c r="INJ4" s="62"/>
      <c r="INK4" s="62"/>
      <c r="INL4" s="62"/>
      <c r="INM4" s="62"/>
      <c r="INN4" s="62"/>
      <c r="INO4" s="62"/>
      <c r="INP4" s="62"/>
      <c r="INQ4" s="62"/>
      <c r="INR4" s="62"/>
      <c r="INS4" s="62"/>
      <c r="INT4" s="62"/>
      <c r="INU4" s="62"/>
      <c r="INV4" s="62"/>
      <c r="INW4" s="62"/>
      <c r="INX4" s="62"/>
      <c r="INY4" s="62"/>
      <c r="INZ4" s="62"/>
      <c r="IOA4" s="62"/>
      <c r="IOB4" s="62"/>
      <c r="IOC4" s="62"/>
      <c r="IOD4" s="62"/>
      <c r="IOE4" s="62"/>
      <c r="IOF4" s="62"/>
      <c r="IOG4" s="62"/>
      <c r="IOH4" s="62"/>
      <c r="IOI4" s="62"/>
      <c r="IOJ4" s="62"/>
      <c r="IOK4" s="62"/>
      <c r="IOL4" s="62"/>
      <c r="IOM4" s="62"/>
      <c r="ION4" s="62"/>
      <c r="IOO4" s="62"/>
      <c r="IOP4" s="62"/>
      <c r="IOQ4" s="62"/>
      <c r="IOR4" s="62"/>
      <c r="IOS4" s="62"/>
      <c r="IOT4" s="62"/>
      <c r="IOU4" s="62"/>
      <c r="IOV4" s="62"/>
      <c r="IOW4" s="62"/>
      <c r="IOX4" s="62"/>
      <c r="IOY4" s="62"/>
      <c r="IOZ4" s="62"/>
      <c r="IPA4" s="62"/>
      <c r="IPB4" s="62"/>
      <c r="IPC4" s="62"/>
      <c r="IPD4" s="62"/>
      <c r="IPE4" s="62"/>
      <c r="IPF4" s="62"/>
      <c r="IPG4" s="62"/>
      <c r="IPH4" s="62"/>
      <c r="IPI4" s="62"/>
      <c r="IPJ4" s="62"/>
      <c r="IPK4" s="62"/>
      <c r="IPL4" s="62"/>
      <c r="IPM4" s="62"/>
      <c r="IPN4" s="62"/>
      <c r="IPO4" s="62"/>
      <c r="IPP4" s="62"/>
      <c r="IPQ4" s="62"/>
      <c r="IPR4" s="62"/>
      <c r="IPS4" s="62"/>
      <c r="IPT4" s="62"/>
      <c r="IPU4" s="62"/>
      <c r="IPV4" s="62"/>
      <c r="IPW4" s="62"/>
      <c r="IPX4" s="62"/>
      <c r="IPY4" s="62"/>
      <c r="IPZ4" s="62"/>
      <c r="IQA4" s="62"/>
      <c r="IQB4" s="62"/>
      <c r="IQC4" s="62"/>
      <c r="IQD4" s="62"/>
      <c r="IQE4" s="62"/>
      <c r="IQF4" s="62"/>
      <c r="IQG4" s="62"/>
      <c r="IQH4" s="62"/>
      <c r="IQI4" s="62"/>
      <c r="IQJ4" s="62"/>
      <c r="IQK4" s="62"/>
      <c r="IQL4" s="62"/>
      <c r="IQM4" s="62"/>
      <c r="IQN4" s="62"/>
      <c r="IQO4" s="62"/>
      <c r="IQP4" s="62"/>
      <c r="IQQ4" s="62"/>
      <c r="IQR4" s="62"/>
      <c r="IQS4" s="62"/>
      <c r="IQT4" s="62"/>
      <c r="IQU4" s="62"/>
      <c r="IQV4" s="62"/>
      <c r="IQW4" s="62"/>
      <c r="IQX4" s="62"/>
      <c r="IQY4" s="62"/>
      <c r="IQZ4" s="62"/>
      <c r="IRA4" s="62"/>
      <c r="IRB4" s="62"/>
      <c r="IRC4" s="62"/>
      <c r="IRD4" s="62"/>
      <c r="IRE4" s="62"/>
      <c r="IRF4" s="62"/>
      <c r="IRG4" s="62"/>
      <c r="IRH4" s="62"/>
      <c r="IRI4" s="62"/>
      <c r="IRJ4" s="62"/>
      <c r="IRK4" s="62"/>
      <c r="IRL4" s="62"/>
      <c r="IRM4" s="62"/>
      <c r="IRN4" s="62"/>
      <c r="IRO4" s="62"/>
      <c r="IRP4" s="62"/>
      <c r="IRQ4" s="62"/>
      <c r="IRR4" s="62"/>
      <c r="IRS4" s="62"/>
      <c r="IRT4" s="62"/>
      <c r="IRU4" s="62"/>
      <c r="IRV4" s="62"/>
      <c r="IRW4" s="62"/>
      <c r="IRX4" s="62"/>
      <c r="IRY4" s="62"/>
      <c r="IRZ4" s="62"/>
      <c r="ISA4" s="62"/>
      <c r="ISB4" s="62"/>
      <c r="ISC4" s="62"/>
      <c r="ISD4" s="62"/>
      <c r="ISE4" s="62"/>
      <c r="ISF4" s="62"/>
      <c r="ISG4" s="62"/>
      <c r="ISH4" s="62"/>
      <c r="ISI4" s="62"/>
      <c r="ISJ4" s="62"/>
      <c r="ISK4" s="62"/>
      <c r="ISL4" s="62"/>
      <c r="ISM4" s="62"/>
      <c r="ISN4" s="62"/>
      <c r="ISO4" s="62"/>
      <c r="ISP4" s="62"/>
      <c r="ISQ4" s="62"/>
      <c r="ISR4" s="62"/>
      <c r="ISS4" s="62"/>
      <c r="IST4" s="62"/>
      <c r="ISU4" s="62"/>
      <c r="ISV4" s="62"/>
      <c r="ISW4" s="62"/>
      <c r="ISX4" s="62"/>
      <c r="ISY4" s="62"/>
      <c r="ISZ4" s="62"/>
      <c r="ITA4" s="62"/>
      <c r="ITB4" s="62"/>
      <c r="ITC4" s="62"/>
      <c r="ITD4" s="62"/>
      <c r="ITE4" s="62"/>
      <c r="ITF4" s="62"/>
      <c r="ITG4" s="62"/>
      <c r="ITH4" s="62"/>
      <c r="ITI4" s="62"/>
      <c r="ITJ4" s="62"/>
      <c r="ITK4" s="62"/>
      <c r="ITL4" s="62"/>
      <c r="ITM4" s="62"/>
      <c r="ITN4" s="62"/>
      <c r="ITO4" s="62"/>
      <c r="ITP4" s="62"/>
      <c r="ITQ4" s="62"/>
      <c r="ITR4" s="62"/>
      <c r="ITS4" s="62"/>
      <c r="ITT4" s="62"/>
      <c r="ITU4" s="62"/>
      <c r="ITV4" s="62"/>
      <c r="ITW4" s="62"/>
      <c r="ITX4" s="62"/>
      <c r="ITY4" s="62"/>
      <c r="ITZ4" s="62"/>
      <c r="IUA4" s="62"/>
      <c r="IUB4" s="62"/>
      <c r="IUC4" s="62"/>
      <c r="IUD4" s="62"/>
      <c r="IUE4" s="62"/>
      <c r="IUF4" s="62"/>
      <c r="IUG4" s="62"/>
      <c r="IUH4" s="62"/>
      <c r="IUI4" s="62"/>
      <c r="IUJ4" s="62"/>
      <c r="IUK4" s="62"/>
      <c r="IUL4" s="62"/>
      <c r="IUM4" s="62"/>
      <c r="IUN4" s="62"/>
      <c r="IUO4" s="62"/>
      <c r="IUP4" s="62"/>
      <c r="IUQ4" s="62"/>
      <c r="IUR4" s="62"/>
      <c r="IUS4" s="62"/>
      <c r="IUT4" s="62"/>
      <c r="IUU4" s="62"/>
      <c r="IUV4" s="62"/>
      <c r="IUW4" s="62"/>
      <c r="IUX4" s="62"/>
      <c r="IUY4" s="62"/>
      <c r="IUZ4" s="62"/>
      <c r="IVA4" s="62"/>
      <c r="IVB4" s="62"/>
      <c r="IVC4" s="62"/>
      <c r="IVD4" s="62"/>
      <c r="IVE4" s="62"/>
      <c r="IVF4" s="62"/>
      <c r="IVG4" s="62"/>
      <c r="IVH4" s="62"/>
      <c r="IVI4" s="62"/>
      <c r="IVJ4" s="62"/>
      <c r="IVK4" s="62"/>
      <c r="IVL4" s="62"/>
      <c r="IVM4" s="62"/>
      <c r="IVN4" s="62"/>
      <c r="IVO4" s="62"/>
      <c r="IVP4" s="62"/>
      <c r="IVQ4" s="62"/>
      <c r="IVR4" s="62"/>
      <c r="IVS4" s="62"/>
      <c r="IVT4" s="62"/>
      <c r="IVU4" s="62"/>
      <c r="IVV4" s="62"/>
      <c r="IVW4" s="62"/>
      <c r="IVX4" s="62"/>
      <c r="IVY4" s="62"/>
      <c r="IVZ4" s="62"/>
      <c r="IWA4" s="62"/>
      <c r="IWB4" s="62"/>
      <c r="IWC4" s="62"/>
      <c r="IWD4" s="62"/>
      <c r="IWE4" s="62"/>
      <c r="IWF4" s="62"/>
      <c r="IWG4" s="62"/>
      <c r="IWH4" s="62"/>
      <c r="IWI4" s="62"/>
      <c r="IWJ4" s="62"/>
      <c r="IWK4" s="62"/>
      <c r="IWL4" s="62"/>
      <c r="IWM4" s="62"/>
      <c r="IWN4" s="62"/>
      <c r="IWO4" s="62"/>
      <c r="IWP4" s="62"/>
      <c r="IWQ4" s="62"/>
      <c r="IWR4" s="62"/>
      <c r="IWS4" s="62"/>
      <c r="IWT4" s="62"/>
      <c r="IWU4" s="62"/>
      <c r="IWV4" s="62"/>
      <c r="IWW4" s="62"/>
      <c r="IWX4" s="62"/>
      <c r="IWY4" s="62"/>
      <c r="IWZ4" s="62"/>
      <c r="IXA4" s="62"/>
      <c r="IXB4" s="62"/>
      <c r="IXC4" s="62"/>
      <c r="IXD4" s="62"/>
      <c r="IXE4" s="62"/>
      <c r="IXF4" s="62"/>
      <c r="IXG4" s="62"/>
      <c r="IXH4" s="62"/>
      <c r="IXI4" s="62"/>
      <c r="IXJ4" s="62"/>
      <c r="IXK4" s="62"/>
      <c r="IXL4" s="62"/>
      <c r="IXM4" s="62"/>
      <c r="IXN4" s="62"/>
      <c r="IXO4" s="62"/>
      <c r="IXP4" s="62"/>
      <c r="IXQ4" s="62"/>
      <c r="IXR4" s="62"/>
      <c r="IXS4" s="62"/>
      <c r="IXT4" s="62"/>
      <c r="IXU4" s="62"/>
      <c r="IXV4" s="62"/>
      <c r="IXW4" s="62"/>
      <c r="IXX4" s="62"/>
      <c r="IXY4" s="62"/>
      <c r="IXZ4" s="62"/>
      <c r="IYA4" s="62"/>
      <c r="IYB4" s="62"/>
      <c r="IYC4" s="62"/>
      <c r="IYD4" s="62"/>
      <c r="IYE4" s="62"/>
      <c r="IYF4" s="62"/>
      <c r="IYG4" s="62"/>
      <c r="IYH4" s="62"/>
      <c r="IYI4" s="62"/>
      <c r="IYJ4" s="62"/>
      <c r="IYK4" s="62"/>
      <c r="IYL4" s="62"/>
      <c r="IYM4" s="62"/>
      <c r="IYN4" s="62"/>
      <c r="IYO4" s="62"/>
      <c r="IYP4" s="62"/>
      <c r="IYQ4" s="62"/>
      <c r="IYR4" s="62"/>
      <c r="IYS4" s="62"/>
      <c r="IYT4" s="62"/>
      <c r="IYU4" s="62"/>
      <c r="IYV4" s="62"/>
      <c r="IYW4" s="62"/>
      <c r="IYX4" s="62"/>
      <c r="IYY4" s="62"/>
      <c r="IYZ4" s="62"/>
      <c r="IZA4" s="62"/>
      <c r="IZB4" s="62"/>
      <c r="IZC4" s="62"/>
      <c r="IZD4" s="62"/>
      <c r="IZE4" s="62"/>
      <c r="IZF4" s="62"/>
      <c r="IZG4" s="62"/>
      <c r="IZH4" s="62"/>
      <c r="IZI4" s="62"/>
      <c r="IZJ4" s="62"/>
      <c r="IZK4" s="62"/>
      <c r="IZL4" s="62"/>
      <c r="IZM4" s="62"/>
      <c r="IZN4" s="62"/>
      <c r="IZO4" s="62"/>
      <c r="IZP4" s="62"/>
      <c r="IZQ4" s="62"/>
      <c r="IZR4" s="62"/>
      <c r="IZS4" s="62"/>
      <c r="IZT4" s="62"/>
      <c r="IZU4" s="62"/>
      <c r="IZV4" s="62"/>
      <c r="IZW4" s="62"/>
      <c r="IZX4" s="62"/>
      <c r="IZY4" s="62"/>
      <c r="IZZ4" s="62"/>
      <c r="JAA4" s="62"/>
      <c r="JAB4" s="62"/>
      <c r="JAC4" s="62"/>
      <c r="JAD4" s="62"/>
      <c r="JAE4" s="62"/>
      <c r="JAF4" s="62"/>
      <c r="JAG4" s="62"/>
      <c r="JAH4" s="62"/>
      <c r="JAI4" s="62"/>
      <c r="JAJ4" s="62"/>
      <c r="JAK4" s="62"/>
      <c r="JAL4" s="62"/>
      <c r="JAM4" s="62"/>
      <c r="JAN4" s="62"/>
      <c r="JAO4" s="62"/>
      <c r="JAP4" s="62"/>
      <c r="JAQ4" s="62"/>
      <c r="JAR4" s="62"/>
      <c r="JAS4" s="62"/>
      <c r="JAT4" s="62"/>
      <c r="JAU4" s="62"/>
      <c r="JAV4" s="62"/>
      <c r="JAW4" s="62"/>
      <c r="JAX4" s="62"/>
      <c r="JAY4" s="62"/>
      <c r="JAZ4" s="62"/>
      <c r="JBA4" s="62"/>
      <c r="JBB4" s="62"/>
      <c r="JBC4" s="62"/>
      <c r="JBD4" s="62"/>
      <c r="JBE4" s="62"/>
      <c r="JBF4" s="62"/>
      <c r="JBG4" s="62"/>
      <c r="JBH4" s="62"/>
      <c r="JBI4" s="62"/>
      <c r="JBJ4" s="62"/>
      <c r="JBK4" s="62"/>
      <c r="JBL4" s="62"/>
      <c r="JBM4" s="62"/>
      <c r="JBN4" s="62"/>
      <c r="JBO4" s="62"/>
      <c r="JBP4" s="62"/>
      <c r="JBQ4" s="62"/>
      <c r="JBR4" s="62"/>
      <c r="JBS4" s="62"/>
      <c r="JBT4" s="62"/>
      <c r="JBU4" s="62"/>
      <c r="JBV4" s="62"/>
      <c r="JBW4" s="62"/>
      <c r="JBX4" s="62"/>
      <c r="JBY4" s="62"/>
      <c r="JBZ4" s="62"/>
      <c r="JCA4" s="62"/>
      <c r="JCB4" s="62"/>
      <c r="JCC4" s="62"/>
      <c r="JCD4" s="62"/>
      <c r="JCE4" s="62"/>
      <c r="JCF4" s="62"/>
      <c r="JCG4" s="62"/>
      <c r="JCH4" s="62"/>
      <c r="JCI4" s="62"/>
      <c r="JCJ4" s="62"/>
      <c r="JCK4" s="62"/>
      <c r="JCL4" s="62"/>
      <c r="JCM4" s="62"/>
      <c r="JCN4" s="62"/>
      <c r="JCO4" s="62"/>
      <c r="JCP4" s="62"/>
      <c r="JCQ4" s="62"/>
      <c r="JCR4" s="62"/>
      <c r="JCS4" s="62"/>
      <c r="JCT4" s="62"/>
      <c r="JCU4" s="62"/>
      <c r="JCV4" s="62"/>
      <c r="JCW4" s="62"/>
      <c r="JCX4" s="62"/>
      <c r="JCY4" s="62"/>
      <c r="JCZ4" s="62"/>
      <c r="JDA4" s="62"/>
      <c r="JDB4" s="62"/>
      <c r="JDC4" s="62"/>
      <c r="JDD4" s="62"/>
      <c r="JDE4" s="62"/>
      <c r="JDF4" s="62"/>
      <c r="JDG4" s="62"/>
      <c r="JDH4" s="62"/>
      <c r="JDI4" s="62"/>
      <c r="JDJ4" s="62"/>
      <c r="JDK4" s="62"/>
      <c r="JDL4" s="62"/>
      <c r="JDM4" s="62"/>
      <c r="JDN4" s="62"/>
      <c r="JDO4" s="62"/>
      <c r="JDP4" s="62"/>
      <c r="JDQ4" s="62"/>
      <c r="JDR4" s="62"/>
      <c r="JDS4" s="62"/>
      <c r="JDT4" s="62"/>
      <c r="JDU4" s="62"/>
      <c r="JDV4" s="62"/>
      <c r="JDW4" s="62"/>
      <c r="JDX4" s="62"/>
      <c r="JDY4" s="62"/>
      <c r="JDZ4" s="62"/>
      <c r="JEA4" s="62"/>
      <c r="JEB4" s="62"/>
      <c r="JEC4" s="62"/>
      <c r="JED4" s="62"/>
      <c r="JEE4" s="62"/>
      <c r="JEF4" s="62"/>
      <c r="JEG4" s="62"/>
      <c r="JEH4" s="62"/>
      <c r="JEI4" s="62"/>
      <c r="JEJ4" s="62"/>
      <c r="JEK4" s="62"/>
      <c r="JEL4" s="62"/>
      <c r="JEM4" s="62"/>
      <c r="JEN4" s="62"/>
      <c r="JEO4" s="62"/>
      <c r="JEP4" s="62"/>
      <c r="JEQ4" s="62"/>
      <c r="JER4" s="62"/>
      <c r="JES4" s="62"/>
      <c r="JET4" s="62"/>
      <c r="JEU4" s="62"/>
      <c r="JEV4" s="62"/>
      <c r="JEW4" s="62"/>
      <c r="JEX4" s="62"/>
      <c r="JEY4" s="62"/>
      <c r="JEZ4" s="62"/>
      <c r="JFA4" s="62"/>
      <c r="JFB4" s="62"/>
      <c r="JFC4" s="62"/>
      <c r="JFD4" s="62"/>
      <c r="JFE4" s="62"/>
      <c r="JFF4" s="62"/>
      <c r="JFG4" s="62"/>
      <c r="JFH4" s="62"/>
      <c r="JFI4" s="62"/>
      <c r="JFJ4" s="62"/>
      <c r="JFK4" s="62"/>
      <c r="JFL4" s="62"/>
      <c r="JFM4" s="62"/>
      <c r="JFN4" s="62"/>
      <c r="JFO4" s="62"/>
      <c r="JFP4" s="62"/>
      <c r="JFQ4" s="62"/>
      <c r="JFR4" s="62"/>
      <c r="JFS4" s="62"/>
      <c r="JFT4" s="62"/>
      <c r="JFU4" s="62"/>
      <c r="JFV4" s="62"/>
      <c r="JFW4" s="62"/>
      <c r="JFX4" s="62"/>
      <c r="JFY4" s="62"/>
      <c r="JFZ4" s="62"/>
      <c r="JGA4" s="62"/>
      <c r="JGB4" s="62"/>
      <c r="JGC4" s="62"/>
      <c r="JGD4" s="62"/>
      <c r="JGE4" s="62"/>
      <c r="JGF4" s="62"/>
      <c r="JGG4" s="62"/>
      <c r="JGH4" s="62"/>
      <c r="JGI4" s="62"/>
      <c r="JGJ4" s="62"/>
      <c r="JGK4" s="62"/>
      <c r="JGL4" s="62"/>
      <c r="JGM4" s="62"/>
      <c r="JGN4" s="62"/>
      <c r="JGO4" s="62"/>
      <c r="JGP4" s="62"/>
      <c r="JGQ4" s="62"/>
      <c r="JGR4" s="62"/>
      <c r="JGS4" s="62"/>
      <c r="JGT4" s="62"/>
      <c r="JGU4" s="62"/>
      <c r="JGV4" s="62"/>
      <c r="JGW4" s="62"/>
      <c r="JGX4" s="62"/>
      <c r="JGY4" s="62"/>
      <c r="JGZ4" s="62"/>
      <c r="JHA4" s="62"/>
      <c r="JHB4" s="62"/>
      <c r="JHC4" s="62"/>
      <c r="JHD4" s="62"/>
      <c r="JHE4" s="62"/>
      <c r="JHF4" s="62"/>
      <c r="JHG4" s="62"/>
      <c r="JHH4" s="62"/>
      <c r="JHI4" s="62"/>
      <c r="JHJ4" s="62"/>
      <c r="JHK4" s="62"/>
      <c r="JHL4" s="62"/>
      <c r="JHM4" s="62"/>
      <c r="JHN4" s="62"/>
      <c r="JHO4" s="62"/>
      <c r="JHP4" s="62"/>
      <c r="JHQ4" s="62"/>
      <c r="JHR4" s="62"/>
      <c r="JHS4" s="62"/>
      <c r="JHT4" s="62"/>
      <c r="JHU4" s="62"/>
      <c r="JHV4" s="62"/>
      <c r="JHW4" s="62"/>
      <c r="JHX4" s="62"/>
      <c r="JHY4" s="62"/>
      <c r="JHZ4" s="62"/>
      <c r="JIA4" s="62"/>
      <c r="JIB4" s="62"/>
      <c r="JIC4" s="62"/>
      <c r="JID4" s="62"/>
      <c r="JIE4" s="62"/>
      <c r="JIF4" s="62"/>
      <c r="JIG4" s="62"/>
      <c r="JIH4" s="62"/>
      <c r="JII4" s="62"/>
      <c r="JIJ4" s="62"/>
      <c r="JIK4" s="62"/>
      <c r="JIL4" s="62"/>
      <c r="JIM4" s="62"/>
      <c r="JIN4" s="62"/>
      <c r="JIO4" s="62"/>
      <c r="JIP4" s="62"/>
      <c r="JIQ4" s="62"/>
      <c r="JIR4" s="62"/>
      <c r="JIS4" s="62"/>
      <c r="JIT4" s="62"/>
      <c r="JIU4" s="62"/>
      <c r="JIV4" s="62"/>
      <c r="JIW4" s="62"/>
      <c r="JIX4" s="62"/>
      <c r="JIY4" s="62"/>
      <c r="JIZ4" s="62"/>
      <c r="JJA4" s="62"/>
      <c r="JJB4" s="62"/>
      <c r="JJC4" s="62"/>
      <c r="JJD4" s="62"/>
      <c r="JJE4" s="62"/>
      <c r="JJF4" s="62"/>
      <c r="JJG4" s="62"/>
      <c r="JJH4" s="62"/>
      <c r="JJI4" s="62"/>
      <c r="JJJ4" s="62"/>
      <c r="JJK4" s="62"/>
      <c r="JJL4" s="62"/>
      <c r="JJM4" s="62"/>
      <c r="JJN4" s="62"/>
      <c r="JJO4" s="62"/>
      <c r="JJP4" s="62"/>
      <c r="JJQ4" s="62"/>
      <c r="JJR4" s="62"/>
      <c r="JJS4" s="62"/>
      <c r="JJT4" s="62"/>
      <c r="JJU4" s="62"/>
      <c r="JJV4" s="62"/>
      <c r="JJW4" s="62"/>
      <c r="JJX4" s="62"/>
      <c r="JJY4" s="62"/>
      <c r="JJZ4" s="62"/>
      <c r="JKA4" s="62"/>
      <c r="JKB4" s="62"/>
      <c r="JKC4" s="62"/>
      <c r="JKD4" s="62"/>
      <c r="JKE4" s="62"/>
      <c r="JKF4" s="62"/>
      <c r="JKG4" s="62"/>
      <c r="JKH4" s="62"/>
      <c r="JKI4" s="62"/>
      <c r="JKJ4" s="62"/>
      <c r="JKK4" s="62"/>
      <c r="JKL4" s="62"/>
      <c r="JKM4" s="62"/>
      <c r="JKN4" s="62"/>
      <c r="JKO4" s="62"/>
      <c r="JKP4" s="62"/>
      <c r="JKQ4" s="62"/>
      <c r="JKR4" s="62"/>
      <c r="JKS4" s="62"/>
      <c r="JKT4" s="62"/>
      <c r="JKU4" s="62"/>
      <c r="JKV4" s="62"/>
      <c r="JKW4" s="62"/>
      <c r="JKX4" s="62"/>
      <c r="JKY4" s="62"/>
      <c r="JKZ4" s="62"/>
      <c r="JLA4" s="62"/>
      <c r="JLB4" s="62"/>
      <c r="JLC4" s="62"/>
      <c r="JLD4" s="62"/>
      <c r="JLE4" s="62"/>
      <c r="JLF4" s="62"/>
      <c r="JLG4" s="62"/>
      <c r="JLH4" s="62"/>
      <c r="JLI4" s="62"/>
      <c r="JLJ4" s="62"/>
      <c r="JLK4" s="62"/>
      <c r="JLL4" s="62"/>
      <c r="JLM4" s="62"/>
      <c r="JLN4" s="62"/>
      <c r="JLO4" s="62"/>
      <c r="JLP4" s="62"/>
      <c r="JLQ4" s="62"/>
      <c r="JLR4" s="62"/>
      <c r="JLS4" s="62"/>
      <c r="JLT4" s="62"/>
      <c r="JLU4" s="62"/>
      <c r="JLV4" s="62"/>
      <c r="JLW4" s="62"/>
      <c r="JLX4" s="62"/>
      <c r="JLY4" s="62"/>
      <c r="JLZ4" s="62"/>
      <c r="JMA4" s="62"/>
      <c r="JMB4" s="62"/>
      <c r="JMC4" s="62"/>
      <c r="JMD4" s="62"/>
      <c r="JME4" s="62"/>
      <c r="JMF4" s="62"/>
      <c r="JMG4" s="62"/>
      <c r="JMH4" s="62"/>
      <c r="JMI4" s="62"/>
      <c r="JMJ4" s="62"/>
      <c r="JMK4" s="62"/>
      <c r="JML4" s="62"/>
      <c r="JMM4" s="62"/>
      <c r="JMN4" s="62"/>
      <c r="JMO4" s="62"/>
      <c r="JMP4" s="62"/>
      <c r="JMQ4" s="62"/>
      <c r="JMR4" s="62"/>
      <c r="JMS4" s="62"/>
      <c r="JMT4" s="62"/>
      <c r="JMU4" s="62"/>
      <c r="JMV4" s="62"/>
      <c r="JMW4" s="62"/>
      <c r="JMX4" s="62"/>
      <c r="JMY4" s="62"/>
      <c r="JMZ4" s="62"/>
      <c r="JNA4" s="62"/>
      <c r="JNB4" s="62"/>
      <c r="JNC4" s="62"/>
      <c r="JND4" s="62"/>
      <c r="JNE4" s="62"/>
      <c r="JNF4" s="62"/>
      <c r="JNG4" s="62"/>
      <c r="JNH4" s="62"/>
      <c r="JNI4" s="62"/>
      <c r="JNJ4" s="62"/>
      <c r="JNK4" s="62"/>
      <c r="JNL4" s="62"/>
      <c r="JNM4" s="62"/>
      <c r="JNN4" s="62"/>
      <c r="JNO4" s="62"/>
      <c r="JNP4" s="62"/>
      <c r="JNQ4" s="62"/>
      <c r="JNR4" s="62"/>
      <c r="JNS4" s="62"/>
      <c r="JNT4" s="62"/>
      <c r="JNU4" s="62"/>
      <c r="JNV4" s="62"/>
      <c r="JNW4" s="62"/>
      <c r="JNX4" s="62"/>
      <c r="JNY4" s="62"/>
      <c r="JNZ4" s="62"/>
      <c r="JOA4" s="62"/>
      <c r="JOB4" s="62"/>
      <c r="JOC4" s="62"/>
      <c r="JOD4" s="62"/>
      <c r="JOE4" s="62"/>
      <c r="JOF4" s="62"/>
      <c r="JOG4" s="62"/>
      <c r="JOH4" s="62"/>
      <c r="JOI4" s="62"/>
      <c r="JOJ4" s="62"/>
      <c r="JOK4" s="62"/>
      <c r="JOL4" s="62"/>
      <c r="JOM4" s="62"/>
      <c r="JON4" s="62"/>
      <c r="JOO4" s="62"/>
      <c r="JOP4" s="62"/>
      <c r="JOQ4" s="62"/>
      <c r="JOR4" s="62"/>
      <c r="JOS4" s="62"/>
      <c r="JOT4" s="62"/>
      <c r="JOU4" s="62"/>
      <c r="JOV4" s="62"/>
      <c r="JOW4" s="62"/>
      <c r="JOX4" s="62"/>
      <c r="JOY4" s="62"/>
      <c r="JOZ4" s="62"/>
      <c r="JPA4" s="62"/>
      <c r="JPB4" s="62"/>
      <c r="JPC4" s="62"/>
      <c r="JPD4" s="62"/>
      <c r="JPE4" s="62"/>
      <c r="JPF4" s="62"/>
      <c r="JPG4" s="62"/>
      <c r="JPH4" s="62"/>
      <c r="JPI4" s="62"/>
      <c r="JPJ4" s="62"/>
      <c r="JPK4" s="62"/>
      <c r="JPL4" s="62"/>
      <c r="JPM4" s="62"/>
      <c r="JPN4" s="62"/>
      <c r="JPO4" s="62"/>
      <c r="JPP4" s="62"/>
      <c r="JPQ4" s="62"/>
      <c r="JPR4" s="62"/>
      <c r="JPS4" s="62"/>
      <c r="JPT4" s="62"/>
      <c r="JPU4" s="62"/>
      <c r="JPV4" s="62"/>
      <c r="JPW4" s="62"/>
      <c r="JPX4" s="62"/>
      <c r="JPY4" s="62"/>
      <c r="JPZ4" s="62"/>
      <c r="JQA4" s="62"/>
      <c r="JQB4" s="62"/>
      <c r="JQC4" s="62"/>
      <c r="JQD4" s="62"/>
      <c r="JQE4" s="62"/>
      <c r="JQF4" s="62"/>
      <c r="JQG4" s="62"/>
      <c r="JQH4" s="62"/>
      <c r="JQI4" s="62"/>
      <c r="JQJ4" s="62"/>
      <c r="JQK4" s="62"/>
      <c r="JQL4" s="62"/>
      <c r="JQM4" s="62"/>
      <c r="JQN4" s="62"/>
      <c r="JQO4" s="62"/>
      <c r="JQP4" s="62"/>
      <c r="JQQ4" s="62"/>
      <c r="JQR4" s="62"/>
      <c r="JQS4" s="62"/>
      <c r="JQT4" s="62"/>
      <c r="JQU4" s="62"/>
      <c r="JQV4" s="62"/>
      <c r="JQW4" s="62"/>
      <c r="JQX4" s="62"/>
      <c r="JQY4" s="62"/>
      <c r="JQZ4" s="62"/>
      <c r="JRA4" s="62"/>
      <c r="JRB4" s="62"/>
      <c r="JRC4" s="62"/>
      <c r="JRD4" s="62"/>
      <c r="JRE4" s="62"/>
      <c r="JRF4" s="62"/>
      <c r="JRG4" s="62"/>
      <c r="JRH4" s="62"/>
      <c r="JRI4" s="62"/>
      <c r="JRJ4" s="62"/>
      <c r="JRK4" s="62"/>
      <c r="JRL4" s="62"/>
      <c r="JRM4" s="62"/>
      <c r="JRN4" s="62"/>
      <c r="JRO4" s="62"/>
      <c r="JRP4" s="62"/>
      <c r="JRQ4" s="62"/>
      <c r="JRR4" s="62"/>
      <c r="JRS4" s="62"/>
      <c r="JRT4" s="62"/>
      <c r="JRU4" s="62"/>
      <c r="JRV4" s="62"/>
      <c r="JRW4" s="62"/>
      <c r="JRX4" s="62"/>
      <c r="JRY4" s="62"/>
      <c r="JRZ4" s="62"/>
      <c r="JSA4" s="62"/>
      <c r="JSB4" s="62"/>
      <c r="JSC4" s="62"/>
      <c r="JSD4" s="62"/>
      <c r="JSE4" s="62"/>
      <c r="JSF4" s="62"/>
      <c r="JSG4" s="62"/>
      <c r="JSH4" s="62"/>
      <c r="JSI4" s="62"/>
      <c r="JSJ4" s="62"/>
      <c r="JSK4" s="62"/>
      <c r="JSL4" s="62"/>
      <c r="JSM4" s="62"/>
      <c r="JSN4" s="62"/>
      <c r="JSO4" s="62"/>
      <c r="JSP4" s="62"/>
      <c r="JSQ4" s="62"/>
      <c r="JSR4" s="62"/>
      <c r="JSS4" s="62"/>
      <c r="JST4" s="62"/>
      <c r="JSU4" s="62"/>
      <c r="JSV4" s="62"/>
      <c r="JSW4" s="62"/>
      <c r="JSX4" s="62"/>
      <c r="JSY4" s="62"/>
      <c r="JSZ4" s="62"/>
      <c r="JTA4" s="62"/>
      <c r="JTB4" s="62"/>
      <c r="JTC4" s="62"/>
      <c r="JTD4" s="62"/>
      <c r="JTE4" s="62"/>
      <c r="JTF4" s="62"/>
      <c r="JTG4" s="62"/>
      <c r="JTH4" s="62"/>
      <c r="JTI4" s="62"/>
      <c r="JTJ4" s="62"/>
      <c r="JTK4" s="62"/>
      <c r="JTL4" s="62"/>
      <c r="JTM4" s="62"/>
      <c r="JTN4" s="62"/>
      <c r="JTO4" s="62"/>
      <c r="JTP4" s="62"/>
      <c r="JTQ4" s="62"/>
      <c r="JTR4" s="62"/>
      <c r="JTS4" s="62"/>
      <c r="JTT4" s="62"/>
      <c r="JTU4" s="62"/>
      <c r="JTV4" s="62"/>
      <c r="JTW4" s="62"/>
      <c r="JTX4" s="62"/>
      <c r="JTY4" s="62"/>
      <c r="JTZ4" s="62"/>
      <c r="JUA4" s="62"/>
      <c r="JUB4" s="62"/>
      <c r="JUC4" s="62"/>
      <c r="JUD4" s="62"/>
      <c r="JUE4" s="62"/>
      <c r="JUF4" s="62"/>
      <c r="JUG4" s="62"/>
      <c r="JUH4" s="62"/>
      <c r="JUI4" s="62"/>
      <c r="JUJ4" s="62"/>
      <c r="JUK4" s="62"/>
      <c r="JUL4" s="62"/>
      <c r="JUM4" s="62"/>
      <c r="JUN4" s="62"/>
      <c r="JUO4" s="62"/>
      <c r="JUP4" s="62"/>
      <c r="JUQ4" s="62"/>
      <c r="JUR4" s="62"/>
      <c r="JUS4" s="62"/>
      <c r="JUT4" s="62"/>
      <c r="JUU4" s="62"/>
      <c r="JUV4" s="62"/>
      <c r="JUW4" s="62"/>
      <c r="JUX4" s="62"/>
      <c r="JUY4" s="62"/>
      <c r="JUZ4" s="62"/>
      <c r="JVA4" s="62"/>
      <c r="JVB4" s="62"/>
      <c r="JVC4" s="62"/>
      <c r="JVD4" s="62"/>
      <c r="JVE4" s="62"/>
      <c r="JVF4" s="62"/>
      <c r="JVG4" s="62"/>
      <c r="JVH4" s="62"/>
      <c r="JVI4" s="62"/>
      <c r="JVJ4" s="62"/>
      <c r="JVK4" s="62"/>
      <c r="JVL4" s="62"/>
      <c r="JVM4" s="62"/>
      <c r="JVN4" s="62"/>
      <c r="JVO4" s="62"/>
      <c r="JVP4" s="62"/>
      <c r="JVQ4" s="62"/>
      <c r="JVR4" s="62"/>
      <c r="JVS4" s="62"/>
      <c r="JVT4" s="62"/>
      <c r="JVU4" s="62"/>
      <c r="JVV4" s="62"/>
      <c r="JVW4" s="62"/>
      <c r="JVX4" s="62"/>
      <c r="JVY4" s="62"/>
      <c r="JVZ4" s="62"/>
      <c r="JWA4" s="62"/>
      <c r="JWB4" s="62"/>
      <c r="JWC4" s="62"/>
      <c r="JWD4" s="62"/>
      <c r="JWE4" s="62"/>
      <c r="JWF4" s="62"/>
      <c r="JWG4" s="62"/>
      <c r="JWH4" s="62"/>
      <c r="JWI4" s="62"/>
      <c r="JWJ4" s="62"/>
      <c r="JWK4" s="62"/>
      <c r="JWL4" s="62"/>
      <c r="JWM4" s="62"/>
      <c r="JWN4" s="62"/>
      <c r="JWO4" s="62"/>
      <c r="JWP4" s="62"/>
      <c r="JWQ4" s="62"/>
      <c r="JWR4" s="62"/>
      <c r="JWS4" s="62"/>
      <c r="JWT4" s="62"/>
      <c r="JWU4" s="62"/>
      <c r="JWV4" s="62"/>
      <c r="JWW4" s="62"/>
      <c r="JWX4" s="62"/>
      <c r="JWY4" s="62"/>
      <c r="JWZ4" s="62"/>
      <c r="JXA4" s="62"/>
      <c r="JXB4" s="62"/>
      <c r="JXC4" s="62"/>
      <c r="JXD4" s="62"/>
      <c r="JXE4" s="62"/>
      <c r="JXF4" s="62"/>
      <c r="JXG4" s="62"/>
      <c r="JXH4" s="62"/>
      <c r="JXI4" s="62"/>
      <c r="JXJ4" s="62"/>
      <c r="JXK4" s="62"/>
      <c r="JXL4" s="62"/>
      <c r="JXM4" s="62"/>
      <c r="JXN4" s="62"/>
      <c r="JXO4" s="62"/>
      <c r="JXP4" s="62"/>
      <c r="JXQ4" s="62"/>
      <c r="JXR4" s="62"/>
      <c r="JXS4" s="62"/>
      <c r="JXT4" s="62"/>
      <c r="JXU4" s="62"/>
      <c r="JXV4" s="62"/>
      <c r="JXW4" s="62"/>
      <c r="JXX4" s="62"/>
      <c r="JXY4" s="62"/>
      <c r="JXZ4" s="62"/>
      <c r="JYA4" s="62"/>
      <c r="JYB4" s="62"/>
      <c r="JYC4" s="62"/>
      <c r="JYD4" s="62"/>
      <c r="JYE4" s="62"/>
      <c r="JYF4" s="62"/>
      <c r="JYG4" s="62"/>
      <c r="JYH4" s="62"/>
      <c r="JYI4" s="62"/>
      <c r="JYJ4" s="62"/>
      <c r="JYK4" s="62"/>
      <c r="JYL4" s="62"/>
      <c r="JYM4" s="62"/>
      <c r="JYN4" s="62"/>
      <c r="JYO4" s="62"/>
      <c r="JYP4" s="62"/>
      <c r="JYQ4" s="62"/>
      <c r="JYR4" s="62"/>
      <c r="JYS4" s="62"/>
      <c r="JYT4" s="62"/>
      <c r="JYU4" s="62"/>
      <c r="JYV4" s="62"/>
      <c r="JYW4" s="62"/>
      <c r="JYX4" s="62"/>
      <c r="JYY4" s="62"/>
      <c r="JYZ4" s="62"/>
      <c r="JZA4" s="62"/>
      <c r="JZB4" s="62"/>
      <c r="JZC4" s="62"/>
      <c r="JZD4" s="62"/>
      <c r="JZE4" s="62"/>
      <c r="JZF4" s="62"/>
      <c r="JZG4" s="62"/>
      <c r="JZH4" s="62"/>
      <c r="JZI4" s="62"/>
      <c r="JZJ4" s="62"/>
      <c r="JZK4" s="62"/>
      <c r="JZL4" s="62"/>
      <c r="JZM4" s="62"/>
      <c r="JZN4" s="62"/>
      <c r="JZO4" s="62"/>
      <c r="JZP4" s="62"/>
      <c r="JZQ4" s="62"/>
      <c r="JZR4" s="62"/>
      <c r="JZS4" s="62"/>
      <c r="JZT4" s="62"/>
      <c r="JZU4" s="62"/>
      <c r="JZV4" s="62"/>
      <c r="JZW4" s="62"/>
      <c r="JZX4" s="62"/>
      <c r="JZY4" s="62"/>
      <c r="JZZ4" s="62"/>
      <c r="KAA4" s="62"/>
      <c r="KAB4" s="62"/>
      <c r="KAC4" s="62"/>
      <c r="KAD4" s="62"/>
      <c r="KAE4" s="62"/>
      <c r="KAF4" s="62"/>
      <c r="KAG4" s="62"/>
      <c r="KAH4" s="62"/>
      <c r="KAI4" s="62"/>
      <c r="KAJ4" s="62"/>
      <c r="KAK4" s="62"/>
      <c r="KAL4" s="62"/>
      <c r="KAM4" s="62"/>
      <c r="KAN4" s="62"/>
      <c r="KAO4" s="62"/>
      <c r="KAP4" s="62"/>
      <c r="KAQ4" s="62"/>
      <c r="KAR4" s="62"/>
      <c r="KAS4" s="62"/>
      <c r="KAT4" s="62"/>
      <c r="KAU4" s="62"/>
      <c r="KAV4" s="62"/>
      <c r="KAW4" s="62"/>
      <c r="KAX4" s="62"/>
      <c r="KAY4" s="62"/>
      <c r="KAZ4" s="62"/>
      <c r="KBA4" s="62"/>
      <c r="KBB4" s="62"/>
      <c r="KBC4" s="62"/>
      <c r="KBD4" s="62"/>
      <c r="KBE4" s="62"/>
      <c r="KBF4" s="62"/>
      <c r="KBG4" s="62"/>
      <c r="KBH4" s="62"/>
      <c r="KBI4" s="62"/>
      <c r="KBJ4" s="62"/>
      <c r="KBK4" s="62"/>
      <c r="KBL4" s="62"/>
      <c r="KBM4" s="62"/>
      <c r="KBN4" s="62"/>
      <c r="KBO4" s="62"/>
      <c r="KBP4" s="62"/>
      <c r="KBQ4" s="62"/>
      <c r="KBR4" s="62"/>
      <c r="KBS4" s="62"/>
      <c r="KBT4" s="62"/>
      <c r="KBU4" s="62"/>
      <c r="KBV4" s="62"/>
      <c r="KBW4" s="62"/>
      <c r="KBX4" s="62"/>
      <c r="KBY4" s="62"/>
      <c r="KBZ4" s="62"/>
      <c r="KCA4" s="62"/>
      <c r="KCB4" s="62"/>
      <c r="KCC4" s="62"/>
      <c r="KCD4" s="62"/>
      <c r="KCE4" s="62"/>
      <c r="KCF4" s="62"/>
      <c r="KCG4" s="62"/>
      <c r="KCH4" s="62"/>
      <c r="KCI4" s="62"/>
      <c r="KCJ4" s="62"/>
      <c r="KCK4" s="62"/>
      <c r="KCL4" s="62"/>
      <c r="KCM4" s="62"/>
      <c r="KCN4" s="62"/>
      <c r="KCO4" s="62"/>
      <c r="KCP4" s="62"/>
      <c r="KCQ4" s="62"/>
      <c r="KCR4" s="62"/>
      <c r="KCS4" s="62"/>
      <c r="KCT4" s="62"/>
      <c r="KCU4" s="62"/>
      <c r="KCV4" s="62"/>
      <c r="KCW4" s="62"/>
      <c r="KCX4" s="62"/>
      <c r="KCY4" s="62"/>
      <c r="KCZ4" s="62"/>
      <c r="KDA4" s="62"/>
      <c r="KDB4" s="62"/>
      <c r="KDC4" s="62"/>
      <c r="KDD4" s="62"/>
      <c r="KDE4" s="62"/>
      <c r="KDF4" s="62"/>
      <c r="KDG4" s="62"/>
      <c r="KDH4" s="62"/>
      <c r="KDI4" s="62"/>
      <c r="KDJ4" s="62"/>
      <c r="KDK4" s="62"/>
      <c r="KDL4" s="62"/>
      <c r="KDM4" s="62"/>
      <c r="KDN4" s="62"/>
      <c r="KDO4" s="62"/>
      <c r="KDP4" s="62"/>
      <c r="KDQ4" s="62"/>
      <c r="KDR4" s="62"/>
      <c r="KDS4" s="62"/>
      <c r="KDT4" s="62"/>
      <c r="KDU4" s="62"/>
      <c r="KDV4" s="62"/>
      <c r="KDW4" s="62"/>
      <c r="KDX4" s="62"/>
      <c r="KDY4" s="62"/>
      <c r="KDZ4" s="62"/>
      <c r="KEA4" s="62"/>
      <c r="KEB4" s="62"/>
      <c r="KEC4" s="62"/>
      <c r="KED4" s="62"/>
      <c r="KEE4" s="62"/>
      <c r="KEF4" s="62"/>
      <c r="KEG4" s="62"/>
      <c r="KEH4" s="62"/>
      <c r="KEI4" s="62"/>
      <c r="KEJ4" s="62"/>
      <c r="KEK4" s="62"/>
      <c r="KEL4" s="62"/>
      <c r="KEM4" s="62"/>
      <c r="KEN4" s="62"/>
      <c r="KEO4" s="62"/>
      <c r="KEP4" s="62"/>
      <c r="KEQ4" s="62"/>
      <c r="KER4" s="62"/>
      <c r="KES4" s="62"/>
      <c r="KET4" s="62"/>
      <c r="KEU4" s="62"/>
      <c r="KEV4" s="62"/>
      <c r="KEW4" s="62"/>
      <c r="KEX4" s="62"/>
      <c r="KEY4" s="62"/>
      <c r="KEZ4" s="62"/>
      <c r="KFA4" s="62"/>
      <c r="KFB4" s="62"/>
      <c r="KFC4" s="62"/>
      <c r="KFD4" s="62"/>
      <c r="KFE4" s="62"/>
      <c r="KFF4" s="62"/>
      <c r="KFG4" s="62"/>
      <c r="KFH4" s="62"/>
      <c r="KFI4" s="62"/>
      <c r="KFJ4" s="62"/>
      <c r="KFK4" s="62"/>
      <c r="KFL4" s="62"/>
      <c r="KFM4" s="62"/>
      <c r="KFN4" s="62"/>
      <c r="KFO4" s="62"/>
      <c r="KFP4" s="62"/>
      <c r="KFQ4" s="62"/>
      <c r="KFR4" s="62"/>
      <c r="KFS4" s="62"/>
      <c r="KFT4" s="62"/>
      <c r="KFU4" s="62"/>
      <c r="KFV4" s="62"/>
      <c r="KFW4" s="62"/>
      <c r="KFX4" s="62"/>
      <c r="KFY4" s="62"/>
      <c r="KFZ4" s="62"/>
      <c r="KGA4" s="62"/>
      <c r="KGB4" s="62"/>
      <c r="KGC4" s="62"/>
      <c r="KGD4" s="62"/>
      <c r="KGE4" s="62"/>
      <c r="KGF4" s="62"/>
      <c r="KGG4" s="62"/>
      <c r="KGH4" s="62"/>
      <c r="KGI4" s="62"/>
      <c r="KGJ4" s="62"/>
      <c r="KGK4" s="62"/>
      <c r="KGL4" s="62"/>
      <c r="KGM4" s="62"/>
      <c r="KGN4" s="62"/>
      <c r="KGO4" s="62"/>
      <c r="KGP4" s="62"/>
      <c r="KGQ4" s="62"/>
      <c r="KGR4" s="62"/>
      <c r="KGS4" s="62"/>
      <c r="KGT4" s="62"/>
      <c r="KGU4" s="62"/>
      <c r="KGV4" s="62"/>
      <c r="KGW4" s="62"/>
      <c r="KGX4" s="62"/>
      <c r="KGY4" s="62"/>
      <c r="KGZ4" s="62"/>
      <c r="KHA4" s="62"/>
      <c r="KHB4" s="62"/>
      <c r="KHC4" s="62"/>
      <c r="KHD4" s="62"/>
      <c r="KHE4" s="62"/>
      <c r="KHF4" s="62"/>
      <c r="KHG4" s="62"/>
      <c r="KHH4" s="62"/>
      <c r="KHI4" s="62"/>
      <c r="KHJ4" s="62"/>
      <c r="KHK4" s="62"/>
      <c r="KHL4" s="62"/>
      <c r="KHM4" s="62"/>
      <c r="KHN4" s="62"/>
      <c r="KHO4" s="62"/>
      <c r="KHP4" s="62"/>
      <c r="KHQ4" s="62"/>
      <c r="KHR4" s="62"/>
      <c r="KHS4" s="62"/>
      <c r="KHT4" s="62"/>
      <c r="KHU4" s="62"/>
      <c r="KHV4" s="62"/>
      <c r="KHW4" s="62"/>
      <c r="KHX4" s="62"/>
      <c r="KHY4" s="62"/>
      <c r="KHZ4" s="62"/>
      <c r="KIA4" s="62"/>
      <c r="KIB4" s="62"/>
      <c r="KIC4" s="62"/>
      <c r="KID4" s="62"/>
      <c r="KIE4" s="62"/>
      <c r="KIF4" s="62"/>
      <c r="KIG4" s="62"/>
      <c r="KIH4" s="62"/>
      <c r="KII4" s="62"/>
      <c r="KIJ4" s="62"/>
      <c r="KIK4" s="62"/>
      <c r="KIL4" s="62"/>
      <c r="KIM4" s="62"/>
      <c r="KIN4" s="62"/>
      <c r="KIO4" s="62"/>
      <c r="KIP4" s="62"/>
      <c r="KIQ4" s="62"/>
      <c r="KIR4" s="62"/>
      <c r="KIS4" s="62"/>
      <c r="KIT4" s="62"/>
      <c r="KIU4" s="62"/>
      <c r="KIV4" s="62"/>
      <c r="KIW4" s="62"/>
      <c r="KIX4" s="62"/>
      <c r="KIY4" s="62"/>
      <c r="KIZ4" s="62"/>
      <c r="KJA4" s="62"/>
      <c r="KJB4" s="62"/>
      <c r="KJC4" s="62"/>
      <c r="KJD4" s="62"/>
      <c r="KJE4" s="62"/>
      <c r="KJF4" s="62"/>
      <c r="KJG4" s="62"/>
      <c r="KJH4" s="62"/>
      <c r="KJI4" s="62"/>
      <c r="KJJ4" s="62"/>
      <c r="KJK4" s="62"/>
      <c r="KJL4" s="62"/>
      <c r="KJM4" s="62"/>
      <c r="KJN4" s="62"/>
      <c r="KJO4" s="62"/>
      <c r="KJP4" s="62"/>
      <c r="KJQ4" s="62"/>
      <c r="KJR4" s="62"/>
      <c r="KJS4" s="62"/>
      <c r="KJT4" s="62"/>
      <c r="KJU4" s="62"/>
      <c r="KJV4" s="62"/>
      <c r="KJW4" s="62"/>
      <c r="KJX4" s="62"/>
      <c r="KJY4" s="62"/>
      <c r="KJZ4" s="62"/>
      <c r="KKA4" s="62"/>
      <c r="KKB4" s="62"/>
      <c r="KKC4" s="62"/>
      <c r="KKD4" s="62"/>
      <c r="KKE4" s="62"/>
      <c r="KKF4" s="62"/>
      <c r="KKG4" s="62"/>
      <c r="KKH4" s="62"/>
      <c r="KKI4" s="62"/>
      <c r="KKJ4" s="62"/>
      <c r="KKK4" s="62"/>
      <c r="KKL4" s="62"/>
      <c r="KKM4" s="62"/>
      <c r="KKN4" s="62"/>
      <c r="KKO4" s="62"/>
      <c r="KKP4" s="62"/>
      <c r="KKQ4" s="62"/>
      <c r="KKR4" s="62"/>
      <c r="KKS4" s="62"/>
      <c r="KKT4" s="62"/>
      <c r="KKU4" s="62"/>
      <c r="KKV4" s="62"/>
      <c r="KKW4" s="62"/>
      <c r="KKX4" s="62"/>
      <c r="KKY4" s="62"/>
      <c r="KKZ4" s="62"/>
      <c r="KLA4" s="62"/>
      <c r="KLB4" s="62"/>
      <c r="KLC4" s="62"/>
      <c r="KLD4" s="62"/>
      <c r="KLE4" s="62"/>
      <c r="KLF4" s="62"/>
      <c r="KLG4" s="62"/>
      <c r="KLH4" s="62"/>
      <c r="KLI4" s="62"/>
      <c r="KLJ4" s="62"/>
      <c r="KLK4" s="62"/>
      <c r="KLL4" s="62"/>
      <c r="KLM4" s="62"/>
      <c r="KLN4" s="62"/>
      <c r="KLO4" s="62"/>
      <c r="KLP4" s="62"/>
      <c r="KLQ4" s="62"/>
      <c r="KLR4" s="62"/>
      <c r="KLS4" s="62"/>
      <c r="KLT4" s="62"/>
      <c r="KLU4" s="62"/>
      <c r="KLV4" s="62"/>
      <c r="KLW4" s="62"/>
      <c r="KLX4" s="62"/>
      <c r="KLY4" s="62"/>
      <c r="KLZ4" s="62"/>
      <c r="KMA4" s="62"/>
      <c r="KMB4" s="62"/>
      <c r="KMC4" s="62"/>
      <c r="KMD4" s="62"/>
      <c r="KME4" s="62"/>
      <c r="KMF4" s="62"/>
      <c r="KMG4" s="62"/>
      <c r="KMH4" s="62"/>
      <c r="KMI4" s="62"/>
      <c r="KMJ4" s="62"/>
      <c r="KMK4" s="62"/>
      <c r="KML4" s="62"/>
      <c r="KMM4" s="62"/>
      <c r="KMN4" s="62"/>
      <c r="KMO4" s="62"/>
      <c r="KMP4" s="62"/>
      <c r="KMQ4" s="62"/>
      <c r="KMR4" s="62"/>
      <c r="KMS4" s="62"/>
      <c r="KMT4" s="62"/>
      <c r="KMU4" s="62"/>
      <c r="KMV4" s="62"/>
      <c r="KMW4" s="62"/>
      <c r="KMX4" s="62"/>
      <c r="KMY4" s="62"/>
      <c r="KMZ4" s="62"/>
      <c r="KNA4" s="62"/>
      <c r="KNB4" s="62"/>
      <c r="KNC4" s="62"/>
      <c r="KND4" s="62"/>
      <c r="KNE4" s="62"/>
      <c r="KNF4" s="62"/>
      <c r="KNG4" s="62"/>
      <c r="KNH4" s="62"/>
      <c r="KNI4" s="62"/>
      <c r="KNJ4" s="62"/>
      <c r="KNK4" s="62"/>
      <c r="KNL4" s="62"/>
      <c r="KNM4" s="62"/>
      <c r="KNN4" s="62"/>
      <c r="KNO4" s="62"/>
      <c r="KNP4" s="62"/>
      <c r="KNQ4" s="62"/>
      <c r="KNR4" s="62"/>
      <c r="KNS4" s="62"/>
      <c r="KNT4" s="62"/>
      <c r="KNU4" s="62"/>
      <c r="KNV4" s="62"/>
      <c r="KNW4" s="62"/>
      <c r="KNX4" s="62"/>
      <c r="KNY4" s="62"/>
      <c r="KNZ4" s="62"/>
      <c r="KOA4" s="62"/>
      <c r="KOB4" s="62"/>
      <c r="KOC4" s="62"/>
      <c r="KOD4" s="62"/>
      <c r="KOE4" s="62"/>
      <c r="KOF4" s="62"/>
      <c r="KOG4" s="62"/>
      <c r="KOH4" s="62"/>
      <c r="KOI4" s="62"/>
      <c r="KOJ4" s="62"/>
      <c r="KOK4" s="62"/>
      <c r="KOL4" s="62"/>
      <c r="KOM4" s="62"/>
      <c r="KON4" s="62"/>
      <c r="KOO4" s="62"/>
      <c r="KOP4" s="62"/>
      <c r="KOQ4" s="62"/>
      <c r="KOR4" s="62"/>
      <c r="KOS4" s="62"/>
      <c r="KOT4" s="62"/>
      <c r="KOU4" s="62"/>
      <c r="KOV4" s="62"/>
      <c r="KOW4" s="62"/>
      <c r="KOX4" s="62"/>
      <c r="KOY4" s="62"/>
      <c r="KOZ4" s="62"/>
      <c r="KPA4" s="62"/>
      <c r="KPB4" s="62"/>
      <c r="KPC4" s="62"/>
      <c r="KPD4" s="62"/>
      <c r="KPE4" s="62"/>
      <c r="KPF4" s="62"/>
      <c r="KPG4" s="62"/>
      <c r="KPH4" s="62"/>
      <c r="KPI4" s="62"/>
      <c r="KPJ4" s="62"/>
      <c r="KPK4" s="62"/>
      <c r="KPL4" s="62"/>
      <c r="KPM4" s="62"/>
      <c r="KPN4" s="62"/>
      <c r="KPO4" s="62"/>
      <c r="KPP4" s="62"/>
      <c r="KPQ4" s="62"/>
      <c r="KPR4" s="62"/>
      <c r="KPS4" s="62"/>
      <c r="KPT4" s="62"/>
      <c r="KPU4" s="62"/>
      <c r="KPV4" s="62"/>
      <c r="KPW4" s="62"/>
      <c r="KPX4" s="62"/>
      <c r="KPY4" s="62"/>
      <c r="KPZ4" s="62"/>
      <c r="KQA4" s="62"/>
      <c r="KQB4" s="62"/>
      <c r="KQC4" s="62"/>
      <c r="KQD4" s="62"/>
      <c r="KQE4" s="62"/>
      <c r="KQF4" s="62"/>
      <c r="KQG4" s="62"/>
      <c r="KQH4" s="62"/>
      <c r="KQI4" s="62"/>
      <c r="KQJ4" s="62"/>
      <c r="KQK4" s="62"/>
      <c r="KQL4" s="62"/>
      <c r="KQM4" s="62"/>
      <c r="KQN4" s="62"/>
      <c r="KQO4" s="62"/>
      <c r="KQP4" s="62"/>
      <c r="KQQ4" s="62"/>
      <c r="KQR4" s="62"/>
      <c r="KQS4" s="62"/>
      <c r="KQT4" s="62"/>
      <c r="KQU4" s="62"/>
      <c r="KQV4" s="62"/>
      <c r="KQW4" s="62"/>
      <c r="KQX4" s="62"/>
      <c r="KQY4" s="62"/>
      <c r="KQZ4" s="62"/>
      <c r="KRA4" s="62"/>
      <c r="KRB4" s="62"/>
      <c r="KRC4" s="62"/>
      <c r="KRD4" s="62"/>
      <c r="KRE4" s="62"/>
      <c r="KRF4" s="62"/>
      <c r="KRG4" s="62"/>
      <c r="KRH4" s="62"/>
      <c r="KRI4" s="62"/>
      <c r="KRJ4" s="62"/>
      <c r="KRK4" s="62"/>
      <c r="KRL4" s="62"/>
      <c r="KRM4" s="62"/>
      <c r="KRN4" s="62"/>
      <c r="KRO4" s="62"/>
      <c r="KRP4" s="62"/>
      <c r="KRQ4" s="62"/>
      <c r="KRR4" s="62"/>
      <c r="KRS4" s="62"/>
      <c r="KRT4" s="62"/>
      <c r="KRU4" s="62"/>
      <c r="KRV4" s="62"/>
      <c r="KRW4" s="62"/>
      <c r="KRX4" s="62"/>
      <c r="KRY4" s="62"/>
      <c r="KRZ4" s="62"/>
      <c r="KSA4" s="62"/>
      <c r="KSB4" s="62"/>
      <c r="KSC4" s="62"/>
      <c r="KSD4" s="62"/>
      <c r="KSE4" s="62"/>
      <c r="KSF4" s="62"/>
      <c r="KSG4" s="62"/>
      <c r="KSH4" s="62"/>
      <c r="KSI4" s="62"/>
      <c r="KSJ4" s="62"/>
      <c r="KSK4" s="62"/>
      <c r="KSL4" s="62"/>
      <c r="KSM4" s="62"/>
      <c r="KSN4" s="62"/>
      <c r="KSO4" s="62"/>
      <c r="KSP4" s="62"/>
      <c r="KSQ4" s="62"/>
      <c r="KSR4" s="62"/>
      <c r="KSS4" s="62"/>
      <c r="KST4" s="62"/>
      <c r="KSU4" s="62"/>
      <c r="KSV4" s="62"/>
      <c r="KSW4" s="62"/>
      <c r="KSX4" s="62"/>
      <c r="KSY4" s="62"/>
      <c r="KSZ4" s="62"/>
      <c r="KTA4" s="62"/>
      <c r="KTB4" s="62"/>
      <c r="KTC4" s="62"/>
      <c r="KTD4" s="62"/>
      <c r="KTE4" s="62"/>
      <c r="KTF4" s="62"/>
      <c r="KTG4" s="62"/>
      <c r="KTH4" s="62"/>
      <c r="KTI4" s="62"/>
      <c r="KTJ4" s="62"/>
      <c r="KTK4" s="62"/>
      <c r="KTL4" s="62"/>
      <c r="KTM4" s="62"/>
      <c r="KTN4" s="62"/>
      <c r="KTO4" s="62"/>
      <c r="KTP4" s="62"/>
      <c r="KTQ4" s="62"/>
      <c r="KTR4" s="62"/>
      <c r="KTS4" s="62"/>
      <c r="KTT4" s="62"/>
      <c r="KTU4" s="62"/>
      <c r="KTV4" s="62"/>
      <c r="KTW4" s="62"/>
      <c r="KTX4" s="62"/>
      <c r="KTY4" s="62"/>
      <c r="KTZ4" s="62"/>
      <c r="KUA4" s="62"/>
      <c r="KUB4" s="62"/>
      <c r="KUC4" s="62"/>
      <c r="KUD4" s="62"/>
      <c r="KUE4" s="62"/>
      <c r="KUF4" s="62"/>
      <c r="KUG4" s="62"/>
      <c r="KUH4" s="62"/>
      <c r="KUI4" s="62"/>
      <c r="KUJ4" s="62"/>
      <c r="KUK4" s="62"/>
      <c r="KUL4" s="62"/>
      <c r="KUM4" s="62"/>
      <c r="KUN4" s="62"/>
      <c r="KUO4" s="62"/>
      <c r="KUP4" s="62"/>
      <c r="KUQ4" s="62"/>
      <c r="KUR4" s="62"/>
      <c r="KUS4" s="62"/>
      <c r="KUT4" s="62"/>
      <c r="KUU4" s="62"/>
      <c r="KUV4" s="62"/>
      <c r="KUW4" s="62"/>
      <c r="KUX4" s="62"/>
      <c r="KUY4" s="62"/>
      <c r="KUZ4" s="62"/>
      <c r="KVA4" s="62"/>
      <c r="KVB4" s="62"/>
      <c r="KVC4" s="62"/>
      <c r="KVD4" s="62"/>
      <c r="KVE4" s="62"/>
      <c r="KVF4" s="62"/>
      <c r="KVG4" s="62"/>
      <c r="KVH4" s="62"/>
      <c r="KVI4" s="62"/>
      <c r="KVJ4" s="62"/>
      <c r="KVK4" s="62"/>
      <c r="KVL4" s="62"/>
      <c r="KVM4" s="62"/>
      <c r="KVN4" s="62"/>
      <c r="KVO4" s="62"/>
      <c r="KVP4" s="62"/>
      <c r="KVQ4" s="62"/>
      <c r="KVR4" s="62"/>
      <c r="KVS4" s="62"/>
      <c r="KVT4" s="62"/>
      <c r="KVU4" s="62"/>
      <c r="KVV4" s="62"/>
      <c r="KVW4" s="62"/>
      <c r="KVX4" s="62"/>
      <c r="KVY4" s="62"/>
      <c r="KVZ4" s="62"/>
      <c r="KWA4" s="62"/>
      <c r="KWB4" s="62"/>
      <c r="KWC4" s="62"/>
      <c r="KWD4" s="62"/>
      <c r="KWE4" s="62"/>
      <c r="KWF4" s="62"/>
      <c r="KWG4" s="62"/>
      <c r="KWH4" s="62"/>
      <c r="KWI4" s="62"/>
      <c r="KWJ4" s="62"/>
      <c r="KWK4" s="62"/>
      <c r="KWL4" s="62"/>
      <c r="KWM4" s="62"/>
      <c r="KWN4" s="62"/>
      <c r="KWO4" s="62"/>
      <c r="KWP4" s="62"/>
      <c r="KWQ4" s="62"/>
      <c r="KWR4" s="62"/>
      <c r="KWS4" s="62"/>
      <c r="KWT4" s="62"/>
      <c r="KWU4" s="62"/>
      <c r="KWV4" s="62"/>
      <c r="KWW4" s="62"/>
      <c r="KWX4" s="62"/>
      <c r="KWY4" s="62"/>
      <c r="KWZ4" s="62"/>
      <c r="KXA4" s="62"/>
      <c r="KXB4" s="62"/>
      <c r="KXC4" s="62"/>
      <c r="KXD4" s="62"/>
      <c r="KXE4" s="62"/>
      <c r="KXF4" s="62"/>
      <c r="KXG4" s="62"/>
      <c r="KXH4" s="62"/>
      <c r="KXI4" s="62"/>
      <c r="KXJ4" s="62"/>
      <c r="KXK4" s="62"/>
      <c r="KXL4" s="62"/>
      <c r="KXM4" s="62"/>
      <c r="KXN4" s="62"/>
      <c r="KXO4" s="62"/>
      <c r="KXP4" s="62"/>
      <c r="KXQ4" s="62"/>
      <c r="KXR4" s="62"/>
      <c r="KXS4" s="62"/>
      <c r="KXT4" s="62"/>
      <c r="KXU4" s="62"/>
      <c r="KXV4" s="62"/>
      <c r="KXW4" s="62"/>
      <c r="KXX4" s="62"/>
      <c r="KXY4" s="62"/>
      <c r="KXZ4" s="62"/>
      <c r="KYA4" s="62"/>
      <c r="KYB4" s="62"/>
      <c r="KYC4" s="62"/>
      <c r="KYD4" s="62"/>
      <c r="KYE4" s="62"/>
      <c r="KYF4" s="62"/>
      <c r="KYG4" s="62"/>
      <c r="KYH4" s="62"/>
      <c r="KYI4" s="62"/>
      <c r="KYJ4" s="62"/>
      <c r="KYK4" s="62"/>
      <c r="KYL4" s="62"/>
      <c r="KYM4" s="62"/>
      <c r="KYN4" s="62"/>
      <c r="KYO4" s="62"/>
      <c r="KYP4" s="62"/>
      <c r="KYQ4" s="62"/>
      <c r="KYR4" s="62"/>
      <c r="KYS4" s="62"/>
      <c r="KYT4" s="62"/>
      <c r="KYU4" s="62"/>
      <c r="KYV4" s="62"/>
      <c r="KYW4" s="62"/>
      <c r="KYX4" s="62"/>
      <c r="KYY4" s="62"/>
      <c r="KYZ4" s="62"/>
      <c r="KZA4" s="62"/>
      <c r="KZB4" s="62"/>
      <c r="KZC4" s="62"/>
      <c r="KZD4" s="62"/>
      <c r="KZE4" s="62"/>
      <c r="KZF4" s="62"/>
      <c r="KZG4" s="62"/>
      <c r="KZH4" s="62"/>
      <c r="KZI4" s="62"/>
      <c r="KZJ4" s="62"/>
      <c r="KZK4" s="62"/>
      <c r="KZL4" s="62"/>
      <c r="KZM4" s="62"/>
      <c r="KZN4" s="62"/>
      <c r="KZO4" s="62"/>
      <c r="KZP4" s="62"/>
      <c r="KZQ4" s="62"/>
      <c r="KZR4" s="62"/>
      <c r="KZS4" s="62"/>
      <c r="KZT4" s="62"/>
      <c r="KZU4" s="62"/>
      <c r="KZV4" s="62"/>
      <c r="KZW4" s="62"/>
      <c r="KZX4" s="62"/>
      <c r="KZY4" s="62"/>
      <c r="KZZ4" s="62"/>
      <c r="LAA4" s="62"/>
      <c r="LAB4" s="62"/>
      <c r="LAC4" s="62"/>
      <c r="LAD4" s="62"/>
      <c r="LAE4" s="62"/>
      <c r="LAF4" s="62"/>
      <c r="LAG4" s="62"/>
      <c r="LAH4" s="62"/>
      <c r="LAI4" s="62"/>
      <c r="LAJ4" s="62"/>
      <c r="LAK4" s="62"/>
      <c r="LAL4" s="62"/>
      <c r="LAM4" s="62"/>
      <c r="LAN4" s="62"/>
      <c r="LAO4" s="62"/>
      <c r="LAP4" s="62"/>
      <c r="LAQ4" s="62"/>
      <c r="LAR4" s="62"/>
      <c r="LAS4" s="62"/>
      <c r="LAT4" s="62"/>
      <c r="LAU4" s="62"/>
      <c r="LAV4" s="62"/>
      <c r="LAW4" s="62"/>
      <c r="LAX4" s="62"/>
      <c r="LAY4" s="62"/>
      <c r="LAZ4" s="62"/>
      <c r="LBA4" s="62"/>
      <c r="LBB4" s="62"/>
      <c r="LBC4" s="62"/>
      <c r="LBD4" s="62"/>
      <c r="LBE4" s="62"/>
      <c r="LBF4" s="62"/>
      <c r="LBG4" s="62"/>
      <c r="LBH4" s="62"/>
      <c r="LBI4" s="62"/>
      <c r="LBJ4" s="62"/>
      <c r="LBK4" s="62"/>
      <c r="LBL4" s="62"/>
      <c r="LBM4" s="62"/>
      <c r="LBN4" s="62"/>
      <c r="LBO4" s="62"/>
      <c r="LBP4" s="62"/>
      <c r="LBQ4" s="62"/>
      <c r="LBR4" s="62"/>
      <c r="LBS4" s="62"/>
      <c r="LBT4" s="62"/>
      <c r="LBU4" s="62"/>
      <c r="LBV4" s="62"/>
      <c r="LBW4" s="62"/>
      <c r="LBX4" s="62"/>
      <c r="LBY4" s="62"/>
      <c r="LBZ4" s="62"/>
      <c r="LCA4" s="62"/>
      <c r="LCB4" s="62"/>
      <c r="LCC4" s="62"/>
      <c r="LCD4" s="62"/>
      <c r="LCE4" s="62"/>
      <c r="LCF4" s="62"/>
      <c r="LCG4" s="62"/>
      <c r="LCH4" s="62"/>
      <c r="LCI4" s="62"/>
      <c r="LCJ4" s="62"/>
      <c r="LCK4" s="62"/>
      <c r="LCL4" s="62"/>
      <c r="LCM4" s="62"/>
      <c r="LCN4" s="62"/>
      <c r="LCO4" s="62"/>
      <c r="LCP4" s="62"/>
      <c r="LCQ4" s="62"/>
      <c r="LCR4" s="62"/>
      <c r="LCS4" s="62"/>
      <c r="LCT4" s="62"/>
      <c r="LCU4" s="62"/>
      <c r="LCV4" s="62"/>
      <c r="LCW4" s="62"/>
      <c r="LCX4" s="62"/>
      <c r="LCY4" s="62"/>
      <c r="LCZ4" s="62"/>
      <c r="LDA4" s="62"/>
      <c r="LDB4" s="62"/>
      <c r="LDC4" s="62"/>
      <c r="LDD4" s="62"/>
      <c r="LDE4" s="62"/>
      <c r="LDF4" s="62"/>
      <c r="LDG4" s="62"/>
      <c r="LDH4" s="62"/>
      <c r="LDI4" s="62"/>
      <c r="LDJ4" s="62"/>
      <c r="LDK4" s="62"/>
      <c r="LDL4" s="62"/>
      <c r="LDM4" s="62"/>
      <c r="LDN4" s="62"/>
      <c r="LDO4" s="62"/>
      <c r="LDP4" s="62"/>
      <c r="LDQ4" s="62"/>
      <c r="LDR4" s="62"/>
      <c r="LDS4" s="62"/>
      <c r="LDT4" s="62"/>
      <c r="LDU4" s="62"/>
      <c r="LDV4" s="62"/>
      <c r="LDW4" s="62"/>
      <c r="LDX4" s="62"/>
      <c r="LDY4" s="62"/>
      <c r="LDZ4" s="62"/>
      <c r="LEA4" s="62"/>
      <c r="LEB4" s="62"/>
      <c r="LEC4" s="62"/>
      <c r="LED4" s="62"/>
      <c r="LEE4" s="62"/>
      <c r="LEF4" s="62"/>
      <c r="LEG4" s="62"/>
      <c r="LEH4" s="62"/>
      <c r="LEI4" s="62"/>
      <c r="LEJ4" s="62"/>
      <c r="LEK4" s="62"/>
      <c r="LEL4" s="62"/>
      <c r="LEM4" s="62"/>
      <c r="LEN4" s="62"/>
      <c r="LEO4" s="62"/>
      <c r="LEP4" s="62"/>
      <c r="LEQ4" s="62"/>
      <c r="LER4" s="62"/>
      <c r="LES4" s="62"/>
      <c r="LET4" s="62"/>
      <c r="LEU4" s="62"/>
      <c r="LEV4" s="62"/>
      <c r="LEW4" s="62"/>
      <c r="LEX4" s="62"/>
      <c r="LEY4" s="62"/>
      <c r="LEZ4" s="62"/>
      <c r="LFA4" s="62"/>
      <c r="LFB4" s="62"/>
      <c r="LFC4" s="62"/>
      <c r="LFD4" s="62"/>
      <c r="LFE4" s="62"/>
      <c r="LFF4" s="62"/>
      <c r="LFG4" s="62"/>
      <c r="LFH4" s="62"/>
      <c r="LFI4" s="62"/>
      <c r="LFJ4" s="62"/>
      <c r="LFK4" s="62"/>
      <c r="LFL4" s="62"/>
      <c r="LFM4" s="62"/>
      <c r="LFN4" s="62"/>
      <c r="LFO4" s="62"/>
      <c r="LFP4" s="62"/>
      <c r="LFQ4" s="62"/>
      <c r="LFR4" s="62"/>
      <c r="LFS4" s="62"/>
      <c r="LFT4" s="62"/>
      <c r="LFU4" s="62"/>
      <c r="LFV4" s="62"/>
      <c r="LFW4" s="62"/>
      <c r="LFX4" s="62"/>
      <c r="LFY4" s="62"/>
      <c r="LFZ4" s="62"/>
      <c r="LGA4" s="62"/>
      <c r="LGB4" s="62"/>
      <c r="LGC4" s="62"/>
      <c r="LGD4" s="62"/>
      <c r="LGE4" s="62"/>
      <c r="LGF4" s="62"/>
      <c r="LGG4" s="62"/>
      <c r="LGH4" s="62"/>
      <c r="LGI4" s="62"/>
      <c r="LGJ4" s="62"/>
      <c r="LGK4" s="62"/>
      <c r="LGL4" s="62"/>
      <c r="LGM4" s="62"/>
      <c r="LGN4" s="62"/>
      <c r="LGO4" s="62"/>
      <c r="LGP4" s="62"/>
      <c r="LGQ4" s="62"/>
      <c r="LGR4" s="62"/>
      <c r="LGS4" s="62"/>
      <c r="LGT4" s="62"/>
      <c r="LGU4" s="62"/>
      <c r="LGV4" s="62"/>
      <c r="LGW4" s="62"/>
      <c r="LGX4" s="62"/>
      <c r="LGY4" s="62"/>
      <c r="LGZ4" s="62"/>
      <c r="LHA4" s="62"/>
      <c r="LHB4" s="62"/>
      <c r="LHC4" s="62"/>
      <c r="LHD4" s="62"/>
      <c r="LHE4" s="62"/>
      <c r="LHF4" s="62"/>
      <c r="LHG4" s="62"/>
      <c r="LHH4" s="62"/>
      <c r="LHI4" s="62"/>
      <c r="LHJ4" s="62"/>
      <c r="LHK4" s="62"/>
      <c r="LHL4" s="62"/>
      <c r="LHM4" s="62"/>
      <c r="LHN4" s="62"/>
      <c r="LHO4" s="62"/>
      <c r="LHP4" s="62"/>
      <c r="LHQ4" s="62"/>
      <c r="LHR4" s="62"/>
      <c r="LHS4" s="62"/>
      <c r="LHT4" s="62"/>
      <c r="LHU4" s="62"/>
      <c r="LHV4" s="62"/>
      <c r="LHW4" s="62"/>
      <c r="LHX4" s="62"/>
      <c r="LHY4" s="62"/>
      <c r="LHZ4" s="62"/>
      <c r="LIA4" s="62"/>
      <c r="LIB4" s="62"/>
      <c r="LIC4" s="62"/>
      <c r="LID4" s="62"/>
      <c r="LIE4" s="62"/>
      <c r="LIF4" s="62"/>
      <c r="LIG4" s="62"/>
      <c r="LIH4" s="62"/>
      <c r="LII4" s="62"/>
      <c r="LIJ4" s="62"/>
      <c r="LIK4" s="62"/>
      <c r="LIL4" s="62"/>
      <c r="LIM4" s="62"/>
      <c r="LIN4" s="62"/>
      <c r="LIO4" s="62"/>
      <c r="LIP4" s="62"/>
      <c r="LIQ4" s="62"/>
      <c r="LIR4" s="62"/>
      <c r="LIS4" s="62"/>
      <c r="LIT4" s="62"/>
      <c r="LIU4" s="62"/>
      <c r="LIV4" s="62"/>
      <c r="LIW4" s="62"/>
      <c r="LIX4" s="62"/>
      <c r="LIY4" s="62"/>
      <c r="LIZ4" s="62"/>
      <c r="LJA4" s="62"/>
      <c r="LJB4" s="62"/>
      <c r="LJC4" s="62"/>
      <c r="LJD4" s="62"/>
      <c r="LJE4" s="62"/>
      <c r="LJF4" s="62"/>
      <c r="LJG4" s="62"/>
      <c r="LJH4" s="62"/>
      <c r="LJI4" s="62"/>
      <c r="LJJ4" s="62"/>
      <c r="LJK4" s="62"/>
      <c r="LJL4" s="62"/>
      <c r="LJM4" s="62"/>
      <c r="LJN4" s="62"/>
      <c r="LJO4" s="62"/>
      <c r="LJP4" s="62"/>
      <c r="LJQ4" s="62"/>
      <c r="LJR4" s="62"/>
      <c r="LJS4" s="62"/>
      <c r="LJT4" s="62"/>
      <c r="LJU4" s="62"/>
      <c r="LJV4" s="62"/>
      <c r="LJW4" s="62"/>
      <c r="LJX4" s="62"/>
      <c r="LJY4" s="62"/>
      <c r="LJZ4" s="62"/>
      <c r="LKA4" s="62"/>
      <c r="LKB4" s="62"/>
      <c r="LKC4" s="62"/>
      <c r="LKD4" s="62"/>
      <c r="LKE4" s="62"/>
      <c r="LKF4" s="62"/>
      <c r="LKG4" s="62"/>
      <c r="LKH4" s="62"/>
      <c r="LKI4" s="62"/>
      <c r="LKJ4" s="62"/>
      <c r="LKK4" s="62"/>
      <c r="LKL4" s="62"/>
      <c r="LKM4" s="62"/>
      <c r="LKN4" s="62"/>
      <c r="LKO4" s="62"/>
      <c r="LKP4" s="62"/>
      <c r="LKQ4" s="62"/>
      <c r="LKR4" s="62"/>
      <c r="LKS4" s="62"/>
      <c r="LKT4" s="62"/>
      <c r="LKU4" s="62"/>
      <c r="LKV4" s="62"/>
      <c r="LKW4" s="62"/>
      <c r="LKX4" s="62"/>
      <c r="LKY4" s="62"/>
      <c r="LKZ4" s="62"/>
      <c r="LLA4" s="62"/>
      <c r="LLB4" s="62"/>
      <c r="LLC4" s="62"/>
      <c r="LLD4" s="62"/>
      <c r="LLE4" s="62"/>
      <c r="LLF4" s="62"/>
      <c r="LLG4" s="62"/>
      <c r="LLH4" s="62"/>
      <c r="LLI4" s="62"/>
      <c r="LLJ4" s="62"/>
      <c r="LLK4" s="62"/>
      <c r="LLL4" s="62"/>
      <c r="LLM4" s="62"/>
      <c r="LLN4" s="62"/>
      <c r="LLO4" s="62"/>
      <c r="LLP4" s="62"/>
      <c r="LLQ4" s="62"/>
      <c r="LLR4" s="62"/>
      <c r="LLS4" s="62"/>
      <c r="LLT4" s="62"/>
      <c r="LLU4" s="62"/>
      <c r="LLV4" s="62"/>
      <c r="LLW4" s="62"/>
      <c r="LLX4" s="62"/>
      <c r="LLY4" s="62"/>
      <c r="LLZ4" s="62"/>
      <c r="LMA4" s="62"/>
      <c r="LMB4" s="62"/>
      <c r="LMC4" s="62"/>
      <c r="LMD4" s="62"/>
      <c r="LME4" s="62"/>
      <c r="LMF4" s="62"/>
      <c r="LMG4" s="62"/>
      <c r="LMH4" s="62"/>
      <c r="LMI4" s="62"/>
      <c r="LMJ4" s="62"/>
      <c r="LMK4" s="62"/>
      <c r="LML4" s="62"/>
      <c r="LMM4" s="62"/>
      <c r="LMN4" s="62"/>
      <c r="LMO4" s="62"/>
      <c r="LMP4" s="62"/>
      <c r="LMQ4" s="62"/>
      <c r="LMR4" s="62"/>
      <c r="LMS4" s="62"/>
      <c r="LMT4" s="62"/>
      <c r="LMU4" s="62"/>
      <c r="LMV4" s="62"/>
      <c r="LMW4" s="62"/>
      <c r="LMX4" s="62"/>
      <c r="LMY4" s="62"/>
      <c r="LMZ4" s="62"/>
      <c r="LNA4" s="62"/>
      <c r="LNB4" s="62"/>
      <c r="LNC4" s="62"/>
      <c r="LND4" s="62"/>
      <c r="LNE4" s="62"/>
      <c r="LNF4" s="62"/>
      <c r="LNG4" s="62"/>
      <c r="LNH4" s="62"/>
      <c r="LNI4" s="62"/>
      <c r="LNJ4" s="62"/>
      <c r="LNK4" s="62"/>
      <c r="LNL4" s="62"/>
      <c r="LNM4" s="62"/>
      <c r="LNN4" s="62"/>
      <c r="LNO4" s="62"/>
      <c r="LNP4" s="62"/>
      <c r="LNQ4" s="62"/>
      <c r="LNR4" s="62"/>
      <c r="LNS4" s="62"/>
      <c r="LNT4" s="62"/>
      <c r="LNU4" s="62"/>
      <c r="LNV4" s="62"/>
      <c r="LNW4" s="62"/>
      <c r="LNX4" s="62"/>
      <c r="LNY4" s="62"/>
      <c r="LNZ4" s="62"/>
      <c r="LOA4" s="62"/>
      <c r="LOB4" s="62"/>
      <c r="LOC4" s="62"/>
      <c r="LOD4" s="62"/>
      <c r="LOE4" s="62"/>
      <c r="LOF4" s="62"/>
      <c r="LOG4" s="62"/>
      <c r="LOH4" s="62"/>
      <c r="LOI4" s="62"/>
      <c r="LOJ4" s="62"/>
      <c r="LOK4" s="62"/>
      <c r="LOL4" s="62"/>
      <c r="LOM4" s="62"/>
      <c r="LON4" s="62"/>
      <c r="LOO4" s="62"/>
      <c r="LOP4" s="62"/>
      <c r="LOQ4" s="62"/>
      <c r="LOR4" s="62"/>
      <c r="LOS4" s="62"/>
      <c r="LOT4" s="62"/>
      <c r="LOU4" s="62"/>
      <c r="LOV4" s="62"/>
      <c r="LOW4" s="62"/>
      <c r="LOX4" s="62"/>
      <c r="LOY4" s="62"/>
      <c r="LOZ4" s="62"/>
      <c r="LPA4" s="62"/>
      <c r="LPB4" s="62"/>
      <c r="LPC4" s="62"/>
      <c r="LPD4" s="62"/>
      <c r="LPE4" s="62"/>
      <c r="LPF4" s="62"/>
      <c r="LPG4" s="62"/>
      <c r="LPH4" s="62"/>
      <c r="LPI4" s="62"/>
      <c r="LPJ4" s="62"/>
      <c r="LPK4" s="62"/>
      <c r="LPL4" s="62"/>
      <c r="LPM4" s="62"/>
      <c r="LPN4" s="62"/>
      <c r="LPO4" s="62"/>
      <c r="LPP4" s="62"/>
      <c r="LPQ4" s="62"/>
      <c r="LPR4" s="62"/>
      <c r="LPS4" s="62"/>
      <c r="LPT4" s="62"/>
      <c r="LPU4" s="62"/>
      <c r="LPV4" s="62"/>
      <c r="LPW4" s="62"/>
      <c r="LPX4" s="62"/>
      <c r="LPY4" s="62"/>
      <c r="LPZ4" s="62"/>
      <c r="LQA4" s="62"/>
      <c r="LQB4" s="62"/>
      <c r="LQC4" s="62"/>
      <c r="LQD4" s="62"/>
      <c r="LQE4" s="62"/>
      <c r="LQF4" s="62"/>
      <c r="LQG4" s="62"/>
      <c r="LQH4" s="62"/>
      <c r="LQI4" s="62"/>
      <c r="LQJ4" s="62"/>
      <c r="LQK4" s="62"/>
      <c r="LQL4" s="62"/>
      <c r="LQM4" s="62"/>
      <c r="LQN4" s="62"/>
      <c r="LQO4" s="62"/>
      <c r="LQP4" s="62"/>
      <c r="LQQ4" s="62"/>
      <c r="LQR4" s="62"/>
      <c r="LQS4" s="62"/>
      <c r="LQT4" s="62"/>
      <c r="LQU4" s="62"/>
      <c r="LQV4" s="62"/>
      <c r="LQW4" s="62"/>
      <c r="LQX4" s="62"/>
      <c r="LQY4" s="62"/>
      <c r="LQZ4" s="62"/>
      <c r="LRA4" s="62"/>
      <c r="LRB4" s="62"/>
      <c r="LRC4" s="62"/>
      <c r="LRD4" s="62"/>
      <c r="LRE4" s="62"/>
      <c r="LRF4" s="62"/>
      <c r="LRG4" s="62"/>
      <c r="LRH4" s="62"/>
      <c r="LRI4" s="62"/>
      <c r="LRJ4" s="62"/>
      <c r="LRK4" s="62"/>
      <c r="LRL4" s="62"/>
      <c r="LRM4" s="62"/>
      <c r="LRN4" s="62"/>
      <c r="LRO4" s="62"/>
      <c r="LRP4" s="62"/>
      <c r="LRQ4" s="62"/>
      <c r="LRR4" s="62"/>
      <c r="LRS4" s="62"/>
      <c r="LRT4" s="62"/>
      <c r="LRU4" s="62"/>
      <c r="LRV4" s="62"/>
      <c r="LRW4" s="62"/>
      <c r="LRX4" s="62"/>
      <c r="LRY4" s="62"/>
      <c r="LRZ4" s="62"/>
      <c r="LSA4" s="62"/>
      <c r="LSB4" s="62"/>
      <c r="LSC4" s="62"/>
      <c r="LSD4" s="62"/>
      <c r="LSE4" s="62"/>
      <c r="LSF4" s="62"/>
      <c r="LSG4" s="62"/>
      <c r="LSH4" s="62"/>
      <c r="LSI4" s="62"/>
      <c r="LSJ4" s="62"/>
      <c r="LSK4" s="62"/>
      <c r="LSL4" s="62"/>
      <c r="LSM4" s="62"/>
      <c r="LSN4" s="62"/>
      <c r="LSO4" s="62"/>
      <c r="LSP4" s="62"/>
      <c r="LSQ4" s="62"/>
      <c r="LSR4" s="62"/>
      <c r="LSS4" s="62"/>
      <c r="LST4" s="62"/>
      <c r="LSU4" s="62"/>
      <c r="LSV4" s="62"/>
      <c r="LSW4" s="62"/>
      <c r="LSX4" s="62"/>
      <c r="LSY4" s="62"/>
      <c r="LSZ4" s="62"/>
      <c r="LTA4" s="62"/>
      <c r="LTB4" s="62"/>
      <c r="LTC4" s="62"/>
      <c r="LTD4" s="62"/>
      <c r="LTE4" s="62"/>
      <c r="LTF4" s="62"/>
      <c r="LTG4" s="62"/>
      <c r="LTH4" s="62"/>
      <c r="LTI4" s="62"/>
      <c r="LTJ4" s="62"/>
      <c r="LTK4" s="62"/>
      <c r="LTL4" s="62"/>
      <c r="LTM4" s="62"/>
      <c r="LTN4" s="62"/>
      <c r="LTO4" s="62"/>
      <c r="LTP4" s="62"/>
      <c r="LTQ4" s="62"/>
      <c r="LTR4" s="62"/>
      <c r="LTS4" s="62"/>
      <c r="LTT4" s="62"/>
      <c r="LTU4" s="62"/>
      <c r="LTV4" s="62"/>
      <c r="LTW4" s="62"/>
      <c r="LTX4" s="62"/>
      <c r="LTY4" s="62"/>
      <c r="LTZ4" s="62"/>
      <c r="LUA4" s="62"/>
      <c r="LUB4" s="62"/>
      <c r="LUC4" s="62"/>
      <c r="LUD4" s="62"/>
      <c r="LUE4" s="62"/>
      <c r="LUF4" s="62"/>
      <c r="LUG4" s="62"/>
      <c r="LUH4" s="62"/>
      <c r="LUI4" s="62"/>
      <c r="LUJ4" s="62"/>
      <c r="LUK4" s="62"/>
      <c r="LUL4" s="62"/>
      <c r="LUM4" s="62"/>
      <c r="LUN4" s="62"/>
      <c r="LUO4" s="62"/>
      <c r="LUP4" s="62"/>
      <c r="LUQ4" s="62"/>
      <c r="LUR4" s="62"/>
      <c r="LUS4" s="62"/>
      <c r="LUT4" s="62"/>
      <c r="LUU4" s="62"/>
      <c r="LUV4" s="62"/>
      <c r="LUW4" s="62"/>
      <c r="LUX4" s="62"/>
      <c r="LUY4" s="62"/>
      <c r="LUZ4" s="62"/>
      <c r="LVA4" s="62"/>
      <c r="LVB4" s="62"/>
      <c r="LVC4" s="62"/>
      <c r="LVD4" s="62"/>
      <c r="LVE4" s="62"/>
      <c r="LVF4" s="62"/>
      <c r="LVG4" s="62"/>
      <c r="LVH4" s="62"/>
      <c r="LVI4" s="62"/>
      <c r="LVJ4" s="62"/>
      <c r="LVK4" s="62"/>
      <c r="LVL4" s="62"/>
      <c r="LVM4" s="62"/>
      <c r="LVN4" s="62"/>
      <c r="LVO4" s="62"/>
      <c r="LVP4" s="62"/>
      <c r="LVQ4" s="62"/>
      <c r="LVR4" s="62"/>
      <c r="LVS4" s="62"/>
      <c r="LVT4" s="62"/>
      <c r="LVU4" s="62"/>
      <c r="LVV4" s="62"/>
      <c r="LVW4" s="62"/>
      <c r="LVX4" s="62"/>
      <c r="LVY4" s="62"/>
      <c r="LVZ4" s="62"/>
      <c r="LWA4" s="62"/>
      <c r="LWB4" s="62"/>
      <c r="LWC4" s="62"/>
      <c r="LWD4" s="62"/>
      <c r="LWE4" s="62"/>
      <c r="LWF4" s="62"/>
      <c r="LWG4" s="62"/>
      <c r="LWH4" s="62"/>
      <c r="LWI4" s="62"/>
      <c r="LWJ4" s="62"/>
      <c r="LWK4" s="62"/>
      <c r="LWL4" s="62"/>
      <c r="LWM4" s="62"/>
      <c r="LWN4" s="62"/>
      <c r="LWO4" s="62"/>
      <c r="LWP4" s="62"/>
      <c r="LWQ4" s="62"/>
      <c r="LWR4" s="62"/>
      <c r="LWS4" s="62"/>
      <c r="LWT4" s="62"/>
      <c r="LWU4" s="62"/>
      <c r="LWV4" s="62"/>
      <c r="LWW4" s="62"/>
      <c r="LWX4" s="62"/>
      <c r="LWY4" s="62"/>
      <c r="LWZ4" s="62"/>
      <c r="LXA4" s="62"/>
      <c r="LXB4" s="62"/>
      <c r="LXC4" s="62"/>
      <c r="LXD4" s="62"/>
      <c r="LXE4" s="62"/>
      <c r="LXF4" s="62"/>
      <c r="LXG4" s="62"/>
      <c r="LXH4" s="62"/>
      <c r="LXI4" s="62"/>
      <c r="LXJ4" s="62"/>
      <c r="LXK4" s="62"/>
      <c r="LXL4" s="62"/>
      <c r="LXM4" s="62"/>
      <c r="LXN4" s="62"/>
      <c r="LXO4" s="62"/>
      <c r="LXP4" s="62"/>
      <c r="LXQ4" s="62"/>
      <c r="LXR4" s="62"/>
      <c r="LXS4" s="62"/>
      <c r="LXT4" s="62"/>
      <c r="LXU4" s="62"/>
      <c r="LXV4" s="62"/>
      <c r="LXW4" s="62"/>
      <c r="LXX4" s="62"/>
      <c r="LXY4" s="62"/>
      <c r="LXZ4" s="62"/>
      <c r="LYA4" s="62"/>
      <c r="LYB4" s="62"/>
      <c r="LYC4" s="62"/>
      <c r="LYD4" s="62"/>
      <c r="LYE4" s="62"/>
      <c r="LYF4" s="62"/>
      <c r="LYG4" s="62"/>
      <c r="LYH4" s="62"/>
      <c r="LYI4" s="62"/>
      <c r="LYJ4" s="62"/>
      <c r="LYK4" s="62"/>
      <c r="LYL4" s="62"/>
      <c r="LYM4" s="62"/>
      <c r="LYN4" s="62"/>
      <c r="LYO4" s="62"/>
      <c r="LYP4" s="62"/>
      <c r="LYQ4" s="62"/>
      <c r="LYR4" s="62"/>
      <c r="LYS4" s="62"/>
      <c r="LYT4" s="62"/>
      <c r="LYU4" s="62"/>
      <c r="LYV4" s="62"/>
      <c r="LYW4" s="62"/>
      <c r="LYX4" s="62"/>
      <c r="LYY4" s="62"/>
      <c r="LYZ4" s="62"/>
      <c r="LZA4" s="62"/>
      <c r="LZB4" s="62"/>
      <c r="LZC4" s="62"/>
      <c r="LZD4" s="62"/>
      <c r="LZE4" s="62"/>
      <c r="LZF4" s="62"/>
      <c r="LZG4" s="62"/>
      <c r="LZH4" s="62"/>
      <c r="LZI4" s="62"/>
      <c r="LZJ4" s="62"/>
      <c r="LZK4" s="62"/>
      <c r="LZL4" s="62"/>
      <c r="LZM4" s="62"/>
      <c r="LZN4" s="62"/>
      <c r="LZO4" s="62"/>
      <c r="LZP4" s="62"/>
      <c r="LZQ4" s="62"/>
      <c r="LZR4" s="62"/>
      <c r="LZS4" s="62"/>
      <c r="LZT4" s="62"/>
      <c r="LZU4" s="62"/>
      <c r="LZV4" s="62"/>
      <c r="LZW4" s="62"/>
      <c r="LZX4" s="62"/>
      <c r="LZY4" s="62"/>
      <c r="LZZ4" s="62"/>
      <c r="MAA4" s="62"/>
      <c r="MAB4" s="62"/>
      <c r="MAC4" s="62"/>
      <c r="MAD4" s="62"/>
      <c r="MAE4" s="62"/>
      <c r="MAF4" s="62"/>
      <c r="MAG4" s="62"/>
      <c r="MAH4" s="62"/>
      <c r="MAI4" s="62"/>
      <c r="MAJ4" s="62"/>
      <c r="MAK4" s="62"/>
      <c r="MAL4" s="62"/>
      <c r="MAM4" s="62"/>
      <c r="MAN4" s="62"/>
      <c r="MAO4" s="62"/>
      <c r="MAP4" s="62"/>
      <c r="MAQ4" s="62"/>
      <c r="MAR4" s="62"/>
      <c r="MAS4" s="62"/>
      <c r="MAT4" s="62"/>
      <c r="MAU4" s="62"/>
      <c r="MAV4" s="62"/>
      <c r="MAW4" s="62"/>
      <c r="MAX4" s="62"/>
      <c r="MAY4" s="62"/>
      <c r="MAZ4" s="62"/>
      <c r="MBA4" s="62"/>
      <c r="MBB4" s="62"/>
      <c r="MBC4" s="62"/>
      <c r="MBD4" s="62"/>
      <c r="MBE4" s="62"/>
      <c r="MBF4" s="62"/>
      <c r="MBG4" s="62"/>
      <c r="MBH4" s="62"/>
      <c r="MBI4" s="62"/>
      <c r="MBJ4" s="62"/>
      <c r="MBK4" s="62"/>
      <c r="MBL4" s="62"/>
      <c r="MBM4" s="62"/>
      <c r="MBN4" s="62"/>
      <c r="MBO4" s="62"/>
      <c r="MBP4" s="62"/>
      <c r="MBQ4" s="62"/>
      <c r="MBR4" s="62"/>
      <c r="MBS4" s="62"/>
      <c r="MBT4" s="62"/>
      <c r="MBU4" s="62"/>
      <c r="MBV4" s="62"/>
      <c r="MBW4" s="62"/>
      <c r="MBX4" s="62"/>
      <c r="MBY4" s="62"/>
      <c r="MBZ4" s="62"/>
      <c r="MCA4" s="62"/>
      <c r="MCB4" s="62"/>
      <c r="MCC4" s="62"/>
      <c r="MCD4" s="62"/>
      <c r="MCE4" s="62"/>
      <c r="MCF4" s="62"/>
      <c r="MCG4" s="62"/>
      <c r="MCH4" s="62"/>
      <c r="MCI4" s="62"/>
      <c r="MCJ4" s="62"/>
      <c r="MCK4" s="62"/>
      <c r="MCL4" s="62"/>
      <c r="MCM4" s="62"/>
      <c r="MCN4" s="62"/>
      <c r="MCO4" s="62"/>
      <c r="MCP4" s="62"/>
      <c r="MCQ4" s="62"/>
      <c r="MCR4" s="62"/>
      <c r="MCS4" s="62"/>
      <c r="MCT4" s="62"/>
      <c r="MCU4" s="62"/>
      <c r="MCV4" s="62"/>
      <c r="MCW4" s="62"/>
      <c r="MCX4" s="62"/>
      <c r="MCY4" s="62"/>
      <c r="MCZ4" s="62"/>
      <c r="MDA4" s="62"/>
      <c r="MDB4" s="62"/>
      <c r="MDC4" s="62"/>
      <c r="MDD4" s="62"/>
      <c r="MDE4" s="62"/>
      <c r="MDF4" s="62"/>
      <c r="MDG4" s="62"/>
      <c r="MDH4" s="62"/>
      <c r="MDI4" s="62"/>
      <c r="MDJ4" s="62"/>
      <c r="MDK4" s="62"/>
      <c r="MDL4" s="62"/>
      <c r="MDM4" s="62"/>
      <c r="MDN4" s="62"/>
      <c r="MDO4" s="62"/>
      <c r="MDP4" s="62"/>
      <c r="MDQ4" s="62"/>
      <c r="MDR4" s="62"/>
      <c r="MDS4" s="62"/>
      <c r="MDT4" s="62"/>
      <c r="MDU4" s="62"/>
      <c r="MDV4" s="62"/>
      <c r="MDW4" s="62"/>
      <c r="MDX4" s="62"/>
      <c r="MDY4" s="62"/>
      <c r="MDZ4" s="62"/>
      <c r="MEA4" s="62"/>
      <c r="MEB4" s="62"/>
      <c r="MEC4" s="62"/>
      <c r="MED4" s="62"/>
      <c r="MEE4" s="62"/>
      <c r="MEF4" s="62"/>
      <c r="MEG4" s="62"/>
      <c r="MEH4" s="62"/>
      <c r="MEI4" s="62"/>
      <c r="MEJ4" s="62"/>
      <c r="MEK4" s="62"/>
      <c r="MEL4" s="62"/>
      <c r="MEM4" s="62"/>
      <c r="MEN4" s="62"/>
      <c r="MEO4" s="62"/>
      <c r="MEP4" s="62"/>
      <c r="MEQ4" s="62"/>
      <c r="MER4" s="62"/>
      <c r="MES4" s="62"/>
      <c r="MET4" s="62"/>
      <c r="MEU4" s="62"/>
      <c r="MEV4" s="62"/>
      <c r="MEW4" s="62"/>
      <c r="MEX4" s="62"/>
      <c r="MEY4" s="62"/>
      <c r="MEZ4" s="62"/>
      <c r="MFA4" s="62"/>
      <c r="MFB4" s="62"/>
      <c r="MFC4" s="62"/>
      <c r="MFD4" s="62"/>
      <c r="MFE4" s="62"/>
      <c r="MFF4" s="62"/>
      <c r="MFG4" s="62"/>
      <c r="MFH4" s="62"/>
      <c r="MFI4" s="62"/>
      <c r="MFJ4" s="62"/>
      <c r="MFK4" s="62"/>
      <c r="MFL4" s="62"/>
      <c r="MFM4" s="62"/>
      <c r="MFN4" s="62"/>
      <c r="MFO4" s="62"/>
      <c r="MFP4" s="62"/>
      <c r="MFQ4" s="62"/>
      <c r="MFR4" s="62"/>
      <c r="MFS4" s="62"/>
      <c r="MFT4" s="62"/>
      <c r="MFU4" s="62"/>
      <c r="MFV4" s="62"/>
      <c r="MFW4" s="62"/>
      <c r="MFX4" s="62"/>
      <c r="MFY4" s="62"/>
      <c r="MFZ4" s="62"/>
      <c r="MGA4" s="62"/>
      <c r="MGB4" s="62"/>
      <c r="MGC4" s="62"/>
      <c r="MGD4" s="62"/>
      <c r="MGE4" s="62"/>
      <c r="MGF4" s="62"/>
      <c r="MGG4" s="62"/>
      <c r="MGH4" s="62"/>
      <c r="MGI4" s="62"/>
      <c r="MGJ4" s="62"/>
      <c r="MGK4" s="62"/>
      <c r="MGL4" s="62"/>
      <c r="MGM4" s="62"/>
      <c r="MGN4" s="62"/>
      <c r="MGO4" s="62"/>
      <c r="MGP4" s="62"/>
      <c r="MGQ4" s="62"/>
      <c r="MGR4" s="62"/>
      <c r="MGS4" s="62"/>
      <c r="MGT4" s="62"/>
      <c r="MGU4" s="62"/>
      <c r="MGV4" s="62"/>
      <c r="MGW4" s="62"/>
      <c r="MGX4" s="62"/>
      <c r="MGY4" s="62"/>
      <c r="MGZ4" s="62"/>
      <c r="MHA4" s="62"/>
      <c r="MHB4" s="62"/>
      <c r="MHC4" s="62"/>
      <c r="MHD4" s="62"/>
      <c r="MHE4" s="62"/>
      <c r="MHF4" s="62"/>
      <c r="MHG4" s="62"/>
      <c r="MHH4" s="62"/>
      <c r="MHI4" s="62"/>
      <c r="MHJ4" s="62"/>
      <c r="MHK4" s="62"/>
      <c r="MHL4" s="62"/>
      <c r="MHM4" s="62"/>
      <c r="MHN4" s="62"/>
      <c r="MHO4" s="62"/>
      <c r="MHP4" s="62"/>
      <c r="MHQ4" s="62"/>
      <c r="MHR4" s="62"/>
      <c r="MHS4" s="62"/>
      <c r="MHT4" s="62"/>
      <c r="MHU4" s="62"/>
      <c r="MHV4" s="62"/>
      <c r="MHW4" s="62"/>
      <c r="MHX4" s="62"/>
      <c r="MHY4" s="62"/>
      <c r="MHZ4" s="62"/>
      <c r="MIA4" s="62"/>
      <c r="MIB4" s="62"/>
      <c r="MIC4" s="62"/>
      <c r="MID4" s="62"/>
      <c r="MIE4" s="62"/>
      <c r="MIF4" s="62"/>
      <c r="MIG4" s="62"/>
      <c r="MIH4" s="62"/>
      <c r="MII4" s="62"/>
      <c r="MIJ4" s="62"/>
      <c r="MIK4" s="62"/>
      <c r="MIL4" s="62"/>
      <c r="MIM4" s="62"/>
      <c r="MIN4" s="62"/>
      <c r="MIO4" s="62"/>
      <c r="MIP4" s="62"/>
      <c r="MIQ4" s="62"/>
      <c r="MIR4" s="62"/>
      <c r="MIS4" s="62"/>
      <c r="MIT4" s="62"/>
      <c r="MIU4" s="62"/>
      <c r="MIV4" s="62"/>
      <c r="MIW4" s="62"/>
      <c r="MIX4" s="62"/>
      <c r="MIY4" s="62"/>
      <c r="MIZ4" s="62"/>
      <c r="MJA4" s="62"/>
      <c r="MJB4" s="62"/>
      <c r="MJC4" s="62"/>
      <c r="MJD4" s="62"/>
      <c r="MJE4" s="62"/>
      <c r="MJF4" s="62"/>
      <c r="MJG4" s="62"/>
      <c r="MJH4" s="62"/>
      <c r="MJI4" s="62"/>
      <c r="MJJ4" s="62"/>
      <c r="MJK4" s="62"/>
      <c r="MJL4" s="62"/>
      <c r="MJM4" s="62"/>
      <c r="MJN4" s="62"/>
      <c r="MJO4" s="62"/>
      <c r="MJP4" s="62"/>
      <c r="MJQ4" s="62"/>
      <c r="MJR4" s="62"/>
      <c r="MJS4" s="62"/>
      <c r="MJT4" s="62"/>
      <c r="MJU4" s="62"/>
      <c r="MJV4" s="62"/>
      <c r="MJW4" s="62"/>
      <c r="MJX4" s="62"/>
      <c r="MJY4" s="62"/>
      <c r="MJZ4" s="62"/>
      <c r="MKA4" s="62"/>
      <c r="MKB4" s="62"/>
      <c r="MKC4" s="62"/>
      <c r="MKD4" s="62"/>
      <c r="MKE4" s="62"/>
      <c r="MKF4" s="62"/>
      <c r="MKG4" s="62"/>
      <c r="MKH4" s="62"/>
      <c r="MKI4" s="62"/>
      <c r="MKJ4" s="62"/>
      <c r="MKK4" s="62"/>
      <c r="MKL4" s="62"/>
      <c r="MKM4" s="62"/>
      <c r="MKN4" s="62"/>
      <c r="MKO4" s="62"/>
      <c r="MKP4" s="62"/>
      <c r="MKQ4" s="62"/>
      <c r="MKR4" s="62"/>
      <c r="MKS4" s="62"/>
      <c r="MKT4" s="62"/>
      <c r="MKU4" s="62"/>
      <c r="MKV4" s="62"/>
      <c r="MKW4" s="62"/>
      <c r="MKX4" s="62"/>
      <c r="MKY4" s="62"/>
      <c r="MKZ4" s="62"/>
      <c r="MLA4" s="62"/>
      <c r="MLB4" s="62"/>
      <c r="MLC4" s="62"/>
      <c r="MLD4" s="62"/>
      <c r="MLE4" s="62"/>
      <c r="MLF4" s="62"/>
      <c r="MLG4" s="62"/>
      <c r="MLH4" s="62"/>
      <c r="MLI4" s="62"/>
      <c r="MLJ4" s="62"/>
      <c r="MLK4" s="62"/>
      <c r="MLL4" s="62"/>
      <c r="MLM4" s="62"/>
      <c r="MLN4" s="62"/>
      <c r="MLO4" s="62"/>
      <c r="MLP4" s="62"/>
      <c r="MLQ4" s="62"/>
      <c r="MLR4" s="62"/>
      <c r="MLS4" s="62"/>
      <c r="MLT4" s="62"/>
      <c r="MLU4" s="62"/>
      <c r="MLV4" s="62"/>
      <c r="MLW4" s="62"/>
      <c r="MLX4" s="62"/>
      <c r="MLY4" s="62"/>
      <c r="MLZ4" s="62"/>
      <c r="MMA4" s="62"/>
      <c r="MMB4" s="62"/>
      <c r="MMC4" s="62"/>
      <c r="MMD4" s="62"/>
      <c r="MME4" s="62"/>
      <c r="MMF4" s="62"/>
      <c r="MMG4" s="62"/>
      <c r="MMH4" s="62"/>
      <c r="MMI4" s="62"/>
      <c r="MMJ4" s="62"/>
      <c r="MMK4" s="62"/>
      <c r="MML4" s="62"/>
      <c r="MMM4" s="62"/>
      <c r="MMN4" s="62"/>
      <c r="MMO4" s="62"/>
      <c r="MMP4" s="62"/>
      <c r="MMQ4" s="62"/>
      <c r="MMR4" s="62"/>
      <c r="MMS4" s="62"/>
      <c r="MMT4" s="62"/>
      <c r="MMU4" s="62"/>
      <c r="MMV4" s="62"/>
      <c r="MMW4" s="62"/>
      <c r="MMX4" s="62"/>
      <c r="MMY4" s="62"/>
      <c r="MMZ4" s="62"/>
      <c r="MNA4" s="62"/>
      <c r="MNB4" s="62"/>
      <c r="MNC4" s="62"/>
      <c r="MND4" s="62"/>
      <c r="MNE4" s="62"/>
      <c r="MNF4" s="62"/>
      <c r="MNG4" s="62"/>
      <c r="MNH4" s="62"/>
      <c r="MNI4" s="62"/>
      <c r="MNJ4" s="62"/>
      <c r="MNK4" s="62"/>
      <c r="MNL4" s="62"/>
      <c r="MNM4" s="62"/>
      <c r="MNN4" s="62"/>
      <c r="MNO4" s="62"/>
      <c r="MNP4" s="62"/>
      <c r="MNQ4" s="62"/>
      <c r="MNR4" s="62"/>
      <c r="MNS4" s="62"/>
      <c r="MNT4" s="62"/>
      <c r="MNU4" s="62"/>
      <c r="MNV4" s="62"/>
      <c r="MNW4" s="62"/>
      <c r="MNX4" s="62"/>
      <c r="MNY4" s="62"/>
      <c r="MNZ4" s="62"/>
      <c r="MOA4" s="62"/>
      <c r="MOB4" s="62"/>
      <c r="MOC4" s="62"/>
      <c r="MOD4" s="62"/>
      <c r="MOE4" s="62"/>
      <c r="MOF4" s="62"/>
      <c r="MOG4" s="62"/>
      <c r="MOH4" s="62"/>
      <c r="MOI4" s="62"/>
      <c r="MOJ4" s="62"/>
      <c r="MOK4" s="62"/>
      <c r="MOL4" s="62"/>
      <c r="MOM4" s="62"/>
      <c r="MON4" s="62"/>
      <c r="MOO4" s="62"/>
      <c r="MOP4" s="62"/>
      <c r="MOQ4" s="62"/>
      <c r="MOR4" s="62"/>
      <c r="MOS4" s="62"/>
      <c r="MOT4" s="62"/>
      <c r="MOU4" s="62"/>
      <c r="MOV4" s="62"/>
      <c r="MOW4" s="62"/>
      <c r="MOX4" s="62"/>
      <c r="MOY4" s="62"/>
      <c r="MOZ4" s="62"/>
      <c r="MPA4" s="62"/>
      <c r="MPB4" s="62"/>
      <c r="MPC4" s="62"/>
      <c r="MPD4" s="62"/>
      <c r="MPE4" s="62"/>
      <c r="MPF4" s="62"/>
      <c r="MPG4" s="62"/>
      <c r="MPH4" s="62"/>
      <c r="MPI4" s="62"/>
      <c r="MPJ4" s="62"/>
      <c r="MPK4" s="62"/>
      <c r="MPL4" s="62"/>
      <c r="MPM4" s="62"/>
      <c r="MPN4" s="62"/>
      <c r="MPO4" s="62"/>
      <c r="MPP4" s="62"/>
      <c r="MPQ4" s="62"/>
      <c r="MPR4" s="62"/>
      <c r="MPS4" s="62"/>
      <c r="MPT4" s="62"/>
      <c r="MPU4" s="62"/>
      <c r="MPV4" s="62"/>
      <c r="MPW4" s="62"/>
      <c r="MPX4" s="62"/>
      <c r="MPY4" s="62"/>
      <c r="MPZ4" s="62"/>
      <c r="MQA4" s="62"/>
      <c r="MQB4" s="62"/>
      <c r="MQC4" s="62"/>
      <c r="MQD4" s="62"/>
      <c r="MQE4" s="62"/>
      <c r="MQF4" s="62"/>
      <c r="MQG4" s="62"/>
      <c r="MQH4" s="62"/>
      <c r="MQI4" s="62"/>
      <c r="MQJ4" s="62"/>
      <c r="MQK4" s="62"/>
      <c r="MQL4" s="62"/>
      <c r="MQM4" s="62"/>
      <c r="MQN4" s="62"/>
      <c r="MQO4" s="62"/>
      <c r="MQP4" s="62"/>
      <c r="MQQ4" s="62"/>
      <c r="MQR4" s="62"/>
      <c r="MQS4" s="62"/>
      <c r="MQT4" s="62"/>
      <c r="MQU4" s="62"/>
      <c r="MQV4" s="62"/>
      <c r="MQW4" s="62"/>
      <c r="MQX4" s="62"/>
      <c r="MQY4" s="62"/>
      <c r="MQZ4" s="62"/>
      <c r="MRA4" s="62"/>
      <c r="MRB4" s="62"/>
      <c r="MRC4" s="62"/>
      <c r="MRD4" s="62"/>
      <c r="MRE4" s="62"/>
      <c r="MRF4" s="62"/>
      <c r="MRG4" s="62"/>
      <c r="MRH4" s="62"/>
      <c r="MRI4" s="62"/>
      <c r="MRJ4" s="62"/>
      <c r="MRK4" s="62"/>
      <c r="MRL4" s="62"/>
      <c r="MRM4" s="62"/>
      <c r="MRN4" s="62"/>
      <c r="MRO4" s="62"/>
      <c r="MRP4" s="62"/>
      <c r="MRQ4" s="62"/>
      <c r="MRR4" s="62"/>
      <c r="MRS4" s="62"/>
      <c r="MRT4" s="62"/>
      <c r="MRU4" s="62"/>
      <c r="MRV4" s="62"/>
      <c r="MRW4" s="62"/>
      <c r="MRX4" s="62"/>
      <c r="MRY4" s="62"/>
      <c r="MRZ4" s="62"/>
      <c r="MSA4" s="62"/>
      <c r="MSB4" s="62"/>
      <c r="MSC4" s="62"/>
      <c r="MSD4" s="62"/>
      <c r="MSE4" s="62"/>
      <c r="MSF4" s="62"/>
      <c r="MSG4" s="62"/>
      <c r="MSH4" s="62"/>
      <c r="MSI4" s="62"/>
      <c r="MSJ4" s="62"/>
      <c r="MSK4" s="62"/>
      <c r="MSL4" s="62"/>
      <c r="MSM4" s="62"/>
      <c r="MSN4" s="62"/>
      <c r="MSO4" s="62"/>
      <c r="MSP4" s="62"/>
      <c r="MSQ4" s="62"/>
      <c r="MSR4" s="62"/>
      <c r="MSS4" s="62"/>
      <c r="MST4" s="62"/>
      <c r="MSU4" s="62"/>
      <c r="MSV4" s="62"/>
      <c r="MSW4" s="62"/>
      <c r="MSX4" s="62"/>
      <c r="MSY4" s="62"/>
      <c r="MSZ4" s="62"/>
      <c r="MTA4" s="62"/>
      <c r="MTB4" s="62"/>
      <c r="MTC4" s="62"/>
      <c r="MTD4" s="62"/>
      <c r="MTE4" s="62"/>
      <c r="MTF4" s="62"/>
      <c r="MTG4" s="62"/>
      <c r="MTH4" s="62"/>
      <c r="MTI4" s="62"/>
      <c r="MTJ4" s="62"/>
      <c r="MTK4" s="62"/>
      <c r="MTL4" s="62"/>
      <c r="MTM4" s="62"/>
      <c r="MTN4" s="62"/>
      <c r="MTO4" s="62"/>
      <c r="MTP4" s="62"/>
      <c r="MTQ4" s="62"/>
      <c r="MTR4" s="62"/>
      <c r="MTS4" s="62"/>
      <c r="MTT4" s="62"/>
      <c r="MTU4" s="62"/>
      <c r="MTV4" s="62"/>
      <c r="MTW4" s="62"/>
      <c r="MTX4" s="62"/>
      <c r="MTY4" s="62"/>
      <c r="MTZ4" s="62"/>
      <c r="MUA4" s="62"/>
      <c r="MUB4" s="62"/>
      <c r="MUC4" s="62"/>
      <c r="MUD4" s="62"/>
      <c r="MUE4" s="62"/>
      <c r="MUF4" s="62"/>
      <c r="MUG4" s="62"/>
      <c r="MUH4" s="62"/>
      <c r="MUI4" s="62"/>
      <c r="MUJ4" s="62"/>
      <c r="MUK4" s="62"/>
      <c r="MUL4" s="62"/>
      <c r="MUM4" s="62"/>
      <c r="MUN4" s="62"/>
      <c r="MUO4" s="62"/>
      <c r="MUP4" s="62"/>
      <c r="MUQ4" s="62"/>
      <c r="MUR4" s="62"/>
      <c r="MUS4" s="62"/>
      <c r="MUT4" s="62"/>
      <c r="MUU4" s="62"/>
      <c r="MUV4" s="62"/>
      <c r="MUW4" s="62"/>
      <c r="MUX4" s="62"/>
      <c r="MUY4" s="62"/>
      <c r="MUZ4" s="62"/>
      <c r="MVA4" s="62"/>
      <c r="MVB4" s="62"/>
      <c r="MVC4" s="62"/>
      <c r="MVD4" s="62"/>
      <c r="MVE4" s="62"/>
      <c r="MVF4" s="62"/>
      <c r="MVG4" s="62"/>
      <c r="MVH4" s="62"/>
      <c r="MVI4" s="62"/>
      <c r="MVJ4" s="62"/>
      <c r="MVK4" s="62"/>
      <c r="MVL4" s="62"/>
      <c r="MVM4" s="62"/>
      <c r="MVN4" s="62"/>
      <c r="MVO4" s="62"/>
      <c r="MVP4" s="62"/>
      <c r="MVQ4" s="62"/>
      <c r="MVR4" s="62"/>
      <c r="MVS4" s="62"/>
      <c r="MVT4" s="62"/>
      <c r="MVU4" s="62"/>
      <c r="MVV4" s="62"/>
      <c r="MVW4" s="62"/>
      <c r="MVX4" s="62"/>
      <c r="MVY4" s="62"/>
      <c r="MVZ4" s="62"/>
      <c r="MWA4" s="62"/>
      <c r="MWB4" s="62"/>
      <c r="MWC4" s="62"/>
      <c r="MWD4" s="62"/>
      <c r="MWE4" s="62"/>
      <c r="MWF4" s="62"/>
      <c r="MWG4" s="62"/>
      <c r="MWH4" s="62"/>
      <c r="MWI4" s="62"/>
      <c r="MWJ4" s="62"/>
      <c r="MWK4" s="62"/>
      <c r="MWL4" s="62"/>
      <c r="MWM4" s="62"/>
      <c r="MWN4" s="62"/>
      <c r="MWO4" s="62"/>
      <c r="MWP4" s="62"/>
      <c r="MWQ4" s="62"/>
      <c r="MWR4" s="62"/>
      <c r="MWS4" s="62"/>
      <c r="MWT4" s="62"/>
      <c r="MWU4" s="62"/>
      <c r="MWV4" s="62"/>
      <c r="MWW4" s="62"/>
      <c r="MWX4" s="62"/>
      <c r="MWY4" s="62"/>
      <c r="MWZ4" s="62"/>
      <c r="MXA4" s="62"/>
      <c r="MXB4" s="62"/>
      <c r="MXC4" s="62"/>
      <c r="MXD4" s="62"/>
      <c r="MXE4" s="62"/>
      <c r="MXF4" s="62"/>
      <c r="MXG4" s="62"/>
      <c r="MXH4" s="62"/>
      <c r="MXI4" s="62"/>
      <c r="MXJ4" s="62"/>
      <c r="MXK4" s="62"/>
      <c r="MXL4" s="62"/>
      <c r="MXM4" s="62"/>
      <c r="MXN4" s="62"/>
      <c r="MXO4" s="62"/>
      <c r="MXP4" s="62"/>
      <c r="MXQ4" s="62"/>
      <c r="MXR4" s="62"/>
      <c r="MXS4" s="62"/>
      <c r="MXT4" s="62"/>
      <c r="MXU4" s="62"/>
      <c r="MXV4" s="62"/>
      <c r="MXW4" s="62"/>
      <c r="MXX4" s="62"/>
      <c r="MXY4" s="62"/>
      <c r="MXZ4" s="62"/>
      <c r="MYA4" s="62"/>
      <c r="MYB4" s="62"/>
      <c r="MYC4" s="62"/>
      <c r="MYD4" s="62"/>
      <c r="MYE4" s="62"/>
      <c r="MYF4" s="62"/>
      <c r="MYG4" s="62"/>
      <c r="MYH4" s="62"/>
      <c r="MYI4" s="62"/>
      <c r="MYJ4" s="62"/>
      <c r="MYK4" s="62"/>
      <c r="MYL4" s="62"/>
      <c r="MYM4" s="62"/>
      <c r="MYN4" s="62"/>
      <c r="MYO4" s="62"/>
      <c r="MYP4" s="62"/>
      <c r="MYQ4" s="62"/>
      <c r="MYR4" s="62"/>
      <c r="MYS4" s="62"/>
      <c r="MYT4" s="62"/>
      <c r="MYU4" s="62"/>
      <c r="MYV4" s="62"/>
      <c r="MYW4" s="62"/>
      <c r="MYX4" s="62"/>
      <c r="MYY4" s="62"/>
      <c r="MYZ4" s="62"/>
      <c r="MZA4" s="62"/>
      <c r="MZB4" s="62"/>
      <c r="MZC4" s="62"/>
      <c r="MZD4" s="62"/>
      <c r="MZE4" s="62"/>
      <c r="MZF4" s="62"/>
      <c r="MZG4" s="62"/>
      <c r="MZH4" s="62"/>
      <c r="MZI4" s="62"/>
      <c r="MZJ4" s="62"/>
      <c r="MZK4" s="62"/>
      <c r="MZL4" s="62"/>
      <c r="MZM4" s="62"/>
      <c r="MZN4" s="62"/>
      <c r="MZO4" s="62"/>
      <c r="MZP4" s="62"/>
      <c r="MZQ4" s="62"/>
      <c r="MZR4" s="62"/>
      <c r="MZS4" s="62"/>
      <c r="MZT4" s="62"/>
      <c r="MZU4" s="62"/>
      <c r="MZV4" s="62"/>
      <c r="MZW4" s="62"/>
      <c r="MZX4" s="62"/>
      <c r="MZY4" s="62"/>
      <c r="MZZ4" s="62"/>
      <c r="NAA4" s="62"/>
      <c r="NAB4" s="62"/>
      <c r="NAC4" s="62"/>
      <c r="NAD4" s="62"/>
      <c r="NAE4" s="62"/>
      <c r="NAF4" s="62"/>
      <c r="NAG4" s="62"/>
      <c r="NAH4" s="62"/>
      <c r="NAI4" s="62"/>
      <c r="NAJ4" s="62"/>
      <c r="NAK4" s="62"/>
      <c r="NAL4" s="62"/>
      <c r="NAM4" s="62"/>
      <c r="NAN4" s="62"/>
      <c r="NAO4" s="62"/>
      <c r="NAP4" s="62"/>
      <c r="NAQ4" s="62"/>
      <c r="NAR4" s="62"/>
      <c r="NAS4" s="62"/>
      <c r="NAT4" s="62"/>
      <c r="NAU4" s="62"/>
      <c r="NAV4" s="62"/>
      <c r="NAW4" s="62"/>
      <c r="NAX4" s="62"/>
      <c r="NAY4" s="62"/>
      <c r="NAZ4" s="62"/>
      <c r="NBA4" s="62"/>
      <c r="NBB4" s="62"/>
      <c r="NBC4" s="62"/>
      <c r="NBD4" s="62"/>
      <c r="NBE4" s="62"/>
      <c r="NBF4" s="62"/>
      <c r="NBG4" s="62"/>
      <c r="NBH4" s="62"/>
      <c r="NBI4" s="62"/>
      <c r="NBJ4" s="62"/>
      <c r="NBK4" s="62"/>
      <c r="NBL4" s="62"/>
      <c r="NBM4" s="62"/>
      <c r="NBN4" s="62"/>
      <c r="NBO4" s="62"/>
      <c r="NBP4" s="62"/>
      <c r="NBQ4" s="62"/>
      <c r="NBR4" s="62"/>
      <c r="NBS4" s="62"/>
      <c r="NBT4" s="62"/>
      <c r="NBU4" s="62"/>
      <c r="NBV4" s="62"/>
      <c r="NBW4" s="62"/>
      <c r="NBX4" s="62"/>
      <c r="NBY4" s="62"/>
      <c r="NBZ4" s="62"/>
      <c r="NCA4" s="62"/>
      <c r="NCB4" s="62"/>
      <c r="NCC4" s="62"/>
      <c r="NCD4" s="62"/>
      <c r="NCE4" s="62"/>
      <c r="NCF4" s="62"/>
      <c r="NCG4" s="62"/>
      <c r="NCH4" s="62"/>
      <c r="NCI4" s="62"/>
      <c r="NCJ4" s="62"/>
      <c r="NCK4" s="62"/>
      <c r="NCL4" s="62"/>
      <c r="NCM4" s="62"/>
      <c r="NCN4" s="62"/>
      <c r="NCO4" s="62"/>
      <c r="NCP4" s="62"/>
      <c r="NCQ4" s="62"/>
      <c r="NCR4" s="62"/>
      <c r="NCS4" s="62"/>
      <c r="NCT4" s="62"/>
      <c r="NCU4" s="62"/>
      <c r="NCV4" s="62"/>
      <c r="NCW4" s="62"/>
      <c r="NCX4" s="62"/>
      <c r="NCY4" s="62"/>
      <c r="NCZ4" s="62"/>
      <c r="NDA4" s="62"/>
      <c r="NDB4" s="62"/>
      <c r="NDC4" s="62"/>
      <c r="NDD4" s="62"/>
      <c r="NDE4" s="62"/>
      <c r="NDF4" s="62"/>
      <c r="NDG4" s="62"/>
      <c r="NDH4" s="62"/>
      <c r="NDI4" s="62"/>
      <c r="NDJ4" s="62"/>
      <c r="NDK4" s="62"/>
      <c r="NDL4" s="62"/>
      <c r="NDM4" s="62"/>
      <c r="NDN4" s="62"/>
      <c r="NDO4" s="62"/>
      <c r="NDP4" s="62"/>
      <c r="NDQ4" s="62"/>
      <c r="NDR4" s="62"/>
      <c r="NDS4" s="62"/>
      <c r="NDT4" s="62"/>
      <c r="NDU4" s="62"/>
      <c r="NDV4" s="62"/>
      <c r="NDW4" s="62"/>
      <c r="NDX4" s="62"/>
      <c r="NDY4" s="62"/>
      <c r="NDZ4" s="62"/>
      <c r="NEA4" s="62"/>
      <c r="NEB4" s="62"/>
      <c r="NEC4" s="62"/>
      <c r="NED4" s="62"/>
      <c r="NEE4" s="62"/>
      <c r="NEF4" s="62"/>
      <c r="NEG4" s="62"/>
      <c r="NEH4" s="62"/>
      <c r="NEI4" s="62"/>
      <c r="NEJ4" s="62"/>
      <c r="NEK4" s="62"/>
      <c r="NEL4" s="62"/>
      <c r="NEM4" s="62"/>
      <c r="NEN4" s="62"/>
      <c r="NEO4" s="62"/>
      <c r="NEP4" s="62"/>
      <c r="NEQ4" s="62"/>
      <c r="NER4" s="62"/>
      <c r="NES4" s="62"/>
      <c r="NET4" s="62"/>
      <c r="NEU4" s="62"/>
      <c r="NEV4" s="62"/>
      <c r="NEW4" s="62"/>
      <c r="NEX4" s="62"/>
      <c r="NEY4" s="62"/>
      <c r="NEZ4" s="62"/>
      <c r="NFA4" s="62"/>
      <c r="NFB4" s="62"/>
      <c r="NFC4" s="62"/>
      <c r="NFD4" s="62"/>
      <c r="NFE4" s="62"/>
      <c r="NFF4" s="62"/>
      <c r="NFG4" s="62"/>
      <c r="NFH4" s="62"/>
      <c r="NFI4" s="62"/>
      <c r="NFJ4" s="62"/>
      <c r="NFK4" s="62"/>
      <c r="NFL4" s="62"/>
      <c r="NFM4" s="62"/>
      <c r="NFN4" s="62"/>
      <c r="NFO4" s="62"/>
      <c r="NFP4" s="62"/>
      <c r="NFQ4" s="62"/>
      <c r="NFR4" s="62"/>
      <c r="NFS4" s="62"/>
      <c r="NFT4" s="62"/>
      <c r="NFU4" s="62"/>
      <c r="NFV4" s="62"/>
      <c r="NFW4" s="62"/>
      <c r="NFX4" s="62"/>
      <c r="NFY4" s="62"/>
      <c r="NFZ4" s="62"/>
      <c r="NGA4" s="62"/>
      <c r="NGB4" s="62"/>
      <c r="NGC4" s="62"/>
      <c r="NGD4" s="62"/>
      <c r="NGE4" s="62"/>
      <c r="NGF4" s="62"/>
      <c r="NGG4" s="62"/>
      <c r="NGH4" s="62"/>
      <c r="NGI4" s="62"/>
      <c r="NGJ4" s="62"/>
      <c r="NGK4" s="62"/>
      <c r="NGL4" s="62"/>
      <c r="NGM4" s="62"/>
      <c r="NGN4" s="62"/>
      <c r="NGO4" s="62"/>
      <c r="NGP4" s="62"/>
      <c r="NGQ4" s="62"/>
      <c r="NGR4" s="62"/>
      <c r="NGS4" s="62"/>
      <c r="NGT4" s="62"/>
      <c r="NGU4" s="62"/>
      <c r="NGV4" s="62"/>
      <c r="NGW4" s="62"/>
      <c r="NGX4" s="62"/>
      <c r="NGY4" s="62"/>
      <c r="NGZ4" s="62"/>
      <c r="NHA4" s="62"/>
      <c r="NHB4" s="62"/>
      <c r="NHC4" s="62"/>
      <c r="NHD4" s="62"/>
      <c r="NHE4" s="62"/>
      <c r="NHF4" s="62"/>
      <c r="NHG4" s="62"/>
      <c r="NHH4" s="62"/>
      <c r="NHI4" s="62"/>
      <c r="NHJ4" s="62"/>
      <c r="NHK4" s="62"/>
      <c r="NHL4" s="62"/>
      <c r="NHM4" s="62"/>
      <c r="NHN4" s="62"/>
      <c r="NHO4" s="62"/>
      <c r="NHP4" s="62"/>
      <c r="NHQ4" s="62"/>
      <c r="NHR4" s="62"/>
      <c r="NHS4" s="62"/>
      <c r="NHT4" s="62"/>
      <c r="NHU4" s="62"/>
      <c r="NHV4" s="62"/>
      <c r="NHW4" s="62"/>
      <c r="NHX4" s="62"/>
      <c r="NHY4" s="62"/>
      <c r="NHZ4" s="62"/>
      <c r="NIA4" s="62"/>
      <c r="NIB4" s="62"/>
      <c r="NIC4" s="62"/>
      <c r="NID4" s="62"/>
      <c r="NIE4" s="62"/>
      <c r="NIF4" s="62"/>
      <c r="NIG4" s="62"/>
      <c r="NIH4" s="62"/>
      <c r="NII4" s="62"/>
      <c r="NIJ4" s="62"/>
      <c r="NIK4" s="62"/>
      <c r="NIL4" s="62"/>
      <c r="NIM4" s="62"/>
      <c r="NIN4" s="62"/>
      <c r="NIO4" s="62"/>
      <c r="NIP4" s="62"/>
      <c r="NIQ4" s="62"/>
      <c r="NIR4" s="62"/>
      <c r="NIS4" s="62"/>
      <c r="NIT4" s="62"/>
      <c r="NIU4" s="62"/>
      <c r="NIV4" s="62"/>
      <c r="NIW4" s="62"/>
      <c r="NIX4" s="62"/>
      <c r="NIY4" s="62"/>
      <c r="NIZ4" s="62"/>
      <c r="NJA4" s="62"/>
      <c r="NJB4" s="62"/>
      <c r="NJC4" s="62"/>
      <c r="NJD4" s="62"/>
      <c r="NJE4" s="62"/>
      <c r="NJF4" s="62"/>
      <c r="NJG4" s="62"/>
      <c r="NJH4" s="62"/>
      <c r="NJI4" s="62"/>
      <c r="NJJ4" s="62"/>
      <c r="NJK4" s="62"/>
      <c r="NJL4" s="62"/>
      <c r="NJM4" s="62"/>
      <c r="NJN4" s="62"/>
      <c r="NJO4" s="62"/>
      <c r="NJP4" s="62"/>
      <c r="NJQ4" s="62"/>
      <c r="NJR4" s="62"/>
      <c r="NJS4" s="62"/>
      <c r="NJT4" s="62"/>
      <c r="NJU4" s="62"/>
      <c r="NJV4" s="62"/>
      <c r="NJW4" s="62"/>
      <c r="NJX4" s="62"/>
      <c r="NJY4" s="62"/>
      <c r="NJZ4" s="62"/>
      <c r="NKA4" s="62"/>
      <c r="NKB4" s="62"/>
      <c r="NKC4" s="62"/>
      <c r="NKD4" s="62"/>
      <c r="NKE4" s="62"/>
      <c r="NKF4" s="62"/>
      <c r="NKG4" s="62"/>
      <c r="NKH4" s="62"/>
      <c r="NKI4" s="62"/>
      <c r="NKJ4" s="62"/>
      <c r="NKK4" s="62"/>
      <c r="NKL4" s="62"/>
      <c r="NKM4" s="62"/>
      <c r="NKN4" s="62"/>
      <c r="NKO4" s="62"/>
      <c r="NKP4" s="62"/>
      <c r="NKQ4" s="62"/>
      <c r="NKR4" s="62"/>
      <c r="NKS4" s="62"/>
      <c r="NKT4" s="62"/>
      <c r="NKU4" s="62"/>
      <c r="NKV4" s="62"/>
      <c r="NKW4" s="62"/>
      <c r="NKX4" s="62"/>
      <c r="NKY4" s="62"/>
      <c r="NKZ4" s="62"/>
      <c r="NLA4" s="62"/>
      <c r="NLB4" s="62"/>
      <c r="NLC4" s="62"/>
      <c r="NLD4" s="62"/>
      <c r="NLE4" s="62"/>
      <c r="NLF4" s="62"/>
      <c r="NLG4" s="62"/>
      <c r="NLH4" s="62"/>
      <c r="NLI4" s="62"/>
      <c r="NLJ4" s="62"/>
      <c r="NLK4" s="62"/>
      <c r="NLL4" s="62"/>
      <c r="NLM4" s="62"/>
      <c r="NLN4" s="62"/>
      <c r="NLO4" s="62"/>
      <c r="NLP4" s="62"/>
      <c r="NLQ4" s="62"/>
      <c r="NLR4" s="62"/>
      <c r="NLS4" s="62"/>
      <c r="NLT4" s="62"/>
      <c r="NLU4" s="62"/>
      <c r="NLV4" s="62"/>
      <c r="NLW4" s="62"/>
      <c r="NLX4" s="62"/>
      <c r="NLY4" s="62"/>
      <c r="NLZ4" s="62"/>
      <c r="NMA4" s="62"/>
      <c r="NMB4" s="62"/>
      <c r="NMC4" s="62"/>
      <c r="NMD4" s="62"/>
      <c r="NME4" s="62"/>
      <c r="NMF4" s="62"/>
      <c r="NMG4" s="62"/>
      <c r="NMH4" s="62"/>
      <c r="NMI4" s="62"/>
      <c r="NMJ4" s="62"/>
      <c r="NMK4" s="62"/>
      <c r="NML4" s="62"/>
      <c r="NMM4" s="62"/>
      <c r="NMN4" s="62"/>
      <c r="NMO4" s="62"/>
      <c r="NMP4" s="62"/>
      <c r="NMQ4" s="62"/>
      <c r="NMR4" s="62"/>
      <c r="NMS4" s="62"/>
      <c r="NMT4" s="62"/>
      <c r="NMU4" s="62"/>
      <c r="NMV4" s="62"/>
      <c r="NMW4" s="62"/>
      <c r="NMX4" s="62"/>
      <c r="NMY4" s="62"/>
      <c r="NMZ4" s="62"/>
      <c r="NNA4" s="62"/>
      <c r="NNB4" s="62"/>
      <c r="NNC4" s="62"/>
      <c r="NND4" s="62"/>
      <c r="NNE4" s="62"/>
      <c r="NNF4" s="62"/>
      <c r="NNG4" s="62"/>
      <c r="NNH4" s="62"/>
      <c r="NNI4" s="62"/>
      <c r="NNJ4" s="62"/>
      <c r="NNK4" s="62"/>
      <c r="NNL4" s="62"/>
      <c r="NNM4" s="62"/>
      <c r="NNN4" s="62"/>
      <c r="NNO4" s="62"/>
      <c r="NNP4" s="62"/>
      <c r="NNQ4" s="62"/>
      <c r="NNR4" s="62"/>
      <c r="NNS4" s="62"/>
      <c r="NNT4" s="62"/>
      <c r="NNU4" s="62"/>
      <c r="NNV4" s="62"/>
      <c r="NNW4" s="62"/>
      <c r="NNX4" s="62"/>
      <c r="NNY4" s="62"/>
      <c r="NNZ4" s="62"/>
      <c r="NOA4" s="62"/>
      <c r="NOB4" s="62"/>
      <c r="NOC4" s="62"/>
      <c r="NOD4" s="62"/>
      <c r="NOE4" s="62"/>
      <c r="NOF4" s="62"/>
      <c r="NOG4" s="62"/>
      <c r="NOH4" s="62"/>
      <c r="NOI4" s="62"/>
      <c r="NOJ4" s="62"/>
      <c r="NOK4" s="62"/>
      <c r="NOL4" s="62"/>
      <c r="NOM4" s="62"/>
      <c r="NON4" s="62"/>
      <c r="NOO4" s="62"/>
      <c r="NOP4" s="62"/>
      <c r="NOQ4" s="62"/>
      <c r="NOR4" s="62"/>
      <c r="NOS4" s="62"/>
      <c r="NOT4" s="62"/>
      <c r="NOU4" s="62"/>
      <c r="NOV4" s="62"/>
      <c r="NOW4" s="62"/>
      <c r="NOX4" s="62"/>
      <c r="NOY4" s="62"/>
      <c r="NOZ4" s="62"/>
      <c r="NPA4" s="62"/>
      <c r="NPB4" s="62"/>
      <c r="NPC4" s="62"/>
      <c r="NPD4" s="62"/>
      <c r="NPE4" s="62"/>
      <c r="NPF4" s="62"/>
      <c r="NPG4" s="62"/>
      <c r="NPH4" s="62"/>
      <c r="NPI4" s="62"/>
      <c r="NPJ4" s="62"/>
      <c r="NPK4" s="62"/>
      <c r="NPL4" s="62"/>
      <c r="NPM4" s="62"/>
      <c r="NPN4" s="62"/>
      <c r="NPO4" s="62"/>
      <c r="NPP4" s="62"/>
      <c r="NPQ4" s="62"/>
      <c r="NPR4" s="62"/>
      <c r="NPS4" s="62"/>
      <c r="NPT4" s="62"/>
      <c r="NPU4" s="62"/>
      <c r="NPV4" s="62"/>
      <c r="NPW4" s="62"/>
      <c r="NPX4" s="62"/>
      <c r="NPY4" s="62"/>
      <c r="NPZ4" s="62"/>
      <c r="NQA4" s="62"/>
      <c r="NQB4" s="62"/>
      <c r="NQC4" s="62"/>
      <c r="NQD4" s="62"/>
      <c r="NQE4" s="62"/>
      <c r="NQF4" s="62"/>
      <c r="NQG4" s="62"/>
      <c r="NQH4" s="62"/>
      <c r="NQI4" s="62"/>
      <c r="NQJ4" s="62"/>
      <c r="NQK4" s="62"/>
      <c r="NQL4" s="62"/>
      <c r="NQM4" s="62"/>
      <c r="NQN4" s="62"/>
      <c r="NQO4" s="62"/>
      <c r="NQP4" s="62"/>
      <c r="NQQ4" s="62"/>
      <c r="NQR4" s="62"/>
      <c r="NQS4" s="62"/>
      <c r="NQT4" s="62"/>
      <c r="NQU4" s="62"/>
      <c r="NQV4" s="62"/>
      <c r="NQW4" s="62"/>
      <c r="NQX4" s="62"/>
      <c r="NQY4" s="62"/>
      <c r="NQZ4" s="62"/>
      <c r="NRA4" s="62"/>
      <c r="NRB4" s="62"/>
      <c r="NRC4" s="62"/>
      <c r="NRD4" s="62"/>
      <c r="NRE4" s="62"/>
      <c r="NRF4" s="62"/>
      <c r="NRG4" s="62"/>
      <c r="NRH4" s="62"/>
      <c r="NRI4" s="62"/>
      <c r="NRJ4" s="62"/>
      <c r="NRK4" s="62"/>
      <c r="NRL4" s="62"/>
      <c r="NRM4" s="62"/>
      <c r="NRN4" s="62"/>
      <c r="NRO4" s="62"/>
      <c r="NRP4" s="62"/>
      <c r="NRQ4" s="62"/>
      <c r="NRR4" s="62"/>
      <c r="NRS4" s="62"/>
      <c r="NRT4" s="62"/>
      <c r="NRU4" s="62"/>
      <c r="NRV4" s="62"/>
      <c r="NRW4" s="62"/>
      <c r="NRX4" s="62"/>
      <c r="NRY4" s="62"/>
      <c r="NRZ4" s="62"/>
      <c r="NSA4" s="62"/>
      <c r="NSB4" s="62"/>
      <c r="NSC4" s="62"/>
      <c r="NSD4" s="62"/>
      <c r="NSE4" s="62"/>
      <c r="NSF4" s="62"/>
      <c r="NSG4" s="62"/>
      <c r="NSH4" s="62"/>
      <c r="NSI4" s="62"/>
      <c r="NSJ4" s="62"/>
      <c r="NSK4" s="62"/>
      <c r="NSL4" s="62"/>
      <c r="NSM4" s="62"/>
      <c r="NSN4" s="62"/>
      <c r="NSO4" s="62"/>
      <c r="NSP4" s="62"/>
      <c r="NSQ4" s="62"/>
      <c r="NSR4" s="62"/>
      <c r="NSS4" s="62"/>
      <c r="NST4" s="62"/>
      <c r="NSU4" s="62"/>
      <c r="NSV4" s="62"/>
      <c r="NSW4" s="62"/>
      <c r="NSX4" s="62"/>
      <c r="NSY4" s="62"/>
      <c r="NSZ4" s="62"/>
      <c r="NTA4" s="62"/>
      <c r="NTB4" s="62"/>
      <c r="NTC4" s="62"/>
      <c r="NTD4" s="62"/>
      <c r="NTE4" s="62"/>
      <c r="NTF4" s="62"/>
      <c r="NTG4" s="62"/>
      <c r="NTH4" s="62"/>
      <c r="NTI4" s="62"/>
      <c r="NTJ4" s="62"/>
      <c r="NTK4" s="62"/>
      <c r="NTL4" s="62"/>
      <c r="NTM4" s="62"/>
      <c r="NTN4" s="62"/>
      <c r="NTO4" s="62"/>
      <c r="NTP4" s="62"/>
      <c r="NTQ4" s="62"/>
      <c r="NTR4" s="62"/>
      <c r="NTS4" s="62"/>
      <c r="NTT4" s="62"/>
      <c r="NTU4" s="62"/>
      <c r="NTV4" s="62"/>
      <c r="NTW4" s="62"/>
      <c r="NTX4" s="62"/>
      <c r="NTY4" s="62"/>
      <c r="NTZ4" s="62"/>
      <c r="NUA4" s="62"/>
      <c r="NUB4" s="62"/>
      <c r="NUC4" s="62"/>
      <c r="NUD4" s="62"/>
      <c r="NUE4" s="62"/>
      <c r="NUF4" s="62"/>
      <c r="NUG4" s="62"/>
      <c r="NUH4" s="62"/>
      <c r="NUI4" s="62"/>
      <c r="NUJ4" s="62"/>
      <c r="NUK4" s="62"/>
      <c r="NUL4" s="62"/>
      <c r="NUM4" s="62"/>
      <c r="NUN4" s="62"/>
      <c r="NUO4" s="62"/>
      <c r="NUP4" s="62"/>
      <c r="NUQ4" s="62"/>
      <c r="NUR4" s="62"/>
      <c r="NUS4" s="62"/>
      <c r="NUT4" s="62"/>
      <c r="NUU4" s="62"/>
      <c r="NUV4" s="62"/>
      <c r="NUW4" s="62"/>
      <c r="NUX4" s="62"/>
      <c r="NUY4" s="62"/>
      <c r="NUZ4" s="62"/>
      <c r="NVA4" s="62"/>
      <c r="NVB4" s="62"/>
      <c r="NVC4" s="62"/>
      <c r="NVD4" s="62"/>
      <c r="NVE4" s="62"/>
      <c r="NVF4" s="62"/>
      <c r="NVG4" s="62"/>
      <c r="NVH4" s="62"/>
      <c r="NVI4" s="62"/>
      <c r="NVJ4" s="62"/>
      <c r="NVK4" s="62"/>
      <c r="NVL4" s="62"/>
      <c r="NVM4" s="62"/>
      <c r="NVN4" s="62"/>
      <c r="NVO4" s="62"/>
      <c r="NVP4" s="62"/>
      <c r="NVQ4" s="62"/>
      <c r="NVR4" s="62"/>
      <c r="NVS4" s="62"/>
      <c r="NVT4" s="62"/>
      <c r="NVU4" s="62"/>
      <c r="NVV4" s="62"/>
      <c r="NVW4" s="62"/>
      <c r="NVX4" s="62"/>
      <c r="NVY4" s="62"/>
      <c r="NVZ4" s="62"/>
      <c r="NWA4" s="62"/>
      <c r="NWB4" s="62"/>
      <c r="NWC4" s="62"/>
      <c r="NWD4" s="62"/>
      <c r="NWE4" s="62"/>
      <c r="NWF4" s="62"/>
      <c r="NWG4" s="62"/>
      <c r="NWH4" s="62"/>
      <c r="NWI4" s="62"/>
      <c r="NWJ4" s="62"/>
      <c r="NWK4" s="62"/>
      <c r="NWL4" s="62"/>
      <c r="NWM4" s="62"/>
      <c r="NWN4" s="62"/>
      <c r="NWO4" s="62"/>
      <c r="NWP4" s="62"/>
      <c r="NWQ4" s="62"/>
      <c r="NWR4" s="62"/>
      <c r="NWS4" s="62"/>
      <c r="NWT4" s="62"/>
      <c r="NWU4" s="62"/>
      <c r="NWV4" s="62"/>
      <c r="NWW4" s="62"/>
      <c r="NWX4" s="62"/>
      <c r="NWY4" s="62"/>
      <c r="NWZ4" s="62"/>
      <c r="NXA4" s="62"/>
      <c r="NXB4" s="62"/>
      <c r="NXC4" s="62"/>
      <c r="NXD4" s="62"/>
      <c r="NXE4" s="62"/>
      <c r="NXF4" s="62"/>
      <c r="NXG4" s="62"/>
      <c r="NXH4" s="62"/>
      <c r="NXI4" s="62"/>
      <c r="NXJ4" s="62"/>
      <c r="NXK4" s="62"/>
      <c r="NXL4" s="62"/>
      <c r="NXM4" s="62"/>
      <c r="NXN4" s="62"/>
      <c r="NXO4" s="62"/>
      <c r="NXP4" s="62"/>
      <c r="NXQ4" s="62"/>
      <c r="NXR4" s="62"/>
      <c r="NXS4" s="62"/>
      <c r="NXT4" s="62"/>
      <c r="NXU4" s="62"/>
      <c r="NXV4" s="62"/>
      <c r="NXW4" s="62"/>
      <c r="NXX4" s="62"/>
      <c r="NXY4" s="62"/>
      <c r="NXZ4" s="62"/>
      <c r="NYA4" s="62"/>
      <c r="NYB4" s="62"/>
      <c r="NYC4" s="62"/>
      <c r="NYD4" s="62"/>
      <c r="NYE4" s="62"/>
      <c r="NYF4" s="62"/>
      <c r="NYG4" s="62"/>
      <c r="NYH4" s="62"/>
      <c r="NYI4" s="62"/>
      <c r="NYJ4" s="62"/>
      <c r="NYK4" s="62"/>
      <c r="NYL4" s="62"/>
      <c r="NYM4" s="62"/>
      <c r="NYN4" s="62"/>
      <c r="NYO4" s="62"/>
      <c r="NYP4" s="62"/>
      <c r="NYQ4" s="62"/>
      <c r="NYR4" s="62"/>
      <c r="NYS4" s="62"/>
      <c r="NYT4" s="62"/>
      <c r="NYU4" s="62"/>
      <c r="NYV4" s="62"/>
      <c r="NYW4" s="62"/>
      <c r="NYX4" s="62"/>
      <c r="NYY4" s="62"/>
      <c r="NYZ4" s="62"/>
      <c r="NZA4" s="62"/>
      <c r="NZB4" s="62"/>
      <c r="NZC4" s="62"/>
      <c r="NZD4" s="62"/>
      <c r="NZE4" s="62"/>
      <c r="NZF4" s="62"/>
      <c r="NZG4" s="62"/>
      <c r="NZH4" s="62"/>
      <c r="NZI4" s="62"/>
      <c r="NZJ4" s="62"/>
      <c r="NZK4" s="62"/>
      <c r="NZL4" s="62"/>
      <c r="NZM4" s="62"/>
      <c r="NZN4" s="62"/>
      <c r="NZO4" s="62"/>
      <c r="NZP4" s="62"/>
      <c r="NZQ4" s="62"/>
      <c r="NZR4" s="62"/>
      <c r="NZS4" s="62"/>
      <c r="NZT4" s="62"/>
      <c r="NZU4" s="62"/>
      <c r="NZV4" s="62"/>
      <c r="NZW4" s="62"/>
      <c r="NZX4" s="62"/>
      <c r="NZY4" s="62"/>
      <c r="NZZ4" s="62"/>
      <c r="OAA4" s="62"/>
      <c r="OAB4" s="62"/>
      <c r="OAC4" s="62"/>
      <c r="OAD4" s="62"/>
      <c r="OAE4" s="62"/>
      <c r="OAF4" s="62"/>
      <c r="OAG4" s="62"/>
      <c r="OAH4" s="62"/>
      <c r="OAI4" s="62"/>
      <c r="OAJ4" s="62"/>
      <c r="OAK4" s="62"/>
      <c r="OAL4" s="62"/>
      <c r="OAM4" s="62"/>
      <c r="OAN4" s="62"/>
      <c r="OAO4" s="62"/>
      <c r="OAP4" s="62"/>
      <c r="OAQ4" s="62"/>
      <c r="OAR4" s="62"/>
      <c r="OAS4" s="62"/>
      <c r="OAT4" s="62"/>
      <c r="OAU4" s="62"/>
      <c r="OAV4" s="62"/>
      <c r="OAW4" s="62"/>
      <c r="OAX4" s="62"/>
      <c r="OAY4" s="62"/>
      <c r="OAZ4" s="62"/>
      <c r="OBA4" s="62"/>
      <c r="OBB4" s="62"/>
      <c r="OBC4" s="62"/>
      <c r="OBD4" s="62"/>
      <c r="OBE4" s="62"/>
      <c r="OBF4" s="62"/>
      <c r="OBG4" s="62"/>
      <c r="OBH4" s="62"/>
      <c r="OBI4" s="62"/>
      <c r="OBJ4" s="62"/>
      <c r="OBK4" s="62"/>
      <c r="OBL4" s="62"/>
      <c r="OBM4" s="62"/>
      <c r="OBN4" s="62"/>
      <c r="OBO4" s="62"/>
      <c r="OBP4" s="62"/>
      <c r="OBQ4" s="62"/>
      <c r="OBR4" s="62"/>
      <c r="OBS4" s="62"/>
      <c r="OBT4" s="62"/>
      <c r="OBU4" s="62"/>
      <c r="OBV4" s="62"/>
      <c r="OBW4" s="62"/>
      <c r="OBX4" s="62"/>
      <c r="OBY4" s="62"/>
      <c r="OBZ4" s="62"/>
      <c r="OCA4" s="62"/>
      <c r="OCB4" s="62"/>
      <c r="OCC4" s="62"/>
      <c r="OCD4" s="62"/>
      <c r="OCE4" s="62"/>
      <c r="OCF4" s="62"/>
      <c r="OCG4" s="62"/>
      <c r="OCH4" s="62"/>
      <c r="OCI4" s="62"/>
      <c r="OCJ4" s="62"/>
      <c r="OCK4" s="62"/>
      <c r="OCL4" s="62"/>
      <c r="OCM4" s="62"/>
      <c r="OCN4" s="62"/>
      <c r="OCO4" s="62"/>
      <c r="OCP4" s="62"/>
      <c r="OCQ4" s="62"/>
      <c r="OCR4" s="62"/>
      <c r="OCS4" s="62"/>
      <c r="OCT4" s="62"/>
      <c r="OCU4" s="62"/>
      <c r="OCV4" s="62"/>
      <c r="OCW4" s="62"/>
      <c r="OCX4" s="62"/>
      <c r="OCY4" s="62"/>
      <c r="OCZ4" s="62"/>
      <c r="ODA4" s="62"/>
      <c r="ODB4" s="62"/>
      <c r="ODC4" s="62"/>
      <c r="ODD4" s="62"/>
      <c r="ODE4" s="62"/>
      <c r="ODF4" s="62"/>
      <c r="ODG4" s="62"/>
      <c r="ODH4" s="62"/>
      <c r="ODI4" s="62"/>
      <c r="ODJ4" s="62"/>
      <c r="ODK4" s="62"/>
      <c r="ODL4" s="62"/>
      <c r="ODM4" s="62"/>
      <c r="ODN4" s="62"/>
      <c r="ODO4" s="62"/>
      <c r="ODP4" s="62"/>
      <c r="ODQ4" s="62"/>
      <c r="ODR4" s="62"/>
      <c r="ODS4" s="62"/>
      <c r="ODT4" s="62"/>
      <c r="ODU4" s="62"/>
      <c r="ODV4" s="62"/>
      <c r="ODW4" s="62"/>
      <c r="ODX4" s="62"/>
      <c r="ODY4" s="62"/>
      <c r="ODZ4" s="62"/>
      <c r="OEA4" s="62"/>
      <c r="OEB4" s="62"/>
      <c r="OEC4" s="62"/>
      <c r="OED4" s="62"/>
      <c r="OEE4" s="62"/>
      <c r="OEF4" s="62"/>
      <c r="OEG4" s="62"/>
      <c r="OEH4" s="62"/>
      <c r="OEI4" s="62"/>
      <c r="OEJ4" s="62"/>
      <c r="OEK4" s="62"/>
      <c r="OEL4" s="62"/>
      <c r="OEM4" s="62"/>
      <c r="OEN4" s="62"/>
      <c r="OEO4" s="62"/>
      <c r="OEP4" s="62"/>
      <c r="OEQ4" s="62"/>
      <c r="OER4" s="62"/>
      <c r="OES4" s="62"/>
      <c r="OET4" s="62"/>
      <c r="OEU4" s="62"/>
      <c r="OEV4" s="62"/>
      <c r="OEW4" s="62"/>
      <c r="OEX4" s="62"/>
      <c r="OEY4" s="62"/>
      <c r="OEZ4" s="62"/>
      <c r="OFA4" s="62"/>
      <c r="OFB4" s="62"/>
      <c r="OFC4" s="62"/>
      <c r="OFD4" s="62"/>
      <c r="OFE4" s="62"/>
      <c r="OFF4" s="62"/>
      <c r="OFG4" s="62"/>
      <c r="OFH4" s="62"/>
      <c r="OFI4" s="62"/>
      <c r="OFJ4" s="62"/>
      <c r="OFK4" s="62"/>
      <c r="OFL4" s="62"/>
      <c r="OFM4" s="62"/>
      <c r="OFN4" s="62"/>
      <c r="OFO4" s="62"/>
      <c r="OFP4" s="62"/>
      <c r="OFQ4" s="62"/>
      <c r="OFR4" s="62"/>
      <c r="OFS4" s="62"/>
      <c r="OFT4" s="62"/>
      <c r="OFU4" s="62"/>
      <c r="OFV4" s="62"/>
      <c r="OFW4" s="62"/>
      <c r="OFX4" s="62"/>
      <c r="OFY4" s="62"/>
      <c r="OFZ4" s="62"/>
      <c r="OGA4" s="62"/>
      <c r="OGB4" s="62"/>
      <c r="OGC4" s="62"/>
      <c r="OGD4" s="62"/>
      <c r="OGE4" s="62"/>
      <c r="OGF4" s="62"/>
      <c r="OGG4" s="62"/>
      <c r="OGH4" s="62"/>
      <c r="OGI4" s="62"/>
      <c r="OGJ4" s="62"/>
      <c r="OGK4" s="62"/>
      <c r="OGL4" s="62"/>
      <c r="OGM4" s="62"/>
      <c r="OGN4" s="62"/>
      <c r="OGO4" s="62"/>
      <c r="OGP4" s="62"/>
      <c r="OGQ4" s="62"/>
      <c r="OGR4" s="62"/>
      <c r="OGS4" s="62"/>
      <c r="OGT4" s="62"/>
      <c r="OGU4" s="62"/>
      <c r="OGV4" s="62"/>
      <c r="OGW4" s="62"/>
      <c r="OGX4" s="62"/>
      <c r="OGY4" s="62"/>
      <c r="OGZ4" s="62"/>
      <c r="OHA4" s="62"/>
      <c r="OHB4" s="62"/>
      <c r="OHC4" s="62"/>
      <c r="OHD4" s="62"/>
      <c r="OHE4" s="62"/>
      <c r="OHF4" s="62"/>
      <c r="OHG4" s="62"/>
      <c r="OHH4" s="62"/>
      <c r="OHI4" s="62"/>
      <c r="OHJ4" s="62"/>
      <c r="OHK4" s="62"/>
      <c r="OHL4" s="62"/>
      <c r="OHM4" s="62"/>
      <c r="OHN4" s="62"/>
      <c r="OHO4" s="62"/>
      <c r="OHP4" s="62"/>
      <c r="OHQ4" s="62"/>
      <c r="OHR4" s="62"/>
      <c r="OHS4" s="62"/>
      <c r="OHT4" s="62"/>
      <c r="OHU4" s="62"/>
      <c r="OHV4" s="62"/>
      <c r="OHW4" s="62"/>
      <c r="OHX4" s="62"/>
      <c r="OHY4" s="62"/>
      <c r="OHZ4" s="62"/>
      <c r="OIA4" s="62"/>
      <c r="OIB4" s="62"/>
      <c r="OIC4" s="62"/>
      <c r="OID4" s="62"/>
      <c r="OIE4" s="62"/>
      <c r="OIF4" s="62"/>
      <c r="OIG4" s="62"/>
      <c r="OIH4" s="62"/>
      <c r="OII4" s="62"/>
      <c r="OIJ4" s="62"/>
      <c r="OIK4" s="62"/>
      <c r="OIL4" s="62"/>
      <c r="OIM4" s="62"/>
      <c r="OIN4" s="62"/>
      <c r="OIO4" s="62"/>
      <c r="OIP4" s="62"/>
      <c r="OIQ4" s="62"/>
      <c r="OIR4" s="62"/>
      <c r="OIS4" s="62"/>
      <c r="OIT4" s="62"/>
      <c r="OIU4" s="62"/>
      <c r="OIV4" s="62"/>
      <c r="OIW4" s="62"/>
      <c r="OIX4" s="62"/>
      <c r="OIY4" s="62"/>
      <c r="OIZ4" s="62"/>
      <c r="OJA4" s="62"/>
      <c r="OJB4" s="62"/>
      <c r="OJC4" s="62"/>
      <c r="OJD4" s="62"/>
      <c r="OJE4" s="62"/>
      <c r="OJF4" s="62"/>
      <c r="OJG4" s="62"/>
      <c r="OJH4" s="62"/>
      <c r="OJI4" s="62"/>
      <c r="OJJ4" s="62"/>
      <c r="OJK4" s="62"/>
      <c r="OJL4" s="62"/>
      <c r="OJM4" s="62"/>
      <c r="OJN4" s="62"/>
      <c r="OJO4" s="62"/>
      <c r="OJP4" s="62"/>
      <c r="OJQ4" s="62"/>
      <c r="OJR4" s="62"/>
      <c r="OJS4" s="62"/>
      <c r="OJT4" s="62"/>
      <c r="OJU4" s="62"/>
      <c r="OJV4" s="62"/>
      <c r="OJW4" s="62"/>
      <c r="OJX4" s="62"/>
      <c r="OJY4" s="62"/>
      <c r="OJZ4" s="62"/>
      <c r="OKA4" s="62"/>
      <c r="OKB4" s="62"/>
      <c r="OKC4" s="62"/>
      <c r="OKD4" s="62"/>
      <c r="OKE4" s="62"/>
      <c r="OKF4" s="62"/>
      <c r="OKG4" s="62"/>
      <c r="OKH4" s="62"/>
      <c r="OKI4" s="62"/>
      <c r="OKJ4" s="62"/>
      <c r="OKK4" s="62"/>
      <c r="OKL4" s="62"/>
      <c r="OKM4" s="62"/>
      <c r="OKN4" s="62"/>
      <c r="OKO4" s="62"/>
      <c r="OKP4" s="62"/>
      <c r="OKQ4" s="62"/>
      <c r="OKR4" s="62"/>
      <c r="OKS4" s="62"/>
      <c r="OKT4" s="62"/>
      <c r="OKU4" s="62"/>
      <c r="OKV4" s="62"/>
      <c r="OKW4" s="62"/>
      <c r="OKX4" s="62"/>
      <c r="OKY4" s="62"/>
      <c r="OKZ4" s="62"/>
      <c r="OLA4" s="62"/>
      <c r="OLB4" s="62"/>
      <c r="OLC4" s="62"/>
      <c r="OLD4" s="62"/>
      <c r="OLE4" s="62"/>
      <c r="OLF4" s="62"/>
      <c r="OLG4" s="62"/>
      <c r="OLH4" s="62"/>
      <c r="OLI4" s="62"/>
      <c r="OLJ4" s="62"/>
      <c r="OLK4" s="62"/>
      <c r="OLL4" s="62"/>
      <c r="OLM4" s="62"/>
      <c r="OLN4" s="62"/>
      <c r="OLO4" s="62"/>
      <c r="OLP4" s="62"/>
      <c r="OLQ4" s="62"/>
      <c r="OLR4" s="62"/>
      <c r="OLS4" s="62"/>
      <c r="OLT4" s="62"/>
      <c r="OLU4" s="62"/>
      <c r="OLV4" s="62"/>
      <c r="OLW4" s="62"/>
      <c r="OLX4" s="62"/>
      <c r="OLY4" s="62"/>
      <c r="OLZ4" s="62"/>
      <c r="OMA4" s="62"/>
      <c r="OMB4" s="62"/>
      <c r="OMC4" s="62"/>
      <c r="OMD4" s="62"/>
      <c r="OME4" s="62"/>
      <c r="OMF4" s="62"/>
      <c r="OMG4" s="62"/>
      <c r="OMH4" s="62"/>
      <c r="OMI4" s="62"/>
      <c r="OMJ4" s="62"/>
      <c r="OMK4" s="62"/>
      <c r="OML4" s="62"/>
      <c r="OMM4" s="62"/>
      <c r="OMN4" s="62"/>
      <c r="OMO4" s="62"/>
      <c r="OMP4" s="62"/>
      <c r="OMQ4" s="62"/>
      <c r="OMR4" s="62"/>
      <c r="OMS4" s="62"/>
      <c r="OMT4" s="62"/>
      <c r="OMU4" s="62"/>
      <c r="OMV4" s="62"/>
      <c r="OMW4" s="62"/>
      <c r="OMX4" s="62"/>
      <c r="OMY4" s="62"/>
      <c r="OMZ4" s="62"/>
      <c r="ONA4" s="62"/>
      <c r="ONB4" s="62"/>
      <c r="ONC4" s="62"/>
      <c r="OND4" s="62"/>
      <c r="ONE4" s="62"/>
      <c r="ONF4" s="62"/>
      <c r="ONG4" s="62"/>
      <c r="ONH4" s="62"/>
      <c r="ONI4" s="62"/>
      <c r="ONJ4" s="62"/>
      <c r="ONK4" s="62"/>
      <c r="ONL4" s="62"/>
      <c r="ONM4" s="62"/>
      <c r="ONN4" s="62"/>
      <c r="ONO4" s="62"/>
      <c r="ONP4" s="62"/>
      <c r="ONQ4" s="62"/>
      <c r="ONR4" s="62"/>
      <c r="ONS4" s="62"/>
      <c r="ONT4" s="62"/>
      <c r="ONU4" s="62"/>
      <c r="ONV4" s="62"/>
      <c r="ONW4" s="62"/>
      <c r="ONX4" s="62"/>
      <c r="ONY4" s="62"/>
      <c r="ONZ4" s="62"/>
      <c r="OOA4" s="62"/>
      <c r="OOB4" s="62"/>
      <c r="OOC4" s="62"/>
      <c r="OOD4" s="62"/>
      <c r="OOE4" s="62"/>
      <c r="OOF4" s="62"/>
      <c r="OOG4" s="62"/>
      <c r="OOH4" s="62"/>
      <c r="OOI4" s="62"/>
      <c r="OOJ4" s="62"/>
      <c r="OOK4" s="62"/>
      <c r="OOL4" s="62"/>
      <c r="OOM4" s="62"/>
      <c r="OON4" s="62"/>
      <c r="OOO4" s="62"/>
      <c r="OOP4" s="62"/>
      <c r="OOQ4" s="62"/>
      <c r="OOR4" s="62"/>
      <c r="OOS4" s="62"/>
      <c r="OOT4" s="62"/>
      <c r="OOU4" s="62"/>
      <c r="OOV4" s="62"/>
      <c r="OOW4" s="62"/>
      <c r="OOX4" s="62"/>
      <c r="OOY4" s="62"/>
      <c r="OOZ4" s="62"/>
      <c r="OPA4" s="62"/>
      <c r="OPB4" s="62"/>
      <c r="OPC4" s="62"/>
      <c r="OPD4" s="62"/>
      <c r="OPE4" s="62"/>
      <c r="OPF4" s="62"/>
      <c r="OPG4" s="62"/>
      <c r="OPH4" s="62"/>
      <c r="OPI4" s="62"/>
      <c r="OPJ4" s="62"/>
      <c r="OPK4" s="62"/>
      <c r="OPL4" s="62"/>
      <c r="OPM4" s="62"/>
      <c r="OPN4" s="62"/>
      <c r="OPO4" s="62"/>
      <c r="OPP4" s="62"/>
      <c r="OPQ4" s="62"/>
      <c r="OPR4" s="62"/>
      <c r="OPS4" s="62"/>
      <c r="OPT4" s="62"/>
      <c r="OPU4" s="62"/>
      <c r="OPV4" s="62"/>
      <c r="OPW4" s="62"/>
      <c r="OPX4" s="62"/>
      <c r="OPY4" s="62"/>
      <c r="OPZ4" s="62"/>
      <c r="OQA4" s="62"/>
      <c r="OQB4" s="62"/>
      <c r="OQC4" s="62"/>
      <c r="OQD4" s="62"/>
      <c r="OQE4" s="62"/>
      <c r="OQF4" s="62"/>
      <c r="OQG4" s="62"/>
      <c r="OQH4" s="62"/>
      <c r="OQI4" s="62"/>
      <c r="OQJ4" s="62"/>
      <c r="OQK4" s="62"/>
      <c r="OQL4" s="62"/>
      <c r="OQM4" s="62"/>
      <c r="OQN4" s="62"/>
      <c r="OQO4" s="62"/>
      <c r="OQP4" s="62"/>
      <c r="OQQ4" s="62"/>
      <c r="OQR4" s="62"/>
      <c r="OQS4" s="62"/>
      <c r="OQT4" s="62"/>
      <c r="OQU4" s="62"/>
      <c r="OQV4" s="62"/>
      <c r="OQW4" s="62"/>
      <c r="OQX4" s="62"/>
      <c r="OQY4" s="62"/>
      <c r="OQZ4" s="62"/>
      <c r="ORA4" s="62"/>
      <c r="ORB4" s="62"/>
      <c r="ORC4" s="62"/>
      <c r="ORD4" s="62"/>
      <c r="ORE4" s="62"/>
      <c r="ORF4" s="62"/>
      <c r="ORG4" s="62"/>
      <c r="ORH4" s="62"/>
      <c r="ORI4" s="62"/>
      <c r="ORJ4" s="62"/>
      <c r="ORK4" s="62"/>
      <c r="ORL4" s="62"/>
      <c r="ORM4" s="62"/>
      <c r="ORN4" s="62"/>
      <c r="ORO4" s="62"/>
      <c r="ORP4" s="62"/>
      <c r="ORQ4" s="62"/>
      <c r="ORR4" s="62"/>
      <c r="ORS4" s="62"/>
      <c r="ORT4" s="62"/>
      <c r="ORU4" s="62"/>
      <c r="ORV4" s="62"/>
      <c r="ORW4" s="62"/>
      <c r="ORX4" s="62"/>
      <c r="ORY4" s="62"/>
      <c r="ORZ4" s="62"/>
      <c r="OSA4" s="62"/>
      <c r="OSB4" s="62"/>
      <c r="OSC4" s="62"/>
      <c r="OSD4" s="62"/>
      <c r="OSE4" s="62"/>
      <c r="OSF4" s="62"/>
      <c r="OSG4" s="62"/>
      <c r="OSH4" s="62"/>
      <c r="OSI4" s="62"/>
      <c r="OSJ4" s="62"/>
      <c r="OSK4" s="62"/>
      <c r="OSL4" s="62"/>
      <c r="OSM4" s="62"/>
      <c r="OSN4" s="62"/>
      <c r="OSO4" s="62"/>
      <c r="OSP4" s="62"/>
      <c r="OSQ4" s="62"/>
      <c r="OSR4" s="62"/>
      <c r="OSS4" s="62"/>
      <c r="OST4" s="62"/>
      <c r="OSU4" s="62"/>
      <c r="OSV4" s="62"/>
      <c r="OSW4" s="62"/>
      <c r="OSX4" s="62"/>
      <c r="OSY4" s="62"/>
      <c r="OSZ4" s="62"/>
      <c r="OTA4" s="62"/>
      <c r="OTB4" s="62"/>
      <c r="OTC4" s="62"/>
      <c r="OTD4" s="62"/>
      <c r="OTE4" s="62"/>
      <c r="OTF4" s="62"/>
      <c r="OTG4" s="62"/>
      <c r="OTH4" s="62"/>
      <c r="OTI4" s="62"/>
      <c r="OTJ4" s="62"/>
      <c r="OTK4" s="62"/>
      <c r="OTL4" s="62"/>
      <c r="OTM4" s="62"/>
      <c r="OTN4" s="62"/>
      <c r="OTO4" s="62"/>
      <c r="OTP4" s="62"/>
      <c r="OTQ4" s="62"/>
      <c r="OTR4" s="62"/>
      <c r="OTS4" s="62"/>
      <c r="OTT4" s="62"/>
      <c r="OTU4" s="62"/>
      <c r="OTV4" s="62"/>
      <c r="OTW4" s="62"/>
      <c r="OTX4" s="62"/>
      <c r="OTY4" s="62"/>
      <c r="OTZ4" s="62"/>
      <c r="OUA4" s="62"/>
      <c r="OUB4" s="62"/>
      <c r="OUC4" s="62"/>
      <c r="OUD4" s="62"/>
      <c r="OUE4" s="62"/>
      <c r="OUF4" s="62"/>
      <c r="OUG4" s="62"/>
      <c r="OUH4" s="62"/>
      <c r="OUI4" s="62"/>
      <c r="OUJ4" s="62"/>
      <c r="OUK4" s="62"/>
      <c r="OUL4" s="62"/>
      <c r="OUM4" s="62"/>
      <c r="OUN4" s="62"/>
      <c r="OUO4" s="62"/>
      <c r="OUP4" s="62"/>
      <c r="OUQ4" s="62"/>
      <c r="OUR4" s="62"/>
      <c r="OUS4" s="62"/>
      <c r="OUT4" s="62"/>
      <c r="OUU4" s="62"/>
      <c r="OUV4" s="62"/>
      <c r="OUW4" s="62"/>
      <c r="OUX4" s="62"/>
      <c r="OUY4" s="62"/>
      <c r="OUZ4" s="62"/>
      <c r="OVA4" s="62"/>
      <c r="OVB4" s="62"/>
      <c r="OVC4" s="62"/>
      <c r="OVD4" s="62"/>
      <c r="OVE4" s="62"/>
      <c r="OVF4" s="62"/>
      <c r="OVG4" s="62"/>
      <c r="OVH4" s="62"/>
      <c r="OVI4" s="62"/>
      <c r="OVJ4" s="62"/>
      <c r="OVK4" s="62"/>
      <c r="OVL4" s="62"/>
      <c r="OVM4" s="62"/>
      <c r="OVN4" s="62"/>
      <c r="OVO4" s="62"/>
      <c r="OVP4" s="62"/>
      <c r="OVQ4" s="62"/>
      <c r="OVR4" s="62"/>
      <c r="OVS4" s="62"/>
      <c r="OVT4" s="62"/>
      <c r="OVU4" s="62"/>
      <c r="OVV4" s="62"/>
      <c r="OVW4" s="62"/>
      <c r="OVX4" s="62"/>
      <c r="OVY4" s="62"/>
      <c r="OVZ4" s="62"/>
      <c r="OWA4" s="62"/>
      <c r="OWB4" s="62"/>
      <c r="OWC4" s="62"/>
      <c r="OWD4" s="62"/>
      <c r="OWE4" s="62"/>
      <c r="OWF4" s="62"/>
      <c r="OWG4" s="62"/>
      <c r="OWH4" s="62"/>
      <c r="OWI4" s="62"/>
      <c r="OWJ4" s="62"/>
      <c r="OWK4" s="62"/>
      <c r="OWL4" s="62"/>
      <c r="OWM4" s="62"/>
      <c r="OWN4" s="62"/>
      <c r="OWO4" s="62"/>
      <c r="OWP4" s="62"/>
      <c r="OWQ4" s="62"/>
      <c r="OWR4" s="62"/>
      <c r="OWS4" s="62"/>
      <c r="OWT4" s="62"/>
      <c r="OWU4" s="62"/>
      <c r="OWV4" s="62"/>
      <c r="OWW4" s="62"/>
      <c r="OWX4" s="62"/>
      <c r="OWY4" s="62"/>
      <c r="OWZ4" s="62"/>
      <c r="OXA4" s="62"/>
      <c r="OXB4" s="62"/>
      <c r="OXC4" s="62"/>
      <c r="OXD4" s="62"/>
      <c r="OXE4" s="62"/>
      <c r="OXF4" s="62"/>
      <c r="OXG4" s="62"/>
      <c r="OXH4" s="62"/>
      <c r="OXI4" s="62"/>
      <c r="OXJ4" s="62"/>
      <c r="OXK4" s="62"/>
      <c r="OXL4" s="62"/>
      <c r="OXM4" s="62"/>
      <c r="OXN4" s="62"/>
      <c r="OXO4" s="62"/>
      <c r="OXP4" s="62"/>
      <c r="OXQ4" s="62"/>
      <c r="OXR4" s="62"/>
      <c r="OXS4" s="62"/>
      <c r="OXT4" s="62"/>
      <c r="OXU4" s="62"/>
      <c r="OXV4" s="62"/>
      <c r="OXW4" s="62"/>
      <c r="OXX4" s="62"/>
      <c r="OXY4" s="62"/>
      <c r="OXZ4" s="62"/>
      <c r="OYA4" s="62"/>
      <c r="OYB4" s="62"/>
      <c r="OYC4" s="62"/>
      <c r="OYD4" s="62"/>
      <c r="OYE4" s="62"/>
      <c r="OYF4" s="62"/>
      <c r="OYG4" s="62"/>
      <c r="OYH4" s="62"/>
      <c r="OYI4" s="62"/>
      <c r="OYJ4" s="62"/>
      <c r="OYK4" s="62"/>
      <c r="OYL4" s="62"/>
      <c r="OYM4" s="62"/>
      <c r="OYN4" s="62"/>
      <c r="OYO4" s="62"/>
      <c r="OYP4" s="62"/>
      <c r="OYQ4" s="62"/>
      <c r="OYR4" s="62"/>
      <c r="OYS4" s="62"/>
      <c r="OYT4" s="62"/>
      <c r="OYU4" s="62"/>
      <c r="OYV4" s="62"/>
      <c r="OYW4" s="62"/>
      <c r="OYX4" s="62"/>
      <c r="OYY4" s="62"/>
      <c r="OYZ4" s="62"/>
      <c r="OZA4" s="62"/>
      <c r="OZB4" s="62"/>
      <c r="OZC4" s="62"/>
      <c r="OZD4" s="62"/>
      <c r="OZE4" s="62"/>
      <c r="OZF4" s="62"/>
      <c r="OZG4" s="62"/>
      <c r="OZH4" s="62"/>
      <c r="OZI4" s="62"/>
      <c r="OZJ4" s="62"/>
      <c r="OZK4" s="62"/>
      <c r="OZL4" s="62"/>
      <c r="OZM4" s="62"/>
      <c r="OZN4" s="62"/>
      <c r="OZO4" s="62"/>
      <c r="OZP4" s="62"/>
      <c r="OZQ4" s="62"/>
      <c r="OZR4" s="62"/>
      <c r="OZS4" s="62"/>
      <c r="OZT4" s="62"/>
      <c r="OZU4" s="62"/>
      <c r="OZV4" s="62"/>
      <c r="OZW4" s="62"/>
      <c r="OZX4" s="62"/>
      <c r="OZY4" s="62"/>
      <c r="OZZ4" s="62"/>
      <c r="PAA4" s="62"/>
      <c r="PAB4" s="62"/>
      <c r="PAC4" s="62"/>
      <c r="PAD4" s="62"/>
      <c r="PAE4" s="62"/>
      <c r="PAF4" s="62"/>
      <c r="PAG4" s="62"/>
      <c r="PAH4" s="62"/>
      <c r="PAI4" s="62"/>
      <c r="PAJ4" s="62"/>
      <c r="PAK4" s="62"/>
      <c r="PAL4" s="62"/>
      <c r="PAM4" s="62"/>
      <c r="PAN4" s="62"/>
      <c r="PAO4" s="62"/>
      <c r="PAP4" s="62"/>
      <c r="PAQ4" s="62"/>
      <c r="PAR4" s="62"/>
      <c r="PAS4" s="62"/>
      <c r="PAT4" s="62"/>
      <c r="PAU4" s="62"/>
      <c r="PAV4" s="62"/>
      <c r="PAW4" s="62"/>
      <c r="PAX4" s="62"/>
      <c r="PAY4" s="62"/>
      <c r="PAZ4" s="62"/>
      <c r="PBA4" s="62"/>
      <c r="PBB4" s="62"/>
      <c r="PBC4" s="62"/>
      <c r="PBD4" s="62"/>
      <c r="PBE4" s="62"/>
      <c r="PBF4" s="62"/>
      <c r="PBG4" s="62"/>
      <c r="PBH4" s="62"/>
      <c r="PBI4" s="62"/>
      <c r="PBJ4" s="62"/>
      <c r="PBK4" s="62"/>
      <c r="PBL4" s="62"/>
      <c r="PBM4" s="62"/>
      <c r="PBN4" s="62"/>
      <c r="PBO4" s="62"/>
      <c r="PBP4" s="62"/>
      <c r="PBQ4" s="62"/>
      <c r="PBR4" s="62"/>
      <c r="PBS4" s="62"/>
      <c r="PBT4" s="62"/>
      <c r="PBU4" s="62"/>
      <c r="PBV4" s="62"/>
      <c r="PBW4" s="62"/>
      <c r="PBX4" s="62"/>
      <c r="PBY4" s="62"/>
      <c r="PBZ4" s="62"/>
      <c r="PCA4" s="62"/>
      <c r="PCB4" s="62"/>
      <c r="PCC4" s="62"/>
      <c r="PCD4" s="62"/>
      <c r="PCE4" s="62"/>
      <c r="PCF4" s="62"/>
      <c r="PCG4" s="62"/>
      <c r="PCH4" s="62"/>
      <c r="PCI4" s="62"/>
      <c r="PCJ4" s="62"/>
      <c r="PCK4" s="62"/>
      <c r="PCL4" s="62"/>
      <c r="PCM4" s="62"/>
      <c r="PCN4" s="62"/>
      <c r="PCO4" s="62"/>
      <c r="PCP4" s="62"/>
      <c r="PCQ4" s="62"/>
      <c r="PCR4" s="62"/>
      <c r="PCS4" s="62"/>
      <c r="PCT4" s="62"/>
      <c r="PCU4" s="62"/>
      <c r="PCV4" s="62"/>
      <c r="PCW4" s="62"/>
      <c r="PCX4" s="62"/>
      <c r="PCY4" s="62"/>
      <c r="PCZ4" s="62"/>
      <c r="PDA4" s="62"/>
      <c r="PDB4" s="62"/>
      <c r="PDC4" s="62"/>
      <c r="PDD4" s="62"/>
      <c r="PDE4" s="62"/>
      <c r="PDF4" s="62"/>
      <c r="PDG4" s="62"/>
      <c r="PDH4" s="62"/>
      <c r="PDI4" s="62"/>
      <c r="PDJ4" s="62"/>
      <c r="PDK4" s="62"/>
      <c r="PDL4" s="62"/>
      <c r="PDM4" s="62"/>
      <c r="PDN4" s="62"/>
      <c r="PDO4" s="62"/>
      <c r="PDP4" s="62"/>
      <c r="PDQ4" s="62"/>
      <c r="PDR4" s="62"/>
      <c r="PDS4" s="62"/>
      <c r="PDT4" s="62"/>
      <c r="PDU4" s="62"/>
      <c r="PDV4" s="62"/>
      <c r="PDW4" s="62"/>
      <c r="PDX4" s="62"/>
      <c r="PDY4" s="62"/>
      <c r="PDZ4" s="62"/>
      <c r="PEA4" s="62"/>
      <c r="PEB4" s="62"/>
      <c r="PEC4" s="62"/>
      <c r="PED4" s="62"/>
      <c r="PEE4" s="62"/>
      <c r="PEF4" s="62"/>
      <c r="PEG4" s="62"/>
      <c r="PEH4" s="62"/>
      <c r="PEI4" s="62"/>
      <c r="PEJ4" s="62"/>
      <c r="PEK4" s="62"/>
      <c r="PEL4" s="62"/>
      <c r="PEM4" s="62"/>
      <c r="PEN4" s="62"/>
      <c r="PEO4" s="62"/>
      <c r="PEP4" s="62"/>
      <c r="PEQ4" s="62"/>
      <c r="PER4" s="62"/>
      <c r="PES4" s="62"/>
      <c r="PET4" s="62"/>
      <c r="PEU4" s="62"/>
      <c r="PEV4" s="62"/>
      <c r="PEW4" s="62"/>
      <c r="PEX4" s="62"/>
      <c r="PEY4" s="62"/>
      <c r="PEZ4" s="62"/>
      <c r="PFA4" s="62"/>
      <c r="PFB4" s="62"/>
      <c r="PFC4" s="62"/>
      <c r="PFD4" s="62"/>
      <c r="PFE4" s="62"/>
      <c r="PFF4" s="62"/>
      <c r="PFG4" s="62"/>
      <c r="PFH4" s="62"/>
      <c r="PFI4" s="62"/>
      <c r="PFJ4" s="62"/>
      <c r="PFK4" s="62"/>
      <c r="PFL4" s="62"/>
      <c r="PFM4" s="62"/>
      <c r="PFN4" s="62"/>
      <c r="PFO4" s="62"/>
      <c r="PFP4" s="62"/>
      <c r="PFQ4" s="62"/>
      <c r="PFR4" s="62"/>
      <c r="PFS4" s="62"/>
      <c r="PFT4" s="62"/>
      <c r="PFU4" s="62"/>
      <c r="PFV4" s="62"/>
      <c r="PFW4" s="62"/>
      <c r="PFX4" s="62"/>
      <c r="PFY4" s="62"/>
      <c r="PFZ4" s="62"/>
      <c r="PGA4" s="62"/>
      <c r="PGB4" s="62"/>
      <c r="PGC4" s="62"/>
      <c r="PGD4" s="62"/>
      <c r="PGE4" s="62"/>
      <c r="PGF4" s="62"/>
      <c r="PGG4" s="62"/>
      <c r="PGH4" s="62"/>
      <c r="PGI4" s="62"/>
      <c r="PGJ4" s="62"/>
      <c r="PGK4" s="62"/>
      <c r="PGL4" s="62"/>
      <c r="PGM4" s="62"/>
      <c r="PGN4" s="62"/>
      <c r="PGO4" s="62"/>
      <c r="PGP4" s="62"/>
      <c r="PGQ4" s="62"/>
      <c r="PGR4" s="62"/>
      <c r="PGS4" s="62"/>
      <c r="PGT4" s="62"/>
      <c r="PGU4" s="62"/>
      <c r="PGV4" s="62"/>
      <c r="PGW4" s="62"/>
      <c r="PGX4" s="62"/>
      <c r="PGY4" s="62"/>
      <c r="PGZ4" s="62"/>
      <c r="PHA4" s="62"/>
      <c r="PHB4" s="62"/>
      <c r="PHC4" s="62"/>
      <c r="PHD4" s="62"/>
      <c r="PHE4" s="62"/>
      <c r="PHF4" s="62"/>
      <c r="PHG4" s="62"/>
      <c r="PHH4" s="62"/>
      <c r="PHI4" s="62"/>
      <c r="PHJ4" s="62"/>
      <c r="PHK4" s="62"/>
      <c r="PHL4" s="62"/>
      <c r="PHM4" s="62"/>
      <c r="PHN4" s="62"/>
      <c r="PHO4" s="62"/>
      <c r="PHP4" s="62"/>
      <c r="PHQ4" s="62"/>
      <c r="PHR4" s="62"/>
      <c r="PHS4" s="62"/>
      <c r="PHT4" s="62"/>
      <c r="PHU4" s="62"/>
      <c r="PHV4" s="62"/>
      <c r="PHW4" s="62"/>
      <c r="PHX4" s="62"/>
      <c r="PHY4" s="62"/>
      <c r="PHZ4" s="62"/>
      <c r="PIA4" s="62"/>
      <c r="PIB4" s="62"/>
      <c r="PIC4" s="62"/>
      <c r="PID4" s="62"/>
      <c r="PIE4" s="62"/>
      <c r="PIF4" s="62"/>
      <c r="PIG4" s="62"/>
      <c r="PIH4" s="62"/>
      <c r="PII4" s="62"/>
      <c r="PIJ4" s="62"/>
      <c r="PIK4" s="62"/>
      <c r="PIL4" s="62"/>
      <c r="PIM4" s="62"/>
      <c r="PIN4" s="62"/>
      <c r="PIO4" s="62"/>
      <c r="PIP4" s="62"/>
      <c r="PIQ4" s="62"/>
      <c r="PIR4" s="62"/>
      <c r="PIS4" s="62"/>
      <c r="PIT4" s="62"/>
      <c r="PIU4" s="62"/>
      <c r="PIV4" s="62"/>
      <c r="PIW4" s="62"/>
      <c r="PIX4" s="62"/>
      <c r="PIY4" s="62"/>
      <c r="PIZ4" s="62"/>
      <c r="PJA4" s="62"/>
      <c r="PJB4" s="62"/>
      <c r="PJC4" s="62"/>
      <c r="PJD4" s="62"/>
      <c r="PJE4" s="62"/>
      <c r="PJF4" s="62"/>
      <c r="PJG4" s="62"/>
      <c r="PJH4" s="62"/>
      <c r="PJI4" s="62"/>
      <c r="PJJ4" s="62"/>
      <c r="PJK4" s="62"/>
      <c r="PJL4" s="62"/>
      <c r="PJM4" s="62"/>
      <c r="PJN4" s="62"/>
      <c r="PJO4" s="62"/>
      <c r="PJP4" s="62"/>
      <c r="PJQ4" s="62"/>
      <c r="PJR4" s="62"/>
      <c r="PJS4" s="62"/>
      <c r="PJT4" s="62"/>
      <c r="PJU4" s="62"/>
      <c r="PJV4" s="62"/>
      <c r="PJW4" s="62"/>
      <c r="PJX4" s="62"/>
      <c r="PJY4" s="62"/>
      <c r="PJZ4" s="62"/>
      <c r="PKA4" s="62"/>
      <c r="PKB4" s="62"/>
      <c r="PKC4" s="62"/>
      <c r="PKD4" s="62"/>
      <c r="PKE4" s="62"/>
      <c r="PKF4" s="62"/>
      <c r="PKG4" s="62"/>
      <c r="PKH4" s="62"/>
      <c r="PKI4" s="62"/>
      <c r="PKJ4" s="62"/>
      <c r="PKK4" s="62"/>
      <c r="PKL4" s="62"/>
      <c r="PKM4" s="62"/>
      <c r="PKN4" s="62"/>
      <c r="PKO4" s="62"/>
      <c r="PKP4" s="62"/>
      <c r="PKQ4" s="62"/>
      <c r="PKR4" s="62"/>
      <c r="PKS4" s="62"/>
      <c r="PKT4" s="62"/>
      <c r="PKU4" s="62"/>
      <c r="PKV4" s="62"/>
      <c r="PKW4" s="62"/>
      <c r="PKX4" s="62"/>
      <c r="PKY4" s="62"/>
      <c r="PKZ4" s="62"/>
      <c r="PLA4" s="62"/>
      <c r="PLB4" s="62"/>
      <c r="PLC4" s="62"/>
      <c r="PLD4" s="62"/>
      <c r="PLE4" s="62"/>
      <c r="PLF4" s="62"/>
      <c r="PLG4" s="62"/>
      <c r="PLH4" s="62"/>
      <c r="PLI4" s="62"/>
      <c r="PLJ4" s="62"/>
      <c r="PLK4" s="62"/>
      <c r="PLL4" s="62"/>
      <c r="PLM4" s="62"/>
      <c r="PLN4" s="62"/>
      <c r="PLO4" s="62"/>
      <c r="PLP4" s="62"/>
      <c r="PLQ4" s="62"/>
      <c r="PLR4" s="62"/>
      <c r="PLS4" s="62"/>
      <c r="PLT4" s="62"/>
      <c r="PLU4" s="62"/>
      <c r="PLV4" s="62"/>
      <c r="PLW4" s="62"/>
      <c r="PLX4" s="62"/>
      <c r="PLY4" s="62"/>
      <c r="PLZ4" s="62"/>
      <c r="PMA4" s="62"/>
      <c r="PMB4" s="62"/>
      <c r="PMC4" s="62"/>
      <c r="PMD4" s="62"/>
      <c r="PME4" s="62"/>
      <c r="PMF4" s="62"/>
      <c r="PMG4" s="62"/>
      <c r="PMH4" s="62"/>
      <c r="PMI4" s="62"/>
      <c r="PMJ4" s="62"/>
      <c r="PMK4" s="62"/>
      <c r="PML4" s="62"/>
      <c r="PMM4" s="62"/>
      <c r="PMN4" s="62"/>
      <c r="PMO4" s="62"/>
      <c r="PMP4" s="62"/>
      <c r="PMQ4" s="62"/>
      <c r="PMR4" s="62"/>
      <c r="PMS4" s="62"/>
      <c r="PMT4" s="62"/>
      <c r="PMU4" s="62"/>
      <c r="PMV4" s="62"/>
      <c r="PMW4" s="62"/>
      <c r="PMX4" s="62"/>
      <c r="PMY4" s="62"/>
      <c r="PMZ4" s="62"/>
      <c r="PNA4" s="62"/>
      <c r="PNB4" s="62"/>
      <c r="PNC4" s="62"/>
      <c r="PND4" s="62"/>
      <c r="PNE4" s="62"/>
      <c r="PNF4" s="62"/>
      <c r="PNG4" s="62"/>
      <c r="PNH4" s="62"/>
      <c r="PNI4" s="62"/>
      <c r="PNJ4" s="62"/>
      <c r="PNK4" s="62"/>
      <c r="PNL4" s="62"/>
      <c r="PNM4" s="62"/>
      <c r="PNN4" s="62"/>
      <c r="PNO4" s="62"/>
      <c r="PNP4" s="62"/>
      <c r="PNQ4" s="62"/>
      <c r="PNR4" s="62"/>
      <c r="PNS4" s="62"/>
      <c r="PNT4" s="62"/>
      <c r="PNU4" s="62"/>
      <c r="PNV4" s="62"/>
      <c r="PNW4" s="62"/>
      <c r="PNX4" s="62"/>
      <c r="PNY4" s="62"/>
      <c r="PNZ4" s="62"/>
      <c r="POA4" s="62"/>
      <c r="POB4" s="62"/>
      <c r="POC4" s="62"/>
      <c r="POD4" s="62"/>
      <c r="POE4" s="62"/>
      <c r="POF4" s="62"/>
      <c r="POG4" s="62"/>
      <c r="POH4" s="62"/>
      <c r="POI4" s="62"/>
      <c r="POJ4" s="62"/>
      <c r="POK4" s="62"/>
      <c r="POL4" s="62"/>
      <c r="POM4" s="62"/>
      <c r="PON4" s="62"/>
      <c r="POO4" s="62"/>
      <c r="POP4" s="62"/>
      <c r="POQ4" s="62"/>
      <c r="POR4" s="62"/>
      <c r="POS4" s="62"/>
      <c r="POT4" s="62"/>
      <c r="POU4" s="62"/>
      <c r="POV4" s="62"/>
      <c r="POW4" s="62"/>
      <c r="POX4" s="62"/>
      <c r="POY4" s="62"/>
      <c r="POZ4" s="62"/>
      <c r="PPA4" s="62"/>
      <c r="PPB4" s="62"/>
      <c r="PPC4" s="62"/>
      <c r="PPD4" s="62"/>
      <c r="PPE4" s="62"/>
      <c r="PPF4" s="62"/>
      <c r="PPG4" s="62"/>
      <c r="PPH4" s="62"/>
      <c r="PPI4" s="62"/>
      <c r="PPJ4" s="62"/>
      <c r="PPK4" s="62"/>
      <c r="PPL4" s="62"/>
      <c r="PPM4" s="62"/>
      <c r="PPN4" s="62"/>
      <c r="PPO4" s="62"/>
      <c r="PPP4" s="62"/>
      <c r="PPQ4" s="62"/>
      <c r="PPR4" s="62"/>
      <c r="PPS4" s="62"/>
      <c r="PPT4" s="62"/>
      <c r="PPU4" s="62"/>
      <c r="PPV4" s="62"/>
      <c r="PPW4" s="62"/>
      <c r="PPX4" s="62"/>
      <c r="PPY4" s="62"/>
      <c r="PPZ4" s="62"/>
      <c r="PQA4" s="62"/>
      <c r="PQB4" s="62"/>
      <c r="PQC4" s="62"/>
      <c r="PQD4" s="62"/>
      <c r="PQE4" s="62"/>
      <c r="PQF4" s="62"/>
      <c r="PQG4" s="62"/>
      <c r="PQH4" s="62"/>
      <c r="PQI4" s="62"/>
      <c r="PQJ4" s="62"/>
      <c r="PQK4" s="62"/>
      <c r="PQL4" s="62"/>
      <c r="PQM4" s="62"/>
      <c r="PQN4" s="62"/>
      <c r="PQO4" s="62"/>
      <c r="PQP4" s="62"/>
      <c r="PQQ4" s="62"/>
      <c r="PQR4" s="62"/>
      <c r="PQS4" s="62"/>
      <c r="PQT4" s="62"/>
      <c r="PQU4" s="62"/>
      <c r="PQV4" s="62"/>
      <c r="PQW4" s="62"/>
      <c r="PQX4" s="62"/>
      <c r="PQY4" s="62"/>
      <c r="PQZ4" s="62"/>
      <c r="PRA4" s="62"/>
      <c r="PRB4" s="62"/>
      <c r="PRC4" s="62"/>
      <c r="PRD4" s="62"/>
      <c r="PRE4" s="62"/>
      <c r="PRF4" s="62"/>
      <c r="PRG4" s="62"/>
      <c r="PRH4" s="62"/>
      <c r="PRI4" s="62"/>
      <c r="PRJ4" s="62"/>
      <c r="PRK4" s="62"/>
      <c r="PRL4" s="62"/>
      <c r="PRM4" s="62"/>
      <c r="PRN4" s="62"/>
      <c r="PRO4" s="62"/>
      <c r="PRP4" s="62"/>
      <c r="PRQ4" s="62"/>
      <c r="PRR4" s="62"/>
      <c r="PRS4" s="62"/>
      <c r="PRT4" s="62"/>
      <c r="PRU4" s="62"/>
      <c r="PRV4" s="62"/>
      <c r="PRW4" s="62"/>
      <c r="PRX4" s="62"/>
      <c r="PRY4" s="62"/>
      <c r="PRZ4" s="62"/>
      <c r="PSA4" s="62"/>
      <c r="PSB4" s="62"/>
      <c r="PSC4" s="62"/>
      <c r="PSD4" s="62"/>
      <c r="PSE4" s="62"/>
      <c r="PSF4" s="62"/>
      <c r="PSG4" s="62"/>
      <c r="PSH4" s="62"/>
      <c r="PSI4" s="62"/>
      <c r="PSJ4" s="62"/>
      <c r="PSK4" s="62"/>
      <c r="PSL4" s="62"/>
      <c r="PSM4" s="62"/>
      <c r="PSN4" s="62"/>
      <c r="PSO4" s="62"/>
      <c r="PSP4" s="62"/>
      <c r="PSQ4" s="62"/>
      <c r="PSR4" s="62"/>
      <c r="PSS4" s="62"/>
      <c r="PST4" s="62"/>
      <c r="PSU4" s="62"/>
      <c r="PSV4" s="62"/>
      <c r="PSW4" s="62"/>
      <c r="PSX4" s="62"/>
      <c r="PSY4" s="62"/>
      <c r="PSZ4" s="62"/>
      <c r="PTA4" s="62"/>
      <c r="PTB4" s="62"/>
      <c r="PTC4" s="62"/>
      <c r="PTD4" s="62"/>
      <c r="PTE4" s="62"/>
      <c r="PTF4" s="62"/>
      <c r="PTG4" s="62"/>
      <c r="PTH4" s="62"/>
      <c r="PTI4" s="62"/>
      <c r="PTJ4" s="62"/>
      <c r="PTK4" s="62"/>
      <c r="PTL4" s="62"/>
      <c r="PTM4" s="62"/>
      <c r="PTN4" s="62"/>
      <c r="PTO4" s="62"/>
      <c r="PTP4" s="62"/>
      <c r="PTQ4" s="62"/>
      <c r="PTR4" s="62"/>
      <c r="PTS4" s="62"/>
      <c r="PTT4" s="62"/>
      <c r="PTU4" s="62"/>
      <c r="PTV4" s="62"/>
      <c r="PTW4" s="62"/>
      <c r="PTX4" s="62"/>
      <c r="PTY4" s="62"/>
      <c r="PTZ4" s="62"/>
      <c r="PUA4" s="62"/>
      <c r="PUB4" s="62"/>
      <c r="PUC4" s="62"/>
      <c r="PUD4" s="62"/>
      <c r="PUE4" s="62"/>
      <c r="PUF4" s="62"/>
      <c r="PUG4" s="62"/>
      <c r="PUH4" s="62"/>
      <c r="PUI4" s="62"/>
      <c r="PUJ4" s="62"/>
      <c r="PUK4" s="62"/>
      <c r="PUL4" s="62"/>
      <c r="PUM4" s="62"/>
      <c r="PUN4" s="62"/>
      <c r="PUO4" s="62"/>
      <c r="PUP4" s="62"/>
      <c r="PUQ4" s="62"/>
      <c r="PUR4" s="62"/>
      <c r="PUS4" s="62"/>
      <c r="PUT4" s="62"/>
      <c r="PUU4" s="62"/>
      <c r="PUV4" s="62"/>
      <c r="PUW4" s="62"/>
      <c r="PUX4" s="62"/>
      <c r="PUY4" s="62"/>
      <c r="PUZ4" s="62"/>
      <c r="PVA4" s="62"/>
      <c r="PVB4" s="62"/>
      <c r="PVC4" s="62"/>
      <c r="PVD4" s="62"/>
      <c r="PVE4" s="62"/>
      <c r="PVF4" s="62"/>
      <c r="PVG4" s="62"/>
      <c r="PVH4" s="62"/>
      <c r="PVI4" s="62"/>
      <c r="PVJ4" s="62"/>
      <c r="PVK4" s="62"/>
      <c r="PVL4" s="62"/>
      <c r="PVM4" s="62"/>
      <c r="PVN4" s="62"/>
      <c r="PVO4" s="62"/>
      <c r="PVP4" s="62"/>
      <c r="PVQ4" s="62"/>
      <c r="PVR4" s="62"/>
      <c r="PVS4" s="62"/>
      <c r="PVT4" s="62"/>
      <c r="PVU4" s="62"/>
      <c r="PVV4" s="62"/>
      <c r="PVW4" s="62"/>
      <c r="PVX4" s="62"/>
      <c r="PVY4" s="62"/>
      <c r="PVZ4" s="62"/>
      <c r="PWA4" s="62"/>
      <c r="PWB4" s="62"/>
      <c r="PWC4" s="62"/>
      <c r="PWD4" s="62"/>
      <c r="PWE4" s="62"/>
      <c r="PWF4" s="62"/>
      <c r="PWG4" s="62"/>
      <c r="PWH4" s="62"/>
      <c r="PWI4" s="62"/>
      <c r="PWJ4" s="62"/>
      <c r="PWK4" s="62"/>
      <c r="PWL4" s="62"/>
      <c r="PWM4" s="62"/>
      <c r="PWN4" s="62"/>
      <c r="PWO4" s="62"/>
      <c r="PWP4" s="62"/>
      <c r="PWQ4" s="62"/>
      <c r="PWR4" s="62"/>
      <c r="PWS4" s="62"/>
      <c r="PWT4" s="62"/>
      <c r="PWU4" s="62"/>
      <c r="PWV4" s="62"/>
      <c r="PWW4" s="62"/>
      <c r="PWX4" s="62"/>
      <c r="PWY4" s="62"/>
      <c r="PWZ4" s="62"/>
      <c r="PXA4" s="62"/>
      <c r="PXB4" s="62"/>
      <c r="PXC4" s="62"/>
      <c r="PXD4" s="62"/>
      <c r="PXE4" s="62"/>
      <c r="PXF4" s="62"/>
      <c r="PXG4" s="62"/>
      <c r="PXH4" s="62"/>
      <c r="PXI4" s="62"/>
      <c r="PXJ4" s="62"/>
      <c r="PXK4" s="62"/>
      <c r="PXL4" s="62"/>
      <c r="PXM4" s="62"/>
      <c r="PXN4" s="62"/>
      <c r="PXO4" s="62"/>
      <c r="PXP4" s="62"/>
      <c r="PXQ4" s="62"/>
      <c r="PXR4" s="62"/>
      <c r="PXS4" s="62"/>
      <c r="PXT4" s="62"/>
      <c r="PXU4" s="62"/>
      <c r="PXV4" s="62"/>
      <c r="PXW4" s="62"/>
      <c r="PXX4" s="62"/>
      <c r="PXY4" s="62"/>
      <c r="PXZ4" s="62"/>
      <c r="PYA4" s="62"/>
      <c r="PYB4" s="62"/>
      <c r="PYC4" s="62"/>
      <c r="PYD4" s="62"/>
      <c r="PYE4" s="62"/>
      <c r="PYF4" s="62"/>
      <c r="PYG4" s="62"/>
      <c r="PYH4" s="62"/>
      <c r="PYI4" s="62"/>
      <c r="PYJ4" s="62"/>
      <c r="PYK4" s="62"/>
      <c r="PYL4" s="62"/>
      <c r="PYM4" s="62"/>
      <c r="PYN4" s="62"/>
      <c r="PYO4" s="62"/>
      <c r="PYP4" s="62"/>
      <c r="PYQ4" s="62"/>
      <c r="PYR4" s="62"/>
      <c r="PYS4" s="62"/>
      <c r="PYT4" s="62"/>
      <c r="PYU4" s="62"/>
      <c r="PYV4" s="62"/>
      <c r="PYW4" s="62"/>
      <c r="PYX4" s="62"/>
      <c r="PYY4" s="62"/>
      <c r="PYZ4" s="62"/>
      <c r="PZA4" s="62"/>
      <c r="PZB4" s="62"/>
      <c r="PZC4" s="62"/>
      <c r="PZD4" s="62"/>
      <c r="PZE4" s="62"/>
      <c r="PZF4" s="62"/>
      <c r="PZG4" s="62"/>
      <c r="PZH4" s="62"/>
      <c r="PZI4" s="62"/>
      <c r="PZJ4" s="62"/>
      <c r="PZK4" s="62"/>
      <c r="PZL4" s="62"/>
      <c r="PZM4" s="62"/>
      <c r="PZN4" s="62"/>
      <c r="PZO4" s="62"/>
      <c r="PZP4" s="62"/>
      <c r="PZQ4" s="62"/>
      <c r="PZR4" s="62"/>
      <c r="PZS4" s="62"/>
      <c r="PZT4" s="62"/>
      <c r="PZU4" s="62"/>
      <c r="PZV4" s="62"/>
      <c r="PZW4" s="62"/>
      <c r="PZX4" s="62"/>
      <c r="PZY4" s="62"/>
      <c r="PZZ4" s="62"/>
      <c r="QAA4" s="62"/>
      <c r="QAB4" s="62"/>
      <c r="QAC4" s="62"/>
      <c r="QAD4" s="62"/>
      <c r="QAE4" s="62"/>
      <c r="QAF4" s="62"/>
      <c r="QAG4" s="62"/>
      <c r="QAH4" s="62"/>
      <c r="QAI4" s="62"/>
      <c r="QAJ4" s="62"/>
      <c r="QAK4" s="62"/>
      <c r="QAL4" s="62"/>
      <c r="QAM4" s="62"/>
      <c r="QAN4" s="62"/>
      <c r="QAO4" s="62"/>
      <c r="QAP4" s="62"/>
      <c r="QAQ4" s="62"/>
      <c r="QAR4" s="62"/>
      <c r="QAS4" s="62"/>
      <c r="QAT4" s="62"/>
      <c r="QAU4" s="62"/>
      <c r="QAV4" s="62"/>
      <c r="QAW4" s="62"/>
      <c r="QAX4" s="62"/>
      <c r="QAY4" s="62"/>
      <c r="QAZ4" s="62"/>
      <c r="QBA4" s="62"/>
      <c r="QBB4" s="62"/>
      <c r="QBC4" s="62"/>
      <c r="QBD4" s="62"/>
      <c r="QBE4" s="62"/>
      <c r="QBF4" s="62"/>
      <c r="QBG4" s="62"/>
      <c r="QBH4" s="62"/>
      <c r="QBI4" s="62"/>
      <c r="QBJ4" s="62"/>
      <c r="QBK4" s="62"/>
      <c r="QBL4" s="62"/>
      <c r="QBM4" s="62"/>
      <c r="QBN4" s="62"/>
      <c r="QBO4" s="62"/>
      <c r="QBP4" s="62"/>
      <c r="QBQ4" s="62"/>
      <c r="QBR4" s="62"/>
      <c r="QBS4" s="62"/>
      <c r="QBT4" s="62"/>
      <c r="QBU4" s="62"/>
      <c r="QBV4" s="62"/>
      <c r="QBW4" s="62"/>
      <c r="QBX4" s="62"/>
      <c r="QBY4" s="62"/>
      <c r="QBZ4" s="62"/>
      <c r="QCA4" s="62"/>
      <c r="QCB4" s="62"/>
      <c r="QCC4" s="62"/>
      <c r="QCD4" s="62"/>
      <c r="QCE4" s="62"/>
      <c r="QCF4" s="62"/>
      <c r="QCG4" s="62"/>
      <c r="QCH4" s="62"/>
      <c r="QCI4" s="62"/>
      <c r="QCJ4" s="62"/>
      <c r="QCK4" s="62"/>
      <c r="QCL4" s="62"/>
      <c r="QCM4" s="62"/>
      <c r="QCN4" s="62"/>
      <c r="QCO4" s="62"/>
      <c r="QCP4" s="62"/>
      <c r="QCQ4" s="62"/>
      <c r="QCR4" s="62"/>
      <c r="QCS4" s="62"/>
      <c r="QCT4" s="62"/>
      <c r="QCU4" s="62"/>
      <c r="QCV4" s="62"/>
      <c r="QCW4" s="62"/>
      <c r="QCX4" s="62"/>
      <c r="QCY4" s="62"/>
      <c r="QCZ4" s="62"/>
      <c r="QDA4" s="62"/>
      <c r="QDB4" s="62"/>
      <c r="QDC4" s="62"/>
      <c r="QDD4" s="62"/>
      <c r="QDE4" s="62"/>
      <c r="QDF4" s="62"/>
      <c r="QDG4" s="62"/>
      <c r="QDH4" s="62"/>
      <c r="QDI4" s="62"/>
      <c r="QDJ4" s="62"/>
      <c r="QDK4" s="62"/>
      <c r="QDL4" s="62"/>
      <c r="QDM4" s="62"/>
      <c r="QDN4" s="62"/>
      <c r="QDO4" s="62"/>
      <c r="QDP4" s="62"/>
      <c r="QDQ4" s="62"/>
      <c r="QDR4" s="62"/>
      <c r="QDS4" s="62"/>
      <c r="QDT4" s="62"/>
      <c r="QDU4" s="62"/>
      <c r="QDV4" s="62"/>
      <c r="QDW4" s="62"/>
      <c r="QDX4" s="62"/>
      <c r="QDY4" s="62"/>
      <c r="QDZ4" s="62"/>
      <c r="QEA4" s="62"/>
      <c r="QEB4" s="62"/>
      <c r="QEC4" s="62"/>
      <c r="QED4" s="62"/>
      <c r="QEE4" s="62"/>
      <c r="QEF4" s="62"/>
      <c r="QEG4" s="62"/>
      <c r="QEH4" s="62"/>
      <c r="QEI4" s="62"/>
      <c r="QEJ4" s="62"/>
      <c r="QEK4" s="62"/>
      <c r="QEL4" s="62"/>
      <c r="QEM4" s="62"/>
      <c r="QEN4" s="62"/>
      <c r="QEO4" s="62"/>
      <c r="QEP4" s="62"/>
      <c r="QEQ4" s="62"/>
      <c r="QER4" s="62"/>
      <c r="QES4" s="62"/>
      <c r="QET4" s="62"/>
      <c r="QEU4" s="62"/>
      <c r="QEV4" s="62"/>
      <c r="QEW4" s="62"/>
      <c r="QEX4" s="62"/>
      <c r="QEY4" s="62"/>
      <c r="QEZ4" s="62"/>
      <c r="QFA4" s="62"/>
      <c r="QFB4" s="62"/>
      <c r="QFC4" s="62"/>
      <c r="QFD4" s="62"/>
      <c r="QFE4" s="62"/>
      <c r="QFF4" s="62"/>
      <c r="QFG4" s="62"/>
      <c r="QFH4" s="62"/>
      <c r="QFI4" s="62"/>
      <c r="QFJ4" s="62"/>
      <c r="QFK4" s="62"/>
      <c r="QFL4" s="62"/>
      <c r="QFM4" s="62"/>
      <c r="QFN4" s="62"/>
      <c r="QFO4" s="62"/>
      <c r="QFP4" s="62"/>
      <c r="QFQ4" s="62"/>
      <c r="QFR4" s="62"/>
      <c r="QFS4" s="62"/>
      <c r="QFT4" s="62"/>
      <c r="QFU4" s="62"/>
      <c r="QFV4" s="62"/>
      <c r="QFW4" s="62"/>
      <c r="QFX4" s="62"/>
      <c r="QFY4" s="62"/>
      <c r="QFZ4" s="62"/>
      <c r="QGA4" s="62"/>
      <c r="QGB4" s="62"/>
      <c r="QGC4" s="62"/>
      <c r="QGD4" s="62"/>
      <c r="QGE4" s="62"/>
      <c r="QGF4" s="62"/>
      <c r="QGG4" s="62"/>
      <c r="QGH4" s="62"/>
      <c r="QGI4" s="62"/>
      <c r="QGJ4" s="62"/>
      <c r="QGK4" s="62"/>
      <c r="QGL4" s="62"/>
      <c r="QGM4" s="62"/>
      <c r="QGN4" s="62"/>
      <c r="QGO4" s="62"/>
      <c r="QGP4" s="62"/>
      <c r="QGQ4" s="62"/>
      <c r="QGR4" s="62"/>
      <c r="QGS4" s="62"/>
      <c r="QGT4" s="62"/>
      <c r="QGU4" s="62"/>
      <c r="QGV4" s="62"/>
      <c r="QGW4" s="62"/>
      <c r="QGX4" s="62"/>
      <c r="QGY4" s="62"/>
      <c r="QGZ4" s="62"/>
      <c r="QHA4" s="62"/>
      <c r="QHB4" s="62"/>
      <c r="QHC4" s="62"/>
      <c r="QHD4" s="62"/>
      <c r="QHE4" s="62"/>
      <c r="QHF4" s="62"/>
      <c r="QHG4" s="62"/>
      <c r="QHH4" s="62"/>
      <c r="QHI4" s="62"/>
      <c r="QHJ4" s="62"/>
      <c r="QHK4" s="62"/>
      <c r="QHL4" s="62"/>
      <c r="QHM4" s="62"/>
      <c r="QHN4" s="62"/>
      <c r="QHO4" s="62"/>
      <c r="QHP4" s="62"/>
      <c r="QHQ4" s="62"/>
      <c r="QHR4" s="62"/>
      <c r="QHS4" s="62"/>
      <c r="QHT4" s="62"/>
      <c r="QHU4" s="62"/>
      <c r="QHV4" s="62"/>
      <c r="QHW4" s="62"/>
      <c r="QHX4" s="62"/>
      <c r="QHY4" s="62"/>
      <c r="QHZ4" s="62"/>
      <c r="QIA4" s="62"/>
      <c r="QIB4" s="62"/>
      <c r="QIC4" s="62"/>
      <c r="QID4" s="62"/>
      <c r="QIE4" s="62"/>
      <c r="QIF4" s="62"/>
      <c r="QIG4" s="62"/>
      <c r="QIH4" s="62"/>
      <c r="QII4" s="62"/>
      <c r="QIJ4" s="62"/>
      <c r="QIK4" s="62"/>
      <c r="QIL4" s="62"/>
      <c r="QIM4" s="62"/>
      <c r="QIN4" s="62"/>
      <c r="QIO4" s="62"/>
      <c r="QIP4" s="62"/>
      <c r="QIQ4" s="62"/>
      <c r="QIR4" s="62"/>
      <c r="QIS4" s="62"/>
      <c r="QIT4" s="62"/>
      <c r="QIU4" s="62"/>
      <c r="QIV4" s="62"/>
      <c r="QIW4" s="62"/>
      <c r="QIX4" s="62"/>
      <c r="QIY4" s="62"/>
      <c r="QIZ4" s="62"/>
      <c r="QJA4" s="62"/>
      <c r="QJB4" s="62"/>
      <c r="QJC4" s="62"/>
      <c r="QJD4" s="62"/>
      <c r="QJE4" s="62"/>
      <c r="QJF4" s="62"/>
      <c r="QJG4" s="62"/>
      <c r="QJH4" s="62"/>
      <c r="QJI4" s="62"/>
      <c r="QJJ4" s="62"/>
      <c r="QJK4" s="62"/>
      <c r="QJL4" s="62"/>
      <c r="QJM4" s="62"/>
      <c r="QJN4" s="62"/>
      <c r="QJO4" s="62"/>
      <c r="QJP4" s="62"/>
      <c r="QJQ4" s="62"/>
      <c r="QJR4" s="62"/>
      <c r="QJS4" s="62"/>
      <c r="QJT4" s="62"/>
      <c r="QJU4" s="62"/>
      <c r="QJV4" s="62"/>
      <c r="QJW4" s="62"/>
      <c r="QJX4" s="62"/>
      <c r="QJY4" s="62"/>
      <c r="QJZ4" s="62"/>
      <c r="QKA4" s="62"/>
      <c r="QKB4" s="62"/>
      <c r="QKC4" s="62"/>
      <c r="QKD4" s="62"/>
      <c r="QKE4" s="62"/>
      <c r="QKF4" s="62"/>
      <c r="QKG4" s="62"/>
      <c r="QKH4" s="62"/>
      <c r="QKI4" s="62"/>
      <c r="QKJ4" s="62"/>
      <c r="QKK4" s="62"/>
      <c r="QKL4" s="62"/>
      <c r="QKM4" s="62"/>
      <c r="QKN4" s="62"/>
      <c r="QKO4" s="62"/>
      <c r="QKP4" s="62"/>
      <c r="QKQ4" s="62"/>
      <c r="QKR4" s="62"/>
      <c r="QKS4" s="62"/>
      <c r="QKT4" s="62"/>
      <c r="QKU4" s="62"/>
      <c r="QKV4" s="62"/>
      <c r="QKW4" s="62"/>
      <c r="QKX4" s="62"/>
      <c r="QKY4" s="62"/>
      <c r="QKZ4" s="62"/>
      <c r="QLA4" s="62"/>
      <c r="QLB4" s="62"/>
      <c r="QLC4" s="62"/>
      <c r="QLD4" s="62"/>
      <c r="QLE4" s="62"/>
      <c r="QLF4" s="62"/>
      <c r="QLG4" s="62"/>
      <c r="QLH4" s="62"/>
      <c r="QLI4" s="62"/>
      <c r="QLJ4" s="62"/>
      <c r="QLK4" s="62"/>
      <c r="QLL4" s="62"/>
      <c r="QLM4" s="62"/>
      <c r="QLN4" s="62"/>
      <c r="QLO4" s="62"/>
      <c r="QLP4" s="62"/>
      <c r="QLQ4" s="62"/>
      <c r="QLR4" s="62"/>
      <c r="QLS4" s="62"/>
      <c r="QLT4" s="62"/>
      <c r="QLU4" s="62"/>
      <c r="QLV4" s="62"/>
      <c r="QLW4" s="62"/>
      <c r="QLX4" s="62"/>
      <c r="QLY4" s="62"/>
      <c r="QLZ4" s="62"/>
      <c r="QMA4" s="62"/>
      <c r="QMB4" s="62"/>
      <c r="QMC4" s="62"/>
      <c r="QMD4" s="62"/>
      <c r="QME4" s="62"/>
      <c r="QMF4" s="62"/>
      <c r="QMG4" s="62"/>
      <c r="QMH4" s="62"/>
      <c r="QMI4" s="62"/>
      <c r="QMJ4" s="62"/>
      <c r="QMK4" s="62"/>
      <c r="QML4" s="62"/>
      <c r="QMM4" s="62"/>
      <c r="QMN4" s="62"/>
      <c r="QMO4" s="62"/>
      <c r="QMP4" s="62"/>
      <c r="QMQ4" s="62"/>
      <c r="QMR4" s="62"/>
      <c r="QMS4" s="62"/>
      <c r="QMT4" s="62"/>
      <c r="QMU4" s="62"/>
      <c r="QMV4" s="62"/>
      <c r="QMW4" s="62"/>
      <c r="QMX4" s="62"/>
      <c r="QMY4" s="62"/>
      <c r="QMZ4" s="62"/>
      <c r="QNA4" s="62"/>
      <c r="QNB4" s="62"/>
      <c r="QNC4" s="62"/>
      <c r="QND4" s="62"/>
      <c r="QNE4" s="62"/>
      <c r="QNF4" s="62"/>
      <c r="QNG4" s="62"/>
      <c r="QNH4" s="62"/>
      <c r="QNI4" s="62"/>
      <c r="QNJ4" s="62"/>
      <c r="QNK4" s="62"/>
      <c r="QNL4" s="62"/>
      <c r="QNM4" s="62"/>
      <c r="QNN4" s="62"/>
      <c r="QNO4" s="62"/>
      <c r="QNP4" s="62"/>
      <c r="QNQ4" s="62"/>
      <c r="QNR4" s="62"/>
      <c r="QNS4" s="62"/>
      <c r="QNT4" s="62"/>
      <c r="QNU4" s="62"/>
      <c r="QNV4" s="62"/>
      <c r="QNW4" s="62"/>
      <c r="QNX4" s="62"/>
      <c r="QNY4" s="62"/>
      <c r="QNZ4" s="62"/>
      <c r="QOA4" s="62"/>
      <c r="QOB4" s="62"/>
      <c r="QOC4" s="62"/>
      <c r="QOD4" s="62"/>
      <c r="QOE4" s="62"/>
      <c r="QOF4" s="62"/>
      <c r="QOG4" s="62"/>
      <c r="QOH4" s="62"/>
      <c r="QOI4" s="62"/>
      <c r="QOJ4" s="62"/>
      <c r="QOK4" s="62"/>
      <c r="QOL4" s="62"/>
      <c r="QOM4" s="62"/>
      <c r="QON4" s="62"/>
      <c r="QOO4" s="62"/>
      <c r="QOP4" s="62"/>
      <c r="QOQ4" s="62"/>
      <c r="QOR4" s="62"/>
      <c r="QOS4" s="62"/>
      <c r="QOT4" s="62"/>
      <c r="QOU4" s="62"/>
      <c r="QOV4" s="62"/>
      <c r="QOW4" s="62"/>
      <c r="QOX4" s="62"/>
      <c r="QOY4" s="62"/>
      <c r="QOZ4" s="62"/>
      <c r="QPA4" s="62"/>
      <c r="QPB4" s="62"/>
      <c r="QPC4" s="62"/>
      <c r="QPD4" s="62"/>
      <c r="QPE4" s="62"/>
      <c r="QPF4" s="62"/>
      <c r="QPG4" s="62"/>
      <c r="QPH4" s="62"/>
      <c r="QPI4" s="62"/>
      <c r="QPJ4" s="62"/>
      <c r="QPK4" s="62"/>
      <c r="QPL4" s="62"/>
      <c r="QPM4" s="62"/>
      <c r="QPN4" s="62"/>
      <c r="QPO4" s="62"/>
      <c r="QPP4" s="62"/>
      <c r="QPQ4" s="62"/>
      <c r="QPR4" s="62"/>
      <c r="QPS4" s="62"/>
      <c r="QPT4" s="62"/>
      <c r="QPU4" s="62"/>
      <c r="QPV4" s="62"/>
      <c r="QPW4" s="62"/>
      <c r="QPX4" s="62"/>
      <c r="QPY4" s="62"/>
      <c r="QPZ4" s="62"/>
      <c r="QQA4" s="62"/>
      <c r="QQB4" s="62"/>
      <c r="QQC4" s="62"/>
      <c r="QQD4" s="62"/>
      <c r="QQE4" s="62"/>
      <c r="QQF4" s="62"/>
      <c r="QQG4" s="62"/>
      <c r="QQH4" s="62"/>
      <c r="QQI4" s="62"/>
      <c r="QQJ4" s="62"/>
      <c r="QQK4" s="62"/>
      <c r="QQL4" s="62"/>
      <c r="QQM4" s="62"/>
      <c r="QQN4" s="62"/>
      <c r="QQO4" s="62"/>
      <c r="QQP4" s="62"/>
      <c r="QQQ4" s="62"/>
      <c r="QQR4" s="62"/>
      <c r="QQS4" s="62"/>
      <c r="QQT4" s="62"/>
      <c r="QQU4" s="62"/>
      <c r="QQV4" s="62"/>
      <c r="QQW4" s="62"/>
      <c r="QQX4" s="62"/>
      <c r="QQY4" s="62"/>
      <c r="QQZ4" s="62"/>
      <c r="QRA4" s="62"/>
      <c r="QRB4" s="62"/>
      <c r="QRC4" s="62"/>
      <c r="QRD4" s="62"/>
      <c r="QRE4" s="62"/>
      <c r="QRF4" s="62"/>
      <c r="QRG4" s="62"/>
      <c r="QRH4" s="62"/>
      <c r="QRI4" s="62"/>
      <c r="QRJ4" s="62"/>
      <c r="QRK4" s="62"/>
      <c r="QRL4" s="62"/>
      <c r="QRM4" s="62"/>
      <c r="QRN4" s="62"/>
      <c r="QRO4" s="62"/>
      <c r="QRP4" s="62"/>
      <c r="QRQ4" s="62"/>
      <c r="QRR4" s="62"/>
      <c r="QRS4" s="62"/>
      <c r="QRT4" s="62"/>
      <c r="QRU4" s="62"/>
      <c r="QRV4" s="62"/>
      <c r="QRW4" s="62"/>
      <c r="QRX4" s="62"/>
      <c r="QRY4" s="62"/>
      <c r="QRZ4" s="62"/>
      <c r="QSA4" s="62"/>
      <c r="QSB4" s="62"/>
      <c r="QSC4" s="62"/>
      <c r="QSD4" s="62"/>
      <c r="QSE4" s="62"/>
      <c r="QSF4" s="62"/>
      <c r="QSG4" s="62"/>
      <c r="QSH4" s="62"/>
      <c r="QSI4" s="62"/>
      <c r="QSJ4" s="62"/>
      <c r="QSK4" s="62"/>
      <c r="QSL4" s="62"/>
      <c r="QSM4" s="62"/>
      <c r="QSN4" s="62"/>
      <c r="QSO4" s="62"/>
      <c r="QSP4" s="62"/>
      <c r="QSQ4" s="62"/>
      <c r="QSR4" s="62"/>
      <c r="QSS4" s="62"/>
      <c r="QST4" s="62"/>
      <c r="QSU4" s="62"/>
      <c r="QSV4" s="62"/>
      <c r="QSW4" s="62"/>
      <c r="QSX4" s="62"/>
      <c r="QSY4" s="62"/>
      <c r="QSZ4" s="62"/>
      <c r="QTA4" s="62"/>
      <c r="QTB4" s="62"/>
      <c r="QTC4" s="62"/>
      <c r="QTD4" s="62"/>
      <c r="QTE4" s="62"/>
      <c r="QTF4" s="62"/>
      <c r="QTG4" s="62"/>
      <c r="QTH4" s="62"/>
      <c r="QTI4" s="62"/>
      <c r="QTJ4" s="62"/>
      <c r="QTK4" s="62"/>
      <c r="QTL4" s="62"/>
      <c r="QTM4" s="62"/>
      <c r="QTN4" s="62"/>
      <c r="QTO4" s="62"/>
      <c r="QTP4" s="62"/>
      <c r="QTQ4" s="62"/>
      <c r="QTR4" s="62"/>
      <c r="QTS4" s="62"/>
      <c r="QTT4" s="62"/>
      <c r="QTU4" s="62"/>
      <c r="QTV4" s="62"/>
      <c r="QTW4" s="62"/>
      <c r="QTX4" s="62"/>
      <c r="QTY4" s="62"/>
      <c r="QTZ4" s="62"/>
      <c r="QUA4" s="62"/>
      <c r="QUB4" s="62"/>
      <c r="QUC4" s="62"/>
      <c r="QUD4" s="62"/>
      <c r="QUE4" s="62"/>
      <c r="QUF4" s="62"/>
      <c r="QUG4" s="62"/>
      <c r="QUH4" s="62"/>
      <c r="QUI4" s="62"/>
      <c r="QUJ4" s="62"/>
      <c r="QUK4" s="62"/>
      <c r="QUL4" s="62"/>
      <c r="QUM4" s="62"/>
      <c r="QUN4" s="62"/>
      <c r="QUO4" s="62"/>
      <c r="QUP4" s="62"/>
      <c r="QUQ4" s="62"/>
      <c r="QUR4" s="62"/>
      <c r="QUS4" s="62"/>
      <c r="QUT4" s="62"/>
      <c r="QUU4" s="62"/>
      <c r="QUV4" s="62"/>
      <c r="QUW4" s="62"/>
      <c r="QUX4" s="62"/>
      <c r="QUY4" s="62"/>
      <c r="QUZ4" s="62"/>
      <c r="QVA4" s="62"/>
      <c r="QVB4" s="62"/>
      <c r="QVC4" s="62"/>
      <c r="QVD4" s="62"/>
      <c r="QVE4" s="62"/>
      <c r="QVF4" s="62"/>
      <c r="QVG4" s="62"/>
      <c r="QVH4" s="62"/>
      <c r="QVI4" s="62"/>
      <c r="QVJ4" s="62"/>
      <c r="QVK4" s="62"/>
      <c r="QVL4" s="62"/>
      <c r="QVM4" s="62"/>
      <c r="QVN4" s="62"/>
      <c r="QVO4" s="62"/>
      <c r="QVP4" s="62"/>
      <c r="QVQ4" s="62"/>
      <c r="QVR4" s="62"/>
      <c r="QVS4" s="62"/>
      <c r="QVT4" s="62"/>
      <c r="QVU4" s="62"/>
      <c r="QVV4" s="62"/>
      <c r="QVW4" s="62"/>
      <c r="QVX4" s="62"/>
      <c r="QVY4" s="62"/>
      <c r="QVZ4" s="62"/>
      <c r="QWA4" s="62"/>
      <c r="QWB4" s="62"/>
      <c r="QWC4" s="62"/>
      <c r="QWD4" s="62"/>
      <c r="QWE4" s="62"/>
      <c r="QWF4" s="62"/>
      <c r="QWG4" s="62"/>
      <c r="QWH4" s="62"/>
      <c r="QWI4" s="62"/>
      <c r="QWJ4" s="62"/>
      <c r="QWK4" s="62"/>
      <c r="QWL4" s="62"/>
      <c r="QWM4" s="62"/>
      <c r="QWN4" s="62"/>
      <c r="QWO4" s="62"/>
      <c r="QWP4" s="62"/>
      <c r="QWQ4" s="62"/>
      <c r="QWR4" s="62"/>
      <c r="QWS4" s="62"/>
      <c r="QWT4" s="62"/>
      <c r="QWU4" s="62"/>
      <c r="QWV4" s="62"/>
      <c r="QWW4" s="62"/>
      <c r="QWX4" s="62"/>
      <c r="QWY4" s="62"/>
      <c r="QWZ4" s="62"/>
      <c r="QXA4" s="62"/>
      <c r="QXB4" s="62"/>
      <c r="QXC4" s="62"/>
      <c r="QXD4" s="62"/>
      <c r="QXE4" s="62"/>
      <c r="QXF4" s="62"/>
      <c r="QXG4" s="62"/>
      <c r="QXH4" s="62"/>
      <c r="QXI4" s="62"/>
      <c r="QXJ4" s="62"/>
      <c r="QXK4" s="62"/>
      <c r="QXL4" s="62"/>
      <c r="QXM4" s="62"/>
      <c r="QXN4" s="62"/>
      <c r="QXO4" s="62"/>
      <c r="QXP4" s="62"/>
      <c r="QXQ4" s="62"/>
      <c r="QXR4" s="62"/>
      <c r="QXS4" s="62"/>
      <c r="QXT4" s="62"/>
      <c r="QXU4" s="62"/>
      <c r="QXV4" s="62"/>
      <c r="QXW4" s="62"/>
      <c r="QXX4" s="62"/>
      <c r="QXY4" s="62"/>
      <c r="QXZ4" s="62"/>
      <c r="QYA4" s="62"/>
      <c r="QYB4" s="62"/>
      <c r="QYC4" s="62"/>
      <c r="QYD4" s="62"/>
      <c r="QYE4" s="62"/>
      <c r="QYF4" s="62"/>
      <c r="QYG4" s="62"/>
      <c r="QYH4" s="62"/>
      <c r="QYI4" s="62"/>
      <c r="QYJ4" s="62"/>
      <c r="QYK4" s="62"/>
      <c r="QYL4" s="62"/>
      <c r="QYM4" s="62"/>
      <c r="QYN4" s="62"/>
      <c r="QYO4" s="62"/>
      <c r="QYP4" s="62"/>
      <c r="QYQ4" s="62"/>
      <c r="QYR4" s="62"/>
      <c r="QYS4" s="62"/>
      <c r="QYT4" s="62"/>
      <c r="QYU4" s="62"/>
      <c r="QYV4" s="62"/>
      <c r="QYW4" s="62"/>
      <c r="QYX4" s="62"/>
      <c r="QYY4" s="62"/>
      <c r="QYZ4" s="62"/>
      <c r="QZA4" s="62"/>
      <c r="QZB4" s="62"/>
      <c r="QZC4" s="62"/>
      <c r="QZD4" s="62"/>
      <c r="QZE4" s="62"/>
      <c r="QZF4" s="62"/>
      <c r="QZG4" s="62"/>
      <c r="QZH4" s="62"/>
      <c r="QZI4" s="62"/>
      <c r="QZJ4" s="62"/>
      <c r="QZK4" s="62"/>
      <c r="QZL4" s="62"/>
      <c r="QZM4" s="62"/>
      <c r="QZN4" s="62"/>
      <c r="QZO4" s="62"/>
      <c r="QZP4" s="62"/>
      <c r="QZQ4" s="62"/>
      <c r="QZR4" s="62"/>
      <c r="QZS4" s="62"/>
      <c r="QZT4" s="62"/>
      <c r="QZU4" s="62"/>
      <c r="QZV4" s="62"/>
      <c r="QZW4" s="62"/>
      <c r="QZX4" s="62"/>
      <c r="QZY4" s="62"/>
      <c r="QZZ4" s="62"/>
      <c r="RAA4" s="62"/>
      <c r="RAB4" s="62"/>
      <c r="RAC4" s="62"/>
      <c r="RAD4" s="62"/>
      <c r="RAE4" s="62"/>
      <c r="RAF4" s="62"/>
      <c r="RAG4" s="62"/>
      <c r="RAH4" s="62"/>
      <c r="RAI4" s="62"/>
      <c r="RAJ4" s="62"/>
      <c r="RAK4" s="62"/>
      <c r="RAL4" s="62"/>
      <c r="RAM4" s="62"/>
      <c r="RAN4" s="62"/>
      <c r="RAO4" s="62"/>
      <c r="RAP4" s="62"/>
      <c r="RAQ4" s="62"/>
      <c r="RAR4" s="62"/>
      <c r="RAS4" s="62"/>
      <c r="RAT4" s="62"/>
      <c r="RAU4" s="62"/>
      <c r="RAV4" s="62"/>
      <c r="RAW4" s="62"/>
      <c r="RAX4" s="62"/>
      <c r="RAY4" s="62"/>
      <c r="RAZ4" s="62"/>
      <c r="RBA4" s="62"/>
      <c r="RBB4" s="62"/>
      <c r="RBC4" s="62"/>
      <c r="RBD4" s="62"/>
      <c r="RBE4" s="62"/>
      <c r="RBF4" s="62"/>
      <c r="RBG4" s="62"/>
      <c r="RBH4" s="62"/>
      <c r="RBI4" s="62"/>
      <c r="RBJ4" s="62"/>
      <c r="RBK4" s="62"/>
      <c r="RBL4" s="62"/>
      <c r="RBM4" s="62"/>
      <c r="RBN4" s="62"/>
      <c r="RBO4" s="62"/>
      <c r="RBP4" s="62"/>
      <c r="RBQ4" s="62"/>
      <c r="RBR4" s="62"/>
      <c r="RBS4" s="62"/>
      <c r="RBT4" s="62"/>
      <c r="RBU4" s="62"/>
      <c r="RBV4" s="62"/>
      <c r="RBW4" s="62"/>
      <c r="RBX4" s="62"/>
      <c r="RBY4" s="62"/>
      <c r="RBZ4" s="62"/>
      <c r="RCA4" s="62"/>
      <c r="RCB4" s="62"/>
      <c r="RCC4" s="62"/>
      <c r="RCD4" s="62"/>
      <c r="RCE4" s="62"/>
      <c r="RCF4" s="62"/>
      <c r="RCG4" s="62"/>
      <c r="RCH4" s="62"/>
      <c r="RCI4" s="62"/>
      <c r="RCJ4" s="62"/>
      <c r="RCK4" s="62"/>
      <c r="RCL4" s="62"/>
      <c r="RCM4" s="62"/>
      <c r="RCN4" s="62"/>
      <c r="RCO4" s="62"/>
      <c r="RCP4" s="62"/>
      <c r="RCQ4" s="62"/>
      <c r="RCR4" s="62"/>
      <c r="RCS4" s="62"/>
      <c r="RCT4" s="62"/>
      <c r="RCU4" s="62"/>
      <c r="RCV4" s="62"/>
      <c r="RCW4" s="62"/>
      <c r="RCX4" s="62"/>
      <c r="RCY4" s="62"/>
      <c r="RCZ4" s="62"/>
      <c r="RDA4" s="62"/>
      <c r="RDB4" s="62"/>
      <c r="RDC4" s="62"/>
      <c r="RDD4" s="62"/>
      <c r="RDE4" s="62"/>
      <c r="RDF4" s="62"/>
      <c r="RDG4" s="62"/>
      <c r="RDH4" s="62"/>
      <c r="RDI4" s="62"/>
      <c r="RDJ4" s="62"/>
      <c r="RDK4" s="62"/>
      <c r="RDL4" s="62"/>
      <c r="RDM4" s="62"/>
      <c r="RDN4" s="62"/>
      <c r="RDO4" s="62"/>
      <c r="RDP4" s="62"/>
      <c r="RDQ4" s="62"/>
      <c r="RDR4" s="62"/>
      <c r="RDS4" s="62"/>
      <c r="RDT4" s="62"/>
      <c r="RDU4" s="62"/>
      <c r="RDV4" s="62"/>
      <c r="RDW4" s="62"/>
      <c r="RDX4" s="62"/>
      <c r="RDY4" s="62"/>
      <c r="RDZ4" s="62"/>
      <c r="REA4" s="62"/>
      <c r="REB4" s="62"/>
      <c r="REC4" s="62"/>
      <c r="RED4" s="62"/>
      <c r="REE4" s="62"/>
      <c r="REF4" s="62"/>
      <c r="REG4" s="62"/>
      <c r="REH4" s="62"/>
      <c r="REI4" s="62"/>
      <c r="REJ4" s="62"/>
      <c r="REK4" s="62"/>
      <c r="REL4" s="62"/>
      <c r="REM4" s="62"/>
      <c r="REN4" s="62"/>
      <c r="REO4" s="62"/>
      <c r="REP4" s="62"/>
      <c r="REQ4" s="62"/>
      <c r="RER4" s="62"/>
      <c r="RES4" s="62"/>
      <c r="RET4" s="62"/>
      <c r="REU4" s="62"/>
      <c r="REV4" s="62"/>
      <c r="REW4" s="62"/>
      <c r="REX4" s="62"/>
      <c r="REY4" s="62"/>
      <c r="REZ4" s="62"/>
      <c r="RFA4" s="62"/>
      <c r="RFB4" s="62"/>
      <c r="RFC4" s="62"/>
      <c r="RFD4" s="62"/>
      <c r="RFE4" s="62"/>
      <c r="RFF4" s="62"/>
      <c r="RFG4" s="62"/>
      <c r="RFH4" s="62"/>
      <c r="RFI4" s="62"/>
      <c r="RFJ4" s="62"/>
      <c r="RFK4" s="62"/>
      <c r="RFL4" s="62"/>
      <c r="RFM4" s="62"/>
      <c r="RFN4" s="62"/>
      <c r="RFO4" s="62"/>
      <c r="RFP4" s="62"/>
      <c r="RFQ4" s="62"/>
      <c r="RFR4" s="62"/>
      <c r="RFS4" s="62"/>
      <c r="RFT4" s="62"/>
      <c r="RFU4" s="62"/>
      <c r="RFV4" s="62"/>
      <c r="RFW4" s="62"/>
      <c r="RFX4" s="62"/>
      <c r="RFY4" s="62"/>
      <c r="RFZ4" s="62"/>
      <c r="RGA4" s="62"/>
      <c r="RGB4" s="62"/>
      <c r="RGC4" s="62"/>
      <c r="RGD4" s="62"/>
      <c r="RGE4" s="62"/>
      <c r="RGF4" s="62"/>
      <c r="RGG4" s="62"/>
      <c r="RGH4" s="62"/>
      <c r="RGI4" s="62"/>
      <c r="RGJ4" s="62"/>
      <c r="RGK4" s="62"/>
      <c r="RGL4" s="62"/>
      <c r="RGM4" s="62"/>
      <c r="RGN4" s="62"/>
      <c r="RGO4" s="62"/>
      <c r="RGP4" s="62"/>
      <c r="RGQ4" s="62"/>
      <c r="RGR4" s="62"/>
      <c r="RGS4" s="62"/>
      <c r="RGT4" s="62"/>
      <c r="RGU4" s="62"/>
      <c r="RGV4" s="62"/>
      <c r="RGW4" s="62"/>
      <c r="RGX4" s="62"/>
      <c r="RGY4" s="62"/>
      <c r="RGZ4" s="62"/>
      <c r="RHA4" s="62"/>
      <c r="RHB4" s="62"/>
      <c r="RHC4" s="62"/>
      <c r="RHD4" s="62"/>
      <c r="RHE4" s="62"/>
      <c r="RHF4" s="62"/>
      <c r="RHG4" s="62"/>
      <c r="RHH4" s="62"/>
      <c r="RHI4" s="62"/>
      <c r="RHJ4" s="62"/>
      <c r="RHK4" s="62"/>
      <c r="RHL4" s="62"/>
      <c r="RHM4" s="62"/>
      <c r="RHN4" s="62"/>
      <c r="RHO4" s="62"/>
      <c r="RHP4" s="62"/>
      <c r="RHQ4" s="62"/>
      <c r="RHR4" s="62"/>
      <c r="RHS4" s="62"/>
      <c r="RHT4" s="62"/>
      <c r="RHU4" s="62"/>
      <c r="RHV4" s="62"/>
      <c r="RHW4" s="62"/>
      <c r="RHX4" s="62"/>
      <c r="RHY4" s="62"/>
      <c r="RHZ4" s="62"/>
      <c r="RIA4" s="62"/>
      <c r="RIB4" s="62"/>
      <c r="RIC4" s="62"/>
      <c r="RID4" s="62"/>
      <c r="RIE4" s="62"/>
      <c r="RIF4" s="62"/>
      <c r="RIG4" s="62"/>
      <c r="RIH4" s="62"/>
      <c r="RII4" s="62"/>
      <c r="RIJ4" s="62"/>
      <c r="RIK4" s="62"/>
      <c r="RIL4" s="62"/>
      <c r="RIM4" s="62"/>
      <c r="RIN4" s="62"/>
      <c r="RIO4" s="62"/>
      <c r="RIP4" s="62"/>
      <c r="RIQ4" s="62"/>
      <c r="RIR4" s="62"/>
      <c r="RIS4" s="62"/>
      <c r="RIT4" s="62"/>
      <c r="RIU4" s="62"/>
      <c r="RIV4" s="62"/>
      <c r="RIW4" s="62"/>
      <c r="RIX4" s="62"/>
      <c r="RIY4" s="62"/>
      <c r="RIZ4" s="62"/>
      <c r="RJA4" s="62"/>
      <c r="RJB4" s="62"/>
      <c r="RJC4" s="62"/>
      <c r="RJD4" s="62"/>
      <c r="RJE4" s="62"/>
      <c r="RJF4" s="62"/>
      <c r="RJG4" s="62"/>
      <c r="RJH4" s="62"/>
      <c r="RJI4" s="62"/>
      <c r="RJJ4" s="62"/>
      <c r="RJK4" s="62"/>
      <c r="RJL4" s="62"/>
      <c r="RJM4" s="62"/>
      <c r="RJN4" s="62"/>
      <c r="RJO4" s="62"/>
      <c r="RJP4" s="62"/>
      <c r="RJQ4" s="62"/>
      <c r="RJR4" s="62"/>
      <c r="RJS4" s="62"/>
      <c r="RJT4" s="62"/>
      <c r="RJU4" s="62"/>
      <c r="RJV4" s="62"/>
      <c r="RJW4" s="62"/>
      <c r="RJX4" s="62"/>
      <c r="RJY4" s="62"/>
      <c r="RJZ4" s="62"/>
      <c r="RKA4" s="62"/>
      <c r="RKB4" s="62"/>
      <c r="RKC4" s="62"/>
      <c r="RKD4" s="62"/>
      <c r="RKE4" s="62"/>
      <c r="RKF4" s="62"/>
      <c r="RKG4" s="62"/>
      <c r="RKH4" s="62"/>
      <c r="RKI4" s="62"/>
      <c r="RKJ4" s="62"/>
      <c r="RKK4" s="62"/>
      <c r="RKL4" s="62"/>
      <c r="RKM4" s="62"/>
      <c r="RKN4" s="62"/>
      <c r="RKO4" s="62"/>
      <c r="RKP4" s="62"/>
      <c r="RKQ4" s="62"/>
      <c r="RKR4" s="62"/>
      <c r="RKS4" s="62"/>
      <c r="RKT4" s="62"/>
      <c r="RKU4" s="62"/>
      <c r="RKV4" s="62"/>
      <c r="RKW4" s="62"/>
      <c r="RKX4" s="62"/>
      <c r="RKY4" s="62"/>
      <c r="RKZ4" s="62"/>
      <c r="RLA4" s="62"/>
      <c r="RLB4" s="62"/>
      <c r="RLC4" s="62"/>
      <c r="RLD4" s="62"/>
      <c r="RLE4" s="62"/>
      <c r="RLF4" s="62"/>
      <c r="RLG4" s="62"/>
      <c r="RLH4" s="62"/>
      <c r="RLI4" s="62"/>
      <c r="RLJ4" s="62"/>
      <c r="RLK4" s="62"/>
      <c r="RLL4" s="62"/>
      <c r="RLM4" s="62"/>
      <c r="RLN4" s="62"/>
      <c r="RLO4" s="62"/>
      <c r="RLP4" s="62"/>
      <c r="RLQ4" s="62"/>
      <c r="RLR4" s="62"/>
      <c r="RLS4" s="62"/>
      <c r="RLT4" s="62"/>
      <c r="RLU4" s="62"/>
      <c r="RLV4" s="62"/>
      <c r="RLW4" s="62"/>
      <c r="RLX4" s="62"/>
      <c r="RLY4" s="62"/>
      <c r="RLZ4" s="62"/>
      <c r="RMA4" s="62"/>
      <c r="RMB4" s="62"/>
      <c r="RMC4" s="62"/>
      <c r="RMD4" s="62"/>
      <c r="RME4" s="62"/>
      <c r="RMF4" s="62"/>
      <c r="RMG4" s="62"/>
      <c r="RMH4" s="62"/>
      <c r="RMI4" s="62"/>
      <c r="RMJ4" s="62"/>
      <c r="RMK4" s="62"/>
      <c r="RML4" s="62"/>
      <c r="RMM4" s="62"/>
      <c r="RMN4" s="62"/>
      <c r="RMO4" s="62"/>
      <c r="RMP4" s="62"/>
      <c r="RMQ4" s="62"/>
      <c r="RMR4" s="62"/>
      <c r="RMS4" s="62"/>
      <c r="RMT4" s="62"/>
      <c r="RMU4" s="62"/>
      <c r="RMV4" s="62"/>
      <c r="RMW4" s="62"/>
      <c r="RMX4" s="62"/>
      <c r="RMY4" s="62"/>
      <c r="RMZ4" s="62"/>
      <c r="RNA4" s="62"/>
      <c r="RNB4" s="62"/>
      <c r="RNC4" s="62"/>
      <c r="RND4" s="62"/>
      <c r="RNE4" s="62"/>
      <c r="RNF4" s="62"/>
      <c r="RNG4" s="62"/>
      <c r="RNH4" s="62"/>
      <c r="RNI4" s="62"/>
      <c r="RNJ4" s="62"/>
      <c r="RNK4" s="62"/>
      <c r="RNL4" s="62"/>
      <c r="RNM4" s="62"/>
      <c r="RNN4" s="62"/>
      <c r="RNO4" s="62"/>
      <c r="RNP4" s="62"/>
      <c r="RNQ4" s="62"/>
      <c r="RNR4" s="62"/>
      <c r="RNS4" s="62"/>
      <c r="RNT4" s="62"/>
      <c r="RNU4" s="62"/>
      <c r="RNV4" s="62"/>
      <c r="RNW4" s="62"/>
      <c r="RNX4" s="62"/>
      <c r="RNY4" s="62"/>
      <c r="RNZ4" s="62"/>
      <c r="ROA4" s="62"/>
      <c r="ROB4" s="62"/>
      <c r="ROC4" s="62"/>
      <c r="ROD4" s="62"/>
      <c r="ROE4" s="62"/>
      <c r="ROF4" s="62"/>
      <c r="ROG4" s="62"/>
      <c r="ROH4" s="62"/>
      <c r="ROI4" s="62"/>
      <c r="ROJ4" s="62"/>
      <c r="ROK4" s="62"/>
      <c r="ROL4" s="62"/>
      <c r="ROM4" s="62"/>
      <c r="RON4" s="62"/>
      <c r="ROO4" s="62"/>
      <c r="ROP4" s="62"/>
      <c r="ROQ4" s="62"/>
      <c r="ROR4" s="62"/>
      <c r="ROS4" s="62"/>
      <c r="ROT4" s="62"/>
      <c r="ROU4" s="62"/>
      <c r="ROV4" s="62"/>
      <c r="ROW4" s="62"/>
      <c r="ROX4" s="62"/>
      <c r="ROY4" s="62"/>
      <c r="ROZ4" s="62"/>
      <c r="RPA4" s="62"/>
      <c r="RPB4" s="62"/>
      <c r="RPC4" s="62"/>
      <c r="RPD4" s="62"/>
      <c r="RPE4" s="62"/>
      <c r="RPF4" s="62"/>
      <c r="RPG4" s="62"/>
      <c r="RPH4" s="62"/>
      <c r="RPI4" s="62"/>
      <c r="RPJ4" s="62"/>
      <c r="RPK4" s="62"/>
      <c r="RPL4" s="62"/>
      <c r="RPM4" s="62"/>
      <c r="RPN4" s="62"/>
      <c r="RPO4" s="62"/>
      <c r="RPP4" s="62"/>
      <c r="RPQ4" s="62"/>
      <c r="RPR4" s="62"/>
      <c r="RPS4" s="62"/>
      <c r="RPT4" s="62"/>
      <c r="RPU4" s="62"/>
      <c r="RPV4" s="62"/>
      <c r="RPW4" s="62"/>
      <c r="RPX4" s="62"/>
      <c r="RPY4" s="62"/>
      <c r="RPZ4" s="62"/>
      <c r="RQA4" s="62"/>
      <c r="RQB4" s="62"/>
      <c r="RQC4" s="62"/>
      <c r="RQD4" s="62"/>
      <c r="RQE4" s="62"/>
      <c r="RQF4" s="62"/>
      <c r="RQG4" s="62"/>
      <c r="RQH4" s="62"/>
      <c r="RQI4" s="62"/>
      <c r="RQJ4" s="62"/>
      <c r="RQK4" s="62"/>
      <c r="RQL4" s="62"/>
      <c r="RQM4" s="62"/>
      <c r="RQN4" s="62"/>
      <c r="RQO4" s="62"/>
      <c r="RQP4" s="62"/>
      <c r="RQQ4" s="62"/>
      <c r="RQR4" s="62"/>
      <c r="RQS4" s="62"/>
      <c r="RQT4" s="62"/>
      <c r="RQU4" s="62"/>
      <c r="RQV4" s="62"/>
      <c r="RQW4" s="62"/>
      <c r="RQX4" s="62"/>
      <c r="RQY4" s="62"/>
      <c r="RQZ4" s="62"/>
      <c r="RRA4" s="62"/>
      <c r="RRB4" s="62"/>
      <c r="RRC4" s="62"/>
      <c r="RRD4" s="62"/>
      <c r="RRE4" s="62"/>
      <c r="RRF4" s="62"/>
      <c r="RRG4" s="62"/>
      <c r="RRH4" s="62"/>
      <c r="RRI4" s="62"/>
      <c r="RRJ4" s="62"/>
      <c r="RRK4" s="62"/>
      <c r="RRL4" s="62"/>
      <c r="RRM4" s="62"/>
      <c r="RRN4" s="62"/>
      <c r="RRO4" s="62"/>
      <c r="RRP4" s="62"/>
      <c r="RRQ4" s="62"/>
      <c r="RRR4" s="62"/>
      <c r="RRS4" s="62"/>
      <c r="RRT4" s="62"/>
      <c r="RRU4" s="62"/>
      <c r="RRV4" s="62"/>
      <c r="RRW4" s="62"/>
      <c r="RRX4" s="62"/>
      <c r="RRY4" s="62"/>
      <c r="RRZ4" s="62"/>
      <c r="RSA4" s="62"/>
      <c r="RSB4" s="62"/>
      <c r="RSC4" s="62"/>
      <c r="RSD4" s="62"/>
      <c r="RSE4" s="62"/>
      <c r="RSF4" s="62"/>
      <c r="RSG4" s="62"/>
      <c r="RSH4" s="62"/>
      <c r="RSI4" s="62"/>
      <c r="RSJ4" s="62"/>
      <c r="RSK4" s="62"/>
      <c r="RSL4" s="62"/>
      <c r="RSM4" s="62"/>
      <c r="RSN4" s="62"/>
      <c r="RSO4" s="62"/>
      <c r="RSP4" s="62"/>
      <c r="RSQ4" s="62"/>
      <c r="RSR4" s="62"/>
      <c r="RSS4" s="62"/>
      <c r="RST4" s="62"/>
      <c r="RSU4" s="62"/>
      <c r="RSV4" s="62"/>
      <c r="RSW4" s="62"/>
      <c r="RSX4" s="62"/>
      <c r="RSY4" s="62"/>
      <c r="RSZ4" s="62"/>
      <c r="RTA4" s="62"/>
      <c r="RTB4" s="62"/>
      <c r="RTC4" s="62"/>
      <c r="RTD4" s="62"/>
      <c r="RTE4" s="62"/>
      <c r="RTF4" s="62"/>
      <c r="RTG4" s="62"/>
      <c r="RTH4" s="62"/>
      <c r="RTI4" s="62"/>
      <c r="RTJ4" s="62"/>
      <c r="RTK4" s="62"/>
      <c r="RTL4" s="62"/>
      <c r="RTM4" s="62"/>
      <c r="RTN4" s="62"/>
      <c r="RTO4" s="62"/>
      <c r="RTP4" s="62"/>
      <c r="RTQ4" s="62"/>
      <c r="RTR4" s="62"/>
      <c r="RTS4" s="62"/>
      <c r="RTT4" s="62"/>
      <c r="RTU4" s="62"/>
      <c r="RTV4" s="62"/>
      <c r="RTW4" s="62"/>
      <c r="RTX4" s="62"/>
      <c r="RTY4" s="62"/>
      <c r="RTZ4" s="62"/>
      <c r="RUA4" s="62"/>
      <c r="RUB4" s="62"/>
      <c r="RUC4" s="62"/>
      <c r="RUD4" s="62"/>
      <c r="RUE4" s="62"/>
      <c r="RUF4" s="62"/>
      <c r="RUG4" s="62"/>
      <c r="RUH4" s="62"/>
      <c r="RUI4" s="62"/>
      <c r="RUJ4" s="62"/>
      <c r="RUK4" s="62"/>
      <c r="RUL4" s="62"/>
      <c r="RUM4" s="62"/>
      <c r="RUN4" s="62"/>
      <c r="RUO4" s="62"/>
      <c r="RUP4" s="62"/>
      <c r="RUQ4" s="62"/>
      <c r="RUR4" s="62"/>
      <c r="RUS4" s="62"/>
      <c r="RUT4" s="62"/>
      <c r="RUU4" s="62"/>
      <c r="RUV4" s="62"/>
      <c r="RUW4" s="62"/>
      <c r="RUX4" s="62"/>
      <c r="RUY4" s="62"/>
      <c r="RUZ4" s="62"/>
      <c r="RVA4" s="62"/>
      <c r="RVB4" s="62"/>
      <c r="RVC4" s="62"/>
      <c r="RVD4" s="62"/>
      <c r="RVE4" s="62"/>
      <c r="RVF4" s="62"/>
      <c r="RVG4" s="62"/>
      <c r="RVH4" s="62"/>
      <c r="RVI4" s="62"/>
      <c r="RVJ4" s="62"/>
      <c r="RVK4" s="62"/>
      <c r="RVL4" s="62"/>
      <c r="RVM4" s="62"/>
      <c r="RVN4" s="62"/>
      <c r="RVO4" s="62"/>
      <c r="RVP4" s="62"/>
      <c r="RVQ4" s="62"/>
      <c r="RVR4" s="62"/>
      <c r="RVS4" s="62"/>
      <c r="RVT4" s="62"/>
      <c r="RVU4" s="62"/>
      <c r="RVV4" s="62"/>
      <c r="RVW4" s="62"/>
      <c r="RVX4" s="62"/>
      <c r="RVY4" s="62"/>
      <c r="RVZ4" s="62"/>
      <c r="RWA4" s="62"/>
      <c r="RWB4" s="62"/>
      <c r="RWC4" s="62"/>
      <c r="RWD4" s="62"/>
      <c r="RWE4" s="62"/>
      <c r="RWF4" s="62"/>
      <c r="RWG4" s="62"/>
      <c r="RWH4" s="62"/>
      <c r="RWI4" s="62"/>
      <c r="RWJ4" s="62"/>
      <c r="RWK4" s="62"/>
      <c r="RWL4" s="62"/>
      <c r="RWM4" s="62"/>
      <c r="RWN4" s="62"/>
      <c r="RWO4" s="62"/>
      <c r="RWP4" s="62"/>
      <c r="RWQ4" s="62"/>
      <c r="RWR4" s="62"/>
      <c r="RWS4" s="62"/>
      <c r="RWT4" s="62"/>
      <c r="RWU4" s="62"/>
      <c r="RWV4" s="62"/>
      <c r="RWW4" s="62"/>
      <c r="RWX4" s="62"/>
      <c r="RWY4" s="62"/>
      <c r="RWZ4" s="62"/>
      <c r="RXA4" s="62"/>
      <c r="RXB4" s="62"/>
      <c r="RXC4" s="62"/>
      <c r="RXD4" s="62"/>
      <c r="RXE4" s="62"/>
      <c r="RXF4" s="62"/>
      <c r="RXG4" s="62"/>
      <c r="RXH4" s="62"/>
      <c r="RXI4" s="62"/>
      <c r="RXJ4" s="62"/>
      <c r="RXK4" s="62"/>
      <c r="RXL4" s="62"/>
      <c r="RXM4" s="62"/>
      <c r="RXN4" s="62"/>
      <c r="RXO4" s="62"/>
      <c r="RXP4" s="62"/>
      <c r="RXQ4" s="62"/>
      <c r="RXR4" s="62"/>
      <c r="RXS4" s="62"/>
      <c r="RXT4" s="62"/>
      <c r="RXU4" s="62"/>
      <c r="RXV4" s="62"/>
      <c r="RXW4" s="62"/>
      <c r="RXX4" s="62"/>
      <c r="RXY4" s="62"/>
      <c r="RXZ4" s="62"/>
      <c r="RYA4" s="62"/>
      <c r="RYB4" s="62"/>
      <c r="RYC4" s="62"/>
      <c r="RYD4" s="62"/>
      <c r="RYE4" s="62"/>
      <c r="RYF4" s="62"/>
      <c r="RYG4" s="62"/>
      <c r="RYH4" s="62"/>
      <c r="RYI4" s="62"/>
      <c r="RYJ4" s="62"/>
      <c r="RYK4" s="62"/>
      <c r="RYL4" s="62"/>
      <c r="RYM4" s="62"/>
      <c r="RYN4" s="62"/>
      <c r="RYO4" s="62"/>
      <c r="RYP4" s="62"/>
      <c r="RYQ4" s="62"/>
      <c r="RYR4" s="62"/>
      <c r="RYS4" s="62"/>
      <c r="RYT4" s="62"/>
      <c r="RYU4" s="62"/>
      <c r="RYV4" s="62"/>
      <c r="RYW4" s="62"/>
      <c r="RYX4" s="62"/>
      <c r="RYY4" s="62"/>
      <c r="RYZ4" s="62"/>
      <c r="RZA4" s="62"/>
      <c r="RZB4" s="62"/>
      <c r="RZC4" s="62"/>
      <c r="RZD4" s="62"/>
      <c r="RZE4" s="62"/>
      <c r="RZF4" s="62"/>
      <c r="RZG4" s="62"/>
      <c r="RZH4" s="62"/>
      <c r="RZI4" s="62"/>
      <c r="RZJ4" s="62"/>
      <c r="RZK4" s="62"/>
      <c r="RZL4" s="62"/>
      <c r="RZM4" s="62"/>
      <c r="RZN4" s="62"/>
      <c r="RZO4" s="62"/>
      <c r="RZP4" s="62"/>
      <c r="RZQ4" s="62"/>
      <c r="RZR4" s="62"/>
      <c r="RZS4" s="62"/>
      <c r="RZT4" s="62"/>
      <c r="RZU4" s="62"/>
      <c r="RZV4" s="62"/>
      <c r="RZW4" s="62"/>
      <c r="RZX4" s="62"/>
      <c r="RZY4" s="62"/>
      <c r="RZZ4" s="62"/>
      <c r="SAA4" s="62"/>
      <c r="SAB4" s="62"/>
      <c r="SAC4" s="62"/>
      <c r="SAD4" s="62"/>
      <c r="SAE4" s="62"/>
      <c r="SAF4" s="62"/>
      <c r="SAG4" s="62"/>
      <c r="SAH4" s="62"/>
      <c r="SAI4" s="62"/>
      <c r="SAJ4" s="62"/>
      <c r="SAK4" s="62"/>
      <c r="SAL4" s="62"/>
      <c r="SAM4" s="62"/>
      <c r="SAN4" s="62"/>
      <c r="SAO4" s="62"/>
      <c r="SAP4" s="62"/>
      <c r="SAQ4" s="62"/>
      <c r="SAR4" s="62"/>
      <c r="SAS4" s="62"/>
      <c r="SAT4" s="62"/>
      <c r="SAU4" s="62"/>
      <c r="SAV4" s="62"/>
      <c r="SAW4" s="62"/>
      <c r="SAX4" s="62"/>
      <c r="SAY4" s="62"/>
      <c r="SAZ4" s="62"/>
      <c r="SBA4" s="62"/>
      <c r="SBB4" s="62"/>
      <c r="SBC4" s="62"/>
      <c r="SBD4" s="62"/>
      <c r="SBE4" s="62"/>
      <c r="SBF4" s="62"/>
      <c r="SBG4" s="62"/>
      <c r="SBH4" s="62"/>
      <c r="SBI4" s="62"/>
      <c r="SBJ4" s="62"/>
      <c r="SBK4" s="62"/>
      <c r="SBL4" s="62"/>
      <c r="SBM4" s="62"/>
      <c r="SBN4" s="62"/>
      <c r="SBO4" s="62"/>
      <c r="SBP4" s="62"/>
      <c r="SBQ4" s="62"/>
      <c r="SBR4" s="62"/>
      <c r="SBS4" s="62"/>
      <c r="SBT4" s="62"/>
      <c r="SBU4" s="62"/>
      <c r="SBV4" s="62"/>
      <c r="SBW4" s="62"/>
      <c r="SBX4" s="62"/>
      <c r="SBY4" s="62"/>
      <c r="SBZ4" s="62"/>
      <c r="SCA4" s="62"/>
      <c r="SCB4" s="62"/>
      <c r="SCC4" s="62"/>
      <c r="SCD4" s="62"/>
      <c r="SCE4" s="62"/>
      <c r="SCF4" s="62"/>
      <c r="SCG4" s="62"/>
      <c r="SCH4" s="62"/>
      <c r="SCI4" s="62"/>
      <c r="SCJ4" s="62"/>
      <c r="SCK4" s="62"/>
      <c r="SCL4" s="62"/>
      <c r="SCM4" s="62"/>
      <c r="SCN4" s="62"/>
      <c r="SCO4" s="62"/>
      <c r="SCP4" s="62"/>
      <c r="SCQ4" s="62"/>
      <c r="SCR4" s="62"/>
      <c r="SCS4" s="62"/>
      <c r="SCT4" s="62"/>
      <c r="SCU4" s="62"/>
      <c r="SCV4" s="62"/>
      <c r="SCW4" s="62"/>
      <c r="SCX4" s="62"/>
      <c r="SCY4" s="62"/>
      <c r="SCZ4" s="62"/>
      <c r="SDA4" s="62"/>
      <c r="SDB4" s="62"/>
      <c r="SDC4" s="62"/>
      <c r="SDD4" s="62"/>
      <c r="SDE4" s="62"/>
      <c r="SDF4" s="62"/>
      <c r="SDG4" s="62"/>
      <c r="SDH4" s="62"/>
      <c r="SDI4" s="62"/>
      <c r="SDJ4" s="62"/>
      <c r="SDK4" s="62"/>
      <c r="SDL4" s="62"/>
      <c r="SDM4" s="62"/>
      <c r="SDN4" s="62"/>
      <c r="SDO4" s="62"/>
      <c r="SDP4" s="62"/>
      <c r="SDQ4" s="62"/>
      <c r="SDR4" s="62"/>
      <c r="SDS4" s="62"/>
      <c r="SDT4" s="62"/>
      <c r="SDU4" s="62"/>
      <c r="SDV4" s="62"/>
      <c r="SDW4" s="62"/>
      <c r="SDX4" s="62"/>
      <c r="SDY4" s="62"/>
      <c r="SDZ4" s="62"/>
      <c r="SEA4" s="62"/>
      <c r="SEB4" s="62"/>
      <c r="SEC4" s="62"/>
      <c r="SED4" s="62"/>
      <c r="SEE4" s="62"/>
      <c r="SEF4" s="62"/>
      <c r="SEG4" s="62"/>
      <c r="SEH4" s="62"/>
      <c r="SEI4" s="62"/>
      <c r="SEJ4" s="62"/>
      <c r="SEK4" s="62"/>
      <c r="SEL4" s="62"/>
      <c r="SEM4" s="62"/>
      <c r="SEN4" s="62"/>
      <c r="SEO4" s="62"/>
      <c r="SEP4" s="62"/>
      <c r="SEQ4" s="62"/>
      <c r="SER4" s="62"/>
      <c r="SES4" s="62"/>
      <c r="SET4" s="62"/>
      <c r="SEU4" s="62"/>
      <c r="SEV4" s="62"/>
      <c r="SEW4" s="62"/>
      <c r="SEX4" s="62"/>
      <c r="SEY4" s="62"/>
      <c r="SEZ4" s="62"/>
      <c r="SFA4" s="62"/>
      <c r="SFB4" s="62"/>
      <c r="SFC4" s="62"/>
      <c r="SFD4" s="62"/>
      <c r="SFE4" s="62"/>
      <c r="SFF4" s="62"/>
      <c r="SFG4" s="62"/>
      <c r="SFH4" s="62"/>
      <c r="SFI4" s="62"/>
      <c r="SFJ4" s="62"/>
      <c r="SFK4" s="62"/>
      <c r="SFL4" s="62"/>
      <c r="SFM4" s="62"/>
      <c r="SFN4" s="62"/>
      <c r="SFO4" s="62"/>
      <c r="SFP4" s="62"/>
      <c r="SFQ4" s="62"/>
      <c r="SFR4" s="62"/>
      <c r="SFS4" s="62"/>
      <c r="SFT4" s="62"/>
      <c r="SFU4" s="62"/>
      <c r="SFV4" s="62"/>
      <c r="SFW4" s="62"/>
      <c r="SFX4" s="62"/>
      <c r="SFY4" s="62"/>
      <c r="SFZ4" s="62"/>
      <c r="SGA4" s="62"/>
      <c r="SGB4" s="62"/>
      <c r="SGC4" s="62"/>
      <c r="SGD4" s="62"/>
      <c r="SGE4" s="62"/>
      <c r="SGF4" s="62"/>
      <c r="SGG4" s="62"/>
      <c r="SGH4" s="62"/>
      <c r="SGI4" s="62"/>
      <c r="SGJ4" s="62"/>
      <c r="SGK4" s="62"/>
      <c r="SGL4" s="62"/>
      <c r="SGM4" s="62"/>
      <c r="SGN4" s="62"/>
      <c r="SGO4" s="62"/>
      <c r="SGP4" s="62"/>
      <c r="SGQ4" s="62"/>
      <c r="SGR4" s="62"/>
      <c r="SGS4" s="62"/>
      <c r="SGT4" s="62"/>
      <c r="SGU4" s="62"/>
      <c r="SGV4" s="62"/>
      <c r="SGW4" s="62"/>
      <c r="SGX4" s="62"/>
      <c r="SGY4" s="62"/>
      <c r="SGZ4" s="62"/>
      <c r="SHA4" s="62"/>
      <c r="SHB4" s="62"/>
      <c r="SHC4" s="62"/>
      <c r="SHD4" s="62"/>
      <c r="SHE4" s="62"/>
      <c r="SHF4" s="62"/>
      <c r="SHG4" s="62"/>
      <c r="SHH4" s="62"/>
      <c r="SHI4" s="62"/>
      <c r="SHJ4" s="62"/>
      <c r="SHK4" s="62"/>
      <c r="SHL4" s="62"/>
      <c r="SHM4" s="62"/>
      <c r="SHN4" s="62"/>
      <c r="SHO4" s="62"/>
      <c r="SHP4" s="62"/>
      <c r="SHQ4" s="62"/>
      <c r="SHR4" s="62"/>
      <c r="SHS4" s="62"/>
      <c r="SHT4" s="62"/>
      <c r="SHU4" s="62"/>
      <c r="SHV4" s="62"/>
      <c r="SHW4" s="62"/>
      <c r="SHX4" s="62"/>
      <c r="SHY4" s="62"/>
      <c r="SHZ4" s="62"/>
      <c r="SIA4" s="62"/>
      <c r="SIB4" s="62"/>
      <c r="SIC4" s="62"/>
      <c r="SID4" s="62"/>
      <c r="SIE4" s="62"/>
      <c r="SIF4" s="62"/>
      <c r="SIG4" s="62"/>
      <c r="SIH4" s="62"/>
      <c r="SII4" s="62"/>
      <c r="SIJ4" s="62"/>
      <c r="SIK4" s="62"/>
      <c r="SIL4" s="62"/>
      <c r="SIM4" s="62"/>
      <c r="SIN4" s="62"/>
      <c r="SIO4" s="62"/>
      <c r="SIP4" s="62"/>
      <c r="SIQ4" s="62"/>
      <c r="SIR4" s="62"/>
      <c r="SIS4" s="62"/>
      <c r="SIT4" s="62"/>
      <c r="SIU4" s="62"/>
      <c r="SIV4" s="62"/>
      <c r="SIW4" s="62"/>
      <c r="SIX4" s="62"/>
      <c r="SIY4" s="62"/>
      <c r="SIZ4" s="62"/>
      <c r="SJA4" s="62"/>
      <c r="SJB4" s="62"/>
      <c r="SJC4" s="62"/>
      <c r="SJD4" s="62"/>
      <c r="SJE4" s="62"/>
      <c r="SJF4" s="62"/>
      <c r="SJG4" s="62"/>
      <c r="SJH4" s="62"/>
      <c r="SJI4" s="62"/>
      <c r="SJJ4" s="62"/>
      <c r="SJK4" s="62"/>
      <c r="SJL4" s="62"/>
      <c r="SJM4" s="62"/>
      <c r="SJN4" s="62"/>
      <c r="SJO4" s="62"/>
      <c r="SJP4" s="62"/>
      <c r="SJQ4" s="62"/>
      <c r="SJR4" s="62"/>
      <c r="SJS4" s="62"/>
      <c r="SJT4" s="62"/>
      <c r="SJU4" s="62"/>
      <c r="SJV4" s="62"/>
      <c r="SJW4" s="62"/>
      <c r="SJX4" s="62"/>
      <c r="SJY4" s="62"/>
      <c r="SJZ4" s="62"/>
      <c r="SKA4" s="62"/>
      <c r="SKB4" s="62"/>
      <c r="SKC4" s="62"/>
      <c r="SKD4" s="62"/>
      <c r="SKE4" s="62"/>
      <c r="SKF4" s="62"/>
      <c r="SKG4" s="62"/>
      <c r="SKH4" s="62"/>
      <c r="SKI4" s="62"/>
      <c r="SKJ4" s="62"/>
      <c r="SKK4" s="62"/>
      <c r="SKL4" s="62"/>
      <c r="SKM4" s="62"/>
      <c r="SKN4" s="62"/>
      <c r="SKO4" s="62"/>
      <c r="SKP4" s="62"/>
      <c r="SKQ4" s="62"/>
      <c r="SKR4" s="62"/>
      <c r="SKS4" s="62"/>
      <c r="SKT4" s="62"/>
      <c r="SKU4" s="62"/>
      <c r="SKV4" s="62"/>
      <c r="SKW4" s="62"/>
      <c r="SKX4" s="62"/>
      <c r="SKY4" s="62"/>
      <c r="SKZ4" s="62"/>
      <c r="SLA4" s="62"/>
      <c r="SLB4" s="62"/>
      <c r="SLC4" s="62"/>
      <c r="SLD4" s="62"/>
      <c r="SLE4" s="62"/>
      <c r="SLF4" s="62"/>
      <c r="SLG4" s="62"/>
      <c r="SLH4" s="62"/>
      <c r="SLI4" s="62"/>
      <c r="SLJ4" s="62"/>
      <c r="SLK4" s="62"/>
      <c r="SLL4" s="62"/>
      <c r="SLM4" s="62"/>
      <c r="SLN4" s="62"/>
      <c r="SLO4" s="62"/>
      <c r="SLP4" s="62"/>
      <c r="SLQ4" s="62"/>
      <c r="SLR4" s="62"/>
      <c r="SLS4" s="62"/>
      <c r="SLT4" s="62"/>
      <c r="SLU4" s="62"/>
      <c r="SLV4" s="62"/>
      <c r="SLW4" s="62"/>
      <c r="SLX4" s="62"/>
      <c r="SLY4" s="62"/>
      <c r="SLZ4" s="62"/>
      <c r="SMA4" s="62"/>
      <c r="SMB4" s="62"/>
      <c r="SMC4" s="62"/>
      <c r="SMD4" s="62"/>
      <c r="SME4" s="62"/>
      <c r="SMF4" s="62"/>
      <c r="SMG4" s="62"/>
      <c r="SMH4" s="62"/>
      <c r="SMI4" s="62"/>
      <c r="SMJ4" s="62"/>
      <c r="SMK4" s="62"/>
      <c r="SML4" s="62"/>
      <c r="SMM4" s="62"/>
      <c r="SMN4" s="62"/>
      <c r="SMO4" s="62"/>
      <c r="SMP4" s="62"/>
      <c r="SMQ4" s="62"/>
      <c r="SMR4" s="62"/>
      <c r="SMS4" s="62"/>
      <c r="SMT4" s="62"/>
      <c r="SMU4" s="62"/>
      <c r="SMV4" s="62"/>
      <c r="SMW4" s="62"/>
      <c r="SMX4" s="62"/>
      <c r="SMY4" s="62"/>
      <c r="SMZ4" s="62"/>
      <c r="SNA4" s="62"/>
      <c r="SNB4" s="62"/>
      <c r="SNC4" s="62"/>
      <c r="SND4" s="62"/>
      <c r="SNE4" s="62"/>
      <c r="SNF4" s="62"/>
      <c r="SNG4" s="62"/>
      <c r="SNH4" s="62"/>
      <c r="SNI4" s="62"/>
      <c r="SNJ4" s="62"/>
      <c r="SNK4" s="62"/>
      <c r="SNL4" s="62"/>
      <c r="SNM4" s="62"/>
      <c r="SNN4" s="62"/>
      <c r="SNO4" s="62"/>
      <c r="SNP4" s="62"/>
      <c r="SNQ4" s="62"/>
      <c r="SNR4" s="62"/>
      <c r="SNS4" s="62"/>
      <c r="SNT4" s="62"/>
      <c r="SNU4" s="62"/>
      <c r="SNV4" s="62"/>
      <c r="SNW4" s="62"/>
      <c r="SNX4" s="62"/>
      <c r="SNY4" s="62"/>
      <c r="SNZ4" s="62"/>
      <c r="SOA4" s="62"/>
      <c r="SOB4" s="62"/>
      <c r="SOC4" s="62"/>
      <c r="SOD4" s="62"/>
      <c r="SOE4" s="62"/>
      <c r="SOF4" s="62"/>
      <c r="SOG4" s="62"/>
      <c r="SOH4" s="62"/>
      <c r="SOI4" s="62"/>
      <c r="SOJ4" s="62"/>
      <c r="SOK4" s="62"/>
      <c r="SOL4" s="62"/>
      <c r="SOM4" s="62"/>
      <c r="SON4" s="62"/>
      <c r="SOO4" s="62"/>
      <c r="SOP4" s="62"/>
      <c r="SOQ4" s="62"/>
      <c r="SOR4" s="62"/>
      <c r="SOS4" s="62"/>
      <c r="SOT4" s="62"/>
      <c r="SOU4" s="62"/>
      <c r="SOV4" s="62"/>
      <c r="SOW4" s="62"/>
      <c r="SOX4" s="62"/>
      <c r="SOY4" s="62"/>
      <c r="SOZ4" s="62"/>
      <c r="SPA4" s="62"/>
      <c r="SPB4" s="62"/>
      <c r="SPC4" s="62"/>
      <c r="SPD4" s="62"/>
      <c r="SPE4" s="62"/>
      <c r="SPF4" s="62"/>
      <c r="SPG4" s="62"/>
      <c r="SPH4" s="62"/>
      <c r="SPI4" s="62"/>
      <c r="SPJ4" s="62"/>
      <c r="SPK4" s="62"/>
      <c r="SPL4" s="62"/>
      <c r="SPM4" s="62"/>
      <c r="SPN4" s="62"/>
      <c r="SPO4" s="62"/>
      <c r="SPP4" s="62"/>
      <c r="SPQ4" s="62"/>
      <c r="SPR4" s="62"/>
      <c r="SPS4" s="62"/>
      <c r="SPT4" s="62"/>
      <c r="SPU4" s="62"/>
      <c r="SPV4" s="62"/>
      <c r="SPW4" s="62"/>
      <c r="SPX4" s="62"/>
      <c r="SPY4" s="62"/>
      <c r="SPZ4" s="62"/>
      <c r="SQA4" s="62"/>
      <c r="SQB4" s="62"/>
      <c r="SQC4" s="62"/>
      <c r="SQD4" s="62"/>
      <c r="SQE4" s="62"/>
      <c r="SQF4" s="62"/>
      <c r="SQG4" s="62"/>
      <c r="SQH4" s="62"/>
      <c r="SQI4" s="62"/>
      <c r="SQJ4" s="62"/>
      <c r="SQK4" s="62"/>
      <c r="SQL4" s="62"/>
      <c r="SQM4" s="62"/>
      <c r="SQN4" s="62"/>
      <c r="SQO4" s="62"/>
      <c r="SQP4" s="62"/>
      <c r="SQQ4" s="62"/>
      <c r="SQR4" s="62"/>
      <c r="SQS4" s="62"/>
      <c r="SQT4" s="62"/>
      <c r="SQU4" s="62"/>
      <c r="SQV4" s="62"/>
      <c r="SQW4" s="62"/>
      <c r="SQX4" s="62"/>
      <c r="SQY4" s="62"/>
      <c r="SQZ4" s="62"/>
      <c r="SRA4" s="62"/>
      <c r="SRB4" s="62"/>
      <c r="SRC4" s="62"/>
      <c r="SRD4" s="62"/>
      <c r="SRE4" s="62"/>
      <c r="SRF4" s="62"/>
      <c r="SRG4" s="62"/>
      <c r="SRH4" s="62"/>
      <c r="SRI4" s="62"/>
      <c r="SRJ4" s="62"/>
      <c r="SRK4" s="62"/>
      <c r="SRL4" s="62"/>
      <c r="SRM4" s="62"/>
      <c r="SRN4" s="62"/>
      <c r="SRO4" s="62"/>
      <c r="SRP4" s="62"/>
      <c r="SRQ4" s="62"/>
      <c r="SRR4" s="62"/>
      <c r="SRS4" s="62"/>
      <c r="SRT4" s="62"/>
      <c r="SRU4" s="62"/>
      <c r="SRV4" s="62"/>
      <c r="SRW4" s="62"/>
      <c r="SRX4" s="62"/>
      <c r="SRY4" s="62"/>
      <c r="SRZ4" s="62"/>
      <c r="SSA4" s="62"/>
      <c r="SSB4" s="62"/>
      <c r="SSC4" s="62"/>
      <c r="SSD4" s="62"/>
      <c r="SSE4" s="62"/>
      <c r="SSF4" s="62"/>
      <c r="SSG4" s="62"/>
      <c r="SSH4" s="62"/>
      <c r="SSI4" s="62"/>
      <c r="SSJ4" s="62"/>
      <c r="SSK4" s="62"/>
      <c r="SSL4" s="62"/>
      <c r="SSM4" s="62"/>
      <c r="SSN4" s="62"/>
      <c r="SSO4" s="62"/>
      <c r="SSP4" s="62"/>
      <c r="SSQ4" s="62"/>
      <c r="SSR4" s="62"/>
      <c r="SSS4" s="62"/>
      <c r="SST4" s="62"/>
      <c r="SSU4" s="62"/>
      <c r="SSV4" s="62"/>
      <c r="SSW4" s="62"/>
      <c r="SSX4" s="62"/>
      <c r="SSY4" s="62"/>
      <c r="SSZ4" s="62"/>
      <c r="STA4" s="62"/>
      <c r="STB4" s="62"/>
      <c r="STC4" s="62"/>
      <c r="STD4" s="62"/>
      <c r="STE4" s="62"/>
      <c r="STF4" s="62"/>
      <c r="STG4" s="62"/>
      <c r="STH4" s="62"/>
      <c r="STI4" s="62"/>
      <c r="STJ4" s="62"/>
      <c r="STK4" s="62"/>
      <c r="STL4" s="62"/>
      <c r="STM4" s="62"/>
      <c r="STN4" s="62"/>
      <c r="STO4" s="62"/>
      <c r="STP4" s="62"/>
      <c r="STQ4" s="62"/>
      <c r="STR4" s="62"/>
      <c r="STS4" s="62"/>
      <c r="STT4" s="62"/>
      <c r="STU4" s="62"/>
      <c r="STV4" s="62"/>
      <c r="STW4" s="62"/>
      <c r="STX4" s="62"/>
      <c r="STY4" s="62"/>
      <c r="STZ4" s="62"/>
      <c r="SUA4" s="62"/>
      <c r="SUB4" s="62"/>
      <c r="SUC4" s="62"/>
      <c r="SUD4" s="62"/>
      <c r="SUE4" s="62"/>
      <c r="SUF4" s="62"/>
      <c r="SUG4" s="62"/>
      <c r="SUH4" s="62"/>
      <c r="SUI4" s="62"/>
      <c r="SUJ4" s="62"/>
      <c r="SUK4" s="62"/>
      <c r="SUL4" s="62"/>
      <c r="SUM4" s="62"/>
      <c r="SUN4" s="62"/>
      <c r="SUO4" s="62"/>
      <c r="SUP4" s="62"/>
      <c r="SUQ4" s="62"/>
      <c r="SUR4" s="62"/>
      <c r="SUS4" s="62"/>
      <c r="SUT4" s="62"/>
      <c r="SUU4" s="62"/>
      <c r="SUV4" s="62"/>
      <c r="SUW4" s="62"/>
      <c r="SUX4" s="62"/>
      <c r="SUY4" s="62"/>
      <c r="SUZ4" s="62"/>
      <c r="SVA4" s="62"/>
      <c r="SVB4" s="62"/>
      <c r="SVC4" s="62"/>
      <c r="SVD4" s="62"/>
      <c r="SVE4" s="62"/>
      <c r="SVF4" s="62"/>
      <c r="SVG4" s="62"/>
      <c r="SVH4" s="62"/>
      <c r="SVI4" s="62"/>
      <c r="SVJ4" s="62"/>
      <c r="SVK4" s="62"/>
      <c r="SVL4" s="62"/>
      <c r="SVM4" s="62"/>
      <c r="SVN4" s="62"/>
      <c r="SVO4" s="62"/>
      <c r="SVP4" s="62"/>
      <c r="SVQ4" s="62"/>
      <c r="SVR4" s="62"/>
      <c r="SVS4" s="62"/>
      <c r="SVT4" s="62"/>
      <c r="SVU4" s="62"/>
      <c r="SVV4" s="62"/>
      <c r="SVW4" s="62"/>
      <c r="SVX4" s="62"/>
      <c r="SVY4" s="62"/>
      <c r="SVZ4" s="62"/>
      <c r="SWA4" s="62"/>
      <c r="SWB4" s="62"/>
      <c r="SWC4" s="62"/>
      <c r="SWD4" s="62"/>
      <c r="SWE4" s="62"/>
      <c r="SWF4" s="62"/>
      <c r="SWG4" s="62"/>
      <c r="SWH4" s="62"/>
      <c r="SWI4" s="62"/>
      <c r="SWJ4" s="62"/>
      <c r="SWK4" s="62"/>
      <c r="SWL4" s="62"/>
      <c r="SWM4" s="62"/>
      <c r="SWN4" s="62"/>
      <c r="SWO4" s="62"/>
      <c r="SWP4" s="62"/>
      <c r="SWQ4" s="62"/>
      <c r="SWR4" s="62"/>
      <c r="SWS4" s="62"/>
      <c r="SWT4" s="62"/>
      <c r="SWU4" s="62"/>
      <c r="SWV4" s="62"/>
      <c r="SWW4" s="62"/>
      <c r="SWX4" s="62"/>
      <c r="SWY4" s="62"/>
      <c r="SWZ4" s="62"/>
      <c r="SXA4" s="62"/>
      <c r="SXB4" s="62"/>
      <c r="SXC4" s="62"/>
      <c r="SXD4" s="62"/>
      <c r="SXE4" s="62"/>
      <c r="SXF4" s="62"/>
      <c r="SXG4" s="62"/>
      <c r="SXH4" s="62"/>
      <c r="SXI4" s="62"/>
      <c r="SXJ4" s="62"/>
      <c r="SXK4" s="62"/>
      <c r="SXL4" s="62"/>
      <c r="SXM4" s="62"/>
      <c r="SXN4" s="62"/>
      <c r="SXO4" s="62"/>
      <c r="SXP4" s="62"/>
      <c r="SXQ4" s="62"/>
      <c r="SXR4" s="62"/>
      <c r="SXS4" s="62"/>
      <c r="SXT4" s="62"/>
      <c r="SXU4" s="62"/>
      <c r="SXV4" s="62"/>
      <c r="SXW4" s="62"/>
      <c r="SXX4" s="62"/>
      <c r="SXY4" s="62"/>
      <c r="SXZ4" s="62"/>
      <c r="SYA4" s="62"/>
      <c r="SYB4" s="62"/>
      <c r="SYC4" s="62"/>
      <c r="SYD4" s="62"/>
      <c r="SYE4" s="62"/>
      <c r="SYF4" s="62"/>
      <c r="SYG4" s="62"/>
      <c r="SYH4" s="62"/>
      <c r="SYI4" s="62"/>
      <c r="SYJ4" s="62"/>
      <c r="SYK4" s="62"/>
      <c r="SYL4" s="62"/>
      <c r="SYM4" s="62"/>
      <c r="SYN4" s="62"/>
      <c r="SYO4" s="62"/>
      <c r="SYP4" s="62"/>
      <c r="SYQ4" s="62"/>
      <c r="SYR4" s="62"/>
      <c r="SYS4" s="62"/>
      <c r="SYT4" s="62"/>
      <c r="SYU4" s="62"/>
      <c r="SYV4" s="62"/>
      <c r="SYW4" s="62"/>
      <c r="SYX4" s="62"/>
      <c r="SYY4" s="62"/>
      <c r="SYZ4" s="62"/>
      <c r="SZA4" s="62"/>
      <c r="SZB4" s="62"/>
      <c r="SZC4" s="62"/>
      <c r="SZD4" s="62"/>
      <c r="SZE4" s="62"/>
      <c r="SZF4" s="62"/>
      <c r="SZG4" s="62"/>
      <c r="SZH4" s="62"/>
      <c r="SZI4" s="62"/>
      <c r="SZJ4" s="62"/>
      <c r="SZK4" s="62"/>
      <c r="SZL4" s="62"/>
      <c r="SZM4" s="62"/>
      <c r="SZN4" s="62"/>
      <c r="SZO4" s="62"/>
      <c r="SZP4" s="62"/>
      <c r="SZQ4" s="62"/>
      <c r="SZR4" s="62"/>
      <c r="SZS4" s="62"/>
      <c r="SZT4" s="62"/>
      <c r="SZU4" s="62"/>
      <c r="SZV4" s="62"/>
      <c r="SZW4" s="62"/>
      <c r="SZX4" s="62"/>
      <c r="SZY4" s="62"/>
      <c r="SZZ4" s="62"/>
      <c r="TAA4" s="62"/>
      <c r="TAB4" s="62"/>
      <c r="TAC4" s="62"/>
      <c r="TAD4" s="62"/>
      <c r="TAE4" s="62"/>
      <c r="TAF4" s="62"/>
      <c r="TAG4" s="62"/>
      <c r="TAH4" s="62"/>
      <c r="TAI4" s="62"/>
      <c r="TAJ4" s="62"/>
      <c r="TAK4" s="62"/>
      <c r="TAL4" s="62"/>
      <c r="TAM4" s="62"/>
      <c r="TAN4" s="62"/>
      <c r="TAO4" s="62"/>
      <c r="TAP4" s="62"/>
      <c r="TAQ4" s="62"/>
      <c r="TAR4" s="62"/>
      <c r="TAS4" s="62"/>
      <c r="TAT4" s="62"/>
      <c r="TAU4" s="62"/>
      <c r="TAV4" s="62"/>
      <c r="TAW4" s="62"/>
      <c r="TAX4" s="62"/>
      <c r="TAY4" s="62"/>
      <c r="TAZ4" s="62"/>
      <c r="TBA4" s="62"/>
      <c r="TBB4" s="62"/>
      <c r="TBC4" s="62"/>
      <c r="TBD4" s="62"/>
      <c r="TBE4" s="62"/>
      <c r="TBF4" s="62"/>
      <c r="TBG4" s="62"/>
      <c r="TBH4" s="62"/>
      <c r="TBI4" s="62"/>
      <c r="TBJ4" s="62"/>
      <c r="TBK4" s="62"/>
      <c r="TBL4" s="62"/>
      <c r="TBM4" s="62"/>
      <c r="TBN4" s="62"/>
      <c r="TBO4" s="62"/>
      <c r="TBP4" s="62"/>
      <c r="TBQ4" s="62"/>
      <c r="TBR4" s="62"/>
      <c r="TBS4" s="62"/>
      <c r="TBT4" s="62"/>
      <c r="TBU4" s="62"/>
      <c r="TBV4" s="62"/>
      <c r="TBW4" s="62"/>
      <c r="TBX4" s="62"/>
      <c r="TBY4" s="62"/>
      <c r="TBZ4" s="62"/>
      <c r="TCA4" s="62"/>
      <c r="TCB4" s="62"/>
      <c r="TCC4" s="62"/>
      <c r="TCD4" s="62"/>
      <c r="TCE4" s="62"/>
      <c r="TCF4" s="62"/>
      <c r="TCG4" s="62"/>
      <c r="TCH4" s="62"/>
      <c r="TCI4" s="62"/>
      <c r="TCJ4" s="62"/>
      <c r="TCK4" s="62"/>
      <c r="TCL4" s="62"/>
      <c r="TCM4" s="62"/>
      <c r="TCN4" s="62"/>
      <c r="TCO4" s="62"/>
      <c r="TCP4" s="62"/>
      <c r="TCQ4" s="62"/>
      <c r="TCR4" s="62"/>
      <c r="TCS4" s="62"/>
      <c r="TCT4" s="62"/>
      <c r="TCU4" s="62"/>
      <c r="TCV4" s="62"/>
      <c r="TCW4" s="62"/>
      <c r="TCX4" s="62"/>
      <c r="TCY4" s="62"/>
      <c r="TCZ4" s="62"/>
      <c r="TDA4" s="62"/>
      <c r="TDB4" s="62"/>
      <c r="TDC4" s="62"/>
      <c r="TDD4" s="62"/>
      <c r="TDE4" s="62"/>
      <c r="TDF4" s="62"/>
      <c r="TDG4" s="62"/>
      <c r="TDH4" s="62"/>
      <c r="TDI4" s="62"/>
      <c r="TDJ4" s="62"/>
      <c r="TDK4" s="62"/>
      <c r="TDL4" s="62"/>
      <c r="TDM4" s="62"/>
      <c r="TDN4" s="62"/>
      <c r="TDO4" s="62"/>
      <c r="TDP4" s="62"/>
      <c r="TDQ4" s="62"/>
      <c r="TDR4" s="62"/>
      <c r="TDS4" s="62"/>
      <c r="TDT4" s="62"/>
      <c r="TDU4" s="62"/>
      <c r="TDV4" s="62"/>
      <c r="TDW4" s="62"/>
      <c r="TDX4" s="62"/>
      <c r="TDY4" s="62"/>
      <c r="TDZ4" s="62"/>
      <c r="TEA4" s="62"/>
      <c r="TEB4" s="62"/>
      <c r="TEC4" s="62"/>
      <c r="TED4" s="62"/>
      <c r="TEE4" s="62"/>
      <c r="TEF4" s="62"/>
      <c r="TEG4" s="62"/>
      <c r="TEH4" s="62"/>
      <c r="TEI4" s="62"/>
      <c r="TEJ4" s="62"/>
      <c r="TEK4" s="62"/>
      <c r="TEL4" s="62"/>
      <c r="TEM4" s="62"/>
      <c r="TEN4" s="62"/>
      <c r="TEO4" s="62"/>
      <c r="TEP4" s="62"/>
      <c r="TEQ4" s="62"/>
      <c r="TER4" s="62"/>
      <c r="TES4" s="62"/>
      <c r="TET4" s="62"/>
      <c r="TEU4" s="62"/>
      <c r="TEV4" s="62"/>
      <c r="TEW4" s="62"/>
      <c r="TEX4" s="62"/>
      <c r="TEY4" s="62"/>
      <c r="TEZ4" s="62"/>
      <c r="TFA4" s="62"/>
      <c r="TFB4" s="62"/>
      <c r="TFC4" s="62"/>
      <c r="TFD4" s="62"/>
      <c r="TFE4" s="62"/>
      <c r="TFF4" s="62"/>
      <c r="TFG4" s="62"/>
      <c r="TFH4" s="62"/>
      <c r="TFI4" s="62"/>
      <c r="TFJ4" s="62"/>
      <c r="TFK4" s="62"/>
      <c r="TFL4" s="62"/>
      <c r="TFM4" s="62"/>
      <c r="TFN4" s="62"/>
      <c r="TFO4" s="62"/>
      <c r="TFP4" s="62"/>
      <c r="TFQ4" s="62"/>
      <c r="TFR4" s="62"/>
      <c r="TFS4" s="62"/>
      <c r="TFT4" s="62"/>
      <c r="TFU4" s="62"/>
      <c r="TFV4" s="62"/>
      <c r="TFW4" s="62"/>
      <c r="TFX4" s="62"/>
      <c r="TFY4" s="62"/>
      <c r="TFZ4" s="62"/>
      <c r="TGA4" s="62"/>
      <c r="TGB4" s="62"/>
      <c r="TGC4" s="62"/>
      <c r="TGD4" s="62"/>
      <c r="TGE4" s="62"/>
      <c r="TGF4" s="62"/>
      <c r="TGG4" s="62"/>
      <c r="TGH4" s="62"/>
      <c r="TGI4" s="62"/>
      <c r="TGJ4" s="62"/>
      <c r="TGK4" s="62"/>
      <c r="TGL4" s="62"/>
      <c r="TGM4" s="62"/>
      <c r="TGN4" s="62"/>
      <c r="TGO4" s="62"/>
      <c r="TGP4" s="62"/>
      <c r="TGQ4" s="62"/>
      <c r="TGR4" s="62"/>
      <c r="TGS4" s="62"/>
      <c r="TGT4" s="62"/>
      <c r="TGU4" s="62"/>
      <c r="TGV4" s="62"/>
      <c r="TGW4" s="62"/>
      <c r="TGX4" s="62"/>
      <c r="TGY4" s="62"/>
      <c r="TGZ4" s="62"/>
      <c r="THA4" s="62"/>
      <c r="THB4" s="62"/>
      <c r="THC4" s="62"/>
      <c r="THD4" s="62"/>
      <c r="THE4" s="62"/>
      <c r="THF4" s="62"/>
      <c r="THG4" s="62"/>
      <c r="THH4" s="62"/>
      <c r="THI4" s="62"/>
      <c r="THJ4" s="62"/>
      <c r="THK4" s="62"/>
      <c r="THL4" s="62"/>
      <c r="THM4" s="62"/>
      <c r="THN4" s="62"/>
      <c r="THO4" s="62"/>
      <c r="THP4" s="62"/>
      <c r="THQ4" s="62"/>
      <c r="THR4" s="62"/>
      <c r="THS4" s="62"/>
      <c r="THT4" s="62"/>
      <c r="THU4" s="62"/>
      <c r="THV4" s="62"/>
      <c r="THW4" s="62"/>
      <c r="THX4" s="62"/>
      <c r="THY4" s="62"/>
      <c r="THZ4" s="62"/>
      <c r="TIA4" s="62"/>
      <c r="TIB4" s="62"/>
      <c r="TIC4" s="62"/>
      <c r="TID4" s="62"/>
      <c r="TIE4" s="62"/>
      <c r="TIF4" s="62"/>
      <c r="TIG4" s="62"/>
      <c r="TIH4" s="62"/>
      <c r="TII4" s="62"/>
      <c r="TIJ4" s="62"/>
      <c r="TIK4" s="62"/>
      <c r="TIL4" s="62"/>
      <c r="TIM4" s="62"/>
      <c r="TIN4" s="62"/>
      <c r="TIO4" s="62"/>
      <c r="TIP4" s="62"/>
      <c r="TIQ4" s="62"/>
      <c r="TIR4" s="62"/>
      <c r="TIS4" s="62"/>
      <c r="TIT4" s="62"/>
      <c r="TIU4" s="62"/>
      <c r="TIV4" s="62"/>
      <c r="TIW4" s="62"/>
      <c r="TIX4" s="62"/>
      <c r="TIY4" s="62"/>
      <c r="TIZ4" s="62"/>
      <c r="TJA4" s="62"/>
      <c r="TJB4" s="62"/>
      <c r="TJC4" s="62"/>
      <c r="TJD4" s="62"/>
      <c r="TJE4" s="62"/>
      <c r="TJF4" s="62"/>
      <c r="TJG4" s="62"/>
      <c r="TJH4" s="62"/>
      <c r="TJI4" s="62"/>
      <c r="TJJ4" s="62"/>
      <c r="TJK4" s="62"/>
      <c r="TJL4" s="62"/>
      <c r="TJM4" s="62"/>
      <c r="TJN4" s="62"/>
      <c r="TJO4" s="62"/>
      <c r="TJP4" s="62"/>
      <c r="TJQ4" s="62"/>
      <c r="TJR4" s="62"/>
      <c r="TJS4" s="62"/>
      <c r="TJT4" s="62"/>
      <c r="TJU4" s="62"/>
      <c r="TJV4" s="62"/>
      <c r="TJW4" s="62"/>
      <c r="TJX4" s="62"/>
      <c r="TJY4" s="62"/>
      <c r="TJZ4" s="62"/>
      <c r="TKA4" s="62"/>
      <c r="TKB4" s="62"/>
      <c r="TKC4" s="62"/>
      <c r="TKD4" s="62"/>
      <c r="TKE4" s="62"/>
      <c r="TKF4" s="62"/>
      <c r="TKG4" s="62"/>
      <c r="TKH4" s="62"/>
      <c r="TKI4" s="62"/>
      <c r="TKJ4" s="62"/>
      <c r="TKK4" s="62"/>
      <c r="TKL4" s="62"/>
      <c r="TKM4" s="62"/>
      <c r="TKN4" s="62"/>
      <c r="TKO4" s="62"/>
      <c r="TKP4" s="62"/>
      <c r="TKQ4" s="62"/>
      <c r="TKR4" s="62"/>
      <c r="TKS4" s="62"/>
      <c r="TKT4" s="62"/>
      <c r="TKU4" s="62"/>
      <c r="TKV4" s="62"/>
      <c r="TKW4" s="62"/>
      <c r="TKX4" s="62"/>
      <c r="TKY4" s="62"/>
      <c r="TKZ4" s="62"/>
      <c r="TLA4" s="62"/>
      <c r="TLB4" s="62"/>
      <c r="TLC4" s="62"/>
      <c r="TLD4" s="62"/>
      <c r="TLE4" s="62"/>
      <c r="TLF4" s="62"/>
      <c r="TLG4" s="62"/>
      <c r="TLH4" s="62"/>
      <c r="TLI4" s="62"/>
      <c r="TLJ4" s="62"/>
      <c r="TLK4" s="62"/>
      <c r="TLL4" s="62"/>
      <c r="TLM4" s="62"/>
      <c r="TLN4" s="62"/>
      <c r="TLO4" s="62"/>
      <c r="TLP4" s="62"/>
      <c r="TLQ4" s="62"/>
      <c r="TLR4" s="62"/>
      <c r="TLS4" s="62"/>
      <c r="TLT4" s="62"/>
      <c r="TLU4" s="62"/>
      <c r="TLV4" s="62"/>
      <c r="TLW4" s="62"/>
      <c r="TLX4" s="62"/>
      <c r="TLY4" s="62"/>
      <c r="TLZ4" s="62"/>
      <c r="TMA4" s="62"/>
      <c r="TMB4" s="62"/>
      <c r="TMC4" s="62"/>
      <c r="TMD4" s="62"/>
      <c r="TME4" s="62"/>
      <c r="TMF4" s="62"/>
      <c r="TMG4" s="62"/>
      <c r="TMH4" s="62"/>
      <c r="TMI4" s="62"/>
      <c r="TMJ4" s="62"/>
      <c r="TMK4" s="62"/>
      <c r="TML4" s="62"/>
      <c r="TMM4" s="62"/>
      <c r="TMN4" s="62"/>
      <c r="TMO4" s="62"/>
      <c r="TMP4" s="62"/>
      <c r="TMQ4" s="62"/>
      <c r="TMR4" s="62"/>
      <c r="TMS4" s="62"/>
      <c r="TMT4" s="62"/>
      <c r="TMU4" s="62"/>
      <c r="TMV4" s="62"/>
      <c r="TMW4" s="62"/>
      <c r="TMX4" s="62"/>
      <c r="TMY4" s="62"/>
      <c r="TMZ4" s="62"/>
      <c r="TNA4" s="62"/>
      <c r="TNB4" s="62"/>
      <c r="TNC4" s="62"/>
      <c r="TND4" s="62"/>
      <c r="TNE4" s="62"/>
      <c r="TNF4" s="62"/>
      <c r="TNG4" s="62"/>
      <c r="TNH4" s="62"/>
      <c r="TNI4" s="62"/>
      <c r="TNJ4" s="62"/>
      <c r="TNK4" s="62"/>
      <c r="TNL4" s="62"/>
      <c r="TNM4" s="62"/>
      <c r="TNN4" s="62"/>
      <c r="TNO4" s="62"/>
      <c r="TNP4" s="62"/>
      <c r="TNQ4" s="62"/>
      <c r="TNR4" s="62"/>
      <c r="TNS4" s="62"/>
      <c r="TNT4" s="62"/>
      <c r="TNU4" s="62"/>
      <c r="TNV4" s="62"/>
      <c r="TNW4" s="62"/>
      <c r="TNX4" s="62"/>
      <c r="TNY4" s="62"/>
      <c r="TNZ4" s="62"/>
      <c r="TOA4" s="62"/>
      <c r="TOB4" s="62"/>
      <c r="TOC4" s="62"/>
      <c r="TOD4" s="62"/>
      <c r="TOE4" s="62"/>
      <c r="TOF4" s="62"/>
      <c r="TOG4" s="62"/>
      <c r="TOH4" s="62"/>
      <c r="TOI4" s="62"/>
      <c r="TOJ4" s="62"/>
      <c r="TOK4" s="62"/>
      <c r="TOL4" s="62"/>
      <c r="TOM4" s="62"/>
      <c r="TON4" s="62"/>
      <c r="TOO4" s="62"/>
      <c r="TOP4" s="62"/>
      <c r="TOQ4" s="62"/>
      <c r="TOR4" s="62"/>
      <c r="TOS4" s="62"/>
      <c r="TOT4" s="62"/>
      <c r="TOU4" s="62"/>
      <c r="TOV4" s="62"/>
      <c r="TOW4" s="62"/>
      <c r="TOX4" s="62"/>
      <c r="TOY4" s="62"/>
      <c r="TOZ4" s="62"/>
      <c r="TPA4" s="62"/>
      <c r="TPB4" s="62"/>
      <c r="TPC4" s="62"/>
      <c r="TPD4" s="62"/>
      <c r="TPE4" s="62"/>
      <c r="TPF4" s="62"/>
      <c r="TPG4" s="62"/>
      <c r="TPH4" s="62"/>
      <c r="TPI4" s="62"/>
      <c r="TPJ4" s="62"/>
      <c r="TPK4" s="62"/>
      <c r="TPL4" s="62"/>
      <c r="TPM4" s="62"/>
      <c r="TPN4" s="62"/>
      <c r="TPO4" s="62"/>
      <c r="TPP4" s="62"/>
      <c r="TPQ4" s="62"/>
      <c r="TPR4" s="62"/>
      <c r="TPS4" s="62"/>
      <c r="TPT4" s="62"/>
      <c r="TPU4" s="62"/>
      <c r="TPV4" s="62"/>
      <c r="TPW4" s="62"/>
      <c r="TPX4" s="62"/>
      <c r="TPY4" s="62"/>
      <c r="TPZ4" s="62"/>
      <c r="TQA4" s="62"/>
      <c r="TQB4" s="62"/>
      <c r="TQC4" s="62"/>
      <c r="TQD4" s="62"/>
      <c r="TQE4" s="62"/>
      <c r="TQF4" s="62"/>
      <c r="TQG4" s="62"/>
      <c r="TQH4" s="62"/>
      <c r="TQI4" s="62"/>
      <c r="TQJ4" s="62"/>
      <c r="TQK4" s="62"/>
      <c r="TQL4" s="62"/>
      <c r="TQM4" s="62"/>
      <c r="TQN4" s="62"/>
      <c r="TQO4" s="62"/>
      <c r="TQP4" s="62"/>
      <c r="TQQ4" s="62"/>
      <c r="TQR4" s="62"/>
      <c r="TQS4" s="62"/>
      <c r="TQT4" s="62"/>
      <c r="TQU4" s="62"/>
      <c r="TQV4" s="62"/>
      <c r="TQW4" s="62"/>
      <c r="TQX4" s="62"/>
      <c r="TQY4" s="62"/>
      <c r="TQZ4" s="62"/>
      <c r="TRA4" s="62"/>
      <c r="TRB4" s="62"/>
      <c r="TRC4" s="62"/>
      <c r="TRD4" s="62"/>
      <c r="TRE4" s="62"/>
      <c r="TRF4" s="62"/>
      <c r="TRG4" s="62"/>
      <c r="TRH4" s="62"/>
      <c r="TRI4" s="62"/>
      <c r="TRJ4" s="62"/>
      <c r="TRK4" s="62"/>
      <c r="TRL4" s="62"/>
      <c r="TRM4" s="62"/>
      <c r="TRN4" s="62"/>
      <c r="TRO4" s="62"/>
      <c r="TRP4" s="62"/>
      <c r="TRQ4" s="62"/>
      <c r="TRR4" s="62"/>
      <c r="TRS4" s="62"/>
      <c r="TRT4" s="62"/>
      <c r="TRU4" s="62"/>
      <c r="TRV4" s="62"/>
      <c r="TRW4" s="62"/>
      <c r="TRX4" s="62"/>
      <c r="TRY4" s="62"/>
      <c r="TRZ4" s="62"/>
      <c r="TSA4" s="62"/>
      <c r="TSB4" s="62"/>
      <c r="TSC4" s="62"/>
      <c r="TSD4" s="62"/>
      <c r="TSE4" s="62"/>
      <c r="TSF4" s="62"/>
      <c r="TSG4" s="62"/>
      <c r="TSH4" s="62"/>
      <c r="TSI4" s="62"/>
      <c r="TSJ4" s="62"/>
      <c r="TSK4" s="62"/>
      <c r="TSL4" s="62"/>
      <c r="TSM4" s="62"/>
      <c r="TSN4" s="62"/>
      <c r="TSO4" s="62"/>
      <c r="TSP4" s="62"/>
      <c r="TSQ4" s="62"/>
      <c r="TSR4" s="62"/>
      <c r="TSS4" s="62"/>
      <c r="TST4" s="62"/>
      <c r="TSU4" s="62"/>
      <c r="TSV4" s="62"/>
      <c r="TSW4" s="62"/>
      <c r="TSX4" s="62"/>
      <c r="TSY4" s="62"/>
      <c r="TSZ4" s="62"/>
      <c r="TTA4" s="62"/>
      <c r="TTB4" s="62"/>
      <c r="TTC4" s="62"/>
      <c r="TTD4" s="62"/>
      <c r="TTE4" s="62"/>
      <c r="TTF4" s="62"/>
      <c r="TTG4" s="62"/>
      <c r="TTH4" s="62"/>
      <c r="TTI4" s="62"/>
      <c r="TTJ4" s="62"/>
      <c r="TTK4" s="62"/>
      <c r="TTL4" s="62"/>
      <c r="TTM4" s="62"/>
      <c r="TTN4" s="62"/>
      <c r="TTO4" s="62"/>
      <c r="TTP4" s="62"/>
      <c r="TTQ4" s="62"/>
      <c r="TTR4" s="62"/>
      <c r="TTS4" s="62"/>
      <c r="TTT4" s="62"/>
      <c r="TTU4" s="62"/>
      <c r="TTV4" s="62"/>
      <c r="TTW4" s="62"/>
      <c r="TTX4" s="62"/>
      <c r="TTY4" s="62"/>
      <c r="TTZ4" s="62"/>
      <c r="TUA4" s="62"/>
      <c r="TUB4" s="62"/>
      <c r="TUC4" s="62"/>
      <c r="TUD4" s="62"/>
      <c r="TUE4" s="62"/>
      <c r="TUF4" s="62"/>
      <c r="TUG4" s="62"/>
      <c r="TUH4" s="62"/>
      <c r="TUI4" s="62"/>
      <c r="TUJ4" s="62"/>
      <c r="TUK4" s="62"/>
      <c r="TUL4" s="62"/>
      <c r="TUM4" s="62"/>
      <c r="TUN4" s="62"/>
      <c r="TUO4" s="62"/>
      <c r="TUP4" s="62"/>
      <c r="TUQ4" s="62"/>
      <c r="TUR4" s="62"/>
      <c r="TUS4" s="62"/>
      <c r="TUT4" s="62"/>
      <c r="TUU4" s="62"/>
      <c r="TUV4" s="62"/>
      <c r="TUW4" s="62"/>
      <c r="TUX4" s="62"/>
      <c r="TUY4" s="62"/>
      <c r="TUZ4" s="62"/>
      <c r="TVA4" s="62"/>
      <c r="TVB4" s="62"/>
      <c r="TVC4" s="62"/>
      <c r="TVD4" s="62"/>
      <c r="TVE4" s="62"/>
      <c r="TVF4" s="62"/>
      <c r="TVG4" s="62"/>
      <c r="TVH4" s="62"/>
      <c r="TVI4" s="62"/>
      <c r="TVJ4" s="62"/>
      <c r="TVK4" s="62"/>
      <c r="TVL4" s="62"/>
      <c r="TVM4" s="62"/>
      <c r="TVN4" s="62"/>
      <c r="TVO4" s="62"/>
      <c r="TVP4" s="62"/>
      <c r="TVQ4" s="62"/>
      <c r="TVR4" s="62"/>
      <c r="TVS4" s="62"/>
      <c r="TVT4" s="62"/>
      <c r="TVU4" s="62"/>
      <c r="TVV4" s="62"/>
      <c r="TVW4" s="62"/>
      <c r="TVX4" s="62"/>
      <c r="TVY4" s="62"/>
      <c r="TVZ4" s="62"/>
      <c r="TWA4" s="62"/>
      <c r="TWB4" s="62"/>
      <c r="TWC4" s="62"/>
      <c r="TWD4" s="62"/>
      <c r="TWE4" s="62"/>
      <c r="TWF4" s="62"/>
      <c r="TWG4" s="62"/>
      <c r="TWH4" s="62"/>
      <c r="TWI4" s="62"/>
      <c r="TWJ4" s="62"/>
      <c r="TWK4" s="62"/>
      <c r="TWL4" s="62"/>
      <c r="TWM4" s="62"/>
      <c r="TWN4" s="62"/>
      <c r="TWO4" s="62"/>
      <c r="TWP4" s="62"/>
      <c r="TWQ4" s="62"/>
      <c r="TWR4" s="62"/>
      <c r="TWS4" s="62"/>
      <c r="TWT4" s="62"/>
      <c r="TWU4" s="62"/>
      <c r="TWV4" s="62"/>
      <c r="TWW4" s="62"/>
      <c r="TWX4" s="62"/>
      <c r="TWY4" s="62"/>
      <c r="TWZ4" s="62"/>
      <c r="TXA4" s="62"/>
      <c r="TXB4" s="62"/>
      <c r="TXC4" s="62"/>
      <c r="TXD4" s="62"/>
      <c r="TXE4" s="62"/>
      <c r="TXF4" s="62"/>
      <c r="TXG4" s="62"/>
      <c r="TXH4" s="62"/>
      <c r="TXI4" s="62"/>
      <c r="TXJ4" s="62"/>
      <c r="TXK4" s="62"/>
      <c r="TXL4" s="62"/>
      <c r="TXM4" s="62"/>
      <c r="TXN4" s="62"/>
      <c r="TXO4" s="62"/>
      <c r="TXP4" s="62"/>
      <c r="TXQ4" s="62"/>
      <c r="TXR4" s="62"/>
      <c r="TXS4" s="62"/>
      <c r="TXT4" s="62"/>
      <c r="TXU4" s="62"/>
      <c r="TXV4" s="62"/>
      <c r="TXW4" s="62"/>
      <c r="TXX4" s="62"/>
      <c r="TXY4" s="62"/>
      <c r="TXZ4" s="62"/>
      <c r="TYA4" s="62"/>
      <c r="TYB4" s="62"/>
      <c r="TYC4" s="62"/>
      <c r="TYD4" s="62"/>
      <c r="TYE4" s="62"/>
      <c r="TYF4" s="62"/>
      <c r="TYG4" s="62"/>
      <c r="TYH4" s="62"/>
      <c r="TYI4" s="62"/>
      <c r="TYJ4" s="62"/>
      <c r="TYK4" s="62"/>
      <c r="TYL4" s="62"/>
      <c r="TYM4" s="62"/>
      <c r="TYN4" s="62"/>
      <c r="TYO4" s="62"/>
      <c r="TYP4" s="62"/>
      <c r="TYQ4" s="62"/>
      <c r="TYR4" s="62"/>
      <c r="TYS4" s="62"/>
      <c r="TYT4" s="62"/>
      <c r="TYU4" s="62"/>
      <c r="TYV4" s="62"/>
      <c r="TYW4" s="62"/>
      <c r="TYX4" s="62"/>
      <c r="TYY4" s="62"/>
      <c r="TYZ4" s="62"/>
      <c r="TZA4" s="62"/>
      <c r="TZB4" s="62"/>
      <c r="TZC4" s="62"/>
      <c r="TZD4" s="62"/>
      <c r="TZE4" s="62"/>
      <c r="TZF4" s="62"/>
      <c r="TZG4" s="62"/>
      <c r="TZH4" s="62"/>
      <c r="TZI4" s="62"/>
      <c r="TZJ4" s="62"/>
      <c r="TZK4" s="62"/>
      <c r="TZL4" s="62"/>
      <c r="TZM4" s="62"/>
      <c r="TZN4" s="62"/>
      <c r="TZO4" s="62"/>
      <c r="TZP4" s="62"/>
      <c r="TZQ4" s="62"/>
      <c r="TZR4" s="62"/>
      <c r="TZS4" s="62"/>
      <c r="TZT4" s="62"/>
      <c r="TZU4" s="62"/>
      <c r="TZV4" s="62"/>
      <c r="TZW4" s="62"/>
      <c r="TZX4" s="62"/>
      <c r="TZY4" s="62"/>
      <c r="TZZ4" s="62"/>
      <c r="UAA4" s="62"/>
      <c r="UAB4" s="62"/>
      <c r="UAC4" s="62"/>
      <c r="UAD4" s="62"/>
      <c r="UAE4" s="62"/>
      <c r="UAF4" s="62"/>
      <c r="UAG4" s="62"/>
      <c r="UAH4" s="62"/>
      <c r="UAI4" s="62"/>
      <c r="UAJ4" s="62"/>
      <c r="UAK4" s="62"/>
      <c r="UAL4" s="62"/>
      <c r="UAM4" s="62"/>
      <c r="UAN4" s="62"/>
      <c r="UAO4" s="62"/>
      <c r="UAP4" s="62"/>
      <c r="UAQ4" s="62"/>
      <c r="UAR4" s="62"/>
      <c r="UAS4" s="62"/>
      <c r="UAT4" s="62"/>
      <c r="UAU4" s="62"/>
      <c r="UAV4" s="62"/>
      <c r="UAW4" s="62"/>
      <c r="UAX4" s="62"/>
      <c r="UAY4" s="62"/>
      <c r="UAZ4" s="62"/>
      <c r="UBA4" s="62"/>
      <c r="UBB4" s="62"/>
      <c r="UBC4" s="62"/>
      <c r="UBD4" s="62"/>
      <c r="UBE4" s="62"/>
      <c r="UBF4" s="62"/>
      <c r="UBG4" s="62"/>
      <c r="UBH4" s="62"/>
      <c r="UBI4" s="62"/>
      <c r="UBJ4" s="62"/>
      <c r="UBK4" s="62"/>
      <c r="UBL4" s="62"/>
      <c r="UBM4" s="62"/>
      <c r="UBN4" s="62"/>
      <c r="UBO4" s="62"/>
      <c r="UBP4" s="62"/>
      <c r="UBQ4" s="62"/>
      <c r="UBR4" s="62"/>
      <c r="UBS4" s="62"/>
      <c r="UBT4" s="62"/>
      <c r="UBU4" s="62"/>
      <c r="UBV4" s="62"/>
      <c r="UBW4" s="62"/>
      <c r="UBX4" s="62"/>
      <c r="UBY4" s="62"/>
      <c r="UBZ4" s="62"/>
      <c r="UCA4" s="62"/>
      <c r="UCB4" s="62"/>
      <c r="UCC4" s="62"/>
      <c r="UCD4" s="62"/>
      <c r="UCE4" s="62"/>
      <c r="UCF4" s="62"/>
      <c r="UCG4" s="62"/>
      <c r="UCH4" s="62"/>
      <c r="UCI4" s="62"/>
      <c r="UCJ4" s="62"/>
      <c r="UCK4" s="62"/>
      <c r="UCL4" s="62"/>
      <c r="UCM4" s="62"/>
      <c r="UCN4" s="62"/>
      <c r="UCO4" s="62"/>
      <c r="UCP4" s="62"/>
      <c r="UCQ4" s="62"/>
      <c r="UCR4" s="62"/>
      <c r="UCS4" s="62"/>
      <c r="UCT4" s="62"/>
      <c r="UCU4" s="62"/>
      <c r="UCV4" s="62"/>
      <c r="UCW4" s="62"/>
      <c r="UCX4" s="62"/>
      <c r="UCY4" s="62"/>
      <c r="UCZ4" s="62"/>
      <c r="UDA4" s="62"/>
      <c r="UDB4" s="62"/>
      <c r="UDC4" s="62"/>
      <c r="UDD4" s="62"/>
      <c r="UDE4" s="62"/>
      <c r="UDF4" s="62"/>
      <c r="UDG4" s="62"/>
      <c r="UDH4" s="62"/>
      <c r="UDI4" s="62"/>
      <c r="UDJ4" s="62"/>
      <c r="UDK4" s="62"/>
      <c r="UDL4" s="62"/>
      <c r="UDM4" s="62"/>
      <c r="UDN4" s="62"/>
      <c r="UDO4" s="62"/>
      <c r="UDP4" s="62"/>
      <c r="UDQ4" s="62"/>
      <c r="UDR4" s="62"/>
      <c r="UDS4" s="62"/>
      <c r="UDT4" s="62"/>
      <c r="UDU4" s="62"/>
      <c r="UDV4" s="62"/>
      <c r="UDW4" s="62"/>
      <c r="UDX4" s="62"/>
      <c r="UDY4" s="62"/>
      <c r="UDZ4" s="62"/>
      <c r="UEA4" s="62"/>
      <c r="UEB4" s="62"/>
      <c r="UEC4" s="62"/>
      <c r="UED4" s="62"/>
      <c r="UEE4" s="62"/>
      <c r="UEF4" s="62"/>
      <c r="UEG4" s="62"/>
      <c r="UEH4" s="62"/>
      <c r="UEI4" s="62"/>
      <c r="UEJ4" s="62"/>
      <c r="UEK4" s="62"/>
      <c r="UEL4" s="62"/>
      <c r="UEM4" s="62"/>
      <c r="UEN4" s="62"/>
      <c r="UEO4" s="62"/>
      <c r="UEP4" s="62"/>
      <c r="UEQ4" s="62"/>
      <c r="UER4" s="62"/>
      <c r="UES4" s="62"/>
      <c r="UET4" s="62"/>
      <c r="UEU4" s="62"/>
      <c r="UEV4" s="62"/>
      <c r="UEW4" s="62"/>
      <c r="UEX4" s="62"/>
      <c r="UEY4" s="62"/>
      <c r="UEZ4" s="62"/>
      <c r="UFA4" s="62"/>
      <c r="UFB4" s="62"/>
      <c r="UFC4" s="62"/>
      <c r="UFD4" s="62"/>
      <c r="UFE4" s="62"/>
      <c r="UFF4" s="62"/>
      <c r="UFG4" s="62"/>
      <c r="UFH4" s="62"/>
      <c r="UFI4" s="62"/>
      <c r="UFJ4" s="62"/>
      <c r="UFK4" s="62"/>
      <c r="UFL4" s="62"/>
      <c r="UFM4" s="62"/>
      <c r="UFN4" s="62"/>
      <c r="UFO4" s="62"/>
      <c r="UFP4" s="62"/>
      <c r="UFQ4" s="62"/>
      <c r="UFR4" s="62"/>
      <c r="UFS4" s="62"/>
      <c r="UFT4" s="62"/>
      <c r="UFU4" s="62"/>
      <c r="UFV4" s="62"/>
      <c r="UFW4" s="62"/>
      <c r="UFX4" s="62"/>
      <c r="UFY4" s="62"/>
      <c r="UFZ4" s="62"/>
      <c r="UGA4" s="62"/>
      <c r="UGB4" s="62"/>
      <c r="UGC4" s="62"/>
      <c r="UGD4" s="62"/>
      <c r="UGE4" s="62"/>
      <c r="UGF4" s="62"/>
      <c r="UGG4" s="62"/>
      <c r="UGH4" s="62"/>
      <c r="UGI4" s="62"/>
      <c r="UGJ4" s="62"/>
      <c r="UGK4" s="62"/>
      <c r="UGL4" s="62"/>
      <c r="UGM4" s="62"/>
      <c r="UGN4" s="62"/>
      <c r="UGO4" s="62"/>
      <c r="UGP4" s="62"/>
      <c r="UGQ4" s="62"/>
      <c r="UGR4" s="62"/>
      <c r="UGS4" s="62"/>
      <c r="UGT4" s="62"/>
      <c r="UGU4" s="62"/>
      <c r="UGV4" s="62"/>
      <c r="UGW4" s="62"/>
      <c r="UGX4" s="62"/>
      <c r="UGY4" s="62"/>
      <c r="UGZ4" s="62"/>
      <c r="UHA4" s="62"/>
      <c r="UHB4" s="62"/>
      <c r="UHC4" s="62"/>
      <c r="UHD4" s="62"/>
      <c r="UHE4" s="62"/>
      <c r="UHF4" s="62"/>
      <c r="UHG4" s="62"/>
      <c r="UHH4" s="62"/>
      <c r="UHI4" s="62"/>
      <c r="UHJ4" s="62"/>
      <c r="UHK4" s="62"/>
      <c r="UHL4" s="62"/>
      <c r="UHM4" s="62"/>
      <c r="UHN4" s="62"/>
      <c r="UHO4" s="62"/>
      <c r="UHP4" s="62"/>
      <c r="UHQ4" s="62"/>
      <c r="UHR4" s="62"/>
      <c r="UHS4" s="62"/>
      <c r="UHT4" s="62"/>
      <c r="UHU4" s="62"/>
      <c r="UHV4" s="62"/>
      <c r="UHW4" s="62"/>
      <c r="UHX4" s="62"/>
      <c r="UHY4" s="62"/>
      <c r="UHZ4" s="62"/>
      <c r="UIA4" s="62"/>
      <c r="UIB4" s="62"/>
      <c r="UIC4" s="62"/>
      <c r="UID4" s="62"/>
      <c r="UIE4" s="62"/>
      <c r="UIF4" s="62"/>
      <c r="UIG4" s="62"/>
      <c r="UIH4" s="62"/>
      <c r="UII4" s="62"/>
      <c r="UIJ4" s="62"/>
      <c r="UIK4" s="62"/>
      <c r="UIL4" s="62"/>
      <c r="UIM4" s="62"/>
      <c r="UIN4" s="62"/>
      <c r="UIO4" s="62"/>
      <c r="UIP4" s="62"/>
      <c r="UIQ4" s="62"/>
      <c r="UIR4" s="62"/>
      <c r="UIS4" s="62"/>
      <c r="UIT4" s="62"/>
      <c r="UIU4" s="62"/>
      <c r="UIV4" s="62"/>
      <c r="UIW4" s="62"/>
      <c r="UIX4" s="62"/>
      <c r="UIY4" s="62"/>
      <c r="UIZ4" s="62"/>
      <c r="UJA4" s="62"/>
      <c r="UJB4" s="62"/>
      <c r="UJC4" s="62"/>
      <c r="UJD4" s="62"/>
      <c r="UJE4" s="62"/>
      <c r="UJF4" s="62"/>
      <c r="UJG4" s="62"/>
      <c r="UJH4" s="62"/>
      <c r="UJI4" s="62"/>
      <c r="UJJ4" s="62"/>
      <c r="UJK4" s="62"/>
      <c r="UJL4" s="62"/>
      <c r="UJM4" s="62"/>
      <c r="UJN4" s="62"/>
      <c r="UJO4" s="62"/>
      <c r="UJP4" s="62"/>
      <c r="UJQ4" s="62"/>
      <c r="UJR4" s="62"/>
      <c r="UJS4" s="62"/>
      <c r="UJT4" s="62"/>
      <c r="UJU4" s="62"/>
      <c r="UJV4" s="62"/>
      <c r="UJW4" s="62"/>
      <c r="UJX4" s="62"/>
      <c r="UJY4" s="62"/>
      <c r="UJZ4" s="62"/>
      <c r="UKA4" s="62"/>
      <c r="UKB4" s="62"/>
      <c r="UKC4" s="62"/>
      <c r="UKD4" s="62"/>
      <c r="UKE4" s="62"/>
      <c r="UKF4" s="62"/>
      <c r="UKG4" s="62"/>
      <c r="UKH4" s="62"/>
      <c r="UKI4" s="62"/>
      <c r="UKJ4" s="62"/>
      <c r="UKK4" s="62"/>
      <c r="UKL4" s="62"/>
      <c r="UKM4" s="62"/>
      <c r="UKN4" s="62"/>
      <c r="UKO4" s="62"/>
      <c r="UKP4" s="62"/>
      <c r="UKQ4" s="62"/>
      <c r="UKR4" s="62"/>
      <c r="UKS4" s="62"/>
      <c r="UKT4" s="62"/>
      <c r="UKU4" s="62"/>
      <c r="UKV4" s="62"/>
      <c r="UKW4" s="62"/>
      <c r="UKX4" s="62"/>
      <c r="UKY4" s="62"/>
      <c r="UKZ4" s="62"/>
      <c r="ULA4" s="62"/>
      <c r="ULB4" s="62"/>
      <c r="ULC4" s="62"/>
      <c r="ULD4" s="62"/>
      <c r="ULE4" s="62"/>
      <c r="ULF4" s="62"/>
      <c r="ULG4" s="62"/>
      <c r="ULH4" s="62"/>
      <c r="ULI4" s="62"/>
      <c r="ULJ4" s="62"/>
      <c r="ULK4" s="62"/>
      <c r="ULL4" s="62"/>
      <c r="ULM4" s="62"/>
      <c r="ULN4" s="62"/>
      <c r="ULO4" s="62"/>
      <c r="ULP4" s="62"/>
      <c r="ULQ4" s="62"/>
      <c r="ULR4" s="62"/>
      <c r="ULS4" s="62"/>
      <c r="ULT4" s="62"/>
      <c r="ULU4" s="62"/>
      <c r="ULV4" s="62"/>
      <c r="ULW4" s="62"/>
      <c r="ULX4" s="62"/>
      <c r="ULY4" s="62"/>
      <c r="ULZ4" s="62"/>
      <c r="UMA4" s="62"/>
      <c r="UMB4" s="62"/>
      <c r="UMC4" s="62"/>
      <c r="UMD4" s="62"/>
      <c r="UME4" s="62"/>
      <c r="UMF4" s="62"/>
      <c r="UMG4" s="62"/>
      <c r="UMH4" s="62"/>
      <c r="UMI4" s="62"/>
      <c r="UMJ4" s="62"/>
      <c r="UMK4" s="62"/>
      <c r="UML4" s="62"/>
      <c r="UMM4" s="62"/>
      <c r="UMN4" s="62"/>
      <c r="UMO4" s="62"/>
      <c r="UMP4" s="62"/>
      <c r="UMQ4" s="62"/>
      <c r="UMR4" s="62"/>
      <c r="UMS4" s="62"/>
      <c r="UMT4" s="62"/>
      <c r="UMU4" s="62"/>
      <c r="UMV4" s="62"/>
      <c r="UMW4" s="62"/>
      <c r="UMX4" s="62"/>
      <c r="UMY4" s="62"/>
      <c r="UMZ4" s="62"/>
      <c r="UNA4" s="62"/>
      <c r="UNB4" s="62"/>
      <c r="UNC4" s="62"/>
      <c r="UND4" s="62"/>
      <c r="UNE4" s="62"/>
      <c r="UNF4" s="62"/>
      <c r="UNG4" s="62"/>
      <c r="UNH4" s="62"/>
      <c r="UNI4" s="62"/>
      <c r="UNJ4" s="62"/>
      <c r="UNK4" s="62"/>
      <c r="UNL4" s="62"/>
      <c r="UNM4" s="62"/>
      <c r="UNN4" s="62"/>
      <c r="UNO4" s="62"/>
      <c r="UNP4" s="62"/>
      <c r="UNQ4" s="62"/>
      <c r="UNR4" s="62"/>
      <c r="UNS4" s="62"/>
      <c r="UNT4" s="62"/>
      <c r="UNU4" s="62"/>
      <c r="UNV4" s="62"/>
      <c r="UNW4" s="62"/>
      <c r="UNX4" s="62"/>
      <c r="UNY4" s="62"/>
      <c r="UNZ4" s="62"/>
      <c r="UOA4" s="62"/>
      <c r="UOB4" s="62"/>
      <c r="UOC4" s="62"/>
      <c r="UOD4" s="62"/>
      <c r="UOE4" s="62"/>
      <c r="UOF4" s="62"/>
      <c r="UOG4" s="62"/>
      <c r="UOH4" s="62"/>
      <c r="UOI4" s="62"/>
      <c r="UOJ4" s="62"/>
      <c r="UOK4" s="62"/>
      <c r="UOL4" s="62"/>
      <c r="UOM4" s="62"/>
      <c r="UON4" s="62"/>
      <c r="UOO4" s="62"/>
      <c r="UOP4" s="62"/>
      <c r="UOQ4" s="62"/>
      <c r="UOR4" s="62"/>
      <c r="UOS4" s="62"/>
      <c r="UOT4" s="62"/>
      <c r="UOU4" s="62"/>
      <c r="UOV4" s="62"/>
      <c r="UOW4" s="62"/>
      <c r="UOX4" s="62"/>
      <c r="UOY4" s="62"/>
      <c r="UOZ4" s="62"/>
      <c r="UPA4" s="62"/>
      <c r="UPB4" s="62"/>
      <c r="UPC4" s="62"/>
      <c r="UPD4" s="62"/>
      <c r="UPE4" s="62"/>
      <c r="UPF4" s="62"/>
      <c r="UPG4" s="62"/>
      <c r="UPH4" s="62"/>
      <c r="UPI4" s="62"/>
      <c r="UPJ4" s="62"/>
      <c r="UPK4" s="62"/>
      <c r="UPL4" s="62"/>
      <c r="UPM4" s="62"/>
      <c r="UPN4" s="62"/>
      <c r="UPO4" s="62"/>
      <c r="UPP4" s="62"/>
      <c r="UPQ4" s="62"/>
      <c r="UPR4" s="62"/>
      <c r="UPS4" s="62"/>
      <c r="UPT4" s="62"/>
      <c r="UPU4" s="62"/>
      <c r="UPV4" s="62"/>
      <c r="UPW4" s="62"/>
      <c r="UPX4" s="62"/>
      <c r="UPY4" s="62"/>
      <c r="UPZ4" s="62"/>
      <c r="UQA4" s="62"/>
      <c r="UQB4" s="62"/>
      <c r="UQC4" s="62"/>
      <c r="UQD4" s="62"/>
      <c r="UQE4" s="62"/>
      <c r="UQF4" s="62"/>
      <c r="UQG4" s="62"/>
      <c r="UQH4" s="62"/>
      <c r="UQI4" s="62"/>
      <c r="UQJ4" s="62"/>
      <c r="UQK4" s="62"/>
      <c r="UQL4" s="62"/>
      <c r="UQM4" s="62"/>
      <c r="UQN4" s="62"/>
      <c r="UQO4" s="62"/>
      <c r="UQP4" s="62"/>
      <c r="UQQ4" s="62"/>
      <c r="UQR4" s="62"/>
      <c r="UQS4" s="62"/>
      <c r="UQT4" s="62"/>
      <c r="UQU4" s="62"/>
      <c r="UQV4" s="62"/>
      <c r="UQW4" s="62"/>
      <c r="UQX4" s="62"/>
      <c r="UQY4" s="62"/>
      <c r="UQZ4" s="62"/>
      <c r="URA4" s="62"/>
      <c r="URB4" s="62"/>
      <c r="URC4" s="62"/>
      <c r="URD4" s="62"/>
      <c r="URE4" s="62"/>
      <c r="URF4" s="62"/>
      <c r="URG4" s="62"/>
      <c r="URH4" s="62"/>
      <c r="URI4" s="62"/>
      <c r="URJ4" s="62"/>
      <c r="URK4" s="62"/>
      <c r="URL4" s="62"/>
      <c r="URM4" s="62"/>
      <c r="URN4" s="62"/>
      <c r="URO4" s="62"/>
      <c r="URP4" s="62"/>
      <c r="URQ4" s="62"/>
      <c r="URR4" s="62"/>
      <c r="URS4" s="62"/>
      <c r="URT4" s="62"/>
      <c r="URU4" s="62"/>
      <c r="URV4" s="62"/>
      <c r="URW4" s="62"/>
      <c r="URX4" s="62"/>
      <c r="URY4" s="62"/>
      <c r="URZ4" s="62"/>
      <c r="USA4" s="62"/>
      <c r="USB4" s="62"/>
      <c r="USC4" s="62"/>
      <c r="USD4" s="62"/>
      <c r="USE4" s="62"/>
      <c r="USF4" s="62"/>
      <c r="USG4" s="62"/>
      <c r="USH4" s="62"/>
      <c r="USI4" s="62"/>
      <c r="USJ4" s="62"/>
      <c r="USK4" s="62"/>
      <c r="USL4" s="62"/>
      <c r="USM4" s="62"/>
      <c r="USN4" s="62"/>
      <c r="USO4" s="62"/>
      <c r="USP4" s="62"/>
      <c r="USQ4" s="62"/>
      <c r="USR4" s="62"/>
      <c r="USS4" s="62"/>
      <c r="UST4" s="62"/>
      <c r="USU4" s="62"/>
      <c r="USV4" s="62"/>
      <c r="USW4" s="62"/>
      <c r="USX4" s="62"/>
      <c r="USY4" s="62"/>
      <c r="USZ4" s="62"/>
      <c r="UTA4" s="62"/>
      <c r="UTB4" s="62"/>
      <c r="UTC4" s="62"/>
      <c r="UTD4" s="62"/>
      <c r="UTE4" s="62"/>
      <c r="UTF4" s="62"/>
      <c r="UTG4" s="62"/>
      <c r="UTH4" s="62"/>
      <c r="UTI4" s="62"/>
      <c r="UTJ4" s="62"/>
      <c r="UTK4" s="62"/>
      <c r="UTL4" s="62"/>
      <c r="UTM4" s="62"/>
      <c r="UTN4" s="62"/>
      <c r="UTO4" s="62"/>
      <c r="UTP4" s="62"/>
      <c r="UTQ4" s="62"/>
      <c r="UTR4" s="62"/>
      <c r="UTS4" s="62"/>
      <c r="UTT4" s="62"/>
      <c r="UTU4" s="62"/>
      <c r="UTV4" s="62"/>
      <c r="UTW4" s="62"/>
      <c r="UTX4" s="62"/>
      <c r="UTY4" s="62"/>
      <c r="UTZ4" s="62"/>
      <c r="UUA4" s="62"/>
      <c r="UUB4" s="62"/>
      <c r="UUC4" s="62"/>
      <c r="UUD4" s="62"/>
      <c r="UUE4" s="62"/>
      <c r="UUF4" s="62"/>
      <c r="UUG4" s="62"/>
      <c r="UUH4" s="62"/>
      <c r="UUI4" s="62"/>
      <c r="UUJ4" s="62"/>
      <c r="UUK4" s="62"/>
      <c r="UUL4" s="62"/>
      <c r="UUM4" s="62"/>
      <c r="UUN4" s="62"/>
      <c r="UUO4" s="62"/>
      <c r="UUP4" s="62"/>
      <c r="UUQ4" s="62"/>
      <c r="UUR4" s="62"/>
      <c r="UUS4" s="62"/>
      <c r="UUT4" s="62"/>
      <c r="UUU4" s="62"/>
      <c r="UUV4" s="62"/>
      <c r="UUW4" s="62"/>
      <c r="UUX4" s="62"/>
      <c r="UUY4" s="62"/>
      <c r="UUZ4" s="62"/>
      <c r="UVA4" s="62"/>
      <c r="UVB4" s="62"/>
      <c r="UVC4" s="62"/>
      <c r="UVD4" s="62"/>
      <c r="UVE4" s="62"/>
      <c r="UVF4" s="62"/>
      <c r="UVG4" s="62"/>
      <c r="UVH4" s="62"/>
      <c r="UVI4" s="62"/>
      <c r="UVJ4" s="62"/>
      <c r="UVK4" s="62"/>
      <c r="UVL4" s="62"/>
      <c r="UVM4" s="62"/>
      <c r="UVN4" s="62"/>
      <c r="UVO4" s="62"/>
      <c r="UVP4" s="62"/>
      <c r="UVQ4" s="62"/>
      <c r="UVR4" s="62"/>
      <c r="UVS4" s="62"/>
      <c r="UVT4" s="62"/>
      <c r="UVU4" s="62"/>
      <c r="UVV4" s="62"/>
      <c r="UVW4" s="62"/>
      <c r="UVX4" s="62"/>
      <c r="UVY4" s="62"/>
      <c r="UVZ4" s="62"/>
      <c r="UWA4" s="62"/>
      <c r="UWB4" s="62"/>
      <c r="UWC4" s="62"/>
      <c r="UWD4" s="62"/>
      <c r="UWE4" s="62"/>
      <c r="UWF4" s="62"/>
      <c r="UWG4" s="62"/>
      <c r="UWH4" s="62"/>
      <c r="UWI4" s="62"/>
      <c r="UWJ4" s="62"/>
      <c r="UWK4" s="62"/>
      <c r="UWL4" s="62"/>
      <c r="UWM4" s="62"/>
      <c r="UWN4" s="62"/>
      <c r="UWO4" s="62"/>
      <c r="UWP4" s="62"/>
      <c r="UWQ4" s="62"/>
      <c r="UWR4" s="62"/>
      <c r="UWS4" s="62"/>
      <c r="UWT4" s="62"/>
      <c r="UWU4" s="62"/>
      <c r="UWV4" s="62"/>
      <c r="UWW4" s="62"/>
      <c r="UWX4" s="62"/>
      <c r="UWY4" s="62"/>
      <c r="UWZ4" s="62"/>
      <c r="UXA4" s="62"/>
      <c r="UXB4" s="62"/>
      <c r="UXC4" s="62"/>
      <c r="UXD4" s="62"/>
      <c r="UXE4" s="62"/>
      <c r="UXF4" s="62"/>
      <c r="UXG4" s="62"/>
      <c r="UXH4" s="62"/>
      <c r="UXI4" s="62"/>
      <c r="UXJ4" s="62"/>
      <c r="UXK4" s="62"/>
      <c r="UXL4" s="62"/>
      <c r="UXM4" s="62"/>
      <c r="UXN4" s="62"/>
      <c r="UXO4" s="62"/>
      <c r="UXP4" s="62"/>
      <c r="UXQ4" s="62"/>
      <c r="UXR4" s="62"/>
      <c r="UXS4" s="62"/>
      <c r="UXT4" s="62"/>
      <c r="UXU4" s="62"/>
      <c r="UXV4" s="62"/>
      <c r="UXW4" s="62"/>
      <c r="UXX4" s="62"/>
      <c r="UXY4" s="62"/>
      <c r="UXZ4" s="62"/>
      <c r="UYA4" s="62"/>
      <c r="UYB4" s="62"/>
      <c r="UYC4" s="62"/>
      <c r="UYD4" s="62"/>
      <c r="UYE4" s="62"/>
      <c r="UYF4" s="62"/>
      <c r="UYG4" s="62"/>
      <c r="UYH4" s="62"/>
      <c r="UYI4" s="62"/>
      <c r="UYJ4" s="62"/>
      <c r="UYK4" s="62"/>
      <c r="UYL4" s="62"/>
      <c r="UYM4" s="62"/>
      <c r="UYN4" s="62"/>
      <c r="UYO4" s="62"/>
      <c r="UYP4" s="62"/>
      <c r="UYQ4" s="62"/>
      <c r="UYR4" s="62"/>
      <c r="UYS4" s="62"/>
      <c r="UYT4" s="62"/>
      <c r="UYU4" s="62"/>
      <c r="UYV4" s="62"/>
      <c r="UYW4" s="62"/>
      <c r="UYX4" s="62"/>
      <c r="UYY4" s="62"/>
      <c r="UYZ4" s="62"/>
      <c r="UZA4" s="62"/>
      <c r="UZB4" s="62"/>
      <c r="UZC4" s="62"/>
      <c r="UZD4" s="62"/>
      <c r="UZE4" s="62"/>
      <c r="UZF4" s="62"/>
      <c r="UZG4" s="62"/>
      <c r="UZH4" s="62"/>
      <c r="UZI4" s="62"/>
      <c r="UZJ4" s="62"/>
      <c r="UZK4" s="62"/>
      <c r="UZL4" s="62"/>
      <c r="UZM4" s="62"/>
      <c r="UZN4" s="62"/>
      <c r="UZO4" s="62"/>
      <c r="UZP4" s="62"/>
      <c r="UZQ4" s="62"/>
      <c r="UZR4" s="62"/>
      <c r="UZS4" s="62"/>
      <c r="UZT4" s="62"/>
      <c r="UZU4" s="62"/>
      <c r="UZV4" s="62"/>
      <c r="UZW4" s="62"/>
      <c r="UZX4" s="62"/>
      <c r="UZY4" s="62"/>
      <c r="UZZ4" s="62"/>
      <c r="VAA4" s="62"/>
      <c r="VAB4" s="62"/>
      <c r="VAC4" s="62"/>
      <c r="VAD4" s="62"/>
      <c r="VAE4" s="62"/>
      <c r="VAF4" s="62"/>
      <c r="VAG4" s="62"/>
      <c r="VAH4" s="62"/>
      <c r="VAI4" s="62"/>
      <c r="VAJ4" s="62"/>
      <c r="VAK4" s="62"/>
      <c r="VAL4" s="62"/>
      <c r="VAM4" s="62"/>
      <c r="VAN4" s="62"/>
      <c r="VAO4" s="62"/>
      <c r="VAP4" s="62"/>
      <c r="VAQ4" s="62"/>
      <c r="VAR4" s="62"/>
      <c r="VAS4" s="62"/>
      <c r="VAT4" s="62"/>
      <c r="VAU4" s="62"/>
      <c r="VAV4" s="62"/>
      <c r="VAW4" s="62"/>
      <c r="VAX4" s="62"/>
      <c r="VAY4" s="62"/>
      <c r="VAZ4" s="62"/>
      <c r="VBA4" s="62"/>
      <c r="VBB4" s="62"/>
      <c r="VBC4" s="62"/>
      <c r="VBD4" s="62"/>
      <c r="VBE4" s="62"/>
      <c r="VBF4" s="62"/>
      <c r="VBG4" s="62"/>
      <c r="VBH4" s="62"/>
      <c r="VBI4" s="62"/>
      <c r="VBJ4" s="62"/>
      <c r="VBK4" s="62"/>
      <c r="VBL4" s="62"/>
      <c r="VBM4" s="62"/>
      <c r="VBN4" s="62"/>
      <c r="VBO4" s="62"/>
      <c r="VBP4" s="62"/>
      <c r="VBQ4" s="62"/>
      <c r="VBR4" s="62"/>
      <c r="VBS4" s="62"/>
      <c r="VBT4" s="62"/>
      <c r="VBU4" s="62"/>
      <c r="VBV4" s="62"/>
      <c r="VBW4" s="62"/>
      <c r="VBX4" s="62"/>
      <c r="VBY4" s="62"/>
      <c r="VBZ4" s="62"/>
      <c r="VCA4" s="62"/>
      <c r="VCB4" s="62"/>
      <c r="VCC4" s="62"/>
      <c r="VCD4" s="62"/>
      <c r="VCE4" s="62"/>
      <c r="VCF4" s="62"/>
      <c r="VCG4" s="62"/>
      <c r="VCH4" s="62"/>
      <c r="VCI4" s="62"/>
      <c r="VCJ4" s="62"/>
      <c r="VCK4" s="62"/>
      <c r="VCL4" s="62"/>
      <c r="VCM4" s="62"/>
      <c r="VCN4" s="62"/>
      <c r="VCO4" s="62"/>
      <c r="VCP4" s="62"/>
      <c r="VCQ4" s="62"/>
      <c r="VCR4" s="62"/>
      <c r="VCS4" s="62"/>
      <c r="VCT4" s="62"/>
      <c r="VCU4" s="62"/>
      <c r="VCV4" s="62"/>
      <c r="VCW4" s="62"/>
      <c r="VCX4" s="62"/>
      <c r="VCY4" s="62"/>
      <c r="VCZ4" s="62"/>
      <c r="VDA4" s="62"/>
      <c r="VDB4" s="62"/>
      <c r="VDC4" s="62"/>
      <c r="VDD4" s="62"/>
      <c r="VDE4" s="62"/>
      <c r="VDF4" s="62"/>
      <c r="VDG4" s="62"/>
      <c r="VDH4" s="62"/>
      <c r="VDI4" s="62"/>
      <c r="VDJ4" s="62"/>
      <c r="VDK4" s="62"/>
      <c r="VDL4" s="62"/>
      <c r="VDM4" s="62"/>
      <c r="VDN4" s="62"/>
      <c r="VDO4" s="62"/>
      <c r="VDP4" s="62"/>
      <c r="VDQ4" s="62"/>
      <c r="VDR4" s="62"/>
      <c r="VDS4" s="62"/>
      <c r="VDT4" s="62"/>
      <c r="VDU4" s="62"/>
      <c r="VDV4" s="62"/>
      <c r="VDW4" s="62"/>
      <c r="VDX4" s="62"/>
      <c r="VDY4" s="62"/>
      <c r="VDZ4" s="62"/>
      <c r="VEA4" s="62"/>
      <c r="VEB4" s="62"/>
      <c r="VEC4" s="62"/>
      <c r="VED4" s="62"/>
      <c r="VEE4" s="62"/>
      <c r="VEF4" s="62"/>
      <c r="VEG4" s="62"/>
      <c r="VEH4" s="62"/>
      <c r="VEI4" s="62"/>
      <c r="VEJ4" s="62"/>
      <c r="VEK4" s="62"/>
      <c r="VEL4" s="62"/>
      <c r="VEM4" s="62"/>
      <c r="VEN4" s="62"/>
      <c r="VEO4" s="62"/>
      <c r="VEP4" s="62"/>
      <c r="VEQ4" s="62"/>
      <c r="VER4" s="62"/>
      <c r="VES4" s="62"/>
      <c r="VET4" s="62"/>
      <c r="VEU4" s="62"/>
      <c r="VEV4" s="62"/>
      <c r="VEW4" s="62"/>
      <c r="VEX4" s="62"/>
      <c r="VEY4" s="62"/>
      <c r="VEZ4" s="62"/>
      <c r="VFA4" s="62"/>
      <c r="VFB4" s="62"/>
      <c r="VFC4" s="62"/>
      <c r="VFD4" s="62"/>
      <c r="VFE4" s="62"/>
      <c r="VFF4" s="62"/>
      <c r="VFG4" s="62"/>
      <c r="VFH4" s="62"/>
      <c r="VFI4" s="62"/>
      <c r="VFJ4" s="62"/>
      <c r="VFK4" s="62"/>
      <c r="VFL4" s="62"/>
      <c r="VFM4" s="62"/>
      <c r="VFN4" s="62"/>
      <c r="VFO4" s="62"/>
      <c r="VFP4" s="62"/>
      <c r="VFQ4" s="62"/>
      <c r="VFR4" s="62"/>
      <c r="VFS4" s="62"/>
      <c r="VFT4" s="62"/>
      <c r="VFU4" s="62"/>
      <c r="VFV4" s="62"/>
      <c r="VFW4" s="62"/>
      <c r="VFX4" s="62"/>
      <c r="VFY4" s="62"/>
      <c r="VFZ4" s="62"/>
      <c r="VGA4" s="62"/>
      <c r="VGB4" s="62"/>
      <c r="VGC4" s="62"/>
      <c r="VGD4" s="62"/>
      <c r="VGE4" s="62"/>
      <c r="VGF4" s="62"/>
      <c r="VGG4" s="62"/>
      <c r="VGH4" s="62"/>
      <c r="VGI4" s="62"/>
      <c r="VGJ4" s="62"/>
      <c r="VGK4" s="62"/>
      <c r="VGL4" s="62"/>
      <c r="VGM4" s="62"/>
      <c r="VGN4" s="62"/>
      <c r="VGO4" s="62"/>
      <c r="VGP4" s="62"/>
      <c r="VGQ4" s="62"/>
      <c r="VGR4" s="62"/>
      <c r="VGS4" s="62"/>
      <c r="VGT4" s="62"/>
      <c r="VGU4" s="62"/>
      <c r="VGV4" s="62"/>
      <c r="VGW4" s="62"/>
      <c r="VGX4" s="62"/>
      <c r="VGY4" s="62"/>
      <c r="VGZ4" s="62"/>
      <c r="VHA4" s="62"/>
      <c r="VHB4" s="62"/>
      <c r="VHC4" s="62"/>
      <c r="VHD4" s="62"/>
      <c r="VHE4" s="62"/>
      <c r="VHF4" s="62"/>
      <c r="VHG4" s="62"/>
      <c r="VHH4" s="62"/>
      <c r="VHI4" s="62"/>
      <c r="VHJ4" s="62"/>
      <c r="VHK4" s="62"/>
      <c r="VHL4" s="62"/>
      <c r="VHM4" s="62"/>
      <c r="VHN4" s="62"/>
      <c r="VHO4" s="62"/>
      <c r="VHP4" s="62"/>
      <c r="VHQ4" s="62"/>
      <c r="VHR4" s="62"/>
      <c r="VHS4" s="62"/>
      <c r="VHT4" s="62"/>
      <c r="VHU4" s="62"/>
      <c r="VHV4" s="62"/>
      <c r="VHW4" s="62"/>
      <c r="VHX4" s="62"/>
      <c r="VHY4" s="62"/>
      <c r="VHZ4" s="62"/>
      <c r="VIA4" s="62"/>
      <c r="VIB4" s="62"/>
      <c r="VIC4" s="62"/>
      <c r="VID4" s="62"/>
      <c r="VIE4" s="62"/>
      <c r="VIF4" s="62"/>
      <c r="VIG4" s="62"/>
      <c r="VIH4" s="62"/>
      <c r="VII4" s="62"/>
      <c r="VIJ4" s="62"/>
      <c r="VIK4" s="62"/>
      <c r="VIL4" s="62"/>
      <c r="VIM4" s="62"/>
      <c r="VIN4" s="62"/>
      <c r="VIO4" s="62"/>
      <c r="VIP4" s="62"/>
      <c r="VIQ4" s="62"/>
      <c r="VIR4" s="62"/>
      <c r="VIS4" s="62"/>
      <c r="VIT4" s="62"/>
      <c r="VIU4" s="62"/>
      <c r="VIV4" s="62"/>
      <c r="VIW4" s="62"/>
      <c r="VIX4" s="62"/>
      <c r="VIY4" s="62"/>
      <c r="VIZ4" s="62"/>
      <c r="VJA4" s="62"/>
      <c r="VJB4" s="62"/>
      <c r="VJC4" s="62"/>
      <c r="VJD4" s="62"/>
      <c r="VJE4" s="62"/>
      <c r="VJF4" s="62"/>
      <c r="VJG4" s="62"/>
      <c r="VJH4" s="62"/>
      <c r="VJI4" s="62"/>
      <c r="VJJ4" s="62"/>
      <c r="VJK4" s="62"/>
      <c r="VJL4" s="62"/>
      <c r="VJM4" s="62"/>
      <c r="VJN4" s="62"/>
      <c r="VJO4" s="62"/>
      <c r="VJP4" s="62"/>
      <c r="VJQ4" s="62"/>
      <c r="VJR4" s="62"/>
      <c r="VJS4" s="62"/>
      <c r="VJT4" s="62"/>
      <c r="VJU4" s="62"/>
      <c r="VJV4" s="62"/>
      <c r="VJW4" s="62"/>
      <c r="VJX4" s="62"/>
      <c r="VJY4" s="62"/>
      <c r="VJZ4" s="62"/>
      <c r="VKA4" s="62"/>
      <c r="VKB4" s="62"/>
      <c r="VKC4" s="62"/>
      <c r="VKD4" s="62"/>
      <c r="VKE4" s="62"/>
      <c r="VKF4" s="62"/>
      <c r="VKG4" s="62"/>
      <c r="VKH4" s="62"/>
      <c r="VKI4" s="62"/>
      <c r="VKJ4" s="62"/>
      <c r="VKK4" s="62"/>
      <c r="VKL4" s="62"/>
      <c r="VKM4" s="62"/>
      <c r="VKN4" s="62"/>
      <c r="VKO4" s="62"/>
      <c r="VKP4" s="62"/>
      <c r="VKQ4" s="62"/>
      <c r="VKR4" s="62"/>
      <c r="VKS4" s="62"/>
      <c r="VKT4" s="62"/>
      <c r="VKU4" s="62"/>
      <c r="VKV4" s="62"/>
      <c r="VKW4" s="62"/>
      <c r="VKX4" s="62"/>
      <c r="VKY4" s="62"/>
      <c r="VKZ4" s="62"/>
      <c r="VLA4" s="62"/>
      <c r="VLB4" s="62"/>
      <c r="VLC4" s="62"/>
      <c r="VLD4" s="62"/>
      <c r="VLE4" s="62"/>
      <c r="VLF4" s="62"/>
      <c r="VLG4" s="62"/>
      <c r="VLH4" s="62"/>
      <c r="VLI4" s="62"/>
      <c r="VLJ4" s="62"/>
      <c r="VLK4" s="62"/>
      <c r="VLL4" s="62"/>
      <c r="VLM4" s="62"/>
      <c r="VLN4" s="62"/>
      <c r="VLO4" s="62"/>
      <c r="VLP4" s="62"/>
      <c r="VLQ4" s="62"/>
      <c r="VLR4" s="62"/>
      <c r="VLS4" s="62"/>
      <c r="VLT4" s="62"/>
      <c r="VLU4" s="62"/>
      <c r="VLV4" s="62"/>
      <c r="VLW4" s="62"/>
      <c r="VLX4" s="62"/>
      <c r="VLY4" s="62"/>
      <c r="VLZ4" s="62"/>
      <c r="VMA4" s="62"/>
      <c r="VMB4" s="62"/>
      <c r="VMC4" s="62"/>
      <c r="VMD4" s="62"/>
      <c r="VME4" s="62"/>
      <c r="VMF4" s="62"/>
      <c r="VMG4" s="62"/>
      <c r="VMH4" s="62"/>
      <c r="VMI4" s="62"/>
      <c r="VMJ4" s="62"/>
      <c r="VMK4" s="62"/>
      <c r="VML4" s="62"/>
      <c r="VMM4" s="62"/>
      <c r="VMN4" s="62"/>
      <c r="VMO4" s="62"/>
      <c r="VMP4" s="62"/>
      <c r="VMQ4" s="62"/>
      <c r="VMR4" s="62"/>
      <c r="VMS4" s="62"/>
      <c r="VMT4" s="62"/>
      <c r="VMU4" s="62"/>
      <c r="VMV4" s="62"/>
      <c r="VMW4" s="62"/>
      <c r="VMX4" s="62"/>
      <c r="VMY4" s="62"/>
      <c r="VMZ4" s="62"/>
      <c r="VNA4" s="62"/>
      <c r="VNB4" s="62"/>
      <c r="VNC4" s="62"/>
      <c r="VND4" s="62"/>
      <c r="VNE4" s="62"/>
      <c r="VNF4" s="62"/>
      <c r="VNG4" s="62"/>
      <c r="VNH4" s="62"/>
      <c r="VNI4" s="62"/>
      <c r="VNJ4" s="62"/>
      <c r="VNK4" s="62"/>
      <c r="VNL4" s="62"/>
      <c r="VNM4" s="62"/>
      <c r="VNN4" s="62"/>
      <c r="VNO4" s="62"/>
      <c r="VNP4" s="62"/>
      <c r="VNQ4" s="62"/>
      <c r="VNR4" s="62"/>
      <c r="VNS4" s="62"/>
      <c r="VNT4" s="62"/>
      <c r="VNU4" s="62"/>
      <c r="VNV4" s="62"/>
      <c r="VNW4" s="62"/>
      <c r="VNX4" s="62"/>
      <c r="VNY4" s="62"/>
      <c r="VNZ4" s="62"/>
      <c r="VOA4" s="62"/>
      <c r="VOB4" s="62"/>
      <c r="VOC4" s="62"/>
      <c r="VOD4" s="62"/>
      <c r="VOE4" s="62"/>
      <c r="VOF4" s="62"/>
      <c r="VOG4" s="62"/>
      <c r="VOH4" s="62"/>
      <c r="VOI4" s="62"/>
      <c r="VOJ4" s="62"/>
      <c r="VOK4" s="62"/>
      <c r="VOL4" s="62"/>
      <c r="VOM4" s="62"/>
      <c r="VON4" s="62"/>
      <c r="VOO4" s="62"/>
      <c r="VOP4" s="62"/>
      <c r="VOQ4" s="62"/>
      <c r="VOR4" s="62"/>
      <c r="VOS4" s="62"/>
      <c r="VOT4" s="62"/>
      <c r="VOU4" s="62"/>
      <c r="VOV4" s="62"/>
      <c r="VOW4" s="62"/>
      <c r="VOX4" s="62"/>
      <c r="VOY4" s="62"/>
      <c r="VOZ4" s="62"/>
      <c r="VPA4" s="62"/>
      <c r="VPB4" s="62"/>
      <c r="VPC4" s="62"/>
      <c r="VPD4" s="62"/>
      <c r="VPE4" s="62"/>
      <c r="VPF4" s="62"/>
      <c r="VPG4" s="62"/>
      <c r="VPH4" s="62"/>
      <c r="VPI4" s="62"/>
      <c r="VPJ4" s="62"/>
      <c r="VPK4" s="62"/>
      <c r="VPL4" s="62"/>
      <c r="VPM4" s="62"/>
      <c r="VPN4" s="62"/>
      <c r="VPO4" s="62"/>
      <c r="VPP4" s="62"/>
      <c r="VPQ4" s="62"/>
      <c r="VPR4" s="62"/>
      <c r="VPS4" s="62"/>
      <c r="VPT4" s="62"/>
      <c r="VPU4" s="62"/>
      <c r="VPV4" s="62"/>
      <c r="VPW4" s="62"/>
      <c r="VPX4" s="62"/>
      <c r="VPY4" s="62"/>
      <c r="VPZ4" s="62"/>
      <c r="VQA4" s="62"/>
      <c r="VQB4" s="62"/>
      <c r="VQC4" s="62"/>
      <c r="VQD4" s="62"/>
      <c r="VQE4" s="62"/>
      <c r="VQF4" s="62"/>
      <c r="VQG4" s="62"/>
      <c r="VQH4" s="62"/>
      <c r="VQI4" s="62"/>
      <c r="VQJ4" s="62"/>
      <c r="VQK4" s="62"/>
      <c r="VQL4" s="62"/>
      <c r="VQM4" s="62"/>
      <c r="VQN4" s="62"/>
      <c r="VQO4" s="62"/>
      <c r="VQP4" s="62"/>
      <c r="VQQ4" s="62"/>
      <c r="VQR4" s="62"/>
      <c r="VQS4" s="62"/>
      <c r="VQT4" s="62"/>
      <c r="VQU4" s="62"/>
      <c r="VQV4" s="62"/>
      <c r="VQW4" s="62"/>
      <c r="VQX4" s="62"/>
      <c r="VQY4" s="62"/>
      <c r="VQZ4" s="62"/>
      <c r="VRA4" s="62"/>
      <c r="VRB4" s="62"/>
      <c r="VRC4" s="62"/>
      <c r="VRD4" s="62"/>
      <c r="VRE4" s="62"/>
      <c r="VRF4" s="62"/>
      <c r="VRG4" s="62"/>
      <c r="VRH4" s="62"/>
      <c r="VRI4" s="62"/>
      <c r="VRJ4" s="62"/>
      <c r="VRK4" s="62"/>
      <c r="VRL4" s="62"/>
      <c r="VRM4" s="62"/>
      <c r="VRN4" s="62"/>
      <c r="VRO4" s="62"/>
      <c r="VRP4" s="62"/>
      <c r="VRQ4" s="62"/>
      <c r="VRR4" s="62"/>
      <c r="VRS4" s="62"/>
      <c r="VRT4" s="62"/>
      <c r="VRU4" s="62"/>
      <c r="VRV4" s="62"/>
      <c r="VRW4" s="62"/>
      <c r="VRX4" s="62"/>
      <c r="VRY4" s="62"/>
      <c r="VRZ4" s="62"/>
      <c r="VSA4" s="62"/>
      <c r="VSB4" s="62"/>
      <c r="VSC4" s="62"/>
      <c r="VSD4" s="62"/>
      <c r="VSE4" s="62"/>
      <c r="VSF4" s="62"/>
      <c r="VSG4" s="62"/>
      <c r="VSH4" s="62"/>
      <c r="VSI4" s="62"/>
      <c r="VSJ4" s="62"/>
      <c r="VSK4" s="62"/>
      <c r="VSL4" s="62"/>
      <c r="VSM4" s="62"/>
      <c r="VSN4" s="62"/>
      <c r="VSO4" s="62"/>
      <c r="VSP4" s="62"/>
      <c r="VSQ4" s="62"/>
      <c r="VSR4" s="62"/>
      <c r="VSS4" s="62"/>
      <c r="VST4" s="62"/>
      <c r="VSU4" s="62"/>
      <c r="VSV4" s="62"/>
      <c r="VSW4" s="62"/>
      <c r="VSX4" s="62"/>
      <c r="VSY4" s="62"/>
      <c r="VSZ4" s="62"/>
      <c r="VTA4" s="62"/>
      <c r="VTB4" s="62"/>
      <c r="VTC4" s="62"/>
      <c r="VTD4" s="62"/>
      <c r="VTE4" s="62"/>
      <c r="VTF4" s="62"/>
      <c r="VTG4" s="62"/>
      <c r="VTH4" s="62"/>
      <c r="VTI4" s="62"/>
      <c r="VTJ4" s="62"/>
      <c r="VTK4" s="62"/>
      <c r="VTL4" s="62"/>
      <c r="VTM4" s="62"/>
      <c r="VTN4" s="62"/>
      <c r="VTO4" s="62"/>
      <c r="VTP4" s="62"/>
      <c r="VTQ4" s="62"/>
      <c r="VTR4" s="62"/>
      <c r="VTS4" s="62"/>
      <c r="VTT4" s="62"/>
      <c r="VTU4" s="62"/>
      <c r="VTV4" s="62"/>
      <c r="VTW4" s="62"/>
      <c r="VTX4" s="62"/>
      <c r="VTY4" s="62"/>
      <c r="VTZ4" s="62"/>
      <c r="VUA4" s="62"/>
      <c r="VUB4" s="62"/>
      <c r="VUC4" s="62"/>
      <c r="VUD4" s="62"/>
      <c r="VUE4" s="62"/>
      <c r="VUF4" s="62"/>
      <c r="VUG4" s="62"/>
      <c r="VUH4" s="62"/>
      <c r="VUI4" s="62"/>
      <c r="VUJ4" s="62"/>
      <c r="VUK4" s="62"/>
      <c r="VUL4" s="62"/>
      <c r="VUM4" s="62"/>
      <c r="VUN4" s="62"/>
      <c r="VUO4" s="62"/>
      <c r="VUP4" s="62"/>
      <c r="VUQ4" s="62"/>
      <c r="VUR4" s="62"/>
      <c r="VUS4" s="62"/>
      <c r="VUT4" s="62"/>
      <c r="VUU4" s="62"/>
      <c r="VUV4" s="62"/>
      <c r="VUW4" s="62"/>
      <c r="VUX4" s="62"/>
      <c r="VUY4" s="62"/>
      <c r="VUZ4" s="62"/>
      <c r="VVA4" s="62"/>
      <c r="VVB4" s="62"/>
      <c r="VVC4" s="62"/>
      <c r="VVD4" s="62"/>
      <c r="VVE4" s="62"/>
      <c r="VVF4" s="62"/>
      <c r="VVG4" s="62"/>
      <c r="VVH4" s="62"/>
      <c r="VVI4" s="62"/>
      <c r="VVJ4" s="62"/>
      <c r="VVK4" s="62"/>
      <c r="VVL4" s="62"/>
      <c r="VVM4" s="62"/>
      <c r="VVN4" s="62"/>
      <c r="VVO4" s="62"/>
      <c r="VVP4" s="62"/>
      <c r="VVQ4" s="62"/>
      <c r="VVR4" s="62"/>
      <c r="VVS4" s="62"/>
      <c r="VVT4" s="62"/>
      <c r="VVU4" s="62"/>
      <c r="VVV4" s="62"/>
      <c r="VVW4" s="62"/>
      <c r="VVX4" s="62"/>
      <c r="VVY4" s="62"/>
      <c r="VVZ4" s="62"/>
      <c r="VWA4" s="62"/>
      <c r="VWB4" s="62"/>
      <c r="VWC4" s="62"/>
      <c r="VWD4" s="62"/>
      <c r="VWE4" s="62"/>
      <c r="VWF4" s="62"/>
      <c r="VWG4" s="62"/>
      <c r="VWH4" s="62"/>
      <c r="VWI4" s="62"/>
      <c r="VWJ4" s="62"/>
      <c r="VWK4" s="62"/>
      <c r="VWL4" s="62"/>
      <c r="VWM4" s="62"/>
      <c r="VWN4" s="62"/>
      <c r="VWO4" s="62"/>
      <c r="VWP4" s="62"/>
      <c r="VWQ4" s="62"/>
      <c r="VWR4" s="62"/>
      <c r="VWS4" s="62"/>
      <c r="VWT4" s="62"/>
      <c r="VWU4" s="62"/>
      <c r="VWV4" s="62"/>
      <c r="VWW4" s="62"/>
      <c r="VWX4" s="62"/>
      <c r="VWY4" s="62"/>
      <c r="VWZ4" s="62"/>
      <c r="VXA4" s="62"/>
      <c r="VXB4" s="62"/>
      <c r="VXC4" s="62"/>
      <c r="VXD4" s="62"/>
      <c r="VXE4" s="62"/>
      <c r="VXF4" s="62"/>
      <c r="VXG4" s="62"/>
      <c r="VXH4" s="62"/>
      <c r="VXI4" s="62"/>
      <c r="VXJ4" s="62"/>
      <c r="VXK4" s="62"/>
      <c r="VXL4" s="62"/>
      <c r="VXM4" s="62"/>
      <c r="VXN4" s="62"/>
      <c r="VXO4" s="62"/>
      <c r="VXP4" s="62"/>
      <c r="VXQ4" s="62"/>
      <c r="VXR4" s="62"/>
      <c r="VXS4" s="62"/>
      <c r="VXT4" s="62"/>
      <c r="VXU4" s="62"/>
      <c r="VXV4" s="62"/>
      <c r="VXW4" s="62"/>
      <c r="VXX4" s="62"/>
      <c r="VXY4" s="62"/>
      <c r="VXZ4" s="62"/>
      <c r="VYA4" s="62"/>
      <c r="VYB4" s="62"/>
      <c r="VYC4" s="62"/>
      <c r="VYD4" s="62"/>
      <c r="VYE4" s="62"/>
      <c r="VYF4" s="62"/>
      <c r="VYG4" s="62"/>
      <c r="VYH4" s="62"/>
      <c r="VYI4" s="62"/>
      <c r="VYJ4" s="62"/>
      <c r="VYK4" s="62"/>
      <c r="VYL4" s="62"/>
      <c r="VYM4" s="62"/>
      <c r="VYN4" s="62"/>
      <c r="VYO4" s="62"/>
      <c r="VYP4" s="62"/>
      <c r="VYQ4" s="62"/>
      <c r="VYR4" s="62"/>
      <c r="VYS4" s="62"/>
      <c r="VYT4" s="62"/>
      <c r="VYU4" s="62"/>
      <c r="VYV4" s="62"/>
      <c r="VYW4" s="62"/>
      <c r="VYX4" s="62"/>
      <c r="VYY4" s="62"/>
      <c r="VYZ4" s="62"/>
      <c r="VZA4" s="62"/>
      <c r="VZB4" s="62"/>
      <c r="VZC4" s="62"/>
      <c r="VZD4" s="62"/>
      <c r="VZE4" s="62"/>
      <c r="VZF4" s="62"/>
      <c r="VZG4" s="62"/>
      <c r="VZH4" s="62"/>
      <c r="VZI4" s="62"/>
      <c r="VZJ4" s="62"/>
      <c r="VZK4" s="62"/>
      <c r="VZL4" s="62"/>
      <c r="VZM4" s="62"/>
      <c r="VZN4" s="62"/>
      <c r="VZO4" s="62"/>
      <c r="VZP4" s="62"/>
      <c r="VZQ4" s="62"/>
      <c r="VZR4" s="62"/>
      <c r="VZS4" s="62"/>
      <c r="VZT4" s="62"/>
      <c r="VZU4" s="62"/>
      <c r="VZV4" s="62"/>
      <c r="VZW4" s="62"/>
      <c r="VZX4" s="62"/>
      <c r="VZY4" s="62"/>
      <c r="VZZ4" s="62"/>
      <c r="WAA4" s="62"/>
      <c r="WAB4" s="62"/>
      <c r="WAC4" s="62"/>
      <c r="WAD4" s="62"/>
      <c r="WAE4" s="62"/>
      <c r="WAF4" s="62"/>
      <c r="WAG4" s="62"/>
      <c r="WAH4" s="62"/>
      <c r="WAI4" s="62"/>
      <c r="WAJ4" s="62"/>
      <c r="WAK4" s="62"/>
      <c r="WAL4" s="62"/>
      <c r="WAM4" s="62"/>
      <c r="WAN4" s="62"/>
      <c r="WAO4" s="62"/>
      <c r="WAP4" s="62"/>
      <c r="WAQ4" s="62"/>
      <c r="WAR4" s="62"/>
      <c r="WAS4" s="62"/>
      <c r="WAT4" s="62"/>
      <c r="WAU4" s="62"/>
      <c r="WAV4" s="62"/>
      <c r="WAW4" s="62"/>
      <c r="WAX4" s="62"/>
      <c r="WAY4" s="62"/>
      <c r="WAZ4" s="62"/>
      <c r="WBA4" s="62"/>
      <c r="WBB4" s="62"/>
      <c r="WBC4" s="62"/>
      <c r="WBD4" s="62"/>
      <c r="WBE4" s="62"/>
      <c r="WBF4" s="62"/>
      <c r="WBG4" s="62"/>
      <c r="WBH4" s="62"/>
      <c r="WBI4" s="62"/>
      <c r="WBJ4" s="62"/>
      <c r="WBK4" s="62"/>
      <c r="WBL4" s="62"/>
      <c r="WBM4" s="62"/>
      <c r="WBN4" s="62"/>
      <c r="WBO4" s="62"/>
      <c r="WBP4" s="62"/>
      <c r="WBQ4" s="62"/>
      <c r="WBR4" s="62"/>
      <c r="WBS4" s="62"/>
      <c r="WBT4" s="62"/>
      <c r="WBU4" s="62"/>
      <c r="WBV4" s="62"/>
      <c r="WBW4" s="62"/>
      <c r="WBX4" s="62"/>
      <c r="WBY4" s="62"/>
      <c r="WBZ4" s="62"/>
      <c r="WCA4" s="62"/>
      <c r="WCB4" s="62"/>
      <c r="WCC4" s="62"/>
      <c r="WCD4" s="62"/>
      <c r="WCE4" s="62"/>
      <c r="WCF4" s="62"/>
      <c r="WCG4" s="62"/>
      <c r="WCH4" s="62"/>
      <c r="WCI4" s="62"/>
      <c r="WCJ4" s="62"/>
      <c r="WCK4" s="62"/>
      <c r="WCL4" s="62"/>
      <c r="WCM4" s="62"/>
      <c r="WCN4" s="62"/>
      <c r="WCO4" s="62"/>
      <c r="WCP4" s="62"/>
      <c r="WCQ4" s="62"/>
      <c r="WCR4" s="62"/>
      <c r="WCS4" s="62"/>
      <c r="WCT4" s="62"/>
      <c r="WCU4" s="62"/>
      <c r="WCV4" s="62"/>
      <c r="WCW4" s="62"/>
      <c r="WCX4" s="62"/>
      <c r="WCY4" s="62"/>
      <c r="WCZ4" s="62"/>
      <c r="WDA4" s="62"/>
      <c r="WDB4" s="62"/>
      <c r="WDC4" s="62"/>
      <c r="WDD4" s="62"/>
      <c r="WDE4" s="62"/>
      <c r="WDF4" s="62"/>
      <c r="WDG4" s="62"/>
      <c r="WDH4" s="62"/>
      <c r="WDI4" s="62"/>
      <c r="WDJ4" s="62"/>
      <c r="WDK4" s="62"/>
      <c r="WDL4" s="62"/>
      <c r="WDM4" s="62"/>
      <c r="WDN4" s="62"/>
      <c r="WDO4" s="62"/>
      <c r="WDP4" s="62"/>
      <c r="WDQ4" s="62"/>
      <c r="WDR4" s="62"/>
      <c r="WDS4" s="62"/>
      <c r="WDT4" s="62"/>
      <c r="WDU4" s="62"/>
      <c r="WDV4" s="62"/>
      <c r="WDW4" s="62"/>
      <c r="WDX4" s="62"/>
      <c r="WDY4" s="62"/>
      <c r="WDZ4" s="62"/>
      <c r="WEA4" s="62"/>
      <c r="WEB4" s="62"/>
      <c r="WEC4" s="62"/>
      <c r="WED4" s="62"/>
      <c r="WEE4" s="62"/>
      <c r="WEF4" s="62"/>
      <c r="WEG4" s="62"/>
      <c r="WEH4" s="62"/>
      <c r="WEI4" s="62"/>
      <c r="WEJ4" s="62"/>
      <c r="WEK4" s="62"/>
      <c r="WEL4" s="62"/>
      <c r="WEM4" s="62"/>
      <c r="WEN4" s="62"/>
      <c r="WEO4" s="62"/>
      <c r="WEP4" s="62"/>
      <c r="WEQ4" s="62"/>
      <c r="WER4" s="62"/>
      <c r="WES4" s="62"/>
      <c r="WET4" s="62"/>
      <c r="WEU4" s="62"/>
      <c r="WEV4" s="62"/>
      <c r="WEW4" s="62"/>
      <c r="WEX4" s="62"/>
      <c r="WEY4" s="62"/>
      <c r="WEZ4" s="62"/>
      <c r="WFA4" s="62"/>
      <c r="WFB4" s="62"/>
      <c r="WFC4" s="62"/>
      <c r="WFD4" s="62"/>
      <c r="WFE4" s="62"/>
      <c r="WFF4" s="62"/>
      <c r="WFG4" s="62"/>
      <c r="WFH4" s="62"/>
      <c r="WFI4" s="62"/>
      <c r="WFJ4" s="62"/>
      <c r="WFK4" s="62"/>
      <c r="WFL4" s="62"/>
      <c r="WFM4" s="62"/>
      <c r="WFN4" s="62"/>
      <c r="WFO4" s="62"/>
      <c r="WFP4" s="62"/>
      <c r="WFQ4" s="62"/>
      <c r="WFR4" s="62"/>
      <c r="WFS4" s="62"/>
      <c r="WFT4" s="62"/>
      <c r="WFU4" s="62"/>
      <c r="WFV4" s="62"/>
      <c r="WFW4" s="62"/>
      <c r="WFX4" s="62"/>
      <c r="WFY4" s="62"/>
      <c r="WFZ4" s="62"/>
      <c r="WGA4" s="62"/>
      <c r="WGB4" s="62"/>
      <c r="WGC4" s="62"/>
      <c r="WGD4" s="62"/>
      <c r="WGE4" s="62"/>
      <c r="WGF4" s="62"/>
      <c r="WGG4" s="62"/>
      <c r="WGH4" s="62"/>
      <c r="WGI4" s="62"/>
      <c r="WGJ4" s="62"/>
      <c r="WGK4" s="62"/>
      <c r="WGL4" s="62"/>
      <c r="WGM4" s="62"/>
      <c r="WGN4" s="62"/>
      <c r="WGO4" s="62"/>
      <c r="WGP4" s="62"/>
      <c r="WGQ4" s="62"/>
      <c r="WGR4" s="62"/>
      <c r="WGS4" s="62"/>
      <c r="WGT4" s="62"/>
      <c r="WGU4" s="62"/>
      <c r="WGV4" s="62"/>
      <c r="WGW4" s="62"/>
      <c r="WGX4" s="62"/>
      <c r="WGY4" s="62"/>
      <c r="WGZ4" s="62"/>
      <c r="WHA4" s="62"/>
      <c r="WHB4" s="62"/>
      <c r="WHC4" s="62"/>
      <c r="WHD4" s="62"/>
      <c r="WHE4" s="62"/>
      <c r="WHF4" s="62"/>
      <c r="WHG4" s="62"/>
      <c r="WHH4" s="62"/>
      <c r="WHI4" s="62"/>
      <c r="WHJ4" s="62"/>
      <c r="WHK4" s="62"/>
      <c r="WHL4" s="62"/>
      <c r="WHM4" s="62"/>
      <c r="WHN4" s="62"/>
      <c r="WHO4" s="62"/>
      <c r="WHP4" s="62"/>
      <c r="WHQ4" s="62"/>
      <c r="WHR4" s="62"/>
      <c r="WHS4" s="62"/>
      <c r="WHT4" s="62"/>
      <c r="WHU4" s="62"/>
      <c r="WHV4" s="62"/>
      <c r="WHW4" s="62"/>
      <c r="WHX4" s="62"/>
      <c r="WHY4" s="62"/>
      <c r="WHZ4" s="62"/>
      <c r="WIA4" s="62"/>
      <c r="WIB4" s="62"/>
      <c r="WIC4" s="62"/>
      <c r="WID4" s="62"/>
      <c r="WIE4" s="62"/>
      <c r="WIF4" s="62"/>
      <c r="WIG4" s="62"/>
      <c r="WIH4" s="62"/>
      <c r="WII4" s="62"/>
      <c r="WIJ4" s="62"/>
      <c r="WIK4" s="62"/>
      <c r="WIL4" s="62"/>
      <c r="WIM4" s="62"/>
      <c r="WIN4" s="62"/>
      <c r="WIO4" s="62"/>
      <c r="WIP4" s="62"/>
      <c r="WIQ4" s="62"/>
      <c r="WIR4" s="62"/>
      <c r="WIS4" s="62"/>
      <c r="WIT4" s="62"/>
      <c r="WIU4" s="62"/>
      <c r="WIV4" s="62"/>
      <c r="WIW4" s="62"/>
      <c r="WIX4" s="62"/>
      <c r="WIY4" s="62"/>
      <c r="WIZ4" s="62"/>
      <c r="WJA4" s="62"/>
      <c r="WJB4" s="62"/>
      <c r="WJC4" s="62"/>
      <c r="WJD4" s="62"/>
      <c r="WJE4" s="62"/>
      <c r="WJF4" s="62"/>
      <c r="WJG4" s="62"/>
      <c r="WJH4" s="62"/>
      <c r="WJI4" s="62"/>
      <c r="WJJ4" s="62"/>
      <c r="WJK4" s="62"/>
      <c r="WJL4" s="62"/>
      <c r="WJM4" s="62"/>
      <c r="WJN4" s="62"/>
      <c r="WJO4" s="62"/>
      <c r="WJP4" s="62"/>
      <c r="WJQ4" s="62"/>
      <c r="WJR4" s="62"/>
      <c r="WJS4" s="62"/>
      <c r="WJT4" s="62"/>
      <c r="WJU4" s="62"/>
      <c r="WJV4" s="62"/>
      <c r="WJW4" s="62"/>
      <c r="WJX4" s="62"/>
      <c r="WJY4" s="62"/>
      <c r="WJZ4" s="62"/>
      <c r="WKA4" s="62"/>
      <c r="WKB4" s="62"/>
      <c r="WKC4" s="62"/>
      <c r="WKD4" s="62"/>
      <c r="WKE4" s="62"/>
      <c r="WKF4" s="62"/>
      <c r="WKG4" s="62"/>
      <c r="WKH4" s="62"/>
      <c r="WKI4" s="62"/>
      <c r="WKJ4" s="62"/>
      <c r="WKK4" s="62"/>
      <c r="WKL4" s="62"/>
      <c r="WKM4" s="62"/>
      <c r="WKN4" s="62"/>
      <c r="WKO4" s="62"/>
      <c r="WKP4" s="62"/>
      <c r="WKQ4" s="62"/>
      <c r="WKR4" s="62"/>
      <c r="WKS4" s="62"/>
      <c r="WKT4" s="62"/>
      <c r="WKU4" s="62"/>
      <c r="WKV4" s="62"/>
      <c r="WKW4" s="62"/>
      <c r="WKX4" s="62"/>
      <c r="WKY4" s="62"/>
      <c r="WKZ4" s="62"/>
      <c r="WLA4" s="62"/>
      <c r="WLB4" s="62"/>
      <c r="WLC4" s="62"/>
      <c r="WLD4" s="62"/>
      <c r="WLE4" s="62"/>
      <c r="WLF4" s="62"/>
      <c r="WLG4" s="62"/>
      <c r="WLH4" s="62"/>
      <c r="WLI4" s="62"/>
      <c r="WLJ4" s="62"/>
      <c r="WLK4" s="62"/>
      <c r="WLL4" s="62"/>
      <c r="WLM4" s="62"/>
      <c r="WLN4" s="62"/>
      <c r="WLO4" s="62"/>
      <c r="WLP4" s="62"/>
      <c r="WLQ4" s="62"/>
      <c r="WLR4" s="62"/>
      <c r="WLS4" s="62"/>
      <c r="WLT4" s="62"/>
      <c r="WLU4" s="62"/>
      <c r="WLV4" s="62"/>
      <c r="WLW4" s="62"/>
      <c r="WLX4" s="62"/>
      <c r="WLY4" s="62"/>
      <c r="WLZ4" s="62"/>
      <c r="WMA4" s="62"/>
      <c r="WMB4" s="62"/>
      <c r="WMC4" s="62"/>
      <c r="WMD4" s="62"/>
      <c r="WME4" s="62"/>
      <c r="WMF4" s="62"/>
      <c r="WMG4" s="62"/>
      <c r="WMH4" s="62"/>
      <c r="WMI4" s="62"/>
      <c r="WMJ4" s="62"/>
      <c r="WMK4" s="62"/>
      <c r="WML4" s="62"/>
      <c r="WMM4" s="62"/>
      <c r="WMN4" s="62"/>
      <c r="WMO4" s="62"/>
      <c r="WMP4" s="62"/>
      <c r="WMQ4" s="62"/>
      <c r="WMR4" s="62"/>
      <c r="WMS4" s="62"/>
      <c r="WMT4" s="62"/>
      <c r="WMU4" s="62"/>
      <c r="WMV4" s="62"/>
      <c r="WMW4" s="62"/>
      <c r="WMX4" s="62"/>
      <c r="WMY4" s="62"/>
      <c r="WMZ4" s="62"/>
      <c r="WNA4" s="62"/>
      <c r="WNB4" s="62"/>
      <c r="WNC4" s="62"/>
      <c r="WND4" s="62"/>
      <c r="WNE4" s="62"/>
      <c r="WNF4" s="62"/>
      <c r="WNG4" s="62"/>
      <c r="WNH4" s="62"/>
      <c r="WNI4" s="62"/>
      <c r="WNJ4" s="62"/>
      <c r="WNK4" s="62"/>
      <c r="WNL4" s="62"/>
      <c r="WNM4" s="62"/>
      <c r="WNN4" s="62"/>
      <c r="WNO4" s="62"/>
      <c r="WNP4" s="62"/>
      <c r="WNQ4" s="62"/>
      <c r="WNR4" s="62"/>
      <c r="WNS4" s="62"/>
      <c r="WNT4" s="62"/>
      <c r="WNU4" s="62"/>
      <c r="WNV4" s="62"/>
      <c r="WNW4" s="62"/>
      <c r="WNX4" s="62"/>
      <c r="WNY4" s="62"/>
      <c r="WNZ4" s="62"/>
      <c r="WOA4" s="62"/>
      <c r="WOB4" s="62"/>
      <c r="WOC4" s="62"/>
      <c r="WOD4" s="62"/>
      <c r="WOE4" s="62"/>
      <c r="WOF4" s="62"/>
      <c r="WOG4" s="62"/>
      <c r="WOH4" s="62"/>
      <c r="WOI4" s="62"/>
      <c r="WOJ4" s="62"/>
      <c r="WOK4" s="62"/>
      <c r="WOL4" s="62"/>
      <c r="WOM4" s="62"/>
      <c r="WON4" s="62"/>
      <c r="WOO4" s="62"/>
      <c r="WOP4" s="62"/>
      <c r="WOQ4" s="62"/>
      <c r="WOR4" s="62"/>
      <c r="WOS4" s="62"/>
      <c r="WOT4" s="62"/>
      <c r="WOU4" s="62"/>
      <c r="WOV4" s="62"/>
      <c r="WOW4" s="62"/>
      <c r="WOX4" s="62"/>
      <c r="WOY4" s="62"/>
      <c r="WOZ4" s="62"/>
      <c r="WPA4" s="62"/>
      <c r="WPB4" s="62"/>
      <c r="WPC4" s="62"/>
      <c r="WPD4" s="62"/>
      <c r="WPE4" s="62"/>
      <c r="WPF4" s="62"/>
      <c r="WPG4" s="62"/>
      <c r="WPH4" s="62"/>
      <c r="WPI4" s="62"/>
      <c r="WPJ4" s="62"/>
      <c r="WPK4" s="62"/>
      <c r="WPL4" s="62"/>
      <c r="WPM4" s="62"/>
      <c r="WPN4" s="62"/>
      <c r="WPO4" s="62"/>
      <c r="WPP4" s="62"/>
      <c r="WPQ4" s="62"/>
      <c r="WPR4" s="62"/>
      <c r="WPS4" s="62"/>
      <c r="WPT4" s="62"/>
      <c r="WPU4" s="62"/>
      <c r="WPV4" s="62"/>
      <c r="WPW4" s="62"/>
      <c r="WPX4" s="62"/>
      <c r="WPY4" s="62"/>
      <c r="WPZ4" s="62"/>
      <c r="WQA4" s="62"/>
      <c r="WQB4" s="62"/>
      <c r="WQC4" s="62"/>
      <c r="WQD4" s="62"/>
      <c r="WQE4" s="62"/>
      <c r="WQF4" s="62"/>
      <c r="WQG4" s="62"/>
      <c r="WQH4" s="62"/>
      <c r="WQI4" s="62"/>
      <c r="WQJ4" s="62"/>
      <c r="WQK4" s="62"/>
      <c r="WQL4" s="62"/>
      <c r="WQM4" s="62"/>
      <c r="WQN4" s="62"/>
      <c r="WQO4" s="62"/>
      <c r="WQP4" s="62"/>
      <c r="WQQ4" s="62"/>
      <c r="WQR4" s="62"/>
      <c r="WQS4" s="62"/>
      <c r="WQT4" s="62"/>
      <c r="WQU4" s="62"/>
      <c r="WQV4" s="62"/>
      <c r="WQW4" s="62"/>
      <c r="WQX4" s="62"/>
      <c r="WQY4" s="62"/>
      <c r="WQZ4" s="62"/>
      <c r="WRA4" s="62"/>
      <c r="WRB4" s="62"/>
      <c r="WRC4" s="62"/>
      <c r="WRD4" s="62"/>
      <c r="WRE4" s="62"/>
      <c r="WRF4" s="62"/>
      <c r="WRG4" s="62"/>
      <c r="WRH4" s="62"/>
      <c r="WRI4" s="62"/>
      <c r="WRJ4" s="62"/>
      <c r="WRK4" s="62"/>
      <c r="WRL4" s="62"/>
      <c r="WRM4" s="62"/>
      <c r="WRN4" s="62"/>
      <c r="WRO4" s="62"/>
      <c r="WRP4" s="62"/>
      <c r="WRQ4" s="62"/>
      <c r="WRR4" s="62"/>
      <c r="WRS4" s="62"/>
      <c r="WRT4" s="62"/>
      <c r="WRU4" s="62"/>
      <c r="WRV4" s="62"/>
      <c r="WRW4" s="62"/>
      <c r="WRX4" s="62"/>
      <c r="WRY4" s="62"/>
      <c r="WRZ4" s="62"/>
      <c r="WSA4" s="62"/>
      <c r="WSB4" s="62"/>
      <c r="WSC4" s="62"/>
      <c r="WSD4" s="62"/>
      <c r="WSE4" s="62"/>
      <c r="WSF4" s="62"/>
      <c r="WSG4" s="62"/>
      <c r="WSH4" s="62"/>
      <c r="WSI4" s="62"/>
      <c r="WSJ4" s="62"/>
      <c r="WSK4" s="62"/>
      <c r="WSL4" s="62"/>
      <c r="WSM4" s="62"/>
      <c r="WSN4" s="62"/>
      <c r="WSO4" s="62"/>
      <c r="WSP4" s="62"/>
      <c r="WSQ4" s="62"/>
      <c r="WSR4" s="62"/>
      <c r="WSS4" s="62"/>
      <c r="WST4" s="62"/>
      <c r="WSU4" s="62"/>
      <c r="WSV4" s="62"/>
      <c r="WSW4" s="62"/>
      <c r="WSX4" s="62"/>
      <c r="WSY4" s="62"/>
      <c r="WSZ4" s="62"/>
      <c r="WTA4" s="62"/>
      <c r="WTB4" s="62"/>
      <c r="WTC4" s="62"/>
      <c r="WTD4" s="62"/>
      <c r="WTE4" s="62"/>
      <c r="WTF4" s="62"/>
      <c r="WTG4" s="62"/>
      <c r="WTH4" s="62"/>
      <c r="WTI4" s="62"/>
      <c r="WTJ4" s="62"/>
      <c r="WTK4" s="62"/>
      <c r="WTL4" s="62"/>
      <c r="WTM4" s="62"/>
      <c r="WTN4" s="62"/>
      <c r="WTO4" s="62"/>
      <c r="WTP4" s="62"/>
      <c r="WTQ4" s="62"/>
      <c r="WTR4" s="62"/>
      <c r="WTS4" s="62"/>
      <c r="WTT4" s="62"/>
      <c r="WTU4" s="62"/>
      <c r="WTV4" s="62"/>
      <c r="WTW4" s="62"/>
      <c r="WTX4" s="62"/>
      <c r="WTY4" s="62"/>
      <c r="WTZ4" s="62"/>
      <c r="WUA4" s="62"/>
      <c r="WUB4" s="62"/>
      <c r="WUC4" s="62"/>
      <c r="WUD4" s="62"/>
      <c r="WUE4" s="62"/>
      <c r="WUF4" s="62"/>
      <c r="WUG4" s="62"/>
      <c r="WUH4" s="62"/>
      <c r="WUI4" s="62"/>
      <c r="WUJ4" s="62"/>
      <c r="WUK4" s="62"/>
      <c r="WUL4" s="62"/>
      <c r="WUM4" s="62"/>
      <c r="WUN4" s="62"/>
      <c r="WUO4" s="62"/>
      <c r="WUP4" s="62"/>
      <c r="WUQ4" s="62"/>
      <c r="WUR4" s="62"/>
      <c r="WUS4" s="62"/>
      <c r="WUT4" s="62"/>
      <c r="WUU4" s="62"/>
      <c r="WUV4" s="62"/>
      <c r="WUW4" s="62"/>
      <c r="WUX4" s="62"/>
      <c r="WUY4" s="62"/>
      <c r="WUZ4" s="62"/>
      <c r="WVA4" s="62"/>
      <c r="WVB4" s="62"/>
      <c r="WVC4" s="62"/>
      <c r="WVD4" s="62"/>
      <c r="WVE4" s="62"/>
      <c r="WVF4" s="62"/>
      <c r="WVG4" s="62"/>
      <c r="WVH4" s="62"/>
      <c r="WVI4" s="62"/>
      <c r="WVJ4" s="62"/>
      <c r="WVK4" s="62"/>
      <c r="WVL4" s="62"/>
      <c r="WVM4" s="62"/>
      <c r="WVN4" s="62"/>
      <c r="WVO4" s="62"/>
      <c r="WVP4" s="62"/>
      <c r="WVQ4" s="62"/>
      <c r="WVR4" s="62"/>
      <c r="WVS4" s="62"/>
      <c r="WVT4" s="62"/>
      <c r="WVU4" s="62"/>
      <c r="WVV4" s="62"/>
      <c r="WVW4" s="62"/>
      <c r="WVX4" s="62"/>
      <c r="WVY4" s="62"/>
      <c r="WVZ4" s="62"/>
      <c r="WWA4" s="62"/>
      <c r="WWB4" s="62"/>
      <c r="WWC4" s="62"/>
      <c r="WWD4" s="62"/>
      <c r="WWE4" s="62"/>
      <c r="WWF4" s="62"/>
      <c r="WWG4" s="62"/>
      <c r="WWH4" s="62"/>
      <c r="WWI4" s="62"/>
      <c r="WWJ4" s="62"/>
      <c r="WWK4" s="62"/>
      <c r="WWL4" s="62"/>
      <c r="WWM4" s="62"/>
      <c r="WWN4" s="62"/>
      <c r="WWO4" s="62"/>
      <c r="WWP4" s="62"/>
      <c r="WWQ4" s="62"/>
      <c r="WWR4" s="62"/>
      <c r="WWS4" s="62"/>
      <c r="WWT4" s="62"/>
      <c r="WWU4" s="62"/>
      <c r="WWV4" s="62"/>
      <c r="WWW4" s="62"/>
      <c r="WWX4" s="62"/>
      <c r="WWY4" s="62"/>
      <c r="WWZ4" s="62"/>
      <c r="WXA4" s="62"/>
      <c r="WXB4" s="62"/>
      <c r="WXC4" s="62"/>
      <c r="WXD4" s="62"/>
      <c r="WXE4" s="62"/>
      <c r="WXF4" s="62"/>
      <c r="WXG4" s="62"/>
      <c r="WXH4" s="62"/>
      <c r="WXI4" s="62"/>
      <c r="WXJ4" s="62"/>
      <c r="WXK4" s="62"/>
      <c r="WXL4" s="62"/>
      <c r="WXM4" s="62"/>
      <c r="WXN4" s="62"/>
      <c r="WXO4" s="62"/>
      <c r="WXP4" s="62"/>
      <c r="WXQ4" s="62"/>
      <c r="WXR4" s="62"/>
      <c r="WXS4" s="62"/>
      <c r="WXT4" s="62"/>
      <c r="WXU4" s="62"/>
      <c r="WXV4" s="62"/>
      <c r="WXW4" s="62"/>
      <c r="WXX4" s="62"/>
      <c r="WXY4" s="62"/>
      <c r="WXZ4" s="62"/>
      <c r="WYA4" s="62"/>
      <c r="WYB4" s="62"/>
      <c r="WYC4" s="62"/>
      <c r="WYD4" s="62"/>
      <c r="WYE4" s="62"/>
      <c r="WYF4" s="62"/>
      <c r="WYG4" s="62"/>
      <c r="WYH4" s="62"/>
      <c r="WYI4" s="62"/>
      <c r="WYJ4" s="62"/>
      <c r="WYK4" s="62"/>
      <c r="WYL4" s="62"/>
      <c r="WYM4" s="62"/>
      <c r="WYN4" s="62"/>
      <c r="WYO4" s="62"/>
      <c r="WYP4" s="62"/>
      <c r="WYQ4" s="62"/>
      <c r="WYR4" s="62"/>
      <c r="WYS4" s="62"/>
      <c r="WYT4" s="62"/>
      <c r="WYU4" s="62"/>
      <c r="WYV4" s="62"/>
      <c r="WYW4" s="62"/>
      <c r="WYX4" s="62"/>
      <c r="WYY4" s="62"/>
      <c r="WYZ4" s="62"/>
      <c r="WZA4" s="62"/>
      <c r="WZB4" s="62"/>
      <c r="WZC4" s="62"/>
      <c r="WZD4" s="62"/>
      <c r="WZE4" s="62"/>
      <c r="WZF4" s="62"/>
      <c r="WZG4" s="62"/>
      <c r="WZH4" s="62"/>
      <c r="WZI4" s="62"/>
      <c r="WZJ4" s="62"/>
      <c r="WZK4" s="62"/>
      <c r="WZL4" s="62"/>
      <c r="WZM4" s="62"/>
      <c r="WZN4" s="62"/>
      <c r="WZO4" s="62"/>
      <c r="WZP4" s="62"/>
      <c r="WZQ4" s="62"/>
      <c r="WZR4" s="62"/>
      <c r="WZS4" s="62"/>
      <c r="WZT4" s="62"/>
      <c r="WZU4" s="62"/>
      <c r="WZV4" s="62"/>
      <c r="WZW4" s="62"/>
      <c r="WZX4" s="62"/>
      <c r="WZY4" s="62"/>
      <c r="WZZ4" s="62"/>
      <c r="XAA4" s="62"/>
      <c r="XAB4" s="62"/>
      <c r="XAC4" s="62"/>
      <c r="XAD4" s="62"/>
      <c r="XAE4" s="62"/>
      <c r="XAF4" s="62"/>
      <c r="XAG4" s="62"/>
      <c r="XAH4" s="62"/>
      <c r="XAI4" s="62"/>
      <c r="XAJ4" s="62"/>
      <c r="XAK4" s="62"/>
      <c r="XAL4" s="62"/>
      <c r="XAM4" s="62"/>
      <c r="XAN4" s="62"/>
      <c r="XAO4" s="62"/>
      <c r="XAP4" s="62"/>
      <c r="XAQ4" s="62"/>
      <c r="XAR4" s="62"/>
      <c r="XAS4" s="62"/>
      <c r="XAT4" s="62"/>
      <c r="XAU4" s="62"/>
      <c r="XAV4" s="62"/>
      <c r="XAW4" s="62"/>
      <c r="XAX4" s="62"/>
      <c r="XAY4" s="62"/>
      <c r="XAZ4" s="62"/>
      <c r="XBA4" s="62"/>
      <c r="XBB4" s="62"/>
      <c r="XBC4" s="62"/>
      <c r="XBD4" s="62"/>
      <c r="XBE4" s="62"/>
      <c r="XBF4" s="62"/>
      <c r="XBG4" s="62"/>
      <c r="XBH4" s="62"/>
      <c r="XBI4" s="62"/>
      <c r="XBJ4" s="62"/>
      <c r="XBK4" s="62"/>
      <c r="XBL4" s="62"/>
      <c r="XBM4" s="62"/>
      <c r="XBN4" s="62"/>
      <c r="XBO4" s="62"/>
      <c r="XBP4" s="62"/>
      <c r="XBQ4" s="62"/>
      <c r="XBR4" s="62"/>
      <c r="XBS4" s="62"/>
      <c r="XBT4" s="62"/>
      <c r="XBU4" s="62"/>
      <c r="XBV4" s="62"/>
      <c r="XBW4" s="62"/>
      <c r="XBX4" s="62"/>
      <c r="XBY4" s="62"/>
      <c r="XBZ4" s="62"/>
      <c r="XCA4" s="62"/>
      <c r="XCB4" s="62"/>
      <c r="XCC4" s="62"/>
      <c r="XCD4" s="62"/>
      <c r="XCE4" s="62"/>
      <c r="XCF4" s="62"/>
      <c r="XCG4" s="62"/>
      <c r="XCH4" s="62"/>
      <c r="XCI4" s="62"/>
      <c r="XCJ4" s="62"/>
      <c r="XCK4" s="62"/>
      <c r="XCL4" s="62"/>
      <c r="XCM4" s="62"/>
      <c r="XCN4" s="62"/>
      <c r="XCO4" s="62"/>
      <c r="XCP4" s="62"/>
      <c r="XCQ4" s="62"/>
      <c r="XCR4" s="62"/>
      <c r="XCS4" s="62"/>
      <c r="XCT4" s="62"/>
      <c r="XCU4" s="62"/>
      <c r="XCV4" s="62"/>
      <c r="XCW4" s="62"/>
      <c r="XCX4" s="62"/>
      <c r="XCY4" s="62"/>
      <c r="XCZ4" s="62"/>
      <c r="XDA4" s="62"/>
      <c r="XDB4" s="62"/>
      <c r="XDC4" s="62"/>
      <c r="XDD4" s="62"/>
      <c r="XDE4" s="62"/>
      <c r="XDF4" s="62"/>
      <c r="XDG4" s="62"/>
      <c r="XDH4" s="62"/>
      <c r="XDI4" s="62"/>
      <c r="XDJ4" s="62"/>
      <c r="XDK4" s="62"/>
      <c r="XDL4" s="62"/>
      <c r="XDM4" s="62"/>
      <c r="XDN4" s="62"/>
      <c r="XDO4" s="62"/>
      <c r="XDP4" s="62"/>
      <c r="XDQ4" s="62"/>
      <c r="XDR4" s="62"/>
      <c r="XDS4" s="62"/>
      <c r="XDT4" s="62"/>
      <c r="XDU4" s="62"/>
      <c r="XDV4" s="62"/>
      <c r="XDW4" s="62"/>
      <c r="XDX4" s="62"/>
      <c r="XDY4" s="62"/>
      <c r="XDZ4" s="62"/>
      <c r="XEA4" s="62"/>
      <c r="XEB4" s="62"/>
      <c r="XEC4" s="62"/>
      <c r="XED4" s="62"/>
      <c r="XEE4" s="62"/>
    </row>
    <row r="5" spans="1:16359" ht="15.6" x14ac:dyDescent="0.3">
      <c r="A5" s="1">
        <v>3</v>
      </c>
      <c r="B5" s="2" t="s">
        <v>25</v>
      </c>
      <c r="C5" s="3" t="s">
        <v>256</v>
      </c>
      <c r="D5" s="4" t="s">
        <v>257</v>
      </c>
      <c r="E5" s="5" t="s">
        <v>1369</v>
      </c>
      <c r="F5" s="6" t="s">
        <v>28</v>
      </c>
      <c r="G5" s="8" t="s">
        <v>258</v>
      </c>
      <c r="H5" s="7" t="s">
        <v>259</v>
      </c>
      <c r="I5" s="8" t="s">
        <v>260</v>
      </c>
      <c r="J5" s="1" t="s">
        <v>261</v>
      </c>
      <c r="K5" s="7" t="s">
        <v>96</v>
      </c>
      <c r="L5" s="10" t="s">
        <v>262</v>
      </c>
      <c r="M5" s="18"/>
      <c r="N5" s="3" t="s">
        <v>51</v>
      </c>
      <c r="O5" s="3" t="s">
        <v>80</v>
      </c>
      <c r="P5" s="3" t="s">
        <v>263</v>
      </c>
      <c r="Q5" s="12">
        <v>24571</v>
      </c>
      <c r="R5" s="13">
        <v>55.915068493150685</v>
      </c>
      <c r="S5" s="1" t="s">
        <v>50</v>
      </c>
      <c r="T5" s="3" t="s">
        <v>205</v>
      </c>
      <c r="U5" s="3" t="s">
        <v>80</v>
      </c>
      <c r="V5" s="3" t="s">
        <v>196</v>
      </c>
      <c r="W5" s="14">
        <v>39923</v>
      </c>
      <c r="X5" s="15"/>
      <c r="Y5" s="15" t="s">
        <v>38</v>
      </c>
      <c r="Z5" s="16"/>
      <c r="AA5" s="16"/>
      <c r="AB5" s="16"/>
      <c r="AC5" s="16"/>
      <c r="AD5" s="16"/>
      <c r="AE5" s="16"/>
      <c r="AF5" s="16"/>
      <c r="AG5" s="16"/>
      <c r="AH5" s="16"/>
    </row>
    <row r="6" spans="1:16359" ht="15.6" x14ac:dyDescent="0.3">
      <c r="A6" s="1">
        <v>3</v>
      </c>
      <c r="B6" s="2" t="s">
        <v>25</v>
      </c>
      <c r="C6" s="3" t="s">
        <v>264</v>
      </c>
      <c r="D6" s="4" t="s">
        <v>265</v>
      </c>
      <c r="E6" s="5" t="s">
        <v>1370</v>
      </c>
      <c r="F6" s="6" t="s">
        <v>28</v>
      </c>
      <c r="G6" s="8" t="s">
        <v>266</v>
      </c>
      <c r="H6" s="7" t="s">
        <v>259</v>
      </c>
      <c r="I6" s="8" t="s">
        <v>267</v>
      </c>
      <c r="J6" s="1" t="s">
        <v>268</v>
      </c>
      <c r="K6" s="7" t="s">
        <v>31</v>
      </c>
      <c r="L6" s="10" t="s">
        <v>269</v>
      </c>
      <c r="M6" s="18"/>
      <c r="N6" s="3" t="s">
        <v>62</v>
      </c>
      <c r="O6" s="3" t="s">
        <v>63</v>
      </c>
      <c r="P6" s="3" t="s">
        <v>71</v>
      </c>
      <c r="Q6" s="12">
        <v>29954</v>
      </c>
      <c r="R6" s="13">
        <v>41.167123287671231</v>
      </c>
      <c r="S6" s="1" t="s">
        <v>50</v>
      </c>
      <c r="T6" s="3" t="s">
        <v>63</v>
      </c>
      <c r="U6" s="3" t="s">
        <v>35</v>
      </c>
      <c r="V6" s="3" t="s">
        <v>122</v>
      </c>
      <c r="W6" s="14">
        <v>42401</v>
      </c>
      <c r="X6" s="15"/>
      <c r="Y6" s="15" t="s">
        <v>38</v>
      </c>
      <c r="Z6" s="16"/>
      <c r="AA6" s="16"/>
      <c r="AB6" s="16"/>
      <c r="AC6" s="16"/>
      <c r="AD6" s="16"/>
      <c r="AE6" s="16"/>
      <c r="AF6" s="16"/>
      <c r="AG6" s="16"/>
      <c r="AH6" s="16"/>
    </row>
    <row r="7" spans="1:16359" ht="15.6" x14ac:dyDescent="0.3">
      <c r="A7" s="1">
        <v>3</v>
      </c>
      <c r="B7" s="2" t="s">
        <v>25</v>
      </c>
      <c r="C7" s="3" t="s">
        <v>270</v>
      </c>
      <c r="D7" s="4" t="s">
        <v>271</v>
      </c>
      <c r="E7" s="5" t="s">
        <v>1371</v>
      </c>
      <c r="F7" s="6" t="s">
        <v>28</v>
      </c>
      <c r="G7" s="8" t="s">
        <v>272</v>
      </c>
      <c r="H7" s="7" t="s">
        <v>259</v>
      </c>
      <c r="I7" s="8" t="s">
        <v>273</v>
      </c>
      <c r="J7" s="1" t="s">
        <v>274</v>
      </c>
      <c r="K7" s="7" t="s">
        <v>96</v>
      </c>
      <c r="L7" s="10" t="s">
        <v>275</v>
      </c>
      <c r="M7" s="18"/>
      <c r="N7" s="3" t="s">
        <v>47</v>
      </c>
      <c r="O7" s="3" t="s">
        <v>60</v>
      </c>
      <c r="P7" s="3" t="s">
        <v>276</v>
      </c>
      <c r="Q7" s="12">
        <v>34667</v>
      </c>
      <c r="R7" s="13">
        <v>28.254794520547946</v>
      </c>
      <c r="S7" s="1" t="s">
        <v>50</v>
      </c>
      <c r="T7" s="3" t="s">
        <v>80</v>
      </c>
      <c r="U7" s="3" t="s">
        <v>51</v>
      </c>
      <c r="V7" s="3" t="s">
        <v>145</v>
      </c>
      <c r="W7" s="14">
        <v>42982</v>
      </c>
      <c r="X7" s="15"/>
      <c r="Y7" s="15" t="s">
        <v>38</v>
      </c>
      <c r="Z7" s="16"/>
      <c r="AA7" s="16"/>
      <c r="AB7" s="16"/>
      <c r="AC7" s="16"/>
      <c r="AD7" s="16"/>
      <c r="AE7" s="16"/>
      <c r="AF7" s="16"/>
      <c r="AG7" s="16"/>
      <c r="AH7" s="16"/>
    </row>
    <row r="8" spans="1:16359" ht="15.6" x14ac:dyDescent="0.3">
      <c r="A8" s="1">
        <v>3</v>
      </c>
      <c r="B8" s="2" t="s">
        <v>25</v>
      </c>
      <c r="C8" s="19" t="s">
        <v>26</v>
      </c>
      <c r="D8" s="4" t="s">
        <v>277</v>
      </c>
      <c r="E8" s="5" t="s">
        <v>1372</v>
      </c>
      <c r="F8" s="6" t="s">
        <v>40</v>
      </c>
      <c r="G8" s="8" t="s">
        <v>278</v>
      </c>
      <c r="H8" s="7" t="s">
        <v>259</v>
      </c>
      <c r="I8" s="8" t="s">
        <v>279</v>
      </c>
      <c r="J8" s="9" t="s">
        <v>280</v>
      </c>
      <c r="K8" s="7" t="s">
        <v>96</v>
      </c>
      <c r="L8" s="10" t="s">
        <v>281</v>
      </c>
      <c r="M8" s="18"/>
      <c r="N8" s="3" t="s">
        <v>35</v>
      </c>
      <c r="O8" s="3" t="s">
        <v>166</v>
      </c>
      <c r="P8" s="20" t="s">
        <v>255</v>
      </c>
      <c r="Q8" s="21">
        <v>19542</v>
      </c>
      <c r="R8" s="13">
        <v>69.69315068493151</v>
      </c>
      <c r="S8" s="1" t="s">
        <v>34</v>
      </c>
      <c r="T8" s="3" t="s">
        <v>63</v>
      </c>
      <c r="U8" s="3" t="s">
        <v>62</v>
      </c>
      <c r="V8" s="3" t="s">
        <v>122</v>
      </c>
      <c r="W8" s="14">
        <v>42430</v>
      </c>
      <c r="X8" s="15"/>
      <c r="Y8" s="15" t="s">
        <v>65</v>
      </c>
      <c r="Z8" s="16"/>
      <c r="AA8" s="16"/>
      <c r="AB8" s="16"/>
      <c r="AC8" s="16"/>
      <c r="AD8" s="16"/>
      <c r="AE8" s="16"/>
      <c r="AF8" s="16"/>
      <c r="AG8" s="16"/>
      <c r="AH8" s="16"/>
    </row>
    <row r="9" spans="1:16359" ht="15.6" x14ac:dyDescent="0.3">
      <c r="A9" s="1">
        <v>3</v>
      </c>
      <c r="B9" s="2" t="s">
        <v>25</v>
      </c>
      <c r="C9" s="3" t="s">
        <v>299</v>
      </c>
      <c r="D9" s="4" t="s">
        <v>300</v>
      </c>
      <c r="E9" s="5" t="s">
        <v>1373</v>
      </c>
      <c r="F9" s="6" t="s">
        <v>40</v>
      </c>
      <c r="G9" s="8" t="s">
        <v>301</v>
      </c>
      <c r="H9" s="7" t="s">
        <v>259</v>
      </c>
      <c r="I9" s="8" t="s">
        <v>302</v>
      </c>
      <c r="J9" s="17" t="s">
        <v>303</v>
      </c>
      <c r="K9" s="7" t="s">
        <v>31</v>
      </c>
      <c r="L9" s="10" t="s">
        <v>304</v>
      </c>
      <c r="M9" s="11" t="s">
        <v>305</v>
      </c>
      <c r="N9" s="3" t="s">
        <v>89</v>
      </c>
      <c r="O9" s="3" t="s">
        <v>80</v>
      </c>
      <c r="P9" s="3" t="s">
        <v>181</v>
      </c>
      <c r="Q9" s="12">
        <v>36632</v>
      </c>
      <c r="R9" s="13">
        <v>22.87123287671233</v>
      </c>
      <c r="S9" s="1" t="s">
        <v>34</v>
      </c>
      <c r="T9" s="3" t="s">
        <v>32</v>
      </c>
      <c r="U9" s="3" t="s">
        <v>63</v>
      </c>
      <c r="V9" s="3" t="s">
        <v>64</v>
      </c>
      <c r="W9" s="14">
        <v>44931</v>
      </c>
      <c r="X9" s="15"/>
      <c r="Y9" s="15" t="s">
        <v>65</v>
      </c>
      <c r="Z9" s="16"/>
      <c r="AA9" s="16"/>
      <c r="AB9" s="16"/>
      <c r="AC9" s="16"/>
      <c r="AD9" s="16"/>
      <c r="AE9" s="16"/>
      <c r="AF9" s="16"/>
      <c r="AG9" s="16"/>
      <c r="AH9" s="16"/>
    </row>
  </sheetData>
  <autoFilter ref="A5:XEE5" xr:uid="{00000000-0009-0000-0000-000003000000}"/>
  <mergeCells count="17">
    <mergeCell ref="Q2:Q4"/>
    <mergeCell ref="A2:D3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P2"/>
    <mergeCell ref="S2:S4"/>
    <mergeCell ref="T2:V2"/>
    <mergeCell ref="W2:W4"/>
    <mergeCell ref="X2:X4"/>
    <mergeCell ref="Y2:Y4"/>
  </mergeCells>
  <hyperlinks>
    <hyperlink ref="M9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L84"/>
  <sheetViews>
    <sheetView workbookViewId="0">
      <selection activeCell="H11" sqref="H11"/>
    </sheetView>
  </sheetViews>
  <sheetFormatPr defaultRowHeight="14.4" x14ac:dyDescent="0.3"/>
  <cols>
    <col min="5" max="5" width="19.5546875" customWidth="1"/>
    <col min="6" max="6" width="12.6640625" customWidth="1"/>
    <col min="7" max="7" width="46.5546875" customWidth="1"/>
    <col min="8" max="8" width="20" customWidth="1"/>
    <col min="9" max="9" width="31" customWidth="1"/>
    <col min="10" max="12" width="14.33203125" customWidth="1"/>
  </cols>
  <sheetData>
    <row r="2" spans="1:64" x14ac:dyDescent="0.3">
      <c r="E2" s="121" t="s">
        <v>1738</v>
      </c>
    </row>
    <row r="3" spans="1:64" x14ac:dyDescent="0.3">
      <c r="E3" s="121"/>
    </row>
    <row r="4" spans="1:64" ht="28.8" x14ac:dyDescent="0.3">
      <c r="F4" s="121" t="s">
        <v>1737</v>
      </c>
      <c r="I4" s="121" t="s">
        <v>1879</v>
      </c>
      <c r="J4" s="121" t="s">
        <v>1881</v>
      </c>
      <c r="K4" s="185" t="s">
        <v>1991</v>
      </c>
      <c r="L4" s="185"/>
    </row>
    <row r="5" spans="1:64" x14ac:dyDescent="0.3">
      <c r="A5" s="471"/>
      <c r="B5" s="471"/>
      <c r="C5" s="471"/>
      <c r="D5" s="471"/>
      <c r="E5" s="469" t="s">
        <v>1875</v>
      </c>
      <c r="F5" s="125" t="s">
        <v>28</v>
      </c>
      <c r="G5" s="123" t="s">
        <v>147</v>
      </c>
      <c r="H5" s="126" t="s">
        <v>42</v>
      </c>
      <c r="I5" t="s">
        <v>1880</v>
      </c>
      <c r="J5" t="s">
        <v>1882</v>
      </c>
    </row>
    <row r="6" spans="1:64" x14ac:dyDescent="0.3">
      <c r="A6" s="471"/>
      <c r="B6" s="471"/>
      <c r="C6" s="471"/>
      <c r="D6" s="471"/>
      <c r="E6" s="469" t="s">
        <v>1876</v>
      </c>
      <c r="F6" s="125" t="s">
        <v>28</v>
      </c>
      <c r="G6" s="123" t="s">
        <v>179</v>
      </c>
      <c r="H6" s="126" t="s">
        <v>42</v>
      </c>
      <c r="I6" t="s">
        <v>1884</v>
      </c>
      <c r="J6" t="s">
        <v>1883</v>
      </c>
    </row>
    <row r="7" spans="1:64" x14ac:dyDescent="0.3">
      <c r="A7" s="471"/>
      <c r="B7" s="471"/>
      <c r="C7" s="471"/>
      <c r="D7" s="471"/>
      <c r="E7" s="158" t="s">
        <v>1990</v>
      </c>
      <c r="F7" s="159" t="s">
        <v>28</v>
      </c>
      <c r="G7" s="160" t="s">
        <v>290</v>
      </c>
      <c r="H7" s="161" t="s">
        <v>42</v>
      </c>
    </row>
    <row r="8" spans="1:64" s="91" customFormat="1" ht="29.25" customHeight="1" x14ac:dyDescent="0.3">
      <c r="A8" s="468"/>
      <c r="B8" s="468"/>
      <c r="C8" s="468" t="s">
        <v>2524</v>
      </c>
      <c r="D8" s="75"/>
      <c r="E8" s="470" t="s">
        <v>1875</v>
      </c>
      <c r="F8" s="452" t="s">
        <v>28</v>
      </c>
      <c r="G8" s="453" t="s">
        <v>1878</v>
      </c>
      <c r="H8" s="454" t="s">
        <v>42</v>
      </c>
      <c r="I8" s="453"/>
      <c r="J8" s="453"/>
      <c r="K8" s="453"/>
      <c r="L8" s="455"/>
      <c r="M8" s="454"/>
      <c r="N8" s="456"/>
      <c r="O8" s="457"/>
      <c r="P8" s="458"/>
      <c r="Q8" s="458"/>
      <c r="R8" s="458"/>
      <c r="S8" s="459"/>
      <c r="T8" s="460"/>
      <c r="U8" s="455"/>
      <c r="V8" s="458"/>
      <c r="W8" s="458"/>
      <c r="X8" s="458"/>
      <c r="Y8" s="461"/>
      <c r="Z8" s="451"/>
      <c r="AA8" s="462"/>
      <c r="AB8" s="463"/>
      <c r="AC8" s="464"/>
      <c r="AD8" s="465"/>
      <c r="AE8" s="465"/>
      <c r="AF8" s="466"/>
      <c r="AG8" s="465"/>
      <c r="AH8" s="465"/>
      <c r="AI8" s="465"/>
      <c r="AJ8" s="465"/>
      <c r="AK8" s="465"/>
      <c r="AL8" s="465"/>
      <c r="AM8" s="465"/>
      <c r="AN8" s="467"/>
      <c r="AO8" s="193"/>
      <c r="AP8" s="193"/>
      <c r="AQ8" s="193"/>
      <c r="AR8" s="193"/>
      <c r="AS8" s="193"/>
      <c r="AT8" s="193"/>
      <c r="AU8" s="193"/>
      <c r="AV8" s="193"/>
      <c r="AW8" s="193"/>
      <c r="AX8" s="193"/>
      <c r="AY8" s="193"/>
      <c r="AZ8" s="193"/>
      <c r="BA8" s="193"/>
      <c r="BB8" s="193"/>
      <c r="BC8" s="193"/>
      <c r="BD8" s="193"/>
      <c r="BE8" s="193"/>
      <c r="BF8" s="193"/>
      <c r="BG8" s="193"/>
      <c r="BH8" s="193"/>
      <c r="BI8" s="193"/>
      <c r="BJ8" s="193"/>
      <c r="BK8" s="193"/>
      <c r="BL8" s="193"/>
    </row>
    <row r="9" spans="1:64" s="468" customFormat="1" ht="29.25" customHeight="1" x14ac:dyDescent="0.3">
      <c r="C9" s="468" t="s">
        <v>2523</v>
      </c>
      <c r="D9" s="75"/>
      <c r="E9" s="95" t="s">
        <v>2522</v>
      </c>
      <c r="F9" s="68" t="s">
        <v>28</v>
      </c>
      <c r="G9" s="70" t="s">
        <v>67</v>
      </c>
      <c r="H9" s="69" t="s">
        <v>42</v>
      </c>
      <c r="I9" s="70"/>
      <c r="J9" s="295"/>
      <c r="K9" s="69"/>
      <c r="L9" s="71"/>
      <c r="M9" s="308"/>
      <c r="N9" s="110"/>
      <c r="O9" s="110"/>
      <c r="P9" s="110"/>
      <c r="Q9" s="147"/>
      <c r="R9" s="92"/>
      <c r="S9" s="67"/>
      <c r="T9" s="68"/>
      <c r="U9" s="68"/>
      <c r="V9" s="68"/>
      <c r="W9" s="148"/>
      <c r="X9" s="5"/>
      <c r="Y9" s="165"/>
      <c r="Z9" s="163"/>
      <c r="AA9" s="122"/>
      <c r="AB9" s="166"/>
      <c r="AC9" s="40"/>
      <c r="AD9" s="167"/>
      <c r="AE9" s="167"/>
      <c r="AF9" s="108"/>
      <c r="AG9" s="167"/>
      <c r="AH9" s="167"/>
      <c r="AI9" s="167"/>
      <c r="AJ9" s="167"/>
      <c r="AK9" s="167"/>
      <c r="AL9" s="167"/>
      <c r="AM9" s="167"/>
      <c r="AN9" s="167"/>
    </row>
    <row r="10" spans="1:64" s="468" customFormat="1" ht="29.25" customHeight="1" x14ac:dyDescent="0.3">
      <c r="C10" s="468" t="s">
        <v>2526</v>
      </c>
      <c r="D10" s="75"/>
      <c r="E10" s="163" t="s">
        <v>2525</v>
      </c>
      <c r="F10" s="68" t="s">
        <v>28</v>
      </c>
      <c r="G10" s="70" t="s">
        <v>150</v>
      </c>
      <c r="H10" s="69" t="s">
        <v>42</v>
      </c>
      <c r="I10" s="70"/>
      <c r="J10" s="70"/>
      <c r="K10" s="70"/>
      <c r="L10" s="67"/>
      <c r="M10" s="69"/>
      <c r="N10" s="71"/>
      <c r="O10" s="93"/>
      <c r="P10" s="68"/>
      <c r="Q10" s="68"/>
      <c r="R10" s="68"/>
      <c r="S10" s="164"/>
      <c r="T10" s="92"/>
      <c r="U10" s="67"/>
      <c r="V10" s="68"/>
      <c r="W10" s="68"/>
      <c r="X10" s="68"/>
      <c r="Y10" s="165"/>
      <c r="Z10" s="163"/>
      <c r="AA10" s="122"/>
      <c r="AB10" s="166"/>
      <c r="AC10" s="40"/>
      <c r="AD10" s="167"/>
      <c r="AE10" s="167"/>
      <c r="AF10" s="108"/>
      <c r="AG10" s="167"/>
      <c r="AH10" s="167"/>
      <c r="AI10" s="167"/>
      <c r="AJ10" s="167"/>
      <c r="AK10" s="167"/>
      <c r="AL10" s="167"/>
      <c r="AM10" s="167"/>
      <c r="AN10" s="167"/>
    </row>
    <row r="11" spans="1:64" s="468" customFormat="1" ht="29.25" customHeight="1" x14ac:dyDescent="0.3">
      <c r="C11" s="468" t="s">
        <v>2528</v>
      </c>
      <c r="D11" s="75"/>
      <c r="E11" s="163" t="s">
        <v>2527</v>
      </c>
      <c r="F11" s="68" t="s">
        <v>54</v>
      </c>
      <c r="G11" s="70" t="s">
        <v>168</v>
      </c>
      <c r="H11" s="69" t="s">
        <v>42</v>
      </c>
      <c r="I11" s="70"/>
      <c r="J11" s="70"/>
      <c r="K11" s="70"/>
      <c r="L11" s="67"/>
      <c r="M11" s="69"/>
      <c r="N11" s="71"/>
      <c r="O11" s="93"/>
      <c r="P11" s="68"/>
      <c r="Q11" s="68"/>
      <c r="R11" s="68"/>
      <c r="S11" s="164"/>
      <c r="T11" s="92"/>
      <c r="U11" s="67"/>
      <c r="V11" s="68"/>
      <c r="W11" s="68"/>
      <c r="X11" s="68"/>
      <c r="Y11" s="165"/>
      <c r="Z11" s="163"/>
      <c r="AA11" s="122"/>
      <c r="AB11" s="166"/>
      <c r="AC11" s="40"/>
      <c r="AD11" s="167"/>
      <c r="AE11" s="167"/>
      <c r="AF11" s="108"/>
      <c r="AG11" s="167"/>
      <c r="AH11" s="167"/>
      <c r="AI11" s="167"/>
      <c r="AJ11" s="167"/>
      <c r="AK11" s="167"/>
      <c r="AL11" s="167"/>
      <c r="AM11" s="167"/>
      <c r="AN11" s="167"/>
    </row>
    <row r="12" spans="1:64" s="468" customFormat="1" ht="18" customHeight="1" x14ac:dyDescent="0.3">
      <c r="D12" s="75"/>
      <c r="E12" s="163"/>
      <c r="F12" s="68"/>
      <c r="G12" s="70"/>
      <c r="H12" s="69"/>
      <c r="I12" s="70"/>
      <c r="J12" s="70"/>
      <c r="K12" s="70"/>
      <c r="L12" s="67"/>
      <c r="M12" s="69"/>
      <c r="N12" s="71"/>
      <c r="O12" s="93"/>
      <c r="P12" s="68"/>
      <c r="Q12" s="68"/>
      <c r="R12" s="68"/>
      <c r="S12" s="164"/>
      <c r="T12" s="92"/>
      <c r="U12" s="67"/>
      <c r="V12" s="68"/>
      <c r="W12" s="68"/>
      <c r="X12" s="68"/>
      <c r="Y12" s="165"/>
      <c r="Z12" s="163"/>
      <c r="AA12" s="122"/>
      <c r="AB12" s="166"/>
      <c r="AC12" s="40"/>
      <c r="AD12" s="167"/>
      <c r="AE12" s="167"/>
      <c r="AF12" s="108"/>
      <c r="AG12" s="167"/>
      <c r="AH12" s="167"/>
      <c r="AI12" s="167"/>
      <c r="AJ12" s="167"/>
      <c r="AK12" s="167"/>
      <c r="AL12" s="167"/>
      <c r="AM12" s="167"/>
      <c r="AN12" s="167"/>
    </row>
    <row r="13" spans="1:64" s="468" customFormat="1" ht="18" customHeight="1" x14ac:dyDescent="0.3">
      <c r="D13" s="75"/>
      <c r="E13" s="163"/>
      <c r="F13" s="68"/>
      <c r="G13" s="70"/>
      <c r="H13" s="69"/>
      <c r="I13" s="70"/>
      <c r="J13" s="70"/>
      <c r="K13" s="70"/>
      <c r="L13" s="67"/>
      <c r="M13" s="69"/>
      <c r="N13" s="71"/>
      <c r="O13" s="93"/>
      <c r="P13" s="68"/>
      <c r="Q13" s="68"/>
      <c r="R13" s="68"/>
      <c r="S13" s="164"/>
      <c r="T13" s="92"/>
      <c r="U13" s="67"/>
      <c r="V13" s="68"/>
      <c r="W13" s="68"/>
      <c r="X13" s="68"/>
      <c r="Y13" s="165"/>
      <c r="Z13" s="163"/>
      <c r="AA13" s="122"/>
      <c r="AB13" s="166"/>
      <c r="AC13" s="40"/>
      <c r="AD13" s="167"/>
      <c r="AE13" s="167"/>
      <c r="AF13" s="108"/>
      <c r="AG13" s="167"/>
      <c r="AH13" s="167"/>
      <c r="AI13" s="167"/>
      <c r="AJ13" s="167"/>
      <c r="AK13" s="167"/>
      <c r="AL13" s="167"/>
      <c r="AM13" s="167"/>
      <c r="AN13" s="167"/>
    </row>
    <row r="14" spans="1:64" s="468" customFormat="1" ht="18" customHeight="1" x14ac:dyDescent="0.3">
      <c r="D14" s="75"/>
      <c r="E14" s="163"/>
      <c r="F14" s="68"/>
      <c r="G14" s="70"/>
      <c r="H14" s="69"/>
      <c r="I14" s="70"/>
      <c r="J14" s="70"/>
      <c r="K14" s="70"/>
      <c r="L14" s="67"/>
      <c r="M14" s="69"/>
      <c r="N14" s="71"/>
      <c r="O14" s="93"/>
      <c r="P14" s="68"/>
      <c r="Q14" s="68"/>
      <c r="R14" s="68"/>
      <c r="S14" s="164"/>
      <c r="T14" s="92"/>
      <c r="U14" s="67"/>
      <c r="V14" s="68"/>
      <c r="W14" s="68"/>
      <c r="X14" s="68"/>
      <c r="Y14" s="165"/>
      <c r="Z14" s="163"/>
      <c r="AA14" s="122"/>
      <c r="AB14" s="166"/>
      <c r="AC14" s="40"/>
      <c r="AD14" s="167"/>
      <c r="AE14" s="167"/>
      <c r="AF14" s="108"/>
      <c r="AG14" s="167"/>
      <c r="AH14" s="167"/>
      <c r="AI14" s="167"/>
      <c r="AJ14" s="167"/>
      <c r="AK14" s="167"/>
      <c r="AL14" s="167"/>
      <c r="AM14" s="167"/>
      <c r="AN14" s="167"/>
    </row>
    <row r="15" spans="1:64" s="468" customFormat="1" ht="18" customHeight="1" x14ac:dyDescent="0.3">
      <c r="D15" s="75"/>
      <c r="E15" s="163"/>
      <c r="F15" s="68"/>
      <c r="G15" s="70"/>
      <c r="H15" s="69"/>
      <c r="I15" s="70"/>
      <c r="J15" s="70"/>
      <c r="K15" s="70"/>
      <c r="L15" s="67"/>
      <c r="M15" s="69"/>
      <c r="N15" s="71"/>
      <c r="O15" s="93"/>
      <c r="P15" s="68"/>
      <c r="Q15" s="68"/>
      <c r="R15" s="68"/>
      <c r="S15" s="164"/>
      <c r="T15" s="92"/>
      <c r="U15" s="67"/>
      <c r="V15" s="68"/>
      <c r="W15" s="68"/>
      <c r="X15" s="68"/>
      <c r="Y15" s="165"/>
      <c r="Z15" s="163"/>
      <c r="AA15" s="122"/>
      <c r="AB15" s="166"/>
      <c r="AC15" s="40"/>
      <c r="AD15" s="167"/>
      <c r="AE15" s="167"/>
      <c r="AF15" s="108"/>
      <c r="AG15" s="167"/>
      <c r="AH15" s="167"/>
      <c r="AI15" s="167"/>
      <c r="AJ15" s="167"/>
      <c r="AK15" s="167"/>
      <c r="AL15" s="167"/>
      <c r="AM15" s="167"/>
      <c r="AN15" s="167"/>
    </row>
    <row r="16" spans="1:64" s="468" customFormat="1" ht="18" customHeight="1" x14ac:dyDescent="0.3">
      <c r="D16" s="75"/>
      <c r="E16" s="163"/>
      <c r="F16" s="68"/>
      <c r="G16" s="70"/>
      <c r="H16" s="69"/>
      <c r="I16" s="70"/>
      <c r="J16" s="70"/>
      <c r="K16" s="70"/>
      <c r="L16" s="67"/>
      <c r="M16" s="69"/>
      <c r="N16" s="71"/>
      <c r="O16" s="93"/>
      <c r="P16" s="68"/>
      <c r="Q16" s="68"/>
      <c r="R16" s="68"/>
      <c r="S16" s="164"/>
      <c r="T16" s="92"/>
      <c r="U16" s="67"/>
      <c r="V16" s="68"/>
      <c r="W16" s="68"/>
      <c r="X16" s="68"/>
      <c r="Y16" s="165"/>
      <c r="Z16" s="163"/>
      <c r="AA16" s="122"/>
      <c r="AB16" s="166"/>
      <c r="AC16" s="40"/>
      <c r="AD16" s="167"/>
      <c r="AE16" s="167"/>
      <c r="AF16" s="108"/>
      <c r="AG16" s="167"/>
      <c r="AH16" s="167"/>
      <c r="AI16" s="167"/>
      <c r="AJ16" s="167"/>
      <c r="AK16" s="167"/>
      <c r="AL16" s="167"/>
      <c r="AM16" s="167"/>
      <c r="AN16" s="167"/>
    </row>
    <row r="17" spans="1:62" x14ac:dyDescent="0.3">
      <c r="E17" s="158"/>
      <c r="F17" s="159"/>
      <c r="G17" s="160"/>
      <c r="H17" s="161"/>
    </row>
    <row r="18" spans="1:62" x14ac:dyDescent="0.3">
      <c r="E18" s="158"/>
      <c r="F18" s="159"/>
      <c r="G18" s="160"/>
      <c r="H18" s="161"/>
    </row>
    <row r="19" spans="1:62" x14ac:dyDescent="0.3">
      <c r="E19" s="158"/>
      <c r="F19" s="159"/>
      <c r="G19" s="160"/>
      <c r="H19" s="161"/>
    </row>
    <row r="20" spans="1:62" x14ac:dyDescent="0.3">
      <c r="E20" s="158"/>
      <c r="F20" s="162" t="s">
        <v>1877</v>
      </c>
      <c r="G20" s="160"/>
      <c r="H20" s="161"/>
    </row>
    <row r="21" spans="1:62" x14ac:dyDescent="0.3">
      <c r="E21" s="90" t="s">
        <v>1731</v>
      </c>
      <c r="F21" t="s">
        <v>28</v>
      </c>
      <c r="G21" t="s">
        <v>760</v>
      </c>
      <c r="H21" t="s">
        <v>42</v>
      </c>
    </row>
    <row r="22" spans="1:62" x14ac:dyDescent="0.3">
      <c r="E22" s="90" t="s">
        <v>1732</v>
      </c>
      <c r="F22" t="s">
        <v>54</v>
      </c>
      <c r="G22" t="s">
        <v>821</v>
      </c>
      <c r="H22" t="s">
        <v>816</v>
      </c>
    </row>
    <row r="23" spans="1:62" x14ac:dyDescent="0.3">
      <c r="E23" s="90" t="s">
        <v>1733</v>
      </c>
      <c r="F23" t="s">
        <v>54</v>
      </c>
      <c r="G23" t="s">
        <v>1734</v>
      </c>
    </row>
    <row r="24" spans="1:62" x14ac:dyDescent="0.3">
      <c r="E24" s="90" t="s">
        <v>1735</v>
      </c>
      <c r="F24" t="s">
        <v>54</v>
      </c>
      <c r="G24" t="s">
        <v>895</v>
      </c>
      <c r="H24" t="s">
        <v>42</v>
      </c>
    </row>
    <row r="25" spans="1:62" x14ac:dyDescent="0.3">
      <c r="E25" s="90" t="s">
        <v>1736</v>
      </c>
      <c r="F25" t="s">
        <v>40</v>
      </c>
      <c r="G25" t="s">
        <v>971</v>
      </c>
      <c r="H25" t="s">
        <v>947</v>
      </c>
    </row>
    <row r="26" spans="1:62" x14ac:dyDescent="0.3">
      <c r="E26" s="90" t="s">
        <v>2032</v>
      </c>
      <c r="F26" t="s">
        <v>54</v>
      </c>
      <c r="G26" t="s">
        <v>1971</v>
      </c>
      <c r="H26" t="s">
        <v>42</v>
      </c>
      <c r="I26" t="s">
        <v>1972</v>
      </c>
      <c r="J26" t="s">
        <v>1973</v>
      </c>
      <c r="K26" t="s">
        <v>96</v>
      </c>
      <c r="L26" t="s">
        <v>1974</v>
      </c>
      <c r="M26" t="s">
        <v>1975</v>
      </c>
    </row>
    <row r="27" spans="1:62" s="233" customFormat="1" ht="31.5" customHeight="1" x14ac:dyDescent="0.3">
      <c r="A27" s="211">
        <v>1</v>
      </c>
      <c r="B27" s="212" t="s">
        <v>306</v>
      </c>
      <c r="C27" s="213" t="s">
        <v>377</v>
      </c>
      <c r="D27" s="214" t="s">
        <v>289</v>
      </c>
      <c r="E27" s="215" t="str">
        <f t="shared" ref="E27:E64" si="0">CONCATENATE(A27,"/",B27,"/",C27,"/",D27)</f>
        <v>1/052/007/0035</v>
      </c>
      <c r="F27" s="216"/>
      <c r="G27" s="217" t="s">
        <v>354</v>
      </c>
      <c r="H27" s="218" t="s">
        <v>332</v>
      </c>
      <c r="I27" s="219" t="s">
        <v>355</v>
      </c>
      <c r="J27" s="220" t="s">
        <v>356</v>
      </c>
      <c r="K27" s="218" t="s">
        <v>311</v>
      </c>
      <c r="L27" s="221" t="s">
        <v>357</v>
      </c>
      <c r="M27" s="222" t="s">
        <v>358</v>
      </c>
      <c r="N27" s="213" t="s">
        <v>114</v>
      </c>
      <c r="O27" s="213" t="s">
        <v>36</v>
      </c>
      <c r="P27" s="213" t="s">
        <v>359</v>
      </c>
      <c r="Q27" s="223">
        <f t="shared" ref="Q27:Q64" si="1">DATE(P27,O27,N27)</f>
        <v>25856</v>
      </c>
      <c r="R27" s="224">
        <f ca="1">(Academic!$G$7-Q27)/365</f>
        <v>55.263013698630139</v>
      </c>
      <c r="S27" s="215" t="s">
        <v>50</v>
      </c>
      <c r="T27" s="213" t="s">
        <v>203</v>
      </c>
      <c r="U27" s="213" t="s">
        <v>360</v>
      </c>
      <c r="V27" s="213" t="s">
        <v>37</v>
      </c>
      <c r="W27" s="225">
        <f t="shared" ref="W27:W55" si="2">DATE(V27,U27,T27)</f>
        <v>44703</v>
      </c>
      <c r="X27" s="5"/>
      <c r="Y27" s="115" t="s">
        <v>38</v>
      </c>
      <c r="Z27" s="227">
        <f t="shared" ref="Z27:Z64" ca="1" si="3">DATEDIF(W27,TODAY(),"Y")</f>
        <v>3</v>
      </c>
      <c r="AA27" s="228">
        <f t="shared" ref="AA27:AA64" ca="1" si="4">DATEDIF(W27,TODAY(),"YM")</f>
        <v>7</v>
      </c>
      <c r="AB27" s="228">
        <f t="shared" ref="AB27:AB64" ca="1" si="5">DATEDIF(W27,TODAY(),"MD")</f>
        <v>14</v>
      </c>
      <c r="AC27" s="229" t="str">
        <f t="shared" ref="AC27:AC64" ca="1" si="6">CONCATENATE(Z27,"Years","/",,AA27,"Months","/",AB27,"Days")</f>
        <v>3Years/7Months/14Days</v>
      </c>
      <c r="AD27" s="230">
        <f t="shared" ref="AD27:AD64" si="7">(DATE(P27,O27,N27)+21915)</f>
        <v>47771</v>
      </c>
      <c r="AE27" s="229">
        <f t="shared" ref="AE27:AE64" ca="1" si="8">DATEDIF(TODAY(),AD27,"Y")</f>
        <v>4</v>
      </c>
      <c r="AF27" s="229">
        <f t="shared" ref="AF27:AF64" ca="1" si="9">DATEDIF(TODAY(),AD27,"YM")</f>
        <v>9</v>
      </c>
      <c r="AG27" s="229">
        <f t="shared" ref="AG27:AG64" ca="1" si="10">DATEDIF(TODAY(),AD27,"MD")</f>
        <v>10</v>
      </c>
      <c r="AH27" s="229" t="str">
        <f t="shared" ref="AH27:AH64" ca="1" si="11">CONCATENATE(AE27,"Years","/",AF27,"Months","/",AG27,"Days")</f>
        <v>4Years/9Months/10Days</v>
      </c>
      <c r="AI27" s="229" t="str">
        <f t="shared" ref="AI27:AI64" si="12">CONCATENATE(AJ27,"years", " ",",", " ",AK27,"months ","and"," ",AL27,"days")</f>
        <v>8years , 4months and 23days</v>
      </c>
      <c r="AJ27" s="211">
        <f t="shared" ref="AJ27:AJ64" si="13">DATEDIF(W27,AD27,"Y")</f>
        <v>8</v>
      </c>
      <c r="AK27" s="211">
        <f t="shared" ref="AK27:AK64" si="14">DATEDIF(W27,AD27,"YM")</f>
        <v>4</v>
      </c>
      <c r="AL27" s="231">
        <f t="shared" ref="AL27:AL64" si="15">DATEDIF(W27,AD27,"MD")</f>
        <v>23</v>
      </c>
      <c r="AM27" s="232"/>
      <c r="AN27" s="232"/>
      <c r="AO27" s="232"/>
      <c r="AP27" s="232"/>
      <c r="AQ27" s="232"/>
      <c r="AR27" s="232"/>
      <c r="AS27" s="232"/>
      <c r="AT27" s="232"/>
      <c r="AU27" s="232"/>
      <c r="AV27" s="232"/>
      <c r="AW27" s="232"/>
      <c r="AX27" s="232"/>
      <c r="AY27" s="232"/>
      <c r="AZ27" s="232"/>
      <c r="BA27" s="232"/>
      <c r="BB27" s="232"/>
      <c r="BC27" s="232"/>
      <c r="BD27" s="232"/>
      <c r="BE27" s="232"/>
      <c r="BF27" s="232"/>
      <c r="BG27" s="232"/>
      <c r="BH27" s="232"/>
      <c r="BI27" s="232"/>
      <c r="BJ27" s="232"/>
    </row>
    <row r="28" spans="1:62" s="233" customFormat="1" ht="31.5" customHeight="1" x14ac:dyDescent="0.3">
      <c r="A28" s="211">
        <v>1</v>
      </c>
      <c r="B28" s="212" t="s">
        <v>306</v>
      </c>
      <c r="C28" s="213" t="s">
        <v>384</v>
      </c>
      <c r="D28" s="214" t="s">
        <v>291</v>
      </c>
      <c r="E28" s="215" t="str">
        <f t="shared" si="0"/>
        <v>1/052/008/0036</v>
      </c>
      <c r="F28" s="216"/>
      <c r="G28" s="217" t="s">
        <v>363</v>
      </c>
      <c r="H28" s="218" t="s">
        <v>332</v>
      </c>
      <c r="I28" s="226" t="s">
        <v>364</v>
      </c>
      <c r="J28" s="220" t="s">
        <v>365</v>
      </c>
      <c r="K28" s="218" t="s">
        <v>311</v>
      </c>
      <c r="L28" s="221" t="s">
        <v>366</v>
      </c>
      <c r="M28" s="222" t="s">
        <v>367</v>
      </c>
      <c r="N28" s="213" t="s">
        <v>60</v>
      </c>
      <c r="O28" s="213" t="s">
        <v>360</v>
      </c>
      <c r="P28" s="213" t="s">
        <v>121</v>
      </c>
      <c r="Q28" s="223">
        <f t="shared" si="1"/>
        <v>31543</v>
      </c>
      <c r="R28" s="224">
        <f ca="1">(Academic!$G$7-Q28)/365</f>
        <v>39.682191780821917</v>
      </c>
      <c r="S28" s="215" t="s">
        <v>50</v>
      </c>
      <c r="T28" s="213" t="s">
        <v>327</v>
      </c>
      <c r="U28" s="213" t="s">
        <v>368</v>
      </c>
      <c r="V28" s="213" t="s">
        <v>37</v>
      </c>
      <c r="W28" s="225">
        <f t="shared" si="2"/>
        <v>44774</v>
      </c>
      <c r="X28" s="5"/>
      <c r="Y28" s="115" t="s">
        <v>38</v>
      </c>
      <c r="Z28" s="227">
        <f t="shared" ca="1" si="3"/>
        <v>3</v>
      </c>
      <c r="AA28" s="228">
        <f t="shared" ca="1" si="4"/>
        <v>5</v>
      </c>
      <c r="AB28" s="228">
        <f t="shared" ca="1" si="5"/>
        <v>4</v>
      </c>
      <c r="AC28" s="229" t="str">
        <f t="shared" ca="1" si="6"/>
        <v>3Years/5Months/4Days</v>
      </c>
      <c r="AD28" s="230">
        <f t="shared" si="7"/>
        <v>53458</v>
      </c>
      <c r="AE28" s="229">
        <f t="shared" ca="1" si="8"/>
        <v>20</v>
      </c>
      <c r="AF28" s="229">
        <f t="shared" ca="1" si="9"/>
        <v>4</v>
      </c>
      <c r="AG28" s="229">
        <f t="shared" ca="1" si="10"/>
        <v>6</v>
      </c>
      <c r="AH28" s="229" t="str">
        <f t="shared" ca="1" si="11"/>
        <v>20Years/4Months/6Days</v>
      </c>
      <c r="AI28" s="229" t="str">
        <f t="shared" si="12"/>
        <v>23years , 9months and 10days</v>
      </c>
      <c r="AJ28" s="211">
        <f t="shared" si="13"/>
        <v>23</v>
      </c>
      <c r="AK28" s="211">
        <f t="shared" si="14"/>
        <v>9</v>
      </c>
      <c r="AL28" s="231">
        <f t="shared" si="15"/>
        <v>10</v>
      </c>
      <c r="AM28" s="232"/>
      <c r="AN28" s="232"/>
      <c r="AO28" s="232"/>
      <c r="AP28" s="232"/>
      <c r="AQ28" s="232"/>
      <c r="AR28" s="232"/>
      <c r="AS28" s="232"/>
      <c r="AT28" s="232"/>
      <c r="AU28" s="232"/>
      <c r="AV28" s="232"/>
      <c r="AW28" s="232"/>
      <c r="AX28" s="232"/>
      <c r="AY28" s="232"/>
      <c r="AZ28" s="232"/>
      <c r="BA28" s="232"/>
      <c r="BB28" s="232"/>
      <c r="BC28" s="232"/>
      <c r="BD28" s="232"/>
      <c r="BE28" s="232"/>
      <c r="BF28" s="232"/>
      <c r="BG28" s="232"/>
      <c r="BH28" s="232"/>
      <c r="BI28" s="232"/>
      <c r="BJ28" s="232"/>
    </row>
    <row r="29" spans="1:62" s="233" customFormat="1" ht="31.5" customHeight="1" x14ac:dyDescent="0.3">
      <c r="A29" s="211">
        <v>1</v>
      </c>
      <c r="B29" s="212" t="s">
        <v>306</v>
      </c>
      <c r="C29" s="213" t="s">
        <v>1375</v>
      </c>
      <c r="D29" s="214" t="s">
        <v>307</v>
      </c>
      <c r="E29" s="215" t="str">
        <f t="shared" si="0"/>
        <v>1/052/010/0038</v>
      </c>
      <c r="F29" s="216"/>
      <c r="G29" s="217" t="s">
        <v>379</v>
      </c>
      <c r="H29" s="218" t="s">
        <v>332</v>
      </c>
      <c r="I29" s="226" t="s">
        <v>380</v>
      </c>
      <c r="J29" s="220" t="s">
        <v>381</v>
      </c>
      <c r="K29" s="218" t="s">
        <v>96</v>
      </c>
      <c r="L29" s="221" t="s">
        <v>382</v>
      </c>
      <c r="M29" s="222" t="s">
        <v>383</v>
      </c>
      <c r="N29" s="213" t="s">
        <v>288</v>
      </c>
      <c r="O29" s="213" t="s">
        <v>368</v>
      </c>
      <c r="P29" s="213" t="s">
        <v>71</v>
      </c>
      <c r="Q29" s="223">
        <f t="shared" si="1"/>
        <v>30190</v>
      </c>
      <c r="R29" s="224">
        <f ca="1">(Academic!$G$7-Q29)/365</f>
        <v>43.389041095890413</v>
      </c>
      <c r="S29" s="215" t="s">
        <v>34</v>
      </c>
      <c r="T29" s="213" t="s">
        <v>79</v>
      </c>
      <c r="U29" s="213" t="s">
        <v>324</v>
      </c>
      <c r="V29" s="213" t="s">
        <v>37</v>
      </c>
      <c r="W29" s="225">
        <f t="shared" si="2"/>
        <v>44679</v>
      </c>
      <c r="X29" s="5"/>
      <c r="Y29" s="115" t="s">
        <v>38</v>
      </c>
      <c r="Z29" s="227">
        <f t="shared" ca="1" si="3"/>
        <v>3</v>
      </c>
      <c r="AA29" s="228">
        <f t="shared" ca="1" si="4"/>
        <v>8</v>
      </c>
      <c r="AB29" s="228">
        <f t="shared" ca="1" si="5"/>
        <v>8</v>
      </c>
      <c r="AC29" s="229" t="str">
        <f t="shared" ca="1" si="6"/>
        <v>3Years/8Months/8Days</v>
      </c>
      <c r="AD29" s="230">
        <f t="shared" si="7"/>
        <v>52105</v>
      </c>
      <c r="AE29" s="229">
        <f t="shared" ca="1" si="8"/>
        <v>16</v>
      </c>
      <c r="AF29" s="229">
        <f t="shared" ca="1" si="9"/>
        <v>7</v>
      </c>
      <c r="AG29" s="229">
        <f t="shared" ca="1" si="10"/>
        <v>22</v>
      </c>
      <c r="AH29" s="229" t="str">
        <f t="shared" ca="1" si="11"/>
        <v>16Years/7Months/22Days</v>
      </c>
      <c r="AI29" s="229" t="str">
        <f t="shared" si="12"/>
        <v>20years , 3months and 30days</v>
      </c>
      <c r="AJ29" s="211">
        <f t="shared" si="13"/>
        <v>20</v>
      </c>
      <c r="AK29" s="211">
        <f t="shared" si="14"/>
        <v>3</v>
      </c>
      <c r="AL29" s="231">
        <f t="shared" si="15"/>
        <v>30</v>
      </c>
      <c r="AM29" s="232"/>
      <c r="AN29" s="232"/>
      <c r="AO29" s="232"/>
      <c r="AP29" s="232"/>
      <c r="AQ29" s="232"/>
      <c r="AR29" s="232"/>
      <c r="AS29" s="232"/>
      <c r="AT29" s="232"/>
      <c r="AU29" s="232"/>
      <c r="AV29" s="232"/>
      <c r="AW29" s="232"/>
      <c r="AX29" s="232"/>
      <c r="AY29" s="232"/>
      <c r="AZ29" s="232"/>
      <c r="BA29" s="232"/>
      <c r="BB29" s="232"/>
      <c r="BC29" s="232"/>
      <c r="BD29" s="232"/>
      <c r="BE29" s="232"/>
      <c r="BF29" s="232"/>
      <c r="BG29" s="232"/>
      <c r="BH29" s="232"/>
      <c r="BI29" s="232"/>
      <c r="BJ29" s="232"/>
    </row>
    <row r="30" spans="1:62" s="233" customFormat="1" ht="31.5" customHeight="1" x14ac:dyDescent="0.3">
      <c r="A30" s="211">
        <v>1</v>
      </c>
      <c r="B30" s="212" t="s">
        <v>306</v>
      </c>
      <c r="C30" s="213" t="s">
        <v>1379</v>
      </c>
      <c r="D30" s="214" t="s">
        <v>346</v>
      </c>
      <c r="E30" s="215" t="str">
        <f t="shared" si="0"/>
        <v>1/052/015/0043</v>
      </c>
      <c r="F30" s="216"/>
      <c r="G30" s="217" t="s">
        <v>415</v>
      </c>
      <c r="H30" s="218" t="s">
        <v>42</v>
      </c>
      <c r="I30" s="234" t="s">
        <v>416</v>
      </c>
      <c r="J30" s="220" t="s">
        <v>417</v>
      </c>
      <c r="K30" s="218" t="s">
        <v>311</v>
      </c>
      <c r="L30" s="221" t="s">
        <v>418</v>
      </c>
      <c r="M30" s="222" t="s">
        <v>419</v>
      </c>
      <c r="N30" s="213" t="s">
        <v>36</v>
      </c>
      <c r="O30" s="213" t="s">
        <v>60</v>
      </c>
      <c r="P30" s="213" t="s">
        <v>204</v>
      </c>
      <c r="Q30" s="223">
        <f t="shared" si="1"/>
        <v>27708</v>
      </c>
      <c r="R30" s="224">
        <f ca="1">(Academic!$G$7-Q30)/365</f>
        <v>50.18904109589041</v>
      </c>
      <c r="S30" s="215" t="s">
        <v>50</v>
      </c>
      <c r="T30" s="213" t="s">
        <v>327</v>
      </c>
      <c r="U30" s="213" t="s">
        <v>412</v>
      </c>
      <c r="V30" s="213" t="s">
        <v>420</v>
      </c>
      <c r="W30" s="225">
        <f t="shared" si="2"/>
        <v>38384</v>
      </c>
      <c r="X30" s="5" t="s">
        <v>38</v>
      </c>
      <c r="Y30" s="115"/>
      <c r="Z30" s="227">
        <f t="shared" ca="1" si="3"/>
        <v>20</v>
      </c>
      <c r="AA30" s="228">
        <f t="shared" ca="1" si="4"/>
        <v>11</v>
      </c>
      <c r="AB30" s="228">
        <f t="shared" ca="1" si="5"/>
        <v>4</v>
      </c>
      <c r="AC30" s="229" t="str">
        <f t="shared" ca="1" si="6"/>
        <v>20Years/11Months/4Days</v>
      </c>
      <c r="AD30" s="230">
        <f t="shared" si="7"/>
        <v>49623</v>
      </c>
      <c r="AE30" s="229">
        <f t="shared" ca="1" si="8"/>
        <v>9</v>
      </c>
      <c r="AF30" s="229">
        <f t="shared" ca="1" si="9"/>
        <v>10</v>
      </c>
      <c r="AG30" s="229">
        <f t="shared" ca="1" si="10"/>
        <v>5</v>
      </c>
      <c r="AH30" s="229" t="str">
        <f t="shared" ca="1" si="11"/>
        <v>9Years/10Months/5Days</v>
      </c>
      <c r="AI30" s="229" t="str">
        <f t="shared" si="12"/>
        <v>30years , 9months and 9days</v>
      </c>
      <c r="AJ30" s="211">
        <f t="shared" si="13"/>
        <v>30</v>
      </c>
      <c r="AK30" s="211">
        <f t="shared" si="14"/>
        <v>9</v>
      </c>
      <c r="AL30" s="231">
        <f t="shared" si="15"/>
        <v>9</v>
      </c>
      <c r="AM30" s="232"/>
      <c r="AN30" s="232"/>
      <c r="AO30" s="232"/>
      <c r="AP30" s="232"/>
      <c r="AQ30" s="232"/>
      <c r="AR30" s="232"/>
      <c r="AS30" s="232"/>
      <c r="AT30" s="232"/>
      <c r="AU30" s="232"/>
      <c r="AV30" s="232"/>
      <c r="AW30" s="232"/>
      <c r="AX30" s="232"/>
      <c r="AY30" s="232"/>
      <c r="AZ30" s="232"/>
      <c r="BA30" s="232"/>
      <c r="BB30" s="232"/>
      <c r="BC30" s="232"/>
      <c r="BD30" s="232"/>
      <c r="BE30" s="232"/>
      <c r="BF30" s="232"/>
      <c r="BG30" s="232"/>
      <c r="BH30" s="232"/>
      <c r="BI30" s="232"/>
      <c r="BJ30" s="232"/>
    </row>
    <row r="31" spans="1:62" s="233" customFormat="1" ht="31.5" customHeight="1" x14ac:dyDescent="0.3">
      <c r="A31" s="211">
        <v>1</v>
      </c>
      <c r="B31" s="212" t="s">
        <v>306</v>
      </c>
      <c r="C31" s="213" t="s">
        <v>1384</v>
      </c>
      <c r="D31" s="214" t="s">
        <v>399</v>
      </c>
      <c r="E31" s="215" t="str">
        <f t="shared" si="0"/>
        <v>1/052/022/0050</v>
      </c>
      <c r="F31" s="216"/>
      <c r="G31" s="217" t="s">
        <v>461</v>
      </c>
      <c r="H31" s="218" t="s">
        <v>42</v>
      </c>
      <c r="I31" s="234" t="s">
        <v>462</v>
      </c>
      <c r="J31" s="220" t="s">
        <v>463</v>
      </c>
      <c r="K31" s="218" t="s">
        <v>96</v>
      </c>
      <c r="L31" s="221" t="s">
        <v>464</v>
      </c>
      <c r="M31" s="222" t="s">
        <v>465</v>
      </c>
      <c r="N31" s="213" t="s">
        <v>47</v>
      </c>
      <c r="O31" s="213" t="s">
        <v>70</v>
      </c>
      <c r="P31" s="213" t="s">
        <v>71</v>
      </c>
      <c r="Q31" s="223">
        <f t="shared" si="1"/>
        <v>30314</v>
      </c>
      <c r="R31" s="224">
        <f ca="1">(Academic!$G$7-Q31)/365</f>
        <v>43.049315068493151</v>
      </c>
      <c r="S31" s="215" t="s">
        <v>50</v>
      </c>
      <c r="T31" s="213" t="s">
        <v>114</v>
      </c>
      <c r="U31" s="213" t="s">
        <v>337</v>
      </c>
      <c r="V31" s="213" t="s">
        <v>466</v>
      </c>
      <c r="W31" s="225">
        <f t="shared" si="2"/>
        <v>39706</v>
      </c>
      <c r="X31" s="5" t="s">
        <v>38</v>
      </c>
      <c r="Y31" s="115"/>
      <c r="Z31" s="227">
        <f t="shared" ca="1" si="3"/>
        <v>17</v>
      </c>
      <c r="AA31" s="228">
        <f t="shared" ca="1" si="4"/>
        <v>3</v>
      </c>
      <c r="AB31" s="228">
        <f t="shared" ca="1" si="5"/>
        <v>21</v>
      </c>
      <c r="AC31" s="229" t="str">
        <f t="shared" ca="1" si="6"/>
        <v>17Years/3Months/21Days</v>
      </c>
      <c r="AD31" s="230">
        <f t="shared" si="7"/>
        <v>52229</v>
      </c>
      <c r="AE31" s="229">
        <f t="shared" ca="1" si="8"/>
        <v>16</v>
      </c>
      <c r="AF31" s="229">
        <f t="shared" ca="1" si="9"/>
        <v>11</v>
      </c>
      <c r="AG31" s="229">
        <f t="shared" ca="1" si="10"/>
        <v>24</v>
      </c>
      <c r="AH31" s="229" t="str">
        <f t="shared" ca="1" si="11"/>
        <v>16Years/11Months/24Days</v>
      </c>
      <c r="AI31" s="229" t="str">
        <f t="shared" si="12"/>
        <v>34years , 3months and 14days</v>
      </c>
      <c r="AJ31" s="211">
        <f t="shared" si="13"/>
        <v>34</v>
      </c>
      <c r="AK31" s="211">
        <f t="shared" si="14"/>
        <v>3</v>
      </c>
      <c r="AL31" s="231">
        <f t="shared" si="15"/>
        <v>14</v>
      </c>
      <c r="AM31" s="232"/>
      <c r="AN31" s="232"/>
      <c r="AO31" s="232"/>
      <c r="AP31" s="232"/>
      <c r="AQ31" s="232"/>
      <c r="AR31" s="232"/>
      <c r="AS31" s="232"/>
      <c r="AT31" s="232"/>
      <c r="AU31" s="232"/>
      <c r="AV31" s="232"/>
      <c r="AW31" s="232"/>
      <c r="AX31" s="232"/>
      <c r="AY31" s="232"/>
      <c r="AZ31" s="232"/>
      <c r="BA31" s="232"/>
      <c r="BB31" s="232"/>
      <c r="BC31" s="232"/>
      <c r="BD31" s="232"/>
      <c r="BE31" s="232"/>
      <c r="BF31" s="232"/>
      <c r="BG31" s="232"/>
      <c r="BH31" s="232"/>
      <c r="BI31" s="232"/>
      <c r="BJ31" s="232"/>
    </row>
    <row r="32" spans="1:62" s="233" customFormat="1" ht="31.5" customHeight="1" x14ac:dyDescent="0.3">
      <c r="A32" s="211">
        <v>1</v>
      </c>
      <c r="B32" s="212" t="s">
        <v>306</v>
      </c>
      <c r="C32" s="213" t="s">
        <v>1391</v>
      </c>
      <c r="D32" s="214" t="s">
        <v>453</v>
      </c>
      <c r="E32" s="215" t="str">
        <f t="shared" si="0"/>
        <v>1/052/030/0058</v>
      </c>
      <c r="F32" s="216"/>
      <c r="G32" s="217" t="s">
        <v>514</v>
      </c>
      <c r="H32" s="218" t="s">
        <v>42</v>
      </c>
      <c r="I32" s="234" t="s">
        <v>515</v>
      </c>
      <c r="J32" s="220" t="s">
        <v>516</v>
      </c>
      <c r="K32" s="218" t="s">
        <v>311</v>
      </c>
      <c r="L32" s="221" t="s">
        <v>517</v>
      </c>
      <c r="M32" s="222" t="s">
        <v>518</v>
      </c>
      <c r="N32" s="213" t="s">
        <v>89</v>
      </c>
      <c r="O32" s="213" t="s">
        <v>36</v>
      </c>
      <c r="P32" s="213" t="s">
        <v>71</v>
      </c>
      <c r="Q32" s="223">
        <f t="shared" si="1"/>
        <v>30240</v>
      </c>
      <c r="R32" s="224">
        <f ca="1">(Academic!$G$7-Q32)/365</f>
        <v>43.252054794520546</v>
      </c>
      <c r="S32" s="215" t="s">
        <v>34</v>
      </c>
      <c r="T32" s="213" t="s">
        <v>327</v>
      </c>
      <c r="U32" s="213" t="s">
        <v>337</v>
      </c>
      <c r="V32" s="213" t="s">
        <v>196</v>
      </c>
      <c r="W32" s="225">
        <f t="shared" si="2"/>
        <v>40057</v>
      </c>
      <c r="X32" s="5" t="s">
        <v>38</v>
      </c>
      <c r="Y32" s="115"/>
      <c r="Z32" s="227">
        <f t="shared" ca="1" si="3"/>
        <v>16</v>
      </c>
      <c r="AA32" s="228">
        <f t="shared" ca="1" si="4"/>
        <v>4</v>
      </c>
      <c r="AB32" s="228">
        <f t="shared" ca="1" si="5"/>
        <v>4</v>
      </c>
      <c r="AC32" s="229" t="str">
        <f t="shared" ca="1" si="6"/>
        <v>16Years/4Months/4Days</v>
      </c>
      <c r="AD32" s="230">
        <f t="shared" si="7"/>
        <v>52155</v>
      </c>
      <c r="AE32" s="229">
        <f t="shared" ca="1" si="8"/>
        <v>16</v>
      </c>
      <c r="AF32" s="229">
        <f t="shared" ca="1" si="9"/>
        <v>9</v>
      </c>
      <c r="AG32" s="229">
        <f t="shared" ca="1" si="10"/>
        <v>11</v>
      </c>
      <c r="AH32" s="229" t="str">
        <f t="shared" ca="1" si="11"/>
        <v>16Years/9Months/11Days</v>
      </c>
      <c r="AI32" s="229" t="str">
        <f t="shared" si="12"/>
        <v>33years , 1months and 15days</v>
      </c>
      <c r="AJ32" s="211">
        <f t="shared" si="13"/>
        <v>33</v>
      </c>
      <c r="AK32" s="211">
        <f t="shared" si="14"/>
        <v>1</v>
      </c>
      <c r="AL32" s="231">
        <f t="shared" si="15"/>
        <v>15</v>
      </c>
      <c r="AM32" s="232"/>
      <c r="AN32" s="232"/>
      <c r="AO32" s="232"/>
      <c r="AP32" s="232"/>
      <c r="AQ32" s="232"/>
      <c r="AR32" s="232"/>
      <c r="AS32" s="232"/>
      <c r="AT32" s="232"/>
      <c r="AU32" s="232"/>
      <c r="AV32" s="232"/>
      <c r="AW32" s="232"/>
      <c r="AX32" s="232"/>
      <c r="AY32" s="232"/>
      <c r="AZ32" s="232"/>
      <c r="BA32" s="232"/>
      <c r="BB32" s="232"/>
      <c r="BC32" s="232"/>
      <c r="BD32" s="232"/>
      <c r="BE32" s="232"/>
      <c r="BF32" s="232"/>
      <c r="BG32" s="232"/>
      <c r="BH32" s="232"/>
      <c r="BI32" s="232"/>
      <c r="BJ32" s="232"/>
    </row>
    <row r="33" spans="1:62" s="233" customFormat="1" ht="31.5" customHeight="1" x14ac:dyDescent="0.3">
      <c r="A33" s="211">
        <v>1</v>
      </c>
      <c r="B33" s="212" t="s">
        <v>306</v>
      </c>
      <c r="C33" s="213" t="s">
        <v>1053</v>
      </c>
      <c r="D33" s="214" t="s">
        <v>499</v>
      </c>
      <c r="E33" s="215" t="str">
        <f t="shared" si="0"/>
        <v>1/052/037/0065</v>
      </c>
      <c r="F33" s="216"/>
      <c r="G33" s="217" t="s">
        <v>559</v>
      </c>
      <c r="H33" s="218" t="s">
        <v>42</v>
      </c>
      <c r="I33" s="234" t="s">
        <v>560</v>
      </c>
      <c r="J33" s="220" t="s">
        <v>561</v>
      </c>
      <c r="K33" s="218" t="s">
        <v>311</v>
      </c>
      <c r="L33" s="221" t="s">
        <v>562</v>
      </c>
      <c r="M33" s="222" t="s">
        <v>563</v>
      </c>
      <c r="N33" s="213" t="s">
        <v>412</v>
      </c>
      <c r="O33" s="213" t="s">
        <v>314</v>
      </c>
      <c r="P33" s="213" t="s">
        <v>537</v>
      </c>
      <c r="Q33" s="223">
        <f t="shared" si="1"/>
        <v>33299</v>
      </c>
      <c r="R33" s="224">
        <f ca="1">(Academic!$G$7-Q33)/365</f>
        <v>34.871232876712327</v>
      </c>
      <c r="S33" s="215" t="s">
        <v>50</v>
      </c>
      <c r="T33" s="213" t="s">
        <v>114</v>
      </c>
      <c r="U33" s="213" t="s">
        <v>412</v>
      </c>
      <c r="V33" s="213" t="s">
        <v>557</v>
      </c>
      <c r="W33" s="225">
        <f t="shared" si="2"/>
        <v>40954</v>
      </c>
      <c r="X33" s="5" t="s">
        <v>38</v>
      </c>
      <c r="Y33" s="115"/>
      <c r="Z33" s="227">
        <f t="shared" ca="1" si="3"/>
        <v>13</v>
      </c>
      <c r="AA33" s="228">
        <f t="shared" ca="1" si="4"/>
        <v>10</v>
      </c>
      <c r="AB33" s="228">
        <f t="shared" ca="1" si="5"/>
        <v>21</v>
      </c>
      <c r="AC33" s="229" t="str">
        <f t="shared" ca="1" si="6"/>
        <v>13Years/10Months/21Days</v>
      </c>
      <c r="AD33" s="230">
        <f t="shared" si="7"/>
        <v>55214</v>
      </c>
      <c r="AE33" s="229">
        <f t="shared" ca="1" si="8"/>
        <v>25</v>
      </c>
      <c r="AF33" s="229">
        <f t="shared" ca="1" si="9"/>
        <v>1</v>
      </c>
      <c r="AG33" s="229">
        <f t="shared" ca="1" si="10"/>
        <v>25</v>
      </c>
      <c r="AH33" s="229" t="str">
        <f t="shared" ca="1" si="11"/>
        <v>25Years/1Months/25Days</v>
      </c>
      <c r="AI33" s="229" t="str">
        <f t="shared" si="12"/>
        <v>39years , 0months and 15days</v>
      </c>
      <c r="AJ33" s="211">
        <f t="shared" si="13"/>
        <v>39</v>
      </c>
      <c r="AK33" s="211">
        <f t="shared" si="14"/>
        <v>0</v>
      </c>
      <c r="AL33" s="231">
        <f t="shared" si="15"/>
        <v>15</v>
      </c>
      <c r="AM33" s="232"/>
      <c r="AN33" s="232"/>
      <c r="AO33" s="232"/>
      <c r="AP33" s="232"/>
      <c r="AQ33" s="232"/>
      <c r="AR33" s="232"/>
      <c r="AS33" s="232"/>
      <c r="AT33" s="232"/>
      <c r="AU33" s="232"/>
      <c r="AV33" s="232"/>
      <c r="AW33" s="232"/>
      <c r="AX33" s="232"/>
      <c r="AY33" s="232"/>
      <c r="AZ33" s="232"/>
      <c r="BA33" s="232"/>
      <c r="BB33" s="232"/>
      <c r="BC33" s="232"/>
      <c r="BD33" s="232"/>
      <c r="BE33" s="232"/>
      <c r="BF33" s="232"/>
      <c r="BG33" s="232"/>
      <c r="BH33" s="232"/>
      <c r="BI33" s="232"/>
      <c r="BJ33" s="232"/>
    </row>
    <row r="34" spans="1:62" s="233" customFormat="1" ht="31.5" customHeight="1" x14ac:dyDescent="0.3">
      <c r="A34" s="211">
        <v>1</v>
      </c>
      <c r="B34" s="212" t="s">
        <v>306</v>
      </c>
      <c r="C34" s="213" t="s">
        <v>1397</v>
      </c>
      <c r="D34" s="214" t="s">
        <v>507</v>
      </c>
      <c r="E34" s="215" t="str">
        <f t="shared" si="0"/>
        <v>1/052/038/0066</v>
      </c>
      <c r="F34" s="216"/>
      <c r="G34" s="217" t="s">
        <v>565</v>
      </c>
      <c r="H34" s="218" t="s">
        <v>42</v>
      </c>
      <c r="I34" s="234" t="s">
        <v>566</v>
      </c>
      <c r="J34" s="220" t="s">
        <v>567</v>
      </c>
      <c r="K34" s="218" t="s">
        <v>311</v>
      </c>
      <c r="L34" s="221" t="s">
        <v>568</v>
      </c>
      <c r="M34" s="222" t="s">
        <v>569</v>
      </c>
      <c r="N34" s="213" t="s">
        <v>170</v>
      </c>
      <c r="O34" s="213" t="s">
        <v>327</v>
      </c>
      <c r="P34" s="213" t="s">
        <v>570</v>
      </c>
      <c r="Q34" s="223">
        <f t="shared" si="1"/>
        <v>32533</v>
      </c>
      <c r="R34" s="224">
        <f ca="1">(Academic!$G$7-Q34)/365</f>
        <v>36.969863013698628</v>
      </c>
      <c r="S34" s="215" t="s">
        <v>50</v>
      </c>
      <c r="T34" s="213" t="s">
        <v>314</v>
      </c>
      <c r="U34" s="213" t="s">
        <v>337</v>
      </c>
      <c r="V34" s="213" t="s">
        <v>557</v>
      </c>
      <c r="W34" s="225">
        <f t="shared" si="2"/>
        <v>41155</v>
      </c>
      <c r="X34" s="5" t="s">
        <v>38</v>
      </c>
      <c r="Y34" s="115"/>
      <c r="Z34" s="227">
        <f t="shared" ca="1" si="3"/>
        <v>13</v>
      </c>
      <c r="AA34" s="228">
        <f t="shared" ca="1" si="4"/>
        <v>4</v>
      </c>
      <c r="AB34" s="228">
        <f t="shared" ca="1" si="5"/>
        <v>2</v>
      </c>
      <c r="AC34" s="229" t="str">
        <f t="shared" ca="1" si="6"/>
        <v>13Years/4Months/2Days</v>
      </c>
      <c r="AD34" s="230">
        <f t="shared" si="7"/>
        <v>54448</v>
      </c>
      <c r="AE34" s="229">
        <f t="shared" ca="1" si="8"/>
        <v>23</v>
      </c>
      <c r="AF34" s="229">
        <f t="shared" ca="1" si="9"/>
        <v>0</v>
      </c>
      <c r="AG34" s="229">
        <f t="shared" ca="1" si="10"/>
        <v>20</v>
      </c>
      <c r="AH34" s="229" t="str">
        <f t="shared" ca="1" si="11"/>
        <v>23Years/0Months/20Days</v>
      </c>
      <c r="AI34" s="229" t="str">
        <f t="shared" si="12"/>
        <v>36years , 4months and 22days</v>
      </c>
      <c r="AJ34" s="211">
        <f t="shared" si="13"/>
        <v>36</v>
      </c>
      <c r="AK34" s="211">
        <f t="shared" si="14"/>
        <v>4</v>
      </c>
      <c r="AL34" s="231">
        <f t="shared" si="15"/>
        <v>22</v>
      </c>
      <c r="AM34" s="232"/>
      <c r="AN34" s="232"/>
      <c r="AO34" s="232"/>
      <c r="AP34" s="232"/>
      <c r="AQ34" s="232"/>
      <c r="AR34" s="232"/>
      <c r="AS34" s="232"/>
      <c r="AT34" s="232"/>
      <c r="AU34" s="232"/>
      <c r="AV34" s="232"/>
      <c r="AW34" s="232"/>
      <c r="AX34" s="232"/>
      <c r="AY34" s="232"/>
      <c r="AZ34" s="232"/>
      <c r="BA34" s="232"/>
      <c r="BB34" s="232"/>
      <c r="BC34" s="232"/>
      <c r="BD34" s="232"/>
      <c r="BE34" s="232"/>
      <c r="BF34" s="232"/>
      <c r="BG34" s="232"/>
      <c r="BH34" s="232"/>
      <c r="BI34" s="232"/>
      <c r="BJ34" s="232"/>
    </row>
    <row r="35" spans="1:62" s="233" customFormat="1" ht="31.5" customHeight="1" x14ac:dyDescent="0.3">
      <c r="A35" s="211">
        <v>1</v>
      </c>
      <c r="B35" s="212" t="s">
        <v>306</v>
      </c>
      <c r="C35" s="213" t="s">
        <v>1058</v>
      </c>
      <c r="D35" s="214" t="s">
        <v>513</v>
      </c>
      <c r="E35" s="215" t="str">
        <f t="shared" si="0"/>
        <v>1/052/039/0067</v>
      </c>
      <c r="F35" s="216"/>
      <c r="G35" s="217" t="s">
        <v>572</v>
      </c>
      <c r="H35" s="218" t="s">
        <v>42</v>
      </c>
      <c r="I35" s="234" t="s">
        <v>573</v>
      </c>
      <c r="J35" s="220" t="s">
        <v>574</v>
      </c>
      <c r="K35" s="218" t="s">
        <v>311</v>
      </c>
      <c r="L35" s="221" t="s">
        <v>575</v>
      </c>
      <c r="M35" s="222" t="s">
        <v>576</v>
      </c>
      <c r="N35" s="213" t="s">
        <v>188</v>
      </c>
      <c r="O35" s="213" t="s">
        <v>337</v>
      </c>
      <c r="P35" s="213" t="s">
        <v>180</v>
      </c>
      <c r="Q35" s="223">
        <f t="shared" si="1"/>
        <v>27293</v>
      </c>
      <c r="R35" s="224">
        <f ca="1">(Academic!$G$7-Q35)/365</f>
        <v>51.326027397260276</v>
      </c>
      <c r="S35" s="215" t="s">
        <v>50</v>
      </c>
      <c r="T35" s="213" t="s">
        <v>314</v>
      </c>
      <c r="U35" s="213" t="s">
        <v>337</v>
      </c>
      <c r="V35" s="213" t="s">
        <v>557</v>
      </c>
      <c r="W35" s="225">
        <f t="shared" si="2"/>
        <v>41155</v>
      </c>
      <c r="X35" s="5" t="s">
        <v>38</v>
      </c>
      <c r="Y35" s="115"/>
      <c r="Z35" s="227">
        <f t="shared" ca="1" si="3"/>
        <v>13</v>
      </c>
      <c r="AA35" s="228">
        <f t="shared" ca="1" si="4"/>
        <v>4</v>
      </c>
      <c r="AB35" s="228">
        <f t="shared" ca="1" si="5"/>
        <v>2</v>
      </c>
      <c r="AC35" s="229" t="str">
        <f t="shared" ca="1" si="6"/>
        <v>13Years/4Months/2Days</v>
      </c>
      <c r="AD35" s="230">
        <f t="shared" si="7"/>
        <v>49208</v>
      </c>
      <c r="AE35" s="229">
        <f t="shared" ca="1" si="8"/>
        <v>8</v>
      </c>
      <c r="AF35" s="229">
        <f t="shared" ca="1" si="9"/>
        <v>8</v>
      </c>
      <c r="AG35" s="229">
        <f t="shared" ca="1" si="10"/>
        <v>16</v>
      </c>
      <c r="AH35" s="229" t="str">
        <f t="shared" ca="1" si="11"/>
        <v>8Years/8Months/16Days</v>
      </c>
      <c r="AI35" s="229" t="str">
        <f t="shared" si="12"/>
        <v>22years , 0months and 18days</v>
      </c>
      <c r="AJ35" s="211">
        <f t="shared" si="13"/>
        <v>22</v>
      </c>
      <c r="AK35" s="211">
        <f t="shared" si="14"/>
        <v>0</v>
      </c>
      <c r="AL35" s="231">
        <f t="shared" si="15"/>
        <v>18</v>
      </c>
      <c r="AM35" s="232"/>
      <c r="AN35" s="232"/>
      <c r="AO35" s="232"/>
      <c r="AP35" s="232"/>
      <c r="AQ35" s="232"/>
      <c r="AR35" s="232"/>
      <c r="AS35" s="232"/>
      <c r="AT35" s="232"/>
      <c r="AU35" s="232"/>
      <c r="AV35" s="232"/>
      <c r="AW35" s="232"/>
      <c r="AX35" s="232"/>
      <c r="AY35" s="232"/>
      <c r="AZ35" s="232"/>
      <c r="BA35" s="232"/>
      <c r="BB35" s="232"/>
      <c r="BC35" s="232"/>
      <c r="BD35" s="232"/>
      <c r="BE35" s="232"/>
      <c r="BF35" s="232"/>
      <c r="BG35" s="232"/>
      <c r="BH35" s="232"/>
      <c r="BI35" s="232"/>
      <c r="BJ35" s="232"/>
    </row>
    <row r="36" spans="1:62" s="233" customFormat="1" ht="31.5" customHeight="1" x14ac:dyDescent="0.3">
      <c r="A36" s="211">
        <v>1</v>
      </c>
      <c r="B36" s="212" t="s">
        <v>306</v>
      </c>
      <c r="C36" s="213" t="s">
        <v>1402</v>
      </c>
      <c r="D36" s="214" t="s">
        <v>558</v>
      </c>
      <c r="E36" s="215" t="str">
        <f t="shared" si="0"/>
        <v>1/052/046/0074</v>
      </c>
      <c r="F36" s="216"/>
      <c r="G36" s="217" t="s">
        <v>614</v>
      </c>
      <c r="H36" s="221" t="s">
        <v>42</v>
      </c>
      <c r="I36" s="234" t="s">
        <v>615</v>
      </c>
      <c r="J36" s="220" t="s">
        <v>616</v>
      </c>
      <c r="K36" s="218" t="s">
        <v>311</v>
      </c>
      <c r="L36" s="213" t="s">
        <v>617</v>
      </c>
      <c r="M36" s="257" t="s">
        <v>618</v>
      </c>
      <c r="N36" s="213" t="s">
        <v>114</v>
      </c>
      <c r="O36" s="213" t="s">
        <v>36</v>
      </c>
      <c r="P36" s="213" t="s">
        <v>137</v>
      </c>
      <c r="Q36" s="223">
        <f t="shared" si="1"/>
        <v>30604</v>
      </c>
      <c r="R36" s="224">
        <f ca="1">(Academic!$G$7-Q36)/365</f>
        <v>42.254794520547946</v>
      </c>
      <c r="S36" s="215" t="s">
        <v>50</v>
      </c>
      <c r="T36" s="213" t="s">
        <v>47</v>
      </c>
      <c r="U36" s="213" t="s">
        <v>327</v>
      </c>
      <c r="V36" s="213" t="s">
        <v>82</v>
      </c>
      <c r="W36" s="225">
        <f t="shared" si="2"/>
        <v>41668</v>
      </c>
      <c r="X36" s="5" t="s">
        <v>38</v>
      </c>
      <c r="Y36" s="115"/>
      <c r="Z36" s="227">
        <f t="shared" ca="1" si="3"/>
        <v>11</v>
      </c>
      <c r="AA36" s="228">
        <f t="shared" ca="1" si="4"/>
        <v>11</v>
      </c>
      <c r="AB36" s="228">
        <f t="shared" ca="1" si="5"/>
        <v>7</v>
      </c>
      <c r="AC36" s="229" t="str">
        <f t="shared" ca="1" si="6"/>
        <v>11Years/11Months/7Days</v>
      </c>
      <c r="AD36" s="230">
        <f t="shared" si="7"/>
        <v>52519</v>
      </c>
      <c r="AE36" s="229">
        <f t="shared" ca="1" si="8"/>
        <v>17</v>
      </c>
      <c r="AF36" s="229">
        <f t="shared" ca="1" si="9"/>
        <v>9</v>
      </c>
      <c r="AG36" s="229">
        <f t="shared" ca="1" si="10"/>
        <v>10</v>
      </c>
      <c r="AH36" s="229" t="str">
        <f t="shared" ca="1" si="11"/>
        <v>17Years/9Months/10Days</v>
      </c>
      <c r="AI36" s="229" t="str">
        <f t="shared" si="12"/>
        <v>29years , 8months and 16days</v>
      </c>
      <c r="AJ36" s="211">
        <f t="shared" si="13"/>
        <v>29</v>
      </c>
      <c r="AK36" s="211">
        <f t="shared" si="14"/>
        <v>8</v>
      </c>
      <c r="AL36" s="231">
        <f t="shared" si="15"/>
        <v>16</v>
      </c>
      <c r="AM36" s="232"/>
      <c r="AN36" s="232"/>
      <c r="AO36" s="232"/>
      <c r="AP36" s="232"/>
      <c r="AQ36" s="232"/>
      <c r="AR36" s="232"/>
      <c r="AS36" s="232"/>
      <c r="AT36" s="232"/>
      <c r="AU36" s="232"/>
      <c r="AV36" s="232"/>
      <c r="AW36" s="232"/>
      <c r="AX36" s="232"/>
      <c r="AY36" s="232"/>
      <c r="AZ36" s="232"/>
      <c r="BA36" s="232"/>
      <c r="BB36" s="232"/>
      <c r="BC36" s="232"/>
      <c r="BD36" s="232"/>
      <c r="BE36" s="232"/>
      <c r="BF36" s="232"/>
      <c r="BG36" s="232"/>
      <c r="BH36" s="232"/>
      <c r="BI36" s="232"/>
      <c r="BJ36" s="232"/>
    </row>
    <row r="37" spans="1:62" s="233" customFormat="1" ht="31.5" customHeight="1" x14ac:dyDescent="0.3">
      <c r="A37" s="211">
        <v>1</v>
      </c>
      <c r="B37" s="212" t="s">
        <v>306</v>
      </c>
      <c r="C37" s="213" t="s">
        <v>1403</v>
      </c>
      <c r="D37" s="214" t="s">
        <v>564</v>
      </c>
      <c r="E37" s="215" t="str">
        <f t="shared" si="0"/>
        <v>1/052/047/0075</v>
      </c>
      <c r="F37" s="216"/>
      <c r="G37" s="217" t="s">
        <v>620</v>
      </c>
      <c r="H37" s="221" t="s">
        <v>42</v>
      </c>
      <c r="I37" s="234" t="s">
        <v>621</v>
      </c>
      <c r="J37" s="220" t="s">
        <v>622</v>
      </c>
      <c r="K37" s="218" t="s">
        <v>311</v>
      </c>
      <c r="L37" s="213" t="s">
        <v>623</v>
      </c>
      <c r="M37" s="257" t="s">
        <v>624</v>
      </c>
      <c r="N37" s="213" t="s">
        <v>625</v>
      </c>
      <c r="O37" s="213" t="s">
        <v>36</v>
      </c>
      <c r="P37" s="213" t="s">
        <v>158</v>
      </c>
      <c r="Q37" s="223">
        <f t="shared" si="1"/>
        <v>18197</v>
      </c>
      <c r="R37" s="224">
        <f ca="1">(Academic!$G$7-Q37)/365</f>
        <v>76.246575342465746</v>
      </c>
      <c r="S37" s="215" t="s">
        <v>34</v>
      </c>
      <c r="T37" s="213" t="s">
        <v>60</v>
      </c>
      <c r="U37" s="213" t="s">
        <v>314</v>
      </c>
      <c r="V37" s="213" t="s">
        <v>82</v>
      </c>
      <c r="W37" s="225">
        <f t="shared" si="2"/>
        <v>41709</v>
      </c>
      <c r="X37" s="5" t="s">
        <v>38</v>
      </c>
      <c r="Y37" s="115"/>
      <c r="Z37" s="227">
        <f t="shared" ca="1" si="3"/>
        <v>11</v>
      </c>
      <c r="AA37" s="228">
        <f t="shared" ca="1" si="4"/>
        <v>9</v>
      </c>
      <c r="AB37" s="228">
        <f t="shared" ca="1" si="5"/>
        <v>25</v>
      </c>
      <c r="AC37" s="229" t="str">
        <f t="shared" ca="1" si="6"/>
        <v>11Years/9Months/25Days</v>
      </c>
      <c r="AD37" s="230">
        <f t="shared" si="7"/>
        <v>40112</v>
      </c>
      <c r="AE37" s="229" t="e">
        <f t="shared" ca="1" si="8"/>
        <v>#NUM!</v>
      </c>
      <c r="AF37" s="229" t="e">
        <f t="shared" ca="1" si="9"/>
        <v>#NUM!</v>
      </c>
      <c r="AG37" s="229" t="e">
        <f t="shared" ca="1" si="10"/>
        <v>#NUM!</v>
      </c>
      <c r="AH37" s="229" t="e">
        <f t="shared" ca="1" si="11"/>
        <v>#NUM!</v>
      </c>
      <c r="AI37" s="229" t="e">
        <f t="shared" si="12"/>
        <v>#NUM!</v>
      </c>
      <c r="AJ37" s="211" t="e">
        <f t="shared" si="13"/>
        <v>#NUM!</v>
      </c>
      <c r="AK37" s="211" t="e">
        <f t="shared" si="14"/>
        <v>#NUM!</v>
      </c>
      <c r="AL37" s="231" t="e">
        <f t="shared" si="15"/>
        <v>#NUM!</v>
      </c>
      <c r="AM37" s="232"/>
      <c r="AN37" s="232"/>
      <c r="AO37" s="232"/>
      <c r="AP37" s="232"/>
      <c r="AQ37" s="232"/>
      <c r="AR37" s="232"/>
      <c r="AS37" s="232"/>
      <c r="AT37" s="232"/>
      <c r="AU37" s="232"/>
      <c r="AV37" s="232"/>
      <c r="AW37" s="232"/>
      <c r="AX37" s="232"/>
      <c r="AY37" s="232"/>
      <c r="AZ37" s="232"/>
      <c r="BA37" s="232"/>
      <c r="BB37" s="232"/>
      <c r="BC37" s="232"/>
      <c r="BD37" s="232"/>
      <c r="BE37" s="232"/>
      <c r="BF37" s="232"/>
      <c r="BG37" s="232"/>
      <c r="BH37" s="232"/>
      <c r="BI37" s="232"/>
      <c r="BJ37" s="232"/>
    </row>
    <row r="38" spans="1:62" s="233" customFormat="1" ht="31.5" customHeight="1" x14ac:dyDescent="0.3">
      <c r="A38" s="211">
        <v>1</v>
      </c>
      <c r="B38" s="212" t="s">
        <v>306</v>
      </c>
      <c r="C38" s="213" t="s">
        <v>25</v>
      </c>
      <c r="D38" s="214" t="s">
        <v>589</v>
      </c>
      <c r="E38" s="215" t="str">
        <f t="shared" si="0"/>
        <v>1/052/051/0079</v>
      </c>
      <c r="F38" s="235"/>
      <c r="G38" s="217" t="s">
        <v>645</v>
      </c>
      <c r="H38" s="236" t="s">
        <v>42</v>
      </c>
      <c r="I38" s="234" t="s">
        <v>646</v>
      </c>
      <c r="J38" s="237" t="s">
        <v>647</v>
      </c>
      <c r="K38" s="236" t="s">
        <v>311</v>
      </c>
      <c r="L38" s="238" t="s">
        <v>648</v>
      </c>
      <c r="M38" s="239" t="s">
        <v>649</v>
      </c>
      <c r="N38" s="240" t="s">
        <v>100</v>
      </c>
      <c r="O38" s="240" t="s">
        <v>324</v>
      </c>
      <c r="P38" s="240" t="s">
        <v>479</v>
      </c>
      <c r="Q38" s="223">
        <f t="shared" si="1"/>
        <v>27864</v>
      </c>
      <c r="R38" s="224">
        <f ca="1">(Academic!$G$7-Q38)/365</f>
        <v>49.761643835616439</v>
      </c>
      <c r="S38" s="215" t="s">
        <v>50</v>
      </c>
      <c r="T38" s="240" t="s">
        <v>327</v>
      </c>
      <c r="U38" s="240" t="s">
        <v>337</v>
      </c>
      <c r="V38" s="240" t="s">
        <v>632</v>
      </c>
      <c r="W38" s="225">
        <f t="shared" si="2"/>
        <v>42248</v>
      </c>
      <c r="X38" s="5" t="s">
        <v>38</v>
      </c>
      <c r="Y38" s="114"/>
      <c r="Z38" s="227">
        <f t="shared" ca="1" si="3"/>
        <v>10</v>
      </c>
      <c r="AA38" s="228">
        <f t="shared" ca="1" si="4"/>
        <v>4</v>
      </c>
      <c r="AB38" s="228">
        <f t="shared" ca="1" si="5"/>
        <v>4</v>
      </c>
      <c r="AC38" s="229" t="str">
        <f t="shared" ca="1" si="6"/>
        <v>10Years/4Months/4Days</v>
      </c>
      <c r="AD38" s="230">
        <f t="shared" si="7"/>
        <v>49779</v>
      </c>
      <c r="AE38" s="229">
        <f t="shared" ca="1" si="8"/>
        <v>10</v>
      </c>
      <c r="AF38" s="229">
        <f t="shared" ca="1" si="9"/>
        <v>3</v>
      </c>
      <c r="AG38" s="229">
        <f t="shared" ca="1" si="10"/>
        <v>9</v>
      </c>
      <c r="AH38" s="229" t="str">
        <f t="shared" ca="1" si="11"/>
        <v>10Years/3Months/9Days</v>
      </c>
      <c r="AI38" s="229" t="str">
        <f t="shared" si="12"/>
        <v>20years , 7months and 13days</v>
      </c>
      <c r="AJ38" s="211">
        <f t="shared" si="13"/>
        <v>20</v>
      </c>
      <c r="AK38" s="211">
        <f t="shared" si="14"/>
        <v>7</v>
      </c>
      <c r="AL38" s="231">
        <f t="shared" si="15"/>
        <v>13</v>
      </c>
      <c r="AM38" s="232"/>
      <c r="AN38" s="232"/>
      <c r="AO38" s="232"/>
      <c r="AP38" s="232"/>
      <c r="AQ38" s="232"/>
      <c r="AR38" s="232"/>
      <c r="AS38" s="232"/>
      <c r="AT38" s="232"/>
      <c r="AU38" s="232"/>
      <c r="AV38" s="232"/>
      <c r="AW38" s="232"/>
      <c r="AX38" s="232"/>
      <c r="AY38" s="232"/>
      <c r="AZ38" s="232"/>
      <c r="BA38" s="232"/>
      <c r="BB38" s="232"/>
      <c r="BC38" s="232"/>
      <c r="BD38" s="232"/>
      <c r="BE38" s="232"/>
      <c r="BF38" s="232"/>
      <c r="BG38" s="232"/>
      <c r="BH38" s="232"/>
      <c r="BI38" s="232"/>
      <c r="BJ38" s="232"/>
    </row>
    <row r="39" spans="1:62" s="233" customFormat="1" ht="31.5" customHeight="1" x14ac:dyDescent="0.3">
      <c r="A39" s="211">
        <v>1</v>
      </c>
      <c r="B39" s="212" t="s">
        <v>306</v>
      </c>
      <c r="C39" s="213" t="s">
        <v>1014</v>
      </c>
      <c r="D39" s="214" t="s">
        <v>601</v>
      </c>
      <c r="E39" s="215" t="str">
        <f t="shared" si="0"/>
        <v>1/052/053/0081</v>
      </c>
      <c r="F39" s="216"/>
      <c r="G39" s="217" t="s">
        <v>657</v>
      </c>
      <c r="H39" s="218" t="s">
        <v>42</v>
      </c>
      <c r="I39" s="234" t="s">
        <v>658</v>
      </c>
      <c r="J39" s="241" t="s">
        <v>659</v>
      </c>
      <c r="K39" s="218" t="s">
        <v>311</v>
      </c>
      <c r="L39" s="218">
        <v>770474944</v>
      </c>
      <c r="M39" s="242" t="s">
        <v>660</v>
      </c>
      <c r="N39" s="213" t="s">
        <v>661</v>
      </c>
      <c r="O39" s="213" t="s">
        <v>368</v>
      </c>
      <c r="P39" s="213" t="s">
        <v>115</v>
      </c>
      <c r="Q39" s="223">
        <f t="shared" si="1"/>
        <v>33116</v>
      </c>
      <c r="R39" s="224">
        <f ca="1">(Academic!$G$7-Q39)/365</f>
        <v>35.372602739726027</v>
      </c>
      <c r="S39" s="215" t="s">
        <v>50</v>
      </c>
      <c r="T39" s="213" t="s">
        <v>79</v>
      </c>
      <c r="U39" s="213" t="s">
        <v>337</v>
      </c>
      <c r="V39" s="213" t="s">
        <v>632</v>
      </c>
      <c r="W39" s="225">
        <f t="shared" si="2"/>
        <v>42275</v>
      </c>
      <c r="X39" s="5" t="s">
        <v>38</v>
      </c>
      <c r="Y39" s="115"/>
      <c r="Z39" s="227">
        <f t="shared" ca="1" si="3"/>
        <v>10</v>
      </c>
      <c r="AA39" s="228">
        <f t="shared" ca="1" si="4"/>
        <v>3</v>
      </c>
      <c r="AB39" s="228">
        <f t="shared" ca="1" si="5"/>
        <v>8</v>
      </c>
      <c r="AC39" s="229" t="str">
        <f t="shared" ca="1" si="6"/>
        <v>10Years/3Months/8Days</v>
      </c>
      <c r="AD39" s="230">
        <f t="shared" si="7"/>
        <v>55031</v>
      </c>
      <c r="AE39" s="229">
        <f t="shared" ca="1" si="8"/>
        <v>24</v>
      </c>
      <c r="AF39" s="229">
        <f t="shared" ca="1" si="9"/>
        <v>7</v>
      </c>
      <c r="AG39" s="229">
        <f t="shared" ca="1" si="10"/>
        <v>26</v>
      </c>
      <c r="AH39" s="229" t="str">
        <f t="shared" ca="1" si="11"/>
        <v>24Years/7Months/26Days</v>
      </c>
      <c r="AI39" s="229" t="str">
        <f t="shared" si="12"/>
        <v>34years , 11months and 3days</v>
      </c>
      <c r="AJ39" s="211">
        <f t="shared" si="13"/>
        <v>34</v>
      </c>
      <c r="AK39" s="211">
        <f t="shared" si="14"/>
        <v>11</v>
      </c>
      <c r="AL39" s="231">
        <f t="shared" si="15"/>
        <v>3</v>
      </c>
      <c r="AM39" s="232"/>
      <c r="AN39" s="232"/>
      <c r="AO39" s="232"/>
      <c r="AP39" s="232"/>
      <c r="AQ39" s="232"/>
      <c r="AR39" s="232"/>
      <c r="AS39" s="232"/>
      <c r="AT39" s="232"/>
      <c r="AU39" s="232"/>
      <c r="AV39" s="232"/>
      <c r="AW39" s="232"/>
      <c r="AX39" s="232"/>
      <c r="AY39" s="232"/>
      <c r="AZ39" s="232"/>
      <c r="BA39" s="232"/>
      <c r="BB39" s="232"/>
      <c r="BC39" s="232"/>
      <c r="BD39" s="232"/>
      <c r="BE39" s="232"/>
      <c r="BF39" s="232"/>
      <c r="BG39" s="232"/>
      <c r="BH39" s="232"/>
      <c r="BI39" s="232"/>
      <c r="BJ39" s="232"/>
    </row>
    <row r="40" spans="1:62" s="233" customFormat="1" ht="31.5" customHeight="1" x14ac:dyDescent="0.3">
      <c r="A40" s="211">
        <v>1</v>
      </c>
      <c r="B40" s="212" t="s">
        <v>306</v>
      </c>
      <c r="C40" s="213" t="s">
        <v>1408</v>
      </c>
      <c r="D40" s="214" t="s">
        <v>619</v>
      </c>
      <c r="E40" s="215" t="str">
        <f t="shared" si="0"/>
        <v>1/052/056/0084</v>
      </c>
      <c r="F40" s="216"/>
      <c r="G40" s="217" t="s">
        <v>674</v>
      </c>
      <c r="H40" s="218" t="s">
        <v>42</v>
      </c>
      <c r="I40" s="234" t="s">
        <v>675</v>
      </c>
      <c r="J40" s="220" t="s">
        <v>676</v>
      </c>
      <c r="K40" s="218" t="s">
        <v>96</v>
      </c>
      <c r="L40" s="221" t="s">
        <v>677</v>
      </c>
      <c r="M40" s="242" t="s">
        <v>678</v>
      </c>
      <c r="N40" s="213" t="s">
        <v>107</v>
      </c>
      <c r="O40" s="213" t="s">
        <v>412</v>
      </c>
      <c r="P40" s="213" t="s">
        <v>679</v>
      </c>
      <c r="Q40" s="223">
        <f t="shared" si="1"/>
        <v>32196</v>
      </c>
      <c r="R40" s="224">
        <f ca="1">(Academic!$G$7-Q40)/365</f>
        <v>37.893150684931506</v>
      </c>
      <c r="S40" s="215" t="s">
        <v>50</v>
      </c>
      <c r="T40" s="213" t="s">
        <v>625</v>
      </c>
      <c r="U40" s="213" t="s">
        <v>324</v>
      </c>
      <c r="V40" s="213" t="s">
        <v>145</v>
      </c>
      <c r="W40" s="225">
        <f t="shared" si="2"/>
        <v>42851</v>
      </c>
      <c r="X40" s="5" t="s">
        <v>38</v>
      </c>
      <c r="Y40" s="115"/>
      <c r="Z40" s="227">
        <f t="shared" ca="1" si="3"/>
        <v>8</v>
      </c>
      <c r="AA40" s="228">
        <f t="shared" ca="1" si="4"/>
        <v>8</v>
      </c>
      <c r="AB40" s="228">
        <f t="shared" ca="1" si="5"/>
        <v>10</v>
      </c>
      <c r="AC40" s="229" t="str">
        <f t="shared" ca="1" si="6"/>
        <v>8Years/8Months/10Days</v>
      </c>
      <c r="AD40" s="230">
        <f t="shared" si="7"/>
        <v>54111</v>
      </c>
      <c r="AE40" s="229">
        <f t="shared" ca="1" si="8"/>
        <v>22</v>
      </c>
      <c r="AF40" s="229">
        <f t="shared" ca="1" si="9"/>
        <v>1</v>
      </c>
      <c r="AG40" s="229">
        <f t="shared" ca="1" si="10"/>
        <v>18</v>
      </c>
      <c r="AH40" s="229" t="str">
        <f t="shared" ca="1" si="11"/>
        <v>22Years/1Months/18Days</v>
      </c>
      <c r="AI40" s="229" t="str">
        <f t="shared" si="12"/>
        <v>30years , 9months and 28days</v>
      </c>
      <c r="AJ40" s="211">
        <f t="shared" si="13"/>
        <v>30</v>
      </c>
      <c r="AK40" s="211">
        <f t="shared" si="14"/>
        <v>9</v>
      </c>
      <c r="AL40" s="231">
        <f t="shared" si="15"/>
        <v>28</v>
      </c>
      <c r="AM40" s="232"/>
      <c r="AN40" s="232"/>
      <c r="AO40" s="232"/>
      <c r="AP40" s="232"/>
      <c r="AQ40" s="232"/>
      <c r="AR40" s="232"/>
      <c r="AS40" s="232"/>
      <c r="AT40" s="232"/>
      <c r="AU40" s="232"/>
      <c r="AV40" s="232"/>
      <c r="AW40" s="232"/>
      <c r="AX40" s="232"/>
      <c r="AY40" s="232"/>
      <c r="AZ40" s="232"/>
      <c r="BA40" s="232"/>
      <c r="BB40" s="232"/>
      <c r="BC40" s="232"/>
      <c r="BD40" s="232"/>
      <c r="BE40" s="232"/>
      <c r="BF40" s="232"/>
      <c r="BG40" s="232"/>
      <c r="BH40" s="232"/>
      <c r="BI40" s="232"/>
      <c r="BJ40" s="232"/>
    </row>
    <row r="41" spans="1:62" s="233" customFormat="1" ht="31.5" customHeight="1" x14ac:dyDescent="0.3">
      <c r="A41" s="211">
        <v>1</v>
      </c>
      <c r="B41" s="212" t="s">
        <v>306</v>
      </c>
      <c r="C41" s="213" t="s">
        <v>1410</v>
      </c>
      <c r="D41" s="214" t="s">
        <v>633</v>
      </c>
      <c r="E41" s="215" t="str">
        <f t="shared" si="0"/>
        <v>1/052/058/0086</v>
      </c>
      <c r="F41" s="216"/>
      <c r="G41" s="217" t="s">
        <v>687</v>
      </c>
      <c r="H41" s="218" t="s">
        <v>42</v>
      </c>
      <c r="I41" s="234" t="s">
        <v>688</v>
      </c>
      <c r="J41" s="241" t="s">
        <v>689</v>
      </c>
      <c r="K41" s="218" t="s">
        <v>311</v>
      </c>
      <c r="L41" s="218" t="s">
        <v>690</v>
      </c>
      <c r="M41" s="242" t="s">
        <v>691</v>
      </c>
      <c r="N41" s="213" t="s">
        <v>505</v>
      </c>
      <c r="O41" s="213" t="s">
        <v>337</v>
      </c>
      <c r="P41" s="213" t="s">
        <v>298</v>
      </c>
      <c r="Q41" s="223">
        <f t="shared" si="1"/>
        <v>30943</v>
      </c>
      <c r="R41" s="224">
        <f ca="1">(Academic!$G$7-Q41)/365</f>
        <v>41.326027397260276</v>
      </c>
      <c r="S41" s="215" t="s">
        <v>50</v>
      </c>
      <c r="T41" s="213" t="s">
        <v>328</v>
      </c>
      <c r="U41" s="213" t="s">
        <v>337</v>
      </c>
      <c r="V41" s="213" t="s">
        <v>145</v>
      </c>
      <c r="W41" s="225">
        <f t="shared" si="2"/>
        <v>42984</v>
      </c>
      <c r="X41" s="5" t="s">
        <v>38</v>
      </c>
      <c r="Y41" s="115"/>
      <c r="Z41" s="227">
        <f t="shared" ca="1" si="3"/>
        <v>8</v>
      </c>
      <c r="AA41" s="228">
        <f t="shared" ca="1" si="4"/>
        <v>3</v>
      </c>
      <c r="AB41" s="228">
        <f t="shared" ca="1" si="5"/>
        <v>30</v>
      </c>
      <c r="AC41" s="229" t="str">
        <f t="shared" ca="1" si="6"/>
        <v>8Years/3Months/30Days</v>
      </c>
      <c r="AD41" s="230">
        <f t="shared" si="7"/>
        <v>52858</v>
      </c>
      <c r="AE41" s="229">
        <f t="shared" ca="1" si="8"/>
        <v>18</v>
      </c>
      <c r="AF41" s="229">
        <f t="shared" ca="1" si="9"/>
        <v>8</v>
      </c>
      <c r="AG41" s="229">
        <f t="shared" ca="1" si="10"/>
        <v>13</v>
      </c>
      <c r="AH41" s="229" t="str">
        <f t="shared" ca="1" si="11"/>
        <v>18Years/8Months/13Days</v>
      </c>
      <c r="AI41" s="229" t="str">
        <f t="shared" si="12"/>
        <v>27years , 0months and 12days</v>
      </c>
      <c r="AJ41" s="211">
        <f t="shared" si="13"/>
        <v>27</v>
      </c>
      <c r="AK41" s="211">
        <f t="shared" si="14"/>
        <v>0</v>
      </c>
      <c r="AL41" s="231">
        <f t="shared" si="15"/>
        <v>12</v>
      </c>
      <c r="AM41" s="232"/>
      <c r="AN41" s="232"/>
      <c r="AO41" s="232"/>
      <c r="AP41" s="232"/>
      <c r="AQ41" s="232"/>
      <c r="AR41" s="232"/>
      <c r="AS41" s="232"/>
      <c r="AT41" s="232"/>
      <c r="AU41" s="232"/>
      <c r="AV41" s="232"/>
      <c r="AW41" s="232"/>
      <c r="AX41" s="232"/>
      <c r="AY41" s="232"/>
      <c r="AZ41" s="232"/>
      <c r="BA41" s="232"/>
      <c r="BB41" s="232"/>
      <c r="BC41" s="232"/>
      <c r="BD41" s="232"/>
      <c r="BE41" s="232"/>
      <c r="BF41" s="232"/>
      <c r="BG41" s="232"/>
      <c r="BH41" s="232"/>
      <c r="BI41" s="232"/>
      <c r="BJ41" s="232"/>
    </row>
    <row r="42" spans="1:62" s="233" customFormat="1" ht="31.5" customHeight="1" x14ac:dyDescent="0.3">
      <c r="A42" s="211">
        <v>1</v>
      </c>
      <c r="B42" s="212" t="s">
        <v>306</v>
      </c>
      <c r="C42" s="213" t="s">
        <v>1411</v>
      </c>
      <c r="D42" s="214" t="s">
        <v>639</v>
      </c>
      <c r="E42" s="215" t="str">
        <f t="shared" si="0"/>
        <v>1/052/059/0087</v>
      </c>
      <c r="F42" s="216"/>
      <c r="G42" s="217" t="s">
        <v>693</v>
      </c>
      <c r="H42" s="218" t="s">
        <v>42</v>
      </c>
      <c r="I42" s="234" t="s">
        <v>694</v>
      </c>
      <c r="J42" s="241" t="s">
        <v>695</v>
      </c>
      <c r="K42" s="218" t="s">
        <v>311</v>
      </c>
      <c r="L42" s="221" t="s">
        <v>696</v>
      </c>
      <c r="M42" s="242" t="s">
        <v>697</v>
      </c>
      <c r="N42" s="213" t="s">
        <v>170</v>
      </c>
      <c r="O42" s="213" t="s">
        <v>337</v>
      </c>
      <c r="P42" s="213" t="s">
        <v>570</v>
      </c>
      <c r="Q42" s="223">
        <f t="shared" si="1"/>
        <v>32776</v>
      </c>
      <c r="R42" s="224">
        <f ca="1">(Academic!$G$7-Q42)/365</f>
        <v>36.304109589041097</v>
      </c>
      <c r="S42" s="215" t="s">
        <v>50</v>
      </c>
      <c r="T42" s="213" t="s">
        <v>170</v>
      </c>
      <c r="U42" s="213" t="s">
        <v>337</v>
      </c>
      <c r="V42" s="213" t="s">
        <v>145</v>
      </c>
      <c r="W42" s="225">
        <f t="shared" si="2"/>
        <v>43003</v>
      </c>
      <c r="X42" s="5" t="s">
        <v>38</v>
      </c>
      <c r="Y42" s="115"/>
      <c r="Z42" s="227">
        <f t="shared" ca="1" si="3"/>
        <v>8</v>
      </c>
      <c r="AA42" s="228">
        <f t="shared" ca="1" si="4"/>
        <v>3</v>
      </c>
      <c r="AB42" s="228">
        <f t="shared" ca="1" si="5"/>
        <v>11</v>
      </c>
      <c r="AC42" s="229" t="str">
        <f t="shared" ca="1" si="6"/>
        <v>8Years/3Months/11Days</v>
      </c>
      <c r="AD42" s="230">
        <f t="shared" si="7"/>
        <v>54691</v>
      </c>
      <c r="AE42" s="229">
        <f t="shared" ca="1" si="8"/>
        <v>23</v>
      </c>
      <c r="AF42" s="229">
        <f t="shared" ca="1" si="9"/>
        <v>8</v>
      </c>
      <c r="AG42" s="229">
        <f t="shared" ca="1" si="10"/>
        <v>20</v>
      </c>
      <c r="AH42" s="229" t="str">
        <f t="shared" ca="1" si="11"/>
        <v>23Years/8Months/20Days</v>
      </c>
      <c r="AI42" s="229" t="str">
        <f t="shared" si="12"/>
        <v>32years , 0months and 0days</v>
      </c>
      <c r="AJ42" s="211">
        <f t="shared" si="13"/>
        <v>32</v>
      </c>
      <c r="AK42" s="211">
        <f t="shared" si="14"/>
        <v>0</v>
      </c>
      <c r="AL42" s="231">
        <f t="shared" si="15"/>
        <v>0</v>
      </c>
      <c r="AM42" s="232"/>
      <c r="AN42" s="232"/>
      <c r="AO42" s="232"/>
      <c r="AP42" s="232"/>
      <c r="AQ42" s="232"/>
      <c r="AR42" s="232"/>
      <c r="AS42" s="232"/>
      <c r="AT42" s="232"/>
      <c r="AU42" s="232"/>
      <c r="AV42" s="232"/>
      <c r="AW42" s="232"/>
      <c r="AX42" s="232"/>
      <c r="AY42" s="232"/>
      <c r="AZ42" s="232"/>
      <c r="BA42" s="232"/>
      <c r="BB42" s="232"/>
      <c r="BC42" s="232"/>
      <c r="BD42" s="232"/>
      <c r="BE42" s="232"/>
      <c r="BF42" s="232"/>
      <c r="BG42" s="232"/>
      <c r="BH42" s="232"/>
      <c r="BI42" s="232"/>
      <c r="BJ42" s="232"/>
    </row>
    <row r="43" spans="1:62" s="233" customFormat="1" ht="31.5" customHeight="1" x14ac:dyDescent="0.3">
      <c r="A43" s="211">
        <v>1</v>
      </c>
      <c r="B43" s="212" t="s">
        <v>306</v>
      </c>
      <c r="C43" s="213" t="s">
        <v>1414</v>
      </c>
      <c r="D43" s="214" t="s">
        <v>656</v>
      </c>
      <c r="E43" s="215" t="str">
        <f t="shared" si="0"/>
        <v>1/052/062/0090</v>
      </c>
      <c r="F43" s="216"/>
      <c r="G43" s="217" t="s">
        <v>709</v>
      </c>
      <c r="H43" s="218" t="s">
        <v>42</v>
      </c>
      <c r="I43" s="234" t="s">
        <v>710</v>
      </c>
      <c r="J43" s="220" t="s">
        <v>711</v>
      </c>
      <c r="K43" s="215" t="s">
        <v>311</v>
      </c>
      <c r="L43" s="221" t="s">
        <v>712</v>
      </c>
      <c r="M43" s="242" t="s">
        <v>713</v>
      </c>
      <c r="N43" s="213" t="s">
        <v>327</v>
      </c>
      <c r="O43" s="213" t="s">
        <v>324</v>
      </c>
      <c r="P43" s="213" t="s">
        <v>61</v>
      </c>
      <c r="Q43" s="223">
        <f t="shared" si="1"/>
        <v>35521</v>
      </c>
      <c r="R43" s="224">
        <f ca="1">(Academic!$G$7-Q43)/365</f>
        <v>28.783561643835615</v>
      </c>
      <c r="S43" s="215" t="s">
        <v>50</v>
      </c>
      <c r="T43" s="213" t="s">
        <v>412</v>
      </c>
      <c r="U43" s="213" t="s">
        <v>328</v>
      </c>
      <c r="V43" s="213" t="s">
        <v>52</v>
      </c>
      <c r="W43" s="225">
        <f t="shared" si="2"/>
        <v>43618</v>
      </c>
      <c r="X43" s="5" t="s">
        <v>38</v>
      </c>
      <c r="Y43" s="115"/>
      <c r="Z43" s="227">
        <f t="shared" ca="1" si="3"/>
        <v>6</v>
      </c>
      <c r="AA43" s="228">
        <f t="shared" ca="1" si="4"/>
        <v>7</v>
      </c>
      <c r="AB43" s="228">
        <f t="shared" ca="1" si="5"/>
        <v>3</v>
      </c>
      <c r="AC43" s="229" t="str">
        <f t="shared" ca="1" si="6"/>
        <v>6Years/7Months/3Days</v>
      </c>
      <c r="AD43" s="230">
        <f t="shared" si="7"/>
        <v>57436</v>
      </c>
      <c r="AE43" s="229">
        <f t="shared" ca="1" si="8"/>
        <v>31</v>
      </c>
      <c r="AF43" s="229">
        <f t="shared" ca="1" si="9"/>
        <v>2</v>
      </c>
      <c r="AG43" s="229">
        <f t="shared" ca="1" si="10"/>
        <v>27</v>
      </c>
      <c r="AH43" s="229" t="str">
        <f t="shared" ca="1" si="11"/>
        <v>31Years/2Months/27Days</v>
      </c>
      <c r="AI43" s="229" t="str">
        <f t="shared" si="12"/>
        <v>37years , 9months and 30days</v>
      </c>
      <c r="AJ43" s="211">
        <f t="shared" si="13"/>
        <v>37</v>
      </c>
      <c r="AK43" s="211">
        <f t="shared" si="14"/>
        <v>9</v>
      </c>
      <c r="AL43" s="231">
        <f t="shared" si="15"/>
        <v>30</v>
      </c>
      <c r="AM43" s="232"/>
      <c r="AN43" s="232"/>
      <c r="AO43" s="232"/>
      <c r="AP43" s="232"/>
      <c r="AQ43" s="232"/>
      <c r="AR43" s="232"/>
      <c r="AS43" s="232"/>
      <c r="AT43" s="232"/>
      <c r="AU43" s="232"/>
      <c r="AV43" s="232"/>
      <c r="AW43" s="232"/>
      <c r="AX43" s="232"/>
      <c r="AY43" s="232"/>
      <c r="AZ43" s="232"/>
      <c r="BA43" s="232"/>
      <c r="BB43" s="232"/>
      <c r="BC43" s="232"/>
      <c r="BD43" s="232"/>
      <c r="BE43" s="232"/>
      <c r="BF43" s="232"/>
      <c r="BG43" s="232"/>
      <c r="BH43" s="232"/>
      <c r="BI43" s="232"/>
      <c r="BJ43" s="232"/>
    </row>
    <row r="44" spans="1:62" s="233" customFormat="1" ht="31.5" customHeight="1" x14ac:dyDescent="0.3">
      <c r="A44" s="211">
        <v>1</v>
      </c>
      <c r="B44" s="212" t="s">
        <v>306</v>
      </c>
      <c r="C44" s="213" t="s">
        <v>1415</v>
      </c>
      <c r="D44" s="214" t="s">
        <v>667</v>
      </c>
      <c r="E44" s="215" t="str">
        <f t="shared" si="0"/>
        <v>1/052/064/0092</v>
      </c>
      <c r="F44" s="216"/>
      <c r="G44" s="217" t="s">
        <v>721</v>
      </c>
      <c r="H44" s="218" t="s">
        <v>42</v>
      </c>
      <c r="I44" s="234" t="s">
        <v>722</v>
      </c>
      <c r="J44" s="220" t="s">
        <v>723</v>
      </c>
      <c r="K44" s="215" t="s">
        <v>311</v>
      </c>
      <c r="L44" s="221" t="s">
        <v>724</v>
      </c>
      <c r="M44" s="242" t="s">
        <v>725</v>
      </c>
      <c r="N44" s="213" t="s">
        <v>89</v>
      </c>
      <c r="O44" s="213" t="s">
        <v>337</v>
      </c>
      <c r="P44" s="213" t="s">
        <v>177</v>
      </c>
      <c r="Q44" s="223">
        <f t="shared" si="1"/>
        <v>35324</v>
      </c>
      <c r="R44" s="224">
        <f ca="1">(Academic!$G$7-Q44)/365</f>
        <v>29.323287671232876</v>
      </c>
      <c r="S44" s="215" t="s">
        <v>50</v>
      </c>
      <c r="T44" s="213" t="s">
        <v>412</v>
      </c>
      <c r="U44" s="213" t="s">
        <v>328</v>
      </c>
      <c r="V44" s="213" t="s">
        <v>52</v>
      </c>
      <c r="W44" s="225">
        <f t="shared" si="2"/>
        <v>43618</v>
      </c>
      <c r="X44" s="5" t="s">
        <v>38</v>
      </c>
      <c r="Y44" s="115"/>
      <c r="Z44" s="227">
        <f t="shared" ca="1" si="3"/>
        <v>6</v>
      </c>
      <c r="AA44" s="228">
        <f t="shared" ca="1" si="4"/>
        <v>7</v>
      </c>
      <c r="AB44" s="228">
        <f t="shared" ca="1" si="5"/>
        <v>3</v>
      </c>
      <c r="AC44" s="229" t="str">
        <f t="shared" ca="1" si="6"/>
        <v>6Years/7Months/3Days</v>
      </c>
      <c r="AD44" s="230">
        <f t="shared" si="7"/>
        <v>57239</v>
      </c>
      <c r="AE44" s="229">
        <f t="shared" ca="1" si="8"/>
        <v>30</v>
      </c>
      <c r="AF44" s="229">
        <f t="shared" ca="1" si="9"/>
        <v>8</v>
      </c>
      <c r="AG44" s="229">
        <f t="shared" ca="1" si="10"/>
        <v>11</v>
      </c>
      <c r="AH44" s="229" t="str">
        <f t="shared" ca="1" si="11"/>
        <v>30Years/8Months/11Days</v>
      </c>
      <c r="AI44" s="229" t="str">
        <f t="shared" si="12"/>
        <v>37years , 3months and 14days</v>
      </c>
      <c r="AJ44" s="211">
        <f t="shared" si="13"/>
        <v>37</v>
      </c>
      <c r="AK44" s="211">
        <f t="shared" si="14"/>
        <v>3</v>
      </c>
      <c r="AL44" s="231">
        <f t="shared" si="15"/>
        <v>14</v>
      </c>
      <c r="AM44" s="232"/>
      <c r="AN44" s="232"/>
      <c r="AO44" s="232"/>
      <c r="AP44" s="232"/>
      <c r="AQ44" s="232"/>
      <c r="AR44" s="232"/>
      <c r="AS44" s="232"/>
      <c r="AT44" s="232"/>
      <c r="AU44" s="232"/>
      <c r="AV44" s="232"/>
      <c r="AW44" s="232"/>
      <c r="AX44" s="232"/>
      <c r="AY44" s="232"/>
      <c r="AZ44" s="232"/>
      <c r="BA44" s="232"/>
      <c r="BB44" s="232"/>
      <c r="BC44" s="232"/>
      <c r="BD44" s="232"/>
      <c r="BE44" s="232"/>
      <c r="BF44" s="232"/>
      <c r="BG44" s="232"/>
      <c r="BH44" s="232"/>
      <c r="BI44" s="232"/>
      <c r="BJ44" s="232"/>
    </row>
    <row r="45" spans="1:62" s="233" customFormat="1" ht="31.5" customHeight="1" x14ac:dyDescent="0.3">
      <c r="A45" s="211">
        <v>1</v>
      </c>
      <c r="B45" s="212" t="s">
        <v>306</v>
      </c>
      <c r="C45" s="213" t="s">
        <v>1417</v>
      </c>
      <c r="D45" s="214" t="s">
        <v>686</v>
      </c>
      <c r="E45" s="215" t="str">
        <f t="shared" si="0"/>
        <v>1/052/067/0095</v>
      </c>
      <c r="F45" s="216"/>
      <c r="G45" s="217" t="s">
        <v>740</v>
      </c>
      <c r="H45" s="218" t="s">
        <v>42</v>
      </c>
      <c r="I45" s="234" t="s">
        <v>741</v>
      </c>
      <c r="J45" s="220" t="s">
        <v>742</v>
      </c>
      <c r="K45" s="218" t="s">
        <v>311</v>
      </c>
      <c r="L45" s="221" t="s">
        <v>743</v>
      </c>
      <c r="M45" s="242" t="s">
        <v>744</v>
      </c>
      <c r="N45" s="213" t="s">
        <v>314</v>
      </c>
      <c r="O45" s="213" t="s">
        <v>337</v>
      </c>
      <c r="P45" s="213" t="s">
        <v>745</v>
      </c>
      <c r="Q45" s="223">
        <f t="shared" si="1"/>
        <v>33850</v>
      </c>
      <c r="R45" s="224">
        <f ca="1">(Academic!$G$7-Q45)/365</f>
        <v>33.361643835616441</v>
      </c>
      <c r="S45" s="215" t="s">
        <v>50</v>
      </c>
      <c r="T45" s="213" t="s">
        <v>327</v>
      </c>
      <c r="U45" s="213" t="s">
        <v>60</v>
      </c>
      <c r="V45" s="213" t="s">
        <v>52</v>
      </c>
      <c r="W45" s="225">
        <f t="shared" si="2"/>
        <v>43770</v>
      </c>
      <c r="X45" s="5" t="s">
        <v>38</v>
      </c>
      <c r="Y45" s="115"/>
      <c r="Z45" s="227">
        <f t="shared" ca="1" si="3"/>
        <v>6</v>
      </c>
      <c r="AA45" s="228">
        <f t="shared" ca="1" si="4"/>
        <v>2</v>
      </c>
      <c r="AB45" s="228">
        <f t="shared" ca="1" si="5"/>
        <v>4</v>
      </c>
      <c r="AC45" s="229" t="str">
        <f t="shared" ca="1" si="6"/>
        <v>6Years/2Months/4Days</v>
      </c>
      <c r="AD45" s="230">
        <f t="shared" si="7"/>
        <v>55765</v>
      </c>
      <c r="AE45" s="229">
        <f t="shared" ca="1" si="8"/>
        <v>26</v>
      </c>
      <c r="AF45" s="229">
        <f t="shared" ca="1" si="9"/>
        <v>7</v>
      </c>
      <c r="AG45" s="229">
        <f t="shared" ca="1" si="10"/>
        <v>29</v>
      </c>
      <c r="AH45" s="229" t="str">
        <f t="shared" ca="1" si="11"/>
        <v>26Years/7Months/29Days</v>
      </c>
      <c r="AI45" s="229" t="str">
        <f t="shared" si="12"/>
        <v>32years , 10months and 2days</v>
      </c>
      <c r="AJ45" s="211">
        <f t="shared" si="13"/>
        <v>32</v>
      </c>
      <c r="AK45" s="211">
        <f t="shared" si="14"/>
        <v>10</v>
      </c>
      <c r="AL45" s="231">
        <f t="shared" si="15"/>
        <v>2</v>
      </c>
      <c r="AM45" s="232"/>
      <c r="AN45" s="232"/>
      <c r="AO45" s="232"/>
      <c r="AP45" s="232"/>
      <c r="AQ45" s="232"/>
      <c r="AR45" s="232"/>
      <c r="AS45" s="232"/>
      <c r="AT45" s="232"/>
      <c r="AU45" s="232"/>
      <c r="AV45" s="232"/>
      <c r="AW45" s="232"/>
      <c r="AX45" s="232"/>
      <c r="AY45" s="232"/>
      <c r="AZ45" s="232"/>
      <c r="BA45" s="232"/>
      <c r="BB45" s="232"/>
      <c r="BC45" s="232"/>
      <c r="BD45" s="232"/>
      <c r="BE45" s="232"/>
      <c r="BF45" s="232"/>
      <c r="BG45" s="232"/>
      <c r="BH45" s="232"/>
      <c r="BI45" s="232"/>
      <c r="BJ45" s="232"/>
    </row>
    <row r="46" spans="1:62" s="233" customFormat="1" ht="31.5" customHeight="1" x14ac:dyDescent="0.3">
      <c r="A46" s="211">
        <v>1</v>
      </c>
      <c r="B46" s="212" t="s">
        <v>306</v>
      </c>
      <c r="C46" s="213" t="s">
        <v>1080</v>
      </c>
      <c r="D46" s="214" t="s">
        <v>692</v>
      </c>
      <c r="E46" s="215" t="str">
        <f t="shared" si="0"/>
        <v>1/052/068/0096</v>
      </c>
      <c r="F46" s="216"/>
      <c r="G46" s="217" t="s">
        <v>747</v>
      </c>
      <c r="H46" s="218" t="s">
        <v>42</v>
      </c>
      <c r="I46" s="234" t="s">
        <v>748</v>
      </c>
      <c r="J46" s="220" t="s">
        <v>749</v>
      </c>
      <c r="K46" s="218" t="s">
        <v>311</v>
      </c>
      <c r="L46" s="221" t="s">
        <v>750</v>
      </c>
      <c r="M46" s="242" t="s">
        <v>751</v>
      </c>
      <c r="N46" s="213" t="s">
        <v>107</v>
      </c>
      <c r="O46" s="213" t="s">
        <v>324</v>
      </c>
      <c r="P46" s="213" t="s">
        <v>115</v>
      </c>
      <c r="Q46" s="223">
        <f t="shared" si="1"/>
        <v>32986</v>
      </c>
      <c r="R46" s="224">
        <f ca="1">(Academic!$G$7-Q46)/365</f>
        <v>35.728767123287675</v>
      </c>
      <c r="S46" s="215" t="s">
        <v>34</v>
      </c>
      <c r="T46" s="213" t="s">
        <v>368</v>
      </c>
      <c r="U46" s="213" t="s">
        <v>327</v>
      </c>
      <c r="V46" s="213" t="s">
        <v>159</v>
      </c>
      <c r="W46" s="225">
        <f t="shared" si="2"/>
        <v>43838</v>
      </c>
      <c r="X46" s="5" t="s">
        <v>38</v>
      </c>
      <c r="Y46" s="115"/>
      <c r="Z46" s="227">
        <f t="shared" ca="1" si="3"/>
        <v>5</v>
      </c>
      <c r="AA46" s="228">
        <f t="shared" ca="1" si="4"/>
        <v>11</v>
      </c>
      <c r="AB46" s="228">
        <f t="shared" ca="1" si="5"/>
        <v>28</v>
      </c>
      <c r="AC46" s="229" t="str">
        <f t="shared" ca="1" si="6"/>
        <v>5Years/11Months/28Days</v>
      </c>
      <c r="AD46" s="230">
        <f t="shared" si="7"/>
        <v>54901</v>
      </c>
      <c r="AE46" s="229">
        <f t="shared" ca="1" si="8"/>
        <v>24</v>
      </c>
      <c r="AF46" s="229">
        <f t="shared" ca="1" si="9"/>
        <v>3</v>
      </c>
      <c r="AG46" s="229">
        <f t="shared" ca="1" si="10"/>
        <v>18</v>
      </c>
      <c r="AH46" s="229" t="str">
        <f t="shared" ca="1" si="11"/>
        <v>24Years/3Months/18Days</v>
      </c>
      <c r="AI46" s="229" t="str">
        <f t="shared" si="12"/>
        <v>30years , 3months and 15days</v>
      </c>
      <c r="AJ46" s="211">
        <f t="shared" si="13"/>
        <v>30</v>
      </c>
      <c r="AK46" s="211">
        <f t="shared" si="14"/>
        <v>3</v>
      </c>
      <c r="AL46" s="231">
        <f t="shared" si="15"/>
        <v>15</v>
      </c>
      <c r="AM46" s="232"/>
      <c r="AN46" s="232"/>
      <c r="AO46" s="232"/>
      <c r="AP46" s="232"/>
      <c r="AQ46" s="232"/>
      <c r="AR46" s="232"/>
      <c r="AS46" s="232"/>
      <c r="AT46" s="232"/>
      <c r="AU46" s="232"/>
      <c r="AV46" s="232"/>
      <c r="AW46" s="232"/>
      <c r="AX46" s="232"/>
      <c r="AY46" s="232"/>
      <c r="AZ46" s="232"/>
      <c r="BA46" s="232"/>
      <c r="BB46" s="232"/>
      <c r="BC46" s="232"/>
      <c r="BD46" s="232"/>
      <c r="BE46" s="232"/>
      <c r="BF46" s="232"/>
      <c r="BG46" s="232"/>
      <c r="BH46" s="232"/>
      <c r="BI46" s="232"/>
      <c r="BJ46" s="232"/>
    </row>
    <row r="47" spans="1:62" s="233" customFormat="1" ht="31.5" customHeight="1" x14ac:dyDescent="0.3">
      <c r="A47" s="211">
        <v>1</v>
      </c>
      <c r="B47" s="212" t="s">
        <v>306</v>
      </c>
      <c r="C47" s="213" t="s">
        <v>1419</v>
      </c>
      <c r="D47" s="214" t="s">
        <v>703</v>
      </c>
      <c r="E47" s="215" t="str">
        <f t="shared" si="0"/>
        <v>1/052/070/0098</v>
      </c>
      <c r="F47" s="216"/>
      <c r="G47" s="217" t="s">
        <v>762</v>
      </c>
      <c r="H47" s="218" t="s">
        <v>42</v>
      </c>
      <c r="I47" s="234" t="s">
        <v>763</v>
      </c>
      <c r="J47" s="220" t="s">
        <v>764</v>
      </c>
      <c r="K47" s="218" t="s">
        <v>311</v>
      </c>
      <c r="L47" s="221" t="s">
        <v>765</v>
      </c>
      <c r="M47" s="242" t="s">
        <v>766</v>
      </c>
      <c r="N47" s="213" t="s">
        <v>70</v>
      </c>
      <c r="O47" s="213" t="s">
        <v>327</v>
      </c>
      <c r="P47" s="213" t="s">
        <v>177</v>
      </c>
      <c r="Q47" s="223">
        <f t="shared" si="1"/>
        <v>35076</v>
      </c>
      <c r="R47" s="224">
        <f ca="1">(Academic!$G$7-Q47)/365</f>
        <v>30.002739726027396</v>
      </c>
      <c r="S47" s="215" t="s">
        <v>50</v>
      </c>
      <c r="T47" s="213" t="s">
        <v>114</v>
      </c>
      <c r="U47" s="213" t="s">
        <v>337</v>
      </c>
      <c r="V47" s="213" t="s">
        <v>159</v>
      </c>
      <c r="W47" s="225">
        <f t="shared" si="2"/>
        <v>44089</v>
      </c>
      <c r="X47" s="5" t="s">
        <v>38</v>
      </c>
      <c r="Y47" s="115"/>
      <c r="Z47" s="227">
        <f t="shared" ca="1" si="3"/>
        <v>5</v>
      </c>
      <c r="AA47" s="228">
        <f t="shared" ca="1" si="4"/>
        <v>3</v>
      </c>
      <c r="AB47" s="228">
        <f t="shared" ca="1" si="5"/>
        <v>21</v>
      </c>
      <c r="AC47" s="229" t="str">
        <f t="shared" ca="1" si="6"/>
        <v>5Years/3Months/21Days</v>
      </c>
      <c r="AD47" s="230">
        <f t="shared" si="7"/>
        <v>56991</v>
      </c>
      <c r="AE47" s="229">
        <f t="shared" ca="1" si="8"/>
        <v>30</v>
      </c>
      <c r="AF47" s="229">
        <f t="shared" ca="1" si="9"/>
        <v>0</v>
      </c>
      <c r="AG47" s="229">
        <f t="shared" ca="1" si="10"/>
        <v>7</v>
      </c>
      <c r="AH47" s="229" t="str">
        <f t="shared" ca="1" si="11"/>
        <v>30Years/0Months/7Days</v>
      </c>
      <c r="AI47" s="229" t="str">
        <f t="shared" si="12"/>
        <v>35years , 3months and 28days</v>
      </c>
      <c r="AJ47" s="211">
        <f t="shared" si="13"/>
        <v>35</v>
      </c>
      <c r="AK47" s="211">
        <f t="shared" si="14"/>
        <v>3</v>
      </c>
      <c r="AL47" s="231">
        <f t="shared" si="15"/>
        <v>28</v>
      </c>
      <c r="AM47" s="232"/>
      <c r="AN47" s="232"/>
      <c r="AO47" s="232"/>
      <c r="AP47" s="232"/>
      <c r="AQ47" s="232"/>
      <c r="AR47" s="232"/>
      <c r="AS47" s="232"/>
      <c r="AT47" s="232"/>
      <c r="AU47" s="232"/>
      <c r="AV47" s="232"/>
      <c r="AW47" s="232"/>
      <c r="AX47" s="232"/>
      <c r="AY47" s="232"/>
      <c r="AZ47" s="232"/>
      <c r="BA47" s="232"/>
      <c r="BB47" s="232"/>
      <c r="BC47" s="232"/>
      <c r="BD47" s="232"/>
      <c r="BE47" s="232"/>
      <c r="BF47" s="232"/>
      <c r="BG47" s="232"/>
      <c r="BH47" s="232"/>
      <c r="BI47" s="232"/>
      <c r="BJ47" s="232"/>
    </row>
    <row r="48" spans="1:62" s="233" customFormat="1" ht="31.5" customHeight="1" x14ac:dyDescent="0.3">
      <c r="A48" s="211">
        <v>1</v>
      </c>
      <c r="B48" s="212" t="s">
        <v>306</v>
      </c>
      <c r="C48" s="213" t="s">
        <v>1420</v>
      </c>
      <c r="D48" s="214" t="s">
        <v>714</v>
      </c>
      <c r="E48" s="215" t="str">
        <f t="shared" si="0"/>
        <v>1/052/072/0100</v>
      </c>
      <c r="F48" s="243"/>
      <c r="G48" s="217" t="s">
        <v>773</v>
      </c>
      <c r="H48" s="218" t="s">
        <v>42</v>
      </c>
      <c r="I48" s="244" t="s">
        <v>774</v>
      </c>
      <c r="J48" s="220" t="s">
        <v>775</v>
      </c>
      <c r="K48" s="218" t="s">
        <v>311</v>
      </c>
      <c r="L48" s="221" t="s">
        <v>776</v>
      </c>
      <c r="M48" s="242" t="s">
        <v>777</v>
      </c>
      <c r="N48" s="213" t="s">
        <v>360</v>
      </c>
      <c r="O48" s="213" t="s">
        <v>36</v>
      </c>
      <c r="P48" s="213" t="s">
        <v>570</v>
      </c>
      <c r="Q48" s="223">
        <f t="shared" si="1"/>
        <v>32786</v>
      </c>
      <c r="R48" s="224">
        <f ca="1">(Academic!$G$7-Q48)/365</f>
        <v>36.276712328767125</v>
      </c>
      <c r="S48" s="215" t="s">
        <v>50</v>
      </c>
      <c r="T48" s="213" t="s">
        <v>412</v>
      </c>
      <c r="U48" s="213" t="s">
        <v>36</v>
      </c>
      <c r="V48" s="213" t="s">
        <v>159</v>
      </c>
      <c r="W48" s="225">
        <f t="shared" si="2"/>
        <v>44106</v>
      </c>
      <c r="X48" s="5" t="s">
        <v>38</v>
      </c>
      <c r="Y48" s="115"/>
      <c r="Z48" s="227">
        <f t="shared" ca="1" si="3"/>
        <v>5</v>
      </c>
      <c r="AA48" s="228">
        <f t="shared" ca="1" si="4"/>
        <v>3</v>
      </c>
      <c r="AB48" s="228">
        <f t="shared" ca="1" si="5"/>
        <v>3</v>
      </c>
      <c r="AC48" s="229" t="str">
        <f t="shared" ca="1" si="6"/>
        <v>5Years/3Months/3Days</v>
      </c>
      <c r="AD48" s="230">
        <f t="shared" si="7"/>
        <v>54701</v>
      </c>
      <c r="AE48" s="229">
        <f t="shared" ca="1" si="8"/>
        <v>23</v>
      </c>
      <c r="AF48" s="229">
        <f t="shared" ca="1" si="9"/>
        <v>9</v>
      </c>
      <c r="AG48" s="229">
        <f t="shared" ca="1" si="10"/>
        <v>0</v>
      </c>
      <c r="AH48" s="229" t="str">
        <f t="shared" ca="1" si="11"/>
        <v>23Years/9Months/0Days</v>
      </c>
      <c r="AI48" s="229" t="str">
        <f t="shared" si="12"/>
        <v>29years , 0months and 3days</v>
      </c>
      <c r="AJ48" s="211">
        <f t="shared" si="13"/>
        <v>29</v>
      </c>
      <c r="AK48" s="211">
        <f t="shared" si="14"/>
        <v>0</v>
      </c>
      <c r="AL48" s="231">
        <f t="shared" si="15"/>
        <v>3</v>
      </c>
      <c r="AM48" s="232"/>
      <c r="AN48" s="232"/>
      <c r="AO48" s="232"/>
      <c r="AP48" s="232"/>
      <c r="AQ48" s="232"/>
      <c r="AR48" s="232"/>
      <c r="AS48" s="232"/>
      <c r="AT48" s="232"/>
      <c r="AU48" s="232"/>
      <c r="AV48" s="232"/>
      <c r="AW48" s="232"/>
      <c r="AX48" s="232"/>
      <c r="AY48" s="232"/>
      <c r="AZ48" s="232"/>
      <c r="BA48" s="232"/>
      <c r="BB48" s="232"/>
      <c r="BC48" s="232"/>
      <c r="BD48" s="232"/>
      <c r="BE48" s="232"/>
      <c r="BF48" s="232"/>
      <c r="BG48" s="232"/>
      <c r="BH48" s="232"/>
      <c r="BI48" s="232"/>
      <c r="BJ48" s="232"/>
    </row>
    <row r="49" spans="1:62" s="233" customFormat="1" ht="31.5" customHeight="1" x14ac:dyDescent="0.3">
      <c r="A49" s="211">
        <v>1</v>
      </c>
      <c r="B49" s="212" t="s">
        <v>306</v>
      </c>
      <c r="C49" s="213" t="s">
        <v>1088</v>
      </c>
      <c r="D49" s="214" t="s">
        <v>726</v>
      </c>
      <c r="E49" s="215" t="str">
        <f t="shared" si="0"/>
        <v>1/052/074/0102</v>
      </c>
      <c r="F49" s="216"/>
      <c r="G49" s="217" t="s">
        <v>784</v>
      </c>
      <c r="H49" s="218" t="s">
        <v>42</v>
      </c>
      <c r="I49" s="234" t="s">
        <v>785</v>
      </c>
      <c r="J49" s="241" t="s">
        <v>786</v>
      </c>
      <c r="K49" s="218" t="s">
        <v>68</v>
      </c>
      <c r="L49" s="218">
        <v>761887105</v>
      </c>
      <c r="M49" s="242" t="s">
        <v>787</v>
      </c>
      <c r="N49" s="218">
        <v>11</v>
      </c>
      <c r="O49" s="218">
        <v>5</v>
      </c>
      <c r="P49" s="218">
        <v>1990</v>
      </c>
      <c r="Q49" s="223">
        <f t="shared" si="1"/>
        <v>33004</v>
      </c>
      <c r="R49" s="224">
        <f ca="1">(Academic!$G$7-Q49)/365</f>
        <v>35.679452054794524</v>
      </c>
      <c r="S49" s="215" t="s">
        <v>34</v>
      </c>
      <c r="T49" s="218">
        <v>1</v>
      </c>
      <c r="U49" s="218">
        <v>7</v>
      </c>
      <c r="V49" s="218">
        <v>2021</v>
      </c>
      <c r="W49" s="225">
        <f t="shared" si="2"/>
        <v>44378</v>
      </c>
      <c r="X49" s="5" t="s">
        <v>38</v>
      </c>
      <c r="Y49" s="115"/>
      <c r="Z49" s="227">
        <f t="shared" ca="1" si="3"/>
        <v>4</v>
      </c>
      <c r="AA49" s="228">
        <f t="shared" ca="1" si="4"/>
        <v>6</v>
      </c>
      <c r="AB49" s="228">
        <f t="shared" ca="1" si="5"/>
        <v>4</v>
      </c>
      <c r="AC49" s="229" t="str">
        <f t="shared" ca="1" si="6"/>
        <v>4Years/6Months/4Days</v>
      </c>
      <c r="AD49" s="230">
        <f t="shared" si="7"/>
        <v>54919</v>
      </c>
      <c r="AE49" s="229">
        <f t="shared" ca="1" si="8"/>
        <v>24</v>
      </c>
      <c r="AF49" s="229">
        <f t="shared" ca="1" si="9"/>
        <v>4</v>
      </c>
      <c r="AG49" s="229">
        <f t="shared" ca="1" si="10"/>
        <v>6</v>
      </c>
      <c r="AH49" s="229" t="str">
        <f t="shared" ca="1" si="11"/>
        <v>24Years/4Months/6Days</v>
      </c>
      <c r="AI49" s="229" t="str">
        <f t="shared" si="12"/>
        <v>28years , 10months and 10days</v>
      </c>
      <c r="AJ49" s="211">
        <f t="shared" si="13"/>
        <v>28</v>
      </c>
      <c r="AK49" s="211">
        <f t="shared" si="14"/>
        <v>10</v>
      </c>
      <c r="AL49" s="231">
        <f t="shared" si="15"/>
        <v>10</v>
      </c>
      <c r="AM49" s="232"/>
      <c r="AN49" s="232"/>
      <c r="AO49" s="232"/>
      <c r="AP49" s="232"/>
      <c r="AQ49" s="232"/>
      <c r="AR49" s="232"/>
      <c r="AS49" s="232"/>
      <c r="AT49" s="232"/>
      <c r="AU49" s="232"/>
      <c r="AV49" s="232"/>
      <c r="AW49" s="232"/>
      <c r="AX49" s="232"/>
      <c r="AY49" s="232"/>
      <c r="AZ49" s="232"/>
      <c r="BA49" s="232"/>
      <c r="BB49" s="232"/>
      <c r="BC49" s="232"/>
      <c r="BD49" s="232"/>
      <c r="BE49" s="232"/>
      <c r="BF49" s="232"/>
      <c r="BG49" s="232"/>
      <c r="BH49" s="232"/>
      <c r="BI49" s="232"/>
      <c r="BJ49" s="232"/>
    </row>
    <row r="50" spans="1:62" s="233" customFormat="1" ht="31.5" customHeight="1" x14ac:dyDescent="0.3">
      <c r="A50" s="211">
        <v>1</v>
      </c>
      <c r="B50" s="212" t="s">
        <v>306</v>
      </c>
      <c r="C50" s="213" t="s">
        <v>1429</v>
      </c>
      <c r="D50" s="214" t="s">
        <v>788</v>
      </c>
      <c r="E50" s="215" t="str">
        <f t="shared" si="0"/>
        <v>1/052/085/0113</v>
      </c>
      <c r="F50" s="216"/>
      <c r="G50" s="245" t="s">
        <v>843</v>
      </c>
      <c r="H50" s="218" t="s">
        <v>42</v>
      </c>
      <c r="I50" s="234" t="s">
        <v>844</v>
      </c>
      <c r="J50" s="241" t="s">
        <v>845</v>
      </c>
      <c r="K50" s="218" t="s">
        <v>311</v>
      </c>
      <c r="L50" s="215">
        <v>777109627</v>
      </c>
      <c r="M50" s="242" t="s">
        <v>846</v>
      </c>
      <c r="N50" s="218">
        <v>17</v>
      </c>
      <c r="O50" s="218">
        <v>5</v>
      </c>
      <c r="P50" s="218">
        <v>1995</v>
      </c>
      <c r="Q50" s="223">
        <f t="shared" si="1"/>
        <v>34836</v>
      </c>
      <c r="R50" s="224">
        <f ca="1">(Academic!$G$7-Q50)/365</f>
        <v>30.660273972602738</v>
      </c>
      <c r="S50" s="215" t="s">
        <v>34</v>
      </c>
      <c r="T50" s="218">
        <v>1</v>
      </c>
      <c r="U50" s="218">
        <v>7</v>
      </c>
      <c r="V50" s="218">
        <v>2022</v>
      </c>
      <c r="W50" s="225">
        <f t="shared" si="2"/>
        <v>44743</v>
      </c>
      <c r="X50" s="5"/>
      <c r="Y50" s="115"/>
      <c r="Z50" s="227">
        <f t="shared" ca="1" si="3"/>
        <v>3</v>
      </c>
      <c r="AA50" s="228">
        <f t="shared" ca="1" si="4"/>
        <v>6</v>
      </c>
      <c r="AB50" s="228">
        <f t="shared" ca="1" si="5"/>
        <v>4</v>
      </c>
      <c r="AC50" s="229" t="str">
        <f t="shared" ca="1" si="6"/>
        <v>3Years/6Months/4Days</v>
      </c>
      <c r="AD50" s="230">
        <f t="shared" si="7"/>
        <v>56751</v>
      </c>
      <c r="AE50" s="229">
        <f t="shared" ca="1" si="8"/>
        <v>29</v>
      </c>
      <c r="AF50" s="229">
        <f t="shared" ca="1" si="9"/>
        <v>4</v>
      </c>
      <c r="AG50" s="229">
        <f t="shared" ca="1" si="10"/>
        <v>12</v>
      </c>
      <c r="AH50" s="229" t="str">
        <f t="shared" ca="1" si="11"/>
        <v>29Years/4Months/12Days</v>
      </c>
      <c r="AI50" s="229" t="str">
        <f t="shared" si="12"/>
        <v>32years , 10months and 16days</v>
      </c>
      <c r="AJ50" s="211">
        <f t="shared" si="13"/>
        <v>32</v>
      </c>
      <c r="AK50" s="211">
        <f t="shared" si="14"/>
        <v>10</v>
      </c>
      <c r="AL50" s="231">
        <f t="shared" si="15"/>
        <v>16</v>
      </c>
      <c r="AM50" s="232"/>
      <c r="AN50" s="232"/>
      <c r="AO50" s="232"/>
      <c r="AP50" s="232"/>
      <c r="AQ50" s="232"/>
      <c r="AR50" s="232"/>
      <c r="AS50" s="232"/>
      <c r="AT50" s="232"/>
      <c r="AU50" s="232"/>
      <c r="AV50" s="232"/>
      <c r="AW50" s="232"/>
      <c r="AX50" s="232"/>
      <c r="AY50" s="232"/>
      <c r="AZ50" s="232"/>
      <c r="BA50" s="232"/>
      <c r="BB50" s="232"/>
      <c r="BC50" s="232"/>
      <c r="BD50" s="232"/>
      <c r="BE50" s="232"/>
      <c r="BF50" s="232"/>
      <c r="BG50" s="232"/>
      <c r="BH50" s="232"/>
      <c r="BI50" s="232"/>
      <c r="BJ50" s="232"/>
    </row>
    <row r="51" spans="1:62" s="233" customFormat="1" ht="31.5" customHeight="1" x14ac:dyDescent="0.3">
      <c r="A51" s="211">
        <v>1</v>
      </c>
      <c r="B51" s="212" t="s">
        <v>306</v>
      </c>
      <c r="C51" s="213" t="s">
        <v>1433</v>
      </c>
      <c r="D51" s="214" t="s">
        <v>814</v>
      </c>
      <c r="E51" s="215" t="str">
        <f t="shared" si="0"/>
        <v>1/052/090/0118</v>
      </c>
      <c r="F51" s="216"/>
      <c r="G51" s="217" t="s">
        <v>871</v>
      </c>
      <c r="H51" s="218" t="s">
        <v>393</v>
      </c>
      <c r="I51" s="234" t="s">
        <v>872</v>
      </c>
      <c r="J51" s="241" t="s">
        <v>873</v>
      </c>
      <c r="K51" s="218" t="s">
        <v>311</v>
      </c>
      <c r="L51" s="221" t="s">
        <v>874</v>
      </c>
      <c r="M51" s="242" t="s">
        <v>875</v>
      </c>
      <c r="N51" s="215">
        <v>29</v>
      </c>
      <c r="O51" s="215">
        <v>7</v>
      </c>
      <c r="P51" s="215">
        <v>1971</v>
      </c>
      <c r="Q51" s="223">
        <f t="shared" si="1"/>
        <v>26143</v>
      </c>
      <c r="R51" s="224">
        <f ca="1">(Academic!$G$7-Q51)/365</f>
        <v>54.476712328767121</v>
      </c>
      <c r="S51" s="215" t="s">
        <v>50</v>
      </c>
      <c r="T51" s="215">
        <v>1</v>
      </c>
      <c r="U51" s="215">
        <v>9</v>
      </c>
      <c r="V51" s="215">
        <v>2022</v>
      </c>
      <c r="W51" s="225">
        <f t="shared" si="2"/>
        <v>44805</v>
      </c>
      <c r="X51" s="5"/>
      <c r="Y51" s="115"/>
      <c r="Z51" s="227">
        <f t="shared" ca="1" si="3"/>
        <v>3</v>
      </c>
      <c r="AA51" s="228">
        <f t="shared" ca="1" si="4"/>
        <v>4</v>
      </c>
      <c r="AB51" s="228">
        <f t="shared" ca="1" si="5"/>
        <v>4</v>
      </c>
      <c r="AC51" s="229" t="str">
        <f t="shared" ca="1" si="6"/>
        <v>3Years/4Months/4Days</v>
      </c>
      <c r="AD51" s="230">
        <f t="shared" si="7"/>
        <v>48058</v>
      </c>
      <c r="AE51" s="229">
        <f t="shared" ca="1" si="8"/>
        <v>5</v>
      </c>
      <c r="AF51" s="229">
        <f t="shared" ca="1" si="9"/>
        <v>6</v>
      </c>
      <c r="AG51" s="229">
        <f t="shared" ca="1" si="10"/>
        <v>24</v>
      </c>
      <c r="AH51" s="229" t="str">
        <f t="shared" ca="1" si="11"/>
        <v>5Years/6Months/24Days</v>
      </c>
      <c r="AI51" s="229" t="str">
        <f t="shared" si="12"/>
        <v>8years , 10months and 28days</v>
      </c>
      <c r="AJ51" s="211">
        <f t="shared" si="13"/>
        <v>8</v>
      </c>
      <c r="AK51" s="211">
        <f t="shared" si="14"/>
        <v>10</v>
      </c>
      <c r="AL51" s="231">
        <f t="shared" si="15"/>
        <v>28</v>
      </c>
      <c r="AM51" s="232"/>
      <c r="AN51" s="232"/>
      <c r="AO51" s="232"/>
      <c r="AP51" s="232"/>
      <c r="AQ51" s="232"/>
      <c r="AR51" s="232"/>
      <c r="AS51" s="232"/>
      <c r="AT51" s="232"/>
      <c r="AU51" s="232"/>
      <c r="AV51" s="232"/>
      <c r="AW51" s="232"/>
      <c r="AX51" s="232"/>
      <c r="AY51" s="232"/>
      <c r="AZ51" s="232"/>
      <c r="BA51" s="232"/>
      <c r="BB51" s="232"/>
      <c r="BC51" s="232"/>
      <c r="BD51" s="232"/>
      <c r="BE51" s="232"/>
      <c r="BF51" s="232"/>
      <c r="BG51" s="232"/>
      <c r="BH51" s="232"/>
      <c r="BI51" s="232"/>
      <c r="BJ51" s="232"/>
    </row>
    <row r="52" spans="1:62" s="233" customFormat="1" ht="31.5" customHeight="1" x14ac:dyDescent="0.3">
      <c r="A52" s="211">
        <v>1</v>
      </c>
      <c r="B52" s="212" t="s">
        <v>306</v>
      </c>
      <c r="C52" s="213" t="s">
        <v>1435</v>
      </c>
      <c r="D52" s="214" t="s">
        <v>822</v>
      </c>
      <c r="E52" s="215" t="str">
        <f t="shared" si="0"/>
        <v>1/052/092/0120</v>
      </c>
      <c r="F52" s="216"/>
      <c r="G52" s="245" t="s">
        <v>884</v>
      </c>
      <c r="H52" s="218" t="s">
        <v>816</v>
      </c>
      <c r="I52" s="234" t="s">
        <v>885</v>
      </c>
      <c r="J52" s="220" t="s">
        <v>886</v>
      </c>
      <c r="K52" s="218" t="s">
        <v>311</v>
      </c>
      <c r="L52" s="218">
        <v>771320780</v>
      </c>
      <c r="M52" s="242" t="s">
        <v>887</v>
      </c>
      <c r="N52" s="215">
        <v>30</v>
      </c>
      <c r="O52" s="215">
        <v>12</v>
      </c>
      <c r="P52" s="215">
        <v>1987</v>
      </c>
      <c r="Q52" s="223">
        <f t="shared" si="1"/>
        <v>32141</v>
      </c>
      <c r="R52" s="224">
        <f ca="1">(Academic!$G$7-Q52)/365</f>
        <v>38.043835616438358</v>
      </c>
      <c r="S52" s="215" t="s">
        <v>50</v>
      </c>
      <c r="T52" s="215">
        <v>1</v>
      </c>
      <c r="U52" s="215">
        <v>10</v>
      </c>
      <c r="V52" s="215">
        <v>2022</v>
      </c>
      <c r="W52" s="225">
        <f t="shared" si="2"/>
        <v>44835</v>
      </c>
      <c r="X52" s="5"/>
      <c r="Y52" s="115"/>
      <c r="Z52" s="227">
        <f t="shared" ca="1" si="3"/>
        <v>3</v>
      </c>
      <c r="AA52" s="228">
        <f t="shared" ca="1" si="4"/>
        <v>3</v>
      </c>
      <c r="AB52" s="228">
        <f t="shared" ca="1" si="5"/>
        <v>4</v>
      </c>
      <c r="AC52" s="229" t="str">
        <f t="shared" ca="1" si="6"/>
        <v>3Years/3Months/4Days</v>
      </c>
      <c r="AD52" s="230">
        <f t="shared" si="7"/>
        <v>54056</v>
      </c>
      <c r="AE52" s="229">
        <f t="shared" ca="1" si="8"/>
        <v>21</v>
      </c>
      <c r="AF52" s="229">
        <f t="shared" ca="1" si="9"/>
        <v>11</v>
      </c>
      <c r="AG52" s="229">
        <f t="shared" ca="1" si="10"/>
        <v>25</v>
      </c>
      <c r="AH52" s="229" t="str">
        <f t="shared" ca="1" si="11"/>
        <v>21Years/11Months/25Days</v>
      </c>
      <c r="AI52" s="229" t="str">
        <f t="shared" si="12"/>
        <v>25years , 2months and 29days</v>
      </c>
      <c r="AJ52" s="211">
        <f t="shared" si="13"/>
        <v>25</v>
      </c>
      <c r="AK52" s="211">
        <f t="shared" si="14"/>
        <v>2</v>
      </c>
      <c r="AL52" s="231">
        <f t="shared" si="15"/>
        <v>29</v>
      </c>
      <c r="AM52" s="232"/>
      <c r="AN52" s="232"/>
      <c r="AO52" s="232"/>
      <c r="AP52" s="232"/>
      <c r="AQ52" s="232"/>
      <c r="AR52" s="232"/>
      <c r="AS52" s="232"/>
      <c r="AT52" s="232"/>
      <c r="AU52" s="232"/>
      <c r="AV52" s="232"/>
      <c r="AW52" s="232"/>
      <c r="AX52" s="232"/>
      <c r="AY52" s="232"/>
      <c r="AZ52" s="232"/>
      <c r="BA52" s="232"/>
      <c r="BB52" s="232"/>
      <c r="BC52" s="232"/>
      <c r="BD52" s="232"/>
      <c r="BE52" s="232"/>
      <c r="BF52" s="232"/>
      <c r="BG52" s="232"/>
      <c r="BH52" s="232"/>
      <c r="BI52" s="232"/>
      <c r="BJ52" s="232"/>
    </row>
    <row r="53" spans="1:62" s="233" customFormat="1" ht="31.5" customHeight="1" x14ac:dyDescent="0.3">
      <c r="A53" s="211">
        <v>1</v>
      </c>
      <c r="B53" s="212" t="s">
        <v>306</v>
      </c>
      <c r="C53" s="213" t="s">
        <v>1441</v>
      </c>
      <c r="D53" s="214" t="s">
        <v>852</v>
      </c>
      <c r="E53" s="215" t="str">
        <f t="shared" si="0"/>
        <v>1/052/098/0126</v>
      </c>
      <c r="F53" s="216"/>
      <c r="G53" s="245" t="s">
        <v>909</v>
      </c>
      <c r="H53" s="218" t="s">
        <v>42</v>
      </c>
      <c r="I53" s="226" t="s">
        <v>910</v>
      </c>
      <c r="J53" s="246" t="s">
        <v>911</v>
      </c>
      <c r="K53" s="218" t="s">
        <v>311</v>
      </c>
      <c r="L53" s="221" t="s">
        <v>912</v>
      </c>
      <c r="M53" s="242" t="s">
        <v>913</v>
      </c>
      <c r="N53" s="215">
        <v>16</v>
      </c>
      <c r="O53" s="215">
        <v>10</v>
      </c>
      <c r="P53" s="215">
        <v>2002</v>
      </c>
      <c r="Q53" s="223">
        <f t="shared" si="1"/>
        <v>37545</v>
      </c>
      <c r="R53" s="224">
        <f ca="1">(Academic!$G$7-Q53)/365</f>
        <v>23.238356164383561</v>
      </c>
      <c r="S53" s="215" t="s">
        <v>50</v>
      </c>
      <c r="T53" s="215">
        <v>3</v>
      </c>
      <c r="U53" s="215">
        <v>1</v>
      </c>
      <c r="V53" s="215">
        <v>2023</v>
      </c>
      <c r="W53" s="225">
        <f t="shared" si="2"/>
        <v>44929</v>
      </c>
      <c r="X53" s="5"/>
      <c r="Y53" s="115"/>
      <c r="Z53" s="227">
        <f t="shared" ca="1" si="3"/>
        <v>3</v>
      </c>
      <c r="AA53" s="228">
        <f t="shared" ca="1" si="4"/>
        <v>0</v>
      </c>
      <c r="AB53" s="228">
        <f t="shared" ca="1" si="5"/>
        <v>2</v>
      </c>
      <c r="AC53" s="229" t="str">
        <f t="shared" ca="1" si="6"/>
        <v>3Years/0Months/2Days</v>
      </c>
      <c r="AD53" s="230">
        <f t="shared" si="7"/>
        <v>59460</v>
      </c>
      <c r="AE53" s="229">
        <f t="shared" ca="1" si="8"/>
        <v>36</v>
      </c>
      <c r="AF53" s="229">
        <f t="shared" ca="1" si="9"/>
        <v>9</v>
      </c>
      <c r="AG53" s="229">
        <f t="shared" ca="1" si="10"/>
        <v>11</v>
      </c>
      <c r="AH53" s="229" t="str">
        <f t="shared" ca="1" si="11"/>
        <v>36Years/9Months/11Days</v>
      </c>
      <c r="AI53" s="229" t="str">
        <f t="shared" si="12"/>
        <v>39years , 9months and 13days</v>
      </c>
      <c r="AJ53" s="211">
        <f t="shared" si="13"/>
        <v>39</v>
      </c>
      <c r="AK53" s="211">
        <f t="shared" si="14"/>
        <v>9</v>
      </c>
      <c r="AL53" s="231">
        <f t="shared" si="15"/>
        <v>13</v>
      </c>
      <c r="AM53" s="232"/>
      <c r="AN53" s="232"/>
      <c r="AO53" s="232"/>
      <c r="AP53" s="232"/>
      <c r="AQ53" s="232"/>
      <c r="AR53" s="232"/>
      <c r="AS53" s="232"/>
      <c r="AT53" s="232"/>
      <c r="AU53" s="232"/>
      <c r="AV53" s="232"/>
      <c r="AW53" s="232"/>
      <c r="AX53" s="232"/>
      <c r="AY53" s="232"/>
      <c r="AZ53" s="232"/>
      <c r="BA53" s="232"/>
      <c r="BB53" s="232"/>
      <c r="BC53" s="232"/>
      <c r="BD53" s="232"/>
      <c r="BE53" s="232"/>
      <c r="BF53" s="232"/>
      <c r="BG53" s="232"/>
      <c r="BH53" s="232"/>
      <c r="BI53" s="232"/>
      <c r="BJ53" s="232"/>
    </row>
    <row r="54" spans="1:62" s="233" customFormat="1" ht="31.5" customHeight="1" x14ac:dyDescent="0.3">
      <c r="A54" s="211">
        <v>1</v>
      </c>
      <c r="B54" s="212" t="s">
        <v>306</v>
      </c>
      <c r="C54" s="213" t="s">
        <v>1442</v>
      </c>
      <c r="D54" s="214" t="s">
        <v>858</v>
      </c>
      <c r="E54" s="215" t="str">
        <f t="shared" si="0"/>
        <v>1/052/099/0127</v>
      </c>
      <c r="F54" s="216"/>
      <c r="G54" s="245" t="s">
        <v>915</v>
      </c>
      <c r="H54" s="218" t="s">
        <v>332</v>
      </c>
      <c r="I54" s="226" t="s">
        <v>916</v>
      </c>
      <c r="J54" s="220" t="s">
        <v>917</v>
      </c>
      <c r="K54" s="218" t="s">
        <v>311</v>
      </c>
      <c r="L54" s="221" t="s">
        <v>918</v>
      </c>
      <c r="M54" s="247" t="s">
        <v>919</v>
      </c>
      <c r="N54" s="215">
        <v>11</v>
      </c>
      <c r="O54" s="215">
        <v>4</v>
      </c>
      <c r="P54" s="215">
        <v>1976</v>
      </c>
      <c r="Q54" s="223">
        <f t="shared" si="1"/>
        <v>27861</v>
      </c>
      <c r="R54" s="224">
        <f ca="1">(Academic!$G$7-Q54)/365</f>
        <v>49.769863013698632</v>
      </c>
      <c r="S54" s="215" t="s">
        <v>50</v>
      </c>
      <c r="T54" s="215">
        <v>4</v>
      </c>
      <c r="U54" s="215">
        <v>1</v>
      </c>
      <c r="V54" s="215">
        <v>2023</v>
      </c>
      <c r="W54" s="225">
        <f t="shared" si="2"/>
        <v>44930</v>
      </c>
      <c r="X54" s="5"/>
      <c r="Y54" s="115"/>
      <c r="Z54" s="227">
        <f t="shared" ca="1" si="3"/>
        <v>3</v>
      </c>
      <c r="AA54" s="228">
        <f t="shared" ca="1" si="4"/>
        <v>0</v>
      </c>
      <c r="AB54" s="228">
        <f t="shared" ca="1" si="5"/>
        <v>1</v>
      </c>
      <c r="AC54" s="229" t="str">
        <f t="shared" ca="1" si="6"/>
        <v>3Years/0Months/1Days</v>
      </c>
      <c r="AD54" s="230">
        <f t="shared" si="7"/>
        <v>49776</v>
      </c>
      <c r="AE54" s="229">
        <f t="shared" ca="1" si="8"/>
        <v>10</v>
      </c>
      <c r="AF54" s="229">
        <f t="shared" ca="1" si="9"/>
        <v>3</v>
      </c>
      <c r="AG54" s="229">
        <f t="shared" ca="1" si="10"/>
        <v>6</v>
      </c>
      <c r="AH54" s="229" t="str">
        <f t="shared" ca="1" si="11"/>
        <v>10Years/3Months/6Days</v>
      </c>
      <c r="AI54" s="229" t="str">
        <f t="shared" si="12"/>
        <v>13years , 3months and 7days</v>
      </c>
      <c r="AJ54" s="211">
        <f t="shared" si="13"/>
        <v>13</v>
      </c>
      <c r="AK54" s="211">
        <f t="shared" si="14"/>
        <v>3</v>
      </c>
      <c r="AL54" s="231">
        <f t="shared" si="15"/>
        <v>7</v>
      </c>
      <c r="AM54" s="232"/>
      <c r="AN54" s="232"/>
      <c r="AO54" s="232"/>
      <c r="AP54" s="232"/>
      <c r="AQ54" s="232"/>
      <c r="AR54" s="232"/>
      <c r="AS54" s="232"/>
      <c r="AT54" s="232"/>
      <c r="AU54" s="232"/>
      <c r="AV54" s="232"/>
      <c r="AW54" s="232"/>
      <c r="AX54" s="232"/>
      <c r="AY54" s="232"/>
      <c r="AZ54" s="232"/>
      <c r="BA54" s="232"/>
      <c r="BB54" s="232"/>
      <c r="BC54" s="232"/>
      <c r="BD54" s="232"/>
      <c r="BE54" s="232"/>
      <c r="BF54" s="232"/>
      <c r="BG54" s="232"/>
      <c r="BH54" s="232"/>
      <c r="BI54" s="232"/>
      <c r="BJ54" s="232"/>
    </row>
    <row r="55" spans="1:62" s="233" customFormat="1" ht="31.5" customHeight="1" x14ac:dyDescent="0.3">
      <c r="A55" s="211">
        <v>1</v>
      </c>
      <c r="B55" s="212" t="s">
        <v>306</v>
      </c>
      <c r="C55" s="213" t="s">
        <v>1444</v>
      </c>
      <c r="D55" s="214" t="s">
        <v>870</v>
      </c>
      <c r="E55" s="215" t="str">
        <f t="shared" si="0"/>
        <v>1/052/101/0129</v>
      </c>
      <c r="F55" s="216"/>
      <c r="G55" s="245" t="s">
        <v>928</v>
      </c>
      <c r="H55" s="218" t="s">
        <v>922</v>
      </c>
      <c r="I55" s="226" t="s">
        <v>929</v>
      </c>
      <c r="J55" s="220" t="s">
        <v>930</v>
      </c>
      <c r="K55" s="218" t="s">
        <v>311</v>
      </c>
      <c r="L55" s="221" t="s">
        <v>931</v>
      </c>
      <c r="M55" s="247" t="s">
        <v>932</v>
      </c>
      <c r="N55" s="215">
        <v>13</v>
      </c>
      <c r="O55" s="215">
        <v>2</v>
      </c>
      <c r="P55" s="215">
        <v>1997</v>
      </c>
      <c r="Q55" s="223">
        <f t="shared" si="1"/>
        <v>35474</v>
      </c>
      <c r="R55" s="224">
        <f ca="1">(Academic!$G$7-Q55)/365</f>
        <v>28.912328767123288</v>
      </c>
      <c r="S55" s="215" t="s">
        <v>50</v>
      </c>
      <c r="T55" s="215">
        <v>18</v>
      </c>
      <c r="U55" s="215">
        <v>10</v>
      </c>
      <c r="V55" s="215">
        <v>2022</v>
      </c>
      <c r="W55" s="225">
        <f t="shared" si="2"/>
        <v>44852</v>
      </c>
      <c r="X55" s="5"/>
      <c r="Y55" s="115" t="s">
        <v>38</v>
      </c>
      <c r="Z55" s="227">
        <f t="shared" ca="1" si="3"/>
        <v>3</v>
      </c>
      <c r="AA55" s="228">
        <f t="shared" ca="1" si="4"/>
        <v>2</v>
      </c>
      <c r="AB55" s="228">
        <f t="shared" ca="1" si="5"/>
        <v>18</v>
      </c>
      <c r="AC55" s="229" t="str">
        <f t="shared" ca="1" si="6"/>
        <v>3Years/2Months/18Days</v>
      </c>
      <c r="AD55" s="230">
        <f t="shared" si="7"/>
        <v>57389</v>
      </c>
      <c r="AE55" s="229">
        <f t="shared" ca="1" si="8"/>
        <v>31</v>
      </c>
      <c r="AF55" s="229">
        <f t="shared" ca="1" si="9"/>
        <v>1</v>
      </c>
      <c r="AG55" s="229">
        <f t="shared" ca="1" si="10"/>
        <v>8</v>
      </c>
      <c r="AH55" s="229" t="str">
        <f t="shared" ca="1" si="11"/>
        <v>31Years/1Months/8Days</v>
      </c>
      <c r="AI55" s="229" t="str">
        <f t="shared" si="12"/>
        <v>34years , 3months and 26days</v>
      </c>
      <c r="AJ55" s="211">
        <f t="shared" si="13"/>
        <v>34</v>
      </c>
      <c r="AK55" s="211">
        <f t="shared" si="14"/>
        <v>3</v>
      </c>
      <c r="AL55" s="231">
        <f t="shared" si="15"/>
        <v>26</v>
      </c>
      <c r="AM55" s="232"/>
      <c r="AN55" s="232"/>
      <c r="AO55" s="232"/>
      <c r="AP55" s="232"/>
      <c r="AQ55" s="232"/>
      <c r="AR55" s="232"/>
      <c r="AS55" s="232"/>
      <c r="AT55" s="232"/>
      <c r="AU55" s="232"/>
      <c r="AV55" s="232"/>
      <c r="AW55" s="232"/>
      <c r="AX55" s="232"/>
      <c r="AY55" s="232"/>
      <c r="AZ55" s="232"/>
      <c r="BA55" s="232"/>
      <c r="BB55" s="232"/>
      <c r="BC55" s="232"/>
      <c r="BD55" s="232"/>
      <c r="BE55" s="232"/>
      <c r="BF55" s="232"/>
      <c r="BG55" s="232"/>
      <c r="BH55" s="232"/>
      <c r="BI55" s="232"/>
      <c r="BJ55" s="232"/>
    </row>
    <row r="56" spans="1:62" s="252" customFormat="1" ht="31.5" customHeight="1" x14ac:dyDescent="0.3">
      <c r="A56" s="215">
        <v>1</v>
      </c>
      <c r="B56" s="248" t="s">
        <v>306</v>
      </c>
      <c r="C56" s="213" t="s">
        <v>1446</v>
      </c>
      <c r="D56" s="214" t="s">
        <v>883</v>
      </c>
      <c r="E56" s="215" t="str">
        <f t="shared" si="0"/>
        <v>1/052/103/0131</v>
      </c>
      <c r="F56" s="216"/>
      <c r="G56" s="245" t="s">
        <v>940</v>
      </c>
      <c r="H56" s="218" t="s">
        <v>922</v>
      </c>
      <c r="I56" s="226" t="s">
        <v>941</v>
      </c>
      <c r="J56" s="220" t="s">
        <v>942</v>
      </c>
      <c r="K56" s="218" t="s">
        <v>96</v>
      </c>
      <c r="L56" s="221" t="s">
        <v>943</v>
      </c>
      <c r="M56" s="247" t="s">
        <v>944</v>
      </c>
      <c r="N56" s="215">
        <v>19</v>
      </c>
      <c r="O56" s="215">
        <v>7</v>
      </c>
      <c r="P56" s="215">
        <v>1997</v>
      </c>
      <c r="Q56" s="223">
        <f t="shared" si="1"/>
        <v>35630</v>
      </c>
      <c r="R56" s="224">
        <f ca="1">(Academic!$G$7-Q56)/365</f>
        <v>28.484931506849314</v>
      </c>
      <c r="S56" s="215" t="s">
        <v>50</v>
      </c>
      <c r="T56" s="215"/>
      <c r="U56" s="215"/>
      <c r="V56" s="215"/>
      <c r="W56" s="225"/>
      <c r="X56" s="48"/>
      <c r="Y56" s="115"/>
      <c r="Z56" s="227">
        <f t="shared" ca="1" si="3"/>
        <v>126</v>
      </c>
      <c r="AA56" s="228">
        <f t="shared" ca="1" si="4"/>
        <v>0</v>
      </c>
      <c r="AB56" s="228">
        <f t="shared" ca="1" si="5"/>
        <v>5</v>
      </c>
      <c r="AC56" s="228" t="str">
        <f t="shared" ca="1" si="6"/>
        <v>126Years/0Months/5Days</v>
      </c>
      <c r="AD56" s="249">
        <f t="shared" si="7"/>
        <v>57545</v>
      </c>
      <c r="AE56" s="228">
        <f t="shared" ca="1" si="8"/>
        <v>31</v>
      </c>
      <c r="AF56" s="228">
        <f t="shared" ca="1" si="9"/>
        <v>6</v>
      </c>
      <c r="AG56" s="228">
        <f t="shared" ca="1" si="10"/>
        <v>14</v>
      </c>
      <c r="AH56" s="228" t="str">
        <f t="shared" ca="1" si="11"/>
        <v>31Years/6Months/14Days</v>
      </c>
      <c r="AI56" s="228" t="str">
        <f t="shared" si="12"/>
        <v>157years , 6months and 19days</v>
      </c>
      <c r="AJ56" s="215">
        <f t="shared" si="13"/>
        <v>157</v>
      </c>
      <c r="AK56" s="215">
        <f t="shared" si="14"/>
        <v>6</v>
      </c>
      <c r="AL56" s="250">
        <f t="shared" si="15"/>
        <v>19</v>
      </c>
      <c r="AM56" s="251"/>
      <c r="AN56" s="251"/>
      <c r="AO56" s="251"/>
      <c r="AP56" s="251"/>
      <c r="AQ56" s="251"/>
      <c r="AR56" s="251"/>
      <c r="AS56" s="251"/>
      <c r="AT56" s="251"/>
      <c r="AU56" s="251"/>
      <c r="AV56" s="251"/>
      <c r="AW56" s="251"/>
      <c r="AX56" s="251"/>
      <c r="AY56" s="251"/>
      <c r="AZ56" s="251"/>
      <c r="BA56" s="251"/>
      <c r="BB56" s="251"/>
      <c r="BC56" s="251"/>
      <c r="BD56" s="251"/>
      <c r="BE56" s="251"/>
      <c r="BF56" s="251"/>
      <c r="BG56" s="251"/>
      <c r="BH56" s="251"/>
      <c r="BI56" s="251"/>
      <c r="BJ56" s="251"/>
    </row>
    <row r="57" spans="1:62" s="233" customFormat="1" ht="31.5" customHeight="1" x14ac:dyDescent="0.3">
      <c r="A57" s="211">
        <v>1</v>
      </c>
      <c r="B57" s="212" t="s">
        <v>306</v>
      </c>
      <c r="C57" s="213" t="s">
        <v>1447</v>
      </c>
      <c r="D57" s="214" t="s">
        <v>888</v>
      </c>
      <c r="E57" s="215" t="str">
        <f t="shared" si="0"/>
        <v>1/052/104/0132</v>
      </c>
      <c r="F57" s="216"/>
      <c r="G57" s="245" t="s">
        <v>946</v>
      </c>
      <c r="H57" s="218" t="s">
        <v>947</v>
      </c>
      <c r="I57" s="226" t="s">
        <v>948</v>
      </c>
      <c r="J57" s="220" t="s">
        <v>949</v>
      </c>
      <c r="K57" s="218" t="s">
        <v>311</v>
      </c>
      <c r="L57" s="221" t="s">
        <v>950</v>
      </c>
      <c r="M57" s="242" t="s">
        <v>951</v>
      </c>
      <c r="N57" s="215">
        <v>6</v>
      </c>
      <c r="O57" s="215">
        <v>10</v>
      </c>
      <c r="P57" s="215">
        <v>2000</v>
      </c>
      <c r="Q57" s="223">
        <f t="shared" si="1"/>
        <v>36805</v>
      </c>
      <c r="R57" s="224">
        <f ca="1">(Academic!$G$7-Q57)/365</f>
        <v>25.265753424657536</v>
      </c>
      <c r="S57" s="215" t="s">
        <v>50</v>
      </c>
      <c r="T57" s="215"/>
      <c r="U57" s="215"/>
      <c r="V57" s="215"/>
      <c r="W57" s="225"/>
      <c r="X57" s="5"/>
      <c r="Y57" s="115"/>
      <c r="Z57" s="227">
        <f t="shared" ca="1" si="3"/>
        <v>126</v>
      </c>
      <c r="AA57" s="228">
        <f t="shared" ca="1" si="4"/>
        <v>0</v>
      </c>
      <c r="AB57" s="228">
        <f t="shared" ca="1" si="5"/>
        <v>5</v>
      </c>
      <c r="AC57" s="229" t="str">
        <f t="shared" ca="1" si="6"/>
        <v>126Years/0Months/5Days</v>
      </c>
      <c r="AD57" s="230">
        <f t="shared" si="7"/>
        <v>58720</v>
      </c>
      <c r="AE57" s="229">
        <f t="shared" ca="1" si="8"/>
        <v>34</v>
      </c>
      <c r="AF57" s="229">
        <f t="shared" ca="1" si="9"/>
        <v>9</v>
      </c>
      <c r="AG57" s="229">
        <f t="shared" ca="1" si="10"/>
        <v>1</v>
      </c>
      <c r="AH57" s="229" t="str">
        <f t="shared" ca="1" si="11"/>
        <v>34Years/9Months/1Days</v>
      </c>
      <c r="AI57" s="229" t="str">
        <f t="shared" si="12"/>
        <v>160years , 9months and 6days</v>
      </c>
      <c r="AJ57" s="211">
        <f t="shared" si="13"/>
        <v>160</v>
      </c>
      <c r="AK57" s="211">
        <f t="shared" si="14"/>
        <v>9</v>
      </c>
      <c r="AL57" s="231">
        <f t="shared" si="15"/>
        <v>6</v>
      </c>
      <c r="AM57" s="232"/>
      <c r="AN57" s="232"/>
      <c r="AO57" s="232"/>
      <c r="AP57" s="232"/>
      <c r="AQ57" s="232"/>
      <c r="AR57" s="232"/>
      <c r="AS57" s="232"/>
      <c r="AT57" s="232"/>
      <c r="AU57" s="232"/>
      <c r="AV57" s="232"/>
      <c r="AW57" s="232"/>
      <c r="AX57" s="232"/>
      <c r="AY57" s="232"/>
      <c r="AZ57" s="232"/>
      <c r="BA57" s="232"/>
      <c r="BB57" s="232"/>
      <c r="BC57" s="232"/>
      <c r="BD57" s="232"/>
      <c r="BE57" s="232"/>
      <c r="BF57" s="232"/>
      <c r="BG57" s="232"/>
      <c r="BH57" s="232"/>
      <c r="BI57" s="232"/>
      <c r="BJ57" s="232"/>
    </row>
    <row r="58" spans="1:62" s="233" customFormat="1" ht="31.5" customHeight="1" x14ac:dyDescent="0.3">
      <c r="A58" s="211">
        <v>1</v>
      </c>
      <c r="B58" s="212" t="s">
        <v>306</v>
      </c>
      <c r="C58" s="213" t="s">
        <v>1448</v>
      </c>
      <c r="D58" s="214" t="s">
        <v>889</v>
      </c>
      <c r="E58" s="215" t="str">
        <f t="shared" si="0"/>
        <v>1/052/105/0133</v>
      </c>
      <c r="F58" s="216"/>
      <c r="G58" s="245" t="s">
        <v>953</v>
      </c>
      <c r="H58" s="218" t="s">
        <v>947</v>
      </c>
      <c r="I58" s="226" t="s">
        <v>954</v>
      </c>
      <c r="J58" s="220" t="s">
        <v>955</v>
      </c>
      <c r="K58" s="218" t="s">
        <v>311</v>
      </c>
      <c r="L58" s="221" t="s">
        <v>956</v>
      </c>
      <c r="M58" s="247" t="s">
        <v>957</v>
      </c>
      <c r="N58" s="215">
        <v>8</v>
      </c>
      <c r="O58" s="215">
        <v>9</v>
      </c>
      <c r="P58" s="215">
        <v>2000</v>
      </c>
      <c r="Q58" s="223">
        <f t="shared" si="1"/>
        <v>36777</v>
      </c>
      <c r="R58" s="224">
        <f ca="1">(Academic!$G$7-Q58)/365</f>
        <v>25.342465753424658</v>
      </c>
      <c r="S58" s="215" t="s">
        <v>50</v>
      </c>
      <c r="T58" s="215"/>
      <c r="U58" s="215"/>
      <c r="V58" s="215"/>
      <c r="W58" s="225"/>
      <c r="X58" s="5"/>
      <c r="Y58" s="115"/>
      <c r="Z58" s="227">
        <f t="shared" ca="1" si="3"/>
        <v>126</v>
      </c>
      <c r="AA58" s="228">
        <f t="shared" ca="1" si="4"/>
        <v>0</v>
      </c>
      <c r="AB58" s="228">
        <f t="shared" ca="1" si="5"/>
        <v>5</v>
      </c>
      <c r="AC58" s="229" t="str">
        <f t="shared" ca="1" si="6"/>
        <v>126Years/0Months/5Days</v>
      </c>
      <c r="AD58" s="230">
        <f t="shared" si="7"/>
        <v>58692</v>
      </c>
      <c r="AE58" s="229">
        <f t="shared" ca="1" si="8"/>
        <v>34</v>
      </c>
      <c r="AF58" s="229">
        <f t="shared" ca="1" si="9"/>
        <v>8</v>
      </c>
      <c r="AG58" s="229">
        <f t="shared" ca="1" si="10"/>
        <v>3</v>
      </c>
      <c r="AH58" s="229" t="str">
        <f t="shared" ca="1" si="11"/>
        <v>34Years/8Months/3Days</v>
      </c>
      <c r="AI58" s="229" t="str">
        <f t="shared" si="12"/>
        <v>160years , 8months and 8days</v>
      </c>
      <c r="AJ58" s="211">
        <f t="shared" si="13"/>
        <v>160</v>
      </c>
      <c r="AK58" s="211">
        <f t="shared" si="14"/>
        <v>8</v>
      </c>
      <c r="AL58" s="231">
        <f t="shared" si="15"/>
        <v>8</v>
      </c>
      <c r="AM58" s="232"/>
      <c r="AN58" s="232"/>
      <c r="AO58" s="232"/>
      <c r="AP58" s="232"/>
      <c r="AQ58" s="232"/>
      <c r="AR58" s="232"/>
      <c r="AS58" s="232"/>
      <c r="AT58" s="232"/>
      <c r="AU58" s="232"/>
      <c r="AV58" s="232"/>
      <c r="AW58" s="232"/>
      <c r="AX58" s="232"/>
      <c r="AY58" s="232"/>
      <c r="AZ58" s="232"/>
      <c r="BA58" s="232"/>
      <c r="BB58" s="232"/>
      <c r="BC58" s="232"/>
      <c r="BD58" s="232"/>
      <c r="BE58" s="232"/>
      <c r="BF58" s="232"/>
      <c r="BG58" s="232"/>
      <c r="BH58" s="232"/>
      <c r="BI58" s="232"/>
      <c r="BJ58" s="232"/>
    </row>
    <row r="59" spans="1:62" s="233" customFormat="1" ht="31.5" customHeight="1" x14ac:dyDescent="0.3">
      <c r="A59" s="211">
        <v>1</v>
      </c>
      <c r="B59" s="212" t="s">
        <v>306</v>
      </c>
      <c r="C59" s="213" t="s">
        <v>1449</v>
      </c>
      <c r="D59" s="214" t="s">
        <v>894</v>
      </c>
      <c r="E59" s="215" t="str">
        <f t="shared" si="0"/>
        <v>1/052/106/0134</v>
      </c>
      <c r="F59" s="216"/>
      <c r="G59" s="245" t="s">
        <v>959</v>
      </c>
      <c r="H59" s="218" t="s">
        <v>947</v>
      </c>
      <c r="I59" s="226" t="s">
        <v>960</v>
      </c>
      <c r="J59" s="220" t="s">
        <v>961</v>
      </c>
      <c r="K59" s="218" t="s">
        <v>311</v>
      </c>
      <c r="L59" s="221" t="s">
        <v>962</v>
      </c>
      <c r="M59" s="247" t="s">
        <v>963</v>
      </c>
      <c r="N59" s="215">
        <v>19</v>
      </c>
      <c r="O59" s="215">
        <v>4</v>
      </c>
      <c r="P59" s="215">
        <v>2003</v>
      </c>
      <c r="Q59" s="223">
        <f t="shared" si="1"/>
        <v>37730</v>
      </c>
      <c r="R59" s="224">
        <f ca="1">(Academic!$G$7-Q59)/365</f>
        <v>22.731506849315068</v>
      </c>
      <c r="S59" s="215" t="s">
        <v>50</v>
      </c>
      <c r="T59" s="215"/>
      <c r="U59" s="215"/>
      <c r="V59" s="215"/>
      <c r="W59" s="225"/>
      <c r="X59" s="5"/>
      <c r="Y59" s="115"/>
      <c r="Z59" s="227">
        <f t="shared" ca="1" si="3"/>
        <v>126</v>
      </c>
      <c r="AA59" s="228">
        <f t="shared" ca="1" si="4"/>
        <v>0</v>
      </c>
      <c r="AB59" s="228">
        <f t="shared" ca="1" si="5"/>
        <v>5</v>
      </c>
      <c r="AC59" s="229" t="str">
        <f t="shared" ca="1" si="6"/>
        <v>126Years/0Months/5Days</v>
      </c>
      <c r="AD59" s="230">
        <f t="shared" si="7"/>
        <v>59645</v>
      </c>
      <c r="AE59" s="229">
        <f t="shared" ca="1" si="8"/>
        <v>37</v>
      </c>
      <c r="AF59" s="229">
        <f t="shared" ca="1" si="9"/>
        <v>3</v>
      </c>
      <c r="AG59" s="229">
        <f t="shared" ca="1" si="10"/>
        <v>14</v>
      </c>
      <c r="AH59" s="229" t="str">
        <f t="shared" ca="1" si="11"/>
        <v>37Years/3Months/14Days</v>
      </c>
      <c r="AI59" s="229" t="str">
        <f t="shared" si="12"/>
        <v>163years , 3months and 19days</v>
      </c>
      <c r="AJ59" s="211">
        <f t="shared" si="13"/>
        <v>163</v>
      </c>
      <c r="AK59" s="211">
        <f t="shared" si="14"/>
        <v>3</v>
      </c>
      <c r="AL59" s="231">
        <f t="shared" si="15"/>
        <v>19</v>
      </c>
      <c r="AM59" s="232"/>
      <c r="AN59" s="232"/>
      <c r="AO59" s="232"/>
      <c r="AP59" s="232"/>
      <c r="AQ59" s="232"/>
      <c r="AR59" s="232"/>
      <c r="AS59" s="232"/>
      <c r="AT59" s="232"/>
      <c r="AU59" s="232"/>
      <c r="AV59" s="232"/>
      <c r="AW59" s="232"/>
      <c r="AX59" s="232"/>
      <c r="AY59" s="232"/>
      <c r="AZ59" s="232"/>
      <c r="BA59" s="232"/>
      <c r="BB59" s="232"/>
      <c r="BC59" s="232"/>
      <c r="BD59" s="232"/>
      <c r="BE59" s="232"/>
      <c r="BF59" s="232"/>
      <c r="BG59" s="232"/>
      <c r="BH59" s="232"/>
      <c r="BI59" s="232"/>
      <c r="BJ59" s="232"/>
    </row>
    <row r="60" spans="1:62" s="233" customFormat="1" ht="31.5" customHeight="1" x14ac:dyDescent="0.3">
      <c r="A60" s="211">
        <v>1</v>
      </c>
      <c r="B60" s="212" t="s">
        <v>306</v>
      </c>
      <c r="C60" s="213" t="s">
        <v>1451</v>
      </c>
      <c r="D60" s="214" t="s">
        <v>908</v>
      </c>
      <c r="E60" s="215" t="str">
        <f t="shared" si="0"/>
        <v>1/052/109/0137</v>
      </c>
      <c r="F60" s="216"/>
      <c r="G60" s="245" t="s">
        <v>973</v>
      </c>
      <c r="H60" s="253" t="s">
        <v>947</v>
      </c>
      <c r="I60" s="226" t="s">
        <v>974</v>
      </c>
      <c r="J60" s="220" t="s">
        <v>975</v>
      </c>
      <c r="K60" s="218" t="s">
        <v>311</v>
      </c>
      <c r="L60" s="221" t="s">
        <v>976</v>
      </c>
      <c r="M60" s="242" t="s">
        <v>977</v>
      </c>
      <c r="N60" s="215">
        <v>17</v>
      </c>
      <c r="O60" s="215">
        <v>9</v>
      </c>
      <c r="P60" s="215">
        <v>2000</v>
      </c>
      <c r="Q60" s="223">
        <f t="shared" si="1"/>
        <v>36786</v>
      </c>
      <c r="R60" s="224">
        <f ca="1">(Academic!$G$7-Q60)/365</f>
        <v>25.317808219178083</v>
      </c>
      <c r="S60" s="215" t="s">
        <v>50</v>
      </c>
      <c r="T60" s="215"/>
      <c r="U60" s="215"/>
      <c r="V60" s="215"/>
      <c r="W60" s="225"/>
      <c r="X60" s="5"/>
      <c r="Y60" s="115"/>
      <c r="Z60" s="227">
        <f t="shared" ca="1" si="3"/>
        <v>126</v>
      </c>
      <c r="AA60" s="228">
        <f t="shared" ca="1" si="4"/>
        <v>0</v>
      </c>
      <c r="AB60" s="228">
        <f t="shared" ca="1" si="5"/>
        <v>5</v>
      </c>
      <c r="AC60" s="229" t="str">
        <f t="shared" ca="1" si="6"/>
        <v>126Years/0Months/5Days</v>
      </c>
      <c r="AD60" s="230">
        <f t="shared" si="7"/>
        <v>58701</v>
      </c>
      <c r="AE60" s="229">
        <f t="shared" ca="1" si="8"/>
        <v>34</v>
      </c>
      <c r="AF60" s="229">
        <f t="shared" ca="1" si="9"/>
        <v>8</v>
      </c>
      <c r="AG60" s="229">
        <f t="shared" ca="1" si="10"/>
        <v>12</v>
      </c>
      <c r="AH60" s="229" t="str">
        <f t="shared" ca="1" si="11"/>
        <v>34Years/8Months/12Days</v>
      </c>
      <c r="AI60" s="229" t="str">
        <f t="shared" si="12"/>
        <v>160years , 8months and 17days</v>
      </c>
      <c r="AJ60" s="211">
        <f t="shared" si="13"/>
        <v>160</v>
      </c>
      <c r="AK60" s="211">
        <f t="shared" si="14"/>
        <v>8</v>
      </c>
      <c r="AL60" s="231">
        <f t="shared" si="15"/>
        <v>17</v>
      </c>
      <c r="AM60" s="232"/>
      <c r="AN60" s="232"/>
      <c r="AO60" s="232"/>
      <c r="AP60" s="232"/>
      <c r="AQ60" s="232"/>
      <c r="AR60" s="232"/>
      <c r="AS60" s="232"/>
      <c r="AT60" s="232"/>
      <c r="AU60" s="232"/>
      <c r="AV60" s="232"/>
      <c r="AW60" s="232"/>
      <c r="AX60" s="232"/>
      <c r="AY60" s="232"/>
      <c r="AZ60" s="232"/>
      <c r="BA60" s="232"/>
      <c r="BB60" s="232"/>
      <c r="BC60" s="232"/>
      <c r="BD60" s="232"/>
      <c r="BE60" s="232"/>
      <c r="BF60" s="232"/>
      <c r="BG60" s="232"/>
      <c r="BH60" s="232"/>
      <c r="BI60" s="232"/>
      <c r="BJ60" s="232"/>
    </row>
    <row r="61" spans="1:62" s="233" customFormat="1" ht="31.5" customHeight="1" x14ac:dyDescent="0.3">
      <c r="A61" s="211">
        <v>1</v>
      </c>
      <c r="B61" s="212" t="s">
        <v>306</v>
      </c>
      <c r="C61" s="213" t="s">
        <v>1452</v>
      </c>
      <c r="D61" s="214" t="s">
        <v>914</v>
      </c>
      <c r="E61" s="215" t="str">
        <f t="shared" si="0"/>
        <v>1/052/110/0138</v>
      </c>
      <c r="F61" s="216"/>
      <c r="G61" s="245" t="s">
        <v>979</v>
      </c>
      <c r="H61" s="218" t="s">
        <v>947</v>
      </c>
      <c r="I61" s="226" t="s">
        <v>980</v>
      </c>
      <c r="J61" s="220" t="s">
        <v>981</v>
      </c>
      <c r="K61" s="218" t="s">
        <v>96</v>
      </c>
      <c r="L61" s="221" t="s">
        <v>982</v>
      </c>
      <c r="M61" s="242" t="s">
        <v>983</v>
      </c>
      <c r="N61" s="215">
        <v>28</v>
      </c>
      <c r="O61" s="215">
        <v>8</v>
      </c>
      <c r="P61" s="215">
        <v>1991</v>
      </c>
      <c r="Q61" s="223">
        <f t="shared" si="1"/>
        <v>33478</v>
      </c>
      <c r="R61" s="224">
        <f ca="1">(Academic!$G$7-Q61)/365</f>
        <v>34.38082191780822</v>
      </c>
      <c r="S61" s="215" t="s">
        <v>50</v>
      </c>
      <c r="T61" s="215"/>
      <c r="U61" s="215"/>
      <c r="V61" s="215"/>
      <c r="W61" s="225"/>
      <c r="X61" s="5"/>
      <c r="Y61" s="115"/>
      <c r="Z61" s="227">
        <f t="shared" ca="1" si="3"/>
        <v>126</v>
      </c>
      <c r="AA61" s="228">
        <f t="shared" ca="1" si="4"/>
        <v>0</v>
      </c>
      <c r="AB61" s="228">
        <f t="shared" ca="1" si="5"/>
        <v>5</v>
      </c>
      <c r="AC61" s="229" t="str">
        <f t="shared" ca="1" si="6"/>
        <v>126Years/0Months/5Days</v>
      </c>
      <c r="AD61" s="230">
        <f t="shared" si="7"/>
        <v>55393</v>
      </c>
      <c r="AE61" s="229">
        <f t="shared" ca="1" si="8"/>
        <v>25</v>
      </c>
      <c r="AF61" s="229">
        <f t="shared" ca="1" si="9"/>
        <v>7</v>
      </c>
      <c r="AG61" s="229">
        <f t="shared" ca="1" si="10"/>
        <v>23</v>
      </c>
      <c r="AH61" s="229" t="str">
        <f t="shared" ca="1" si="11"/>
        <v>25Years/7Months/23Days</v>
      </c>
      <c r="AI61" s="229" t="str">
        <f t="shared" si="12"/>
        <v>151years , 7months and 28days</v>
      </c>
      <c r="AJ61" s="211">
        <f t="shared" si="13"/>
        <v>151</v>
      </c>
      <c r="AK61" s="211">
        <f t="shared" si="14"/>
        <v>7</v>
      </c>
      <c r="AL61" s="231">
        <f t="shared" si="15"/>
        <v>28</v>
      </c>
      <c r="AM61" s="232"/>
      <c r="AN61" s="232"/>
      <c r="AO61" s="232"/>
      <c r="AP61" s="232"/>
      <c r="AQ61" s="232"/>
      <c r="AR61" s="232"/>
      <c r="AS61" s="232"/>
      <c r="AT61" s="232"/>
      <c r="AU61" s="232"/>
      <c r="AV61" s="232"/>
      <c r="AW61" s="232"/>
      <c r="AX61" s="232"/>
      <c r="AY61" s="232"/>
      <c r="AZ61" s="232"/>
      <c r="BA61" s="232"/>
      <c r="BB61" s="232"/>
      <c r="BC61" s="232"/>
      <c r="BD61" s="232"/>
      <c r="BE61" s="232"/>
      <c r="BF61" s="232"/>
      <c r="BG61" s="232"/>
      <c r="BH61" s="232"/>
      <c r="BI61" s="232"/>
      <c r="BJ61" s="232"/>
    </row>
    <row r="62" spans="1:62" s="233" customFormat="1" ht="31.5" customHeight="1" x14ac:dyDescent="0.3">
      <c r="A62" s="211">
        <v>1</v>
      </c>
      <c r="B62" s="212" t="s">
        <v>306</v>
      </c>
      <c r="C62" s="213" t="s">
        <v>1456</v>
      </c>
      <c r="D62" s="214" t="s">
        <v>939</v>
      </c>
      <c r="E62" s="215" t="str">
        <f t="shared" si="0"/>
        <v>1/052/114/0142</v>
      </c>
      <c r="F62" s="216"/>
      <c r="G62" s="245" t="s">
        <v>1002</v>
      </c>
      <c r="H62" s="218" t="s">
        <v>1003</v>
      </c>
      <c r="I62" s="226" t="s">
        <v>1004</v>
      </c>
      <c r="J62" s="220" t="s">
        <v>1005</v>
      </c>
      <c r="K62" s="218" t="s">
        <v>96</v>
      </c>
      <c r="L62" s="221" t="s">
        <v>1006</v>
      </c>
      <c r="M62" s="242" t="s">
        <v>1007</v>
      </c>
      <c r="N62" s="215">
        <v>22</v>
      </c>
      <c r="O62" s="215">
        <v>8</v>
      </c>
      <c r="P62" s="215">
        <v>2001</v>
      </c>
      <c r="Q62" s="223">
        <f t="shared" si="1"/>
        <v>37125</v>
      </c>
      <c r="R62" s="224">
        <f ca="1">(Academic!$G$7-Q62)/365</f>
        <v>24.389041095890413</v>
      </c>
      <c r="S62" s="215" t="s">
        <v>50</v>
      </c>
      <c r="T62" s="215"/>
      <c r="U62" s="215"/>
      <c r="V62" s="215"/>
      <c r="W62" s="225"/>
      <c r="X62" s="39"/>
      <c r="Y62" s="116"/>
      <c r="Z62" s="227">
        <f t="shared" ca="1" si="3"/>
        <v>126</v>
      </c>
      <c r="AA62" s="228">
        <f t="shared" ca="1" si="4"/>
        <v>0</v>
      </c>
      <c r="AB62" s="228">
        <f t="shared" ca="1" si="5"/>
        <v>5</v>
      </c>
      <c r="AC62" s="229" t="str">
        <f t="shared" ca="1" si="6"/>
        <v>126Years/0Months/5Days</v>
      </c>
      <c r="AD62" s="230">
        <f t="shared" si="7"/>
        <v>59040</v>
      </c>
      <c r="AE62" s="229">
        <f t="shared" ca="1" si="8"/>
        <v>35</v>
      </c>
      <c r="AF62" s="229">
        <f t="shared" ca="1" si="9"/>
        <v>7</v>
      </c>
      <c r="AG62" s="229">
        <f t="shared" ca="1" si="10"/>
        <v>17</v>
      </c>
      <c r="AH62" s="229" t="str">
        <f t="shared" ca="1" si="11"/>
        <v>35Years/7Months/17Days</v>
      </c>
      <c r="AI62" s="229" t="str">
        <f t="shared" si="12"/>
        <v>161years , 7months and 22days</v>
      </c>
      <c r="AJ62" s="211">
        <f t="shared" si="13"/>
        <v>161</v>
      </c>
      <c r="AK62" s="211">
        <f t="shared" si="14"/>
        <v>7</v>
      </c>
      <c r="AL62" s="231">
        <f t="shared" si="15"/>
        <v>22</v>
      </c>
      <c r="AM62" s="232"/>
      <c r="AN62" s="232"/>
      <c r="AO62" s="232"/>
      <c r="AP62" s="232"/>
      <c r="AQ62" s="232"/>
      <c r="AR62" s="232"/>
      <c r="AS62" s="232"/>
      <c r="AT62" s="232"/>
      <c r="AU62" s="232"/>
      <c r="AV62" s="232"/>
      <c r="AW62" s="232"/>
      <c r="AX62" s="232"/>
      <c r="AY62" s="232"/>
      <c r="AZ62" s="232"/>
      <c r="BA62" s="232"/>
      <c r="BB62" s="232"/>
      <c r="BC62" s="232"/>
      <c r="BD62" s="232"/>
      <c r="BE62" s="232"/>
      <c r="BF62" s="232"/>
      <c r="BG62" s="232"/>
      <c r="BH62" s="232"/>
      <c r="BI62" s="232"/>
      <c r="BJ62" s="232"/>
    </row>
    <row r="63" spans="1:62" s="233" customFormat="1" ht="31.5" customHeight="1" x14ac:dyDescent="0.3">
      <c r="A63" s="211">
        <v>1</v>
      </c>
      <c r="B63" s="212" t="s">
        <v>306</v>
      </c>
      <c r="C63" s="213" t="s">
        <v>1457</v>
      </c>
      <c r="D63" s="214" t="s">
        <v>945</v>
      </c>
      <c r="E63" s="215" t="str">
        <f t="shared" si="0"/>
        <v>1/052/115/0143</v>
      </c>
      <c r="F63" s="216"/>
      <c r="G63" s="245" t="s">
        <v>1009</v>
      </c>
      <c r="H63" s="218" t="s">
        <v>332</v>
      </c>
      <c r="I63" s="226" t="s">
        <v>1010</v>
      </c>
      <c r="J63" s="220" t="s">
        <v>1011</v>
      </c>
      <c r="K63" s="218" t="s">
        <v>311</v>
      </c>
      <c r="L63" s="221" t="s">
        <v>1012</v>
      </c>
      <c r="M63" s="242" t="s">
        <v>1013</v>
      </c>
      <c r="N63" s="215">
        <v>6</v>
      </c>
      <c r="O63" s="215">
        <v>5</v>
      </c>
      <c r="P63" s="215">
        <v>2000</v>
      </c>
      <c r="Q63" s="223">
        <f t="shared" si="1"/>
        <v>36652</v>
      </c>
      <c r="R63" s="224">
        <f ca="1">(Academic!$G$7-Q63)/365</f>
        <v>25.684931506849313</v>
      </c>
      <c r="S63" s="215" t="s">
        <v>34</v>
      </c>
      <c r="T63" s="215">
        <v>3</v>
      </c>
      <c r="U63" s="215">
        <v>1</v>
      </c>
      <c r="V63" s="215">
        <v>2023</v>
      </c>
      <c r="W63" s="225">
        <f>DATE(V63,U63,T63)</f>
        <v>44929</v>
      </c>
      <c r="X63" s="39"/>
      <c r="Y63" s="116"/>
      <c r="Z63" s="227">
        <f t="shared" ca="1" si="3"/>
        <v>3</v>
      </c>
      <c r="AA63" s="228">
        <f t="shared" ca="1" si="4"/>
        <v>0</v>
      </c>
      <c r="AB63" s="228">
        <f t="shared" ca="1" si="5"/>
        <v>2</v>
      </c>
      <c r="AC63" s="229" t="str">
        <f t="shared" ca="1" si="6"/>
        <v>3Years/0Months/2Days</v>
      </c>
      <c r="AD63" s="230">
        <f t="shared" si="7"/>
        <v>58567</v>
      </c>
      <c r="AE63" s="229">
        <f t="shared" ca="1" si="8"/>
        <v>34</v>
      </c>
      <c r="AF63" s="229">
        <f t="shared" ca="1" si="9"/>
        <v>4</v>
      </c>
      <c r="AG63" s="229">
        <f t="shared" ca="1" si="10"/>
        <v>1</v>
      </c>
      <c r="AH63" s="229" t="str">
        <f t="shared" ca="1" si="11"/>
        <v>34Years/4Months/1Days</v>
      </c>
      <c r="AI63" s="229" t="str">
        <f t="shared" si="12"/>
        <v>37years , 4months and 3days</v>
      </c>
      <c r="AJ63" s="211">
        <f t="shared" si="13"/>
        <v>37</v>
      </c>
      <c r="AK63" s="211">
        <f t="shared" si="14"/>
        <v>4</v>
      </c>
      <c r="AL63" s="231">
        <f t="shared" si="15"/>
        <v>3</v>
      </c>
      <c r="AM63" s="232"/>
      <c r="AN63" s="232"/>
      <c r="AO63" s="232"/>
      <c r="AP63" s="232"/>
      <c r="AQ63" s="232"/>
      <c r="AR63" s="232"/>
      <c r="AS63" s="232"/>
      <c r="AT63" s="232"/>
      <c r="AU63" s="232"/>
      <c r="AV63" s="232"/>
      <c r="AW63" s="232"/>
      <c r="AX63" s="232"/>
      <c r="AY63" s="232"/>
      <c r="AZ63" s="232"/>
      <c r="BA63" s="232"/>
      <c r="BB63" s="232"/>
      <c r="BC63" s="232"/>
      <c r="BD63" s="232"/>
      <c r="BE63" s="232"/>
      <c r="BF63" s="232"/>
      <c r="BG63" s="232"/>
      <c r="BH63" s="232"/>
      <c r="BI63" s="232"/>
      <c r="BJ63" s="232"/>
    </row>
    <row r="64" spans="1:62" s="233" customFormat="1" ht="31.5" customHeight="1" x14ac:dyDescent="0.3">
      <c r="A64" s="211">
        <v>1</v>
      </c>
      <c r="B64" s="212" t="s">
        <v>306</v>
      </c>
      <c r="C64" s="213" t="s">
        <v>1921</v>
      </c>
      <c r="D64" s="214" t="s">
        <v>1930</v>
      </c>
      <c r="E64" s="215" t="str">
        <f t="shared" si="0"/>
        <v>1/052/122/0275</v>
      </c>
      <c r="F64" s="216"/>
      <c r="G64" s="254" t="s">
        <v>1971</v>
      </c>
      <c r="H64" s="255" t="s">
        <v>42</v>
      </c>
      <c r="I64" s="226" t="s">
        <v>1972</v>
      </c>
      <c r="J64" s="220" t="s">
        <v>1973</v>
      </c>
      <c r="K64" s="218" t="s">
        <v>96</v>
      </c>
      <c r="L64" s="221" t="s">
        <v>1974</v>
      </c>
      <c r="M64" s="242" t="s">
        <v>1975</v>
      </c>
      <c r="N64" s="215">
        <v>26</v>
      </c>
      <c r="O64" s="215">
        <v>3</v>
      </c>
      <c r="P64" s="215">
        <v>1991</v>
      </c>
      <c r="Q64" s="223">
        <f t="shared" si="1"/>
        <v>33323</v>
      </c>
      <c r="R64" s="224">
        <f ca="1">(Academic!$G$7-Q64)/365</f>
        <v>34.805479452054797</v>
      </c>
      <c r="S64" s="215" t="s">
        <v>50</v>
      </c>
      <c r="T64" s="215">
        <v>4</v>
      </c>
      <c r="U64" s="215">
        <v>9</v>
      </c>
      <c r="V64" s="215">
        <v>2023</v>
      </c>
      <c r="W64" s="225">
        <f>DATE(V64,U64,T64)</f>
        <v>45173</v>
      </c>
      <c r="X64"/>
      <c r="Y64" s="113"/>
      <c r="Z64" s="227">
        <f t="shared" ca="1" si="3"/>
        <v>2</v>
      </c>
      <c r="AA64" s="228">
        <f t="shared" ca="1" si="4"/>
        <v>4</v>
      </c>
      <c r="AB64" s="228">
        <f t="shared" ca="1" si="5"/>
        <v>1</v>
      </c>
      <c r="AC64" s="229" t="str">
        <f t="shared" ca="1" si="6"/>
        <v>2Years/4Months/1Days</v>
      </c>
      <c r="AD64" s="230">
        <f t="shared" si="7"/>
        <v>55238</v>
      </c>
      <c r="AE64" s="229">
        <f t="shared" ca="1" si="8"/>
        <v>25</v>
      </c>
      <c r="AF64" s="229">
        <f t="shared" ca="1" si="9"/>
        <v>2</v>
      </c>
      <c r="AG64" s="229">
        <f t="shared" ca="1" si="10"/>
        <v>21</v>
      </c>
      <c r="AH64" s="229" t="str">
        <f t="shared" ca="1" si="11"/>
        <v>25Years/2Months/21Days</v>
      </c>
      <c r="AI64" s="229" t="str">
        <f t="shared" si="12"/>
        <v>27years , 6months and 22days</v>
      </c>
      <c r="AJ64" s="211">
        <f t="shared" si="13"/>
        <v>27</v>
      </c>
      <c r="AK64" s="211">
        <f t="shared" si="14"/>
        <v>6</v>
      </c>
      <c r="AL64" s="231">
        <f t="shared" si="15"/>
        <v>22</v>
      </c>
      <c r="AM64" s="256"/>
      <c r="AN64" s="256"/>
      <c r="AO64" s="232"/>
      <c r="AP64" s="232"/>
      <c r="AQ64" s="232"/>
      <c r="AR64" s="232"/>
      <c r="AS64" s="232"/>
      <c r="AT64" s="232"/>
      <c r="AU64" s="232"/>
      <c r="AV64" s="232"/>
      <c r="AW64" s="232"/>
      <c r="AX64" s="232"/>
      <c r="AY64" s="232"/>
      <c r="AZ64" s="232"/>
      <c r="BA64" s="232"/>
      <c r="BB64" s="232"/>
      <c r="BC64" s="232"/>
      <c r="BD64" s="232"/>
      <c r="BE64" s="232"/>
      <c r="BF64" s="232"/>
      <c r="BG64" s="232"/>
      <c r="BH64" s="232"/>
      <c r="BI64" s="232"/>
      <c r="BJ64" s="232"/>
    </row>
    <row r="65" spans="2:39" x14ac:dyDescent="0.3">
      <c r="E65" s="258" t="s">
        <v>2158</v>
      </c>
    </row>
    <row r="66" spans="2:39" x14ac:dyDescent="0.3">
      <c r="E66" s="90"/>
    </row>
    <row r="67" spans="2:39" x14ac:dyDescent="0.3">
      <c r="E67" s="90"/>
      <c r="F67" s="121" t="s">
        <v>1730</v>
      </c>
    </row>
    <row r="68" spans="2:39" x14ac:dyDescent="0.3">
      <c r="E68" s="107" t="s">
        <v>1713</v>
      </c>
      <c r="F68" t="s">
        <v>28</v>
      </c>
      <c r="G68" t="s">
        <v>1507</v>
      </c>
      <c r="H68" t="s">
        <v>42</v>
      </c>
    </row>
    <row r="69" spans="2:39" x14ac:dyDescent="0.3">
      <c r="E69" s="107" t="s">
        <v>1714</v>
      </c>
      <c r="F69" t="s">
        <v>28</v>
      </c>
      <c r="G69" t="s">
        <v>1522</v>
      </c>
      <c r="H69" t="s">
        <v>1536</v>
      </c>
    </row>
    <row r="70" spans="2:39" x14ac:dyDescent="0.3">
      <c r="E70" s="107" t="s">
        <v>1721</v>
      </c>
      <c r="F70" t="s">
        <v>28</v>
      </c>
      <c r="G70" t="s">
        <v>1556</v>
      </c>
      <c r="H70" t="s">
        <v>42</v>
      </c>
    </row>
    <row r="71" spans="2:39" x14ac:dyDescent="0.3">
      <c r="E71" s="107" t="s">
        <v>1722</v>
      </c>
      <c r="F71" t="s">
        <v>28</v>
      </c>
      <c r="G71" t="s">
        <v>1558</v>
      </c>
      <c r="H71" t="s">
        <v>42</v>
      </c>
    </row>
    <row r="72" spans="2:39" x14ac:dyDescent="0.3">
      <c r="E72" s="107" t="s">
        <v>1723</v>
      </c>
      <c r="F72" t="s">
        <v>40</v>
      </c>
      <c r="G72" t="s">
        <v>1561</v>
      </c>
      <c r="H72" t="s">
        <v>42</v>
      </c>
    </row>
    <row r="73" spans="2:39" x14ac:dyDescent="0.3">
      <c r="E73" s="107" t="s">
        <v>1724</v>
      </c>
      <c r="F73" t="s">
        <v>40</v>
      </c>
      <c r="G73" t="s">
        <v>1572</v>
      </c>
      <c r="H73" t="s">
        <v>42</v>
      </c>
    </row>
    <row r="74" spans="2:39" x14ac:dyDescent="0.3">
      <c r="E74" s="107" t="s">
        <v>1725</v>
      </c>
      <c r="F74" t="s">
        <v>28</v>
      </c>
      <c r="G74" t="s">
        <v>1580</v>
      </c>
      <c r="H74" t="s">
        <v>42</v>
      </c>
    </row>
    <row r="75" spans="2:39" x14ac:dyDescent="0.3">
      <c r="E75" s="107" t="s">
        <v>1726</v>
      </c>
      <c r="F75" t="s">
        <v>40</v>
      </c>
      <c r="G75" t="s">
        <v>1603</v>
      </c>
      <c r="H75" t="s">
        <v>42</v>
      </c>
    </row>
    <row r="76" spans="2:39" x14ac:dyDescent="0.3">
      <c r="E76" s="107" t="s">
        <v>1727</v>
      </c>
      <c r="F76" t="s">
        <v>40</v>
      </c>
      <c r="G76" t="s">
        <v>1605</v>
      </c>
      <c r="H76" t="s">
        <v>1587</v>
      </c>
    </row>
    <row r="77" spans="2:39" x14ac:dyDescent="0.3">
      <c r="E77" s="107" t="s">
        <v>1728</v>
      </c>
      <c r="F77" t="s">
        <v>40</v>
      </c>
      <c r="G77" t="s">
        <v>1606</v>
      </c>
      <c r="H77" t="s">
        <v>1588</v>
      </c>
    </row>
    <row r="78" spans="2:39" x14ac:dyDescent="0.3">
      <c r="E78" s="107" t="s">
        <v>1729</v>
      </c>
      <c r="F78" t="s">
        <v>40</v>
      </c>
      <c r="G78" t="s">
        <v>1608</v>
      </c>
      <c r="H78" t="s">
        <v>1589</v>
      </c>
    </row>
    <row r="80" spans="2:39" ht="41.4" x14ac:dyDescent="0.3">
      <c r="B80" s="107" t="s">
        <v>2441</v>
      </c>
      <c r="E80" s="5" t="s">
        <v>2181</v>
      </c>
      <c r="F80" s="68" t="s">
        <v>28</v>
      </c>
      <c r="G80" s="390" t="s">
        <v>1499</v>
      </c>
      <c r="H80" s="391" t="s">
        <v>42</v>
      </c>
      <c r="I80" s="390" t="s">
        <v>1512</v>
      </c>
      <c r="J80" s="294" t="s">
        <v>1130</v>
      </c>
      <c r="K80" s="178" t="s">
        <v>1131</v>
      </c>
      <c r="L80" s="81">
        <v>773697970</v>
      </c>
      <c r="M80" s="82" t="s">
        <v>1132</v>
      </c>
      <c r="N80" s="392">
        <v>7</v>
      </c>
      <c r="O80" s="392">
        <v>5</v>
      </c>
      <c r="P80" s="392">
        <v>1985</v>
      </c>
      <c r="Q80" s="147">
        <v>31174</v>
      </c>
      <c r="R80" s="92">
        <v>40.295890410958904</v>
      </c>
      <c r="S80" s="73" t="s">
        <v>50</v>
      </c>
      <c r="T80" s="73">
        <v>4</v>
      </c>
      <c r="U80" s="73">
        <v>1</v>
      </c>
      <c r="V80" s="73">
        <v>2017</v>
      </c>
      <c r="W80" s="148">
        <v>42739</v>
      </c>
      <c r="X80" s="5" t="s">
        <v>38</v>
      </c>
      <c r="Y80" s="115"/>
      <c r="Z80" s="124">
        <v>8</v>
      </c>
      <c r="AA80" s="109">
        <v>7</v>
      </c>
      <c r="AB80" s="150">
        <v>9</v>
      </c>
      <c r="AC80" s="15" t="s">
        <v>2438</v>
      </c>
      <c r="AD80" s="108">
        <v>53089</v>
      </c>
      <c r="AE80" s="15">
        <v>19</v>
      </c>
      <c r="AF80" s="15">
        <v>8</v>
      </c>
      <c r="AG80" s="15">
        <v>24</v>
      </c>
      <c r="AH80" s="15" t="s">
        <v>2439</v>
      </c>
      <c r="AI80" s="15" t="s">
        <v>2440</v>
      </c>
      <c r="AJ80" s="15">
        <v>28</v>
      </c>
      <c r="AK80" s="15">
        <v>4</v>
      </c>
      <c r="AL80" s="15">
        <v>3</v>
      </c>
      <c r="AM80" s="5"/>
    </row>
    <row r="81" spans="5:41" x14ac:dyDescent="0.3">
      <c r="E81" t="s">
        <v>2183</v>
      </c>
      <c r="F81" t="s">
        <v>28</v>
      </c>
      <c r="G81" t="s">
        <v>1501</v>
      </c>
      <c r="H81" t="s">
        <v>42</v>
      </c>
      <c r="I81" t="s">
        <v>1513</v>
      </c>
      <c r="J81" t="s">
        <v>1135</v>
      </c>
      <c r="K81" t="s">
        <v>31</v>
      </c>
      <c r="L81">
        <v>774164171</v>
      </c>
      <c r="M81" t="s">
        <v>1136</v>
      </c>
      <c r="N81">
        <v>6</v>
      </c>
      <c r="O81">
        <v>10</v>
      </c>
      <c r="P81">
        <v>1984</v>
      </c>
      <c r="Q81">
        <v>30961</v>
      </c>
      <c r="R81">
        <v>40.87945205479452</v>
      </c>
      <c r="S81" t="s">
        <v>50</v>
      </c>
      <c r="T81">
        <v>24</v>
      </c>
      <c r="U81">
        <v>4</v>
      </c>
      <c r="V81">
        <v>2017</v>
      </c>
      <c r="W81">
        <v>42849</v>
      </c>
      <c r="X81" t="s">
        <v>38</v>
      </c>
      <c r="Z81">
        <v>8</v>
      </c>
      <c r="AA81">
        <v>3</v>
      </c>
      <c r="AB81">
        <v>20</v>
      </c>
      <c r="AC81" t="s">
        <v>2442</v>
      </c>
      <c r="AD81">
        <v>52876</v>
      </c>
      <c r="AE81">
        <v>19</v>
      </c>
      <c r="AF81">
        <v>1</v>
      </c>
      <c r="AG81">
        <v>23</v>
      </c>
      <c r="AH81" t="s">
        <v>2443</v>
      </c>
      <c r="AI81" t="s">
        <v>2444</v>
      </c>
      <c r="AJ81">
        <v>27</v>
      </c>
      <c r="AK81">
        <v>5</v>
      </c>
      <c r="AL81">
        <v>12</v>
      </c>
    </row>
    <row r="82" spans="5:41" x14ac:dyDescent="0.3">
      <c r="E82" t="s">
        <v>2244</v>
      </c>
      <c r="F82" t="s">
        <v>28</v>
      </c>
      <c r="G82" t="s">
        <v>1558</v>
      </c>
      <c r="H82" t="s">
        <v>42</v>
      </c>
      <c r="I82" t="s">
        <v>2100</v>
      </c>
      <c r="J82" t="s">
        <v>2098</v>
      </c>
      <c r="K82" t="s">
        <v>2101</v>
      </c>
      <c r="L82">
        <v>777351285</v>
      </c>
      <c r="M82" t="s">
        <v>2099</v>
      </c>
      <c r="N82">
        <v>14</v>
      </c>
      <c r="O82">
        <v>8</v>
      </c>
      <c r="P82">
        <v>1984</v>
      </c>
      <c r="Q82">
        <v>30908</v>
      </c>
      <c r="R82">
        <v>41.024657534246572</v>
      </c>
      <c r="S82" t="s">
        <v>50</v>
      </c>
      <c r="T82">
        <v>25</v>
      </c>
      <c r="U82">
        <v>8</v>
      </c>
      <c r="V82">
        <v>2023</v>
      </c>
      <c r="W82">
        <v>45163</v>
      </c>
      <c r="Z82">
        <v>1</v>
      </c>
      <c r="AA82">
        <v>11</v>
      </c>
      <c r="AB82">
        <v>19</v>
      </c>
      <c r="AC82" t="s">
        <v>2445</v>
      </c>
      <c r="AD82">
        <v>52823</v>
      </c>
      <c r="AE82">
        <v>19</v>
      </c>
      <c r="AF82">
        <v>0</v>
      </c>
      <c r="AG82">
        <v>1</v>
      </c>
      <c r="AH82" t="s">
        <v>2446</v>
      </c>
      <c r="AI82" t="s">
        <v>2447</v>
      </c>
      <c r="AJ82">
        <v>20</v>
      </c>
      <c r="AK82">
        <v>11</v>
      </c>
      <c r="AL82">
        <v>20</v>
      </c>
    </row>
    <row r="83" spans="5:41" x14ac:dyDescent="0.3">
      <c r="E83" t="s">
        <v>2223</v>
      </c>
      <c r="F83" t="s">
        <v>28</v>
      </c>
      <c r="G83" t="s">
        <v>1584</v>
      </c>
      <c r="H83" t="s">
        <v>42</v>
      </c>
      <c r="I83" t="s">
        <v>1600</v>
      </c>
      <c r="J83">
        <v>199979303923</v>
      </c>
      <c r="K83" t="s">
        <v>31</v>
      </c>
      <c r="L83">
        <v>774880422</v>
      </c>
      <c r="M83" t="s">
        <v>1289</v>
      </c>
      <c r="N83">
        <v>19</v>
      </c>
      <c r="O83">
        <v>10</v>
      </c>
      <c r="P83">
        <v>1999</v>
      </c>
      <c r="Q83">
        <v>36452</v>
      </c>
      <c r="R83">
        <v>25.835616438356166</v>
      </c>
      <c r="S83" t="s">
        <v>50</v>
      </c>
      <c r="T83">
        <v>12</v>
      </c>
      <c r="U83">
        <v>10</v>
      </c>
      <c r="V83">
        <v>2021</v>
      </c>
      <c r="W83">
        <v>44481</v>
      </c>
      <c r="Y83" t="s">
        <v>38</v>
      </c>
      <c r="Z83">
        <v>3</v>
      </c>
      <c r="AA83">
        <v>10</v>
      </c>
      <c r="AB83">
        <v>1</v>
      </c>
      <c r="AC83" t="s">
        <v>2448</v>
      </c>
      <c r="AD83">
        <v>58367</v>
      </c>
      <c r="AE83">
        <v>34</v>
      </c>
      <c r="AF83">
        <v>2</v>
      </c>
      <c r="AG83">
        <v>6</v>
      </c>
      <c r="AH83" t="s">
        <v>2449</v>
      </c>
      <c r="AI83" t="s">
        <v>2450</v>
      </c>
      <c r="AJ83">
        <v>38</v>
      </c>
      <c r="AK83">
        <v>0</v>
      </c>
      <c r="AL83">
        <v>7</v>
      </c>
      <c r="AO83" t="s">
        <v>2388</v>
      </c>
    </row>
    <row r="84" spans="5:41" x14ac:dyDescent="0.3">
      <c r="E84" t="s">
        <v>2212</v>
      </c>
      <c r="F84" t="s">
        <v>28</v>
      </c>
      <c r="G84" t="s">
        <v>1564</v>
      </c>
      <c r="H84" t="s">
        <v>42</v>
      </c>
      <c r="I84" t="s">
        <v>1571</v>
      </c>
      <c r="J84">
        <v>200070202404</v>
      </c>
      <c r="K84" t="s">
        <v>31</v>
      </c>
      <c r="L84">
        <v>775757506</v>
      </c>
      <c r="M84" t="s">
        <v>1249</v>
      </c>
      <c r="N84">
        <v>20</v>
      </c>
      <c r="O84">
        <v>7</v>
      </c>
      <c r="P84">
        <v>2000</v>
      </c>
      <c r="Q84">
        <v>36727</v>
      </c>
      <c r="R84">
        <v>25.082191780821919</v>
      </c>
      <c r="S84" t="s">
        <v>50</v>
      </c>
      <c r="T84">
        <v>27</v>
      </c>
      <c r="U84">
        <v>1</v>
      </c>
      <c r="V84">
        <v>2020</v>
      </c>
      <c r="W84">
        <v>43857</v>
      </c>
      <c r="Y84" t="s">
        <v>38</v>
      </c>
      <c r="Z84">
        <v>5</v>
      </c>
      <c r="AA84">
        <v>6</v>
      </c>
      <c r="AB84">
        <v>17</v>
      </c>
      <c r="AC84" t="s">
        <v>2451</v>
      </c>
      <c r="AD84">
        <v>58642</v>
      </c>
      <c r="AE84">
        <v>34</v>
      </c>
      <c r="AF84">
        <v>11</v>
      </c>
      <c r="AG84">
        <v>7</v>
      </c>
      <c r="AH84" t="s">
        <v>2452</v>
      </c>
      <c r="AI84" t="s">
        <v>2453</v>
      </c>
      <c r="AJ84">
        <v>40</v>
      </c>
      <c r="AK84">
        <v>5</v>
      </c>
      <c r="AL84">
        <v>23</v>
      </c>
    </row>
  </sheetData>
  <conditionalFormatting sqref="AF8:AF16">
    <cfRule type="expression" dxfId="71" priority="106" stopIfTrue="1">
      <formula>AND(AF8&lt;&gt;"", AND(AF8&gt;TODAY(),AF8&lt; TODAY()+30))</formula>
    </cfRule>
    <cfRule type="expression" dxfId="70" priority="107" stopIfTrue="1">
      <formula>AND(AF8&lt;&gt;"",AF8= TODAY())</formula>
    </cfRule>
    <cfRule type="expression" dxfId="69" priority="108" stopIfTrue="1">
      <formula>AND(AF8&lt;&gt;"", AND(AF8&gt;TODAY(),AF8&lt; TODAY()+150))</formula>
    </cfRule>
  </conditionalFormatting>
  <conditionalFormatting sqref="AF8:AF16">
    <cfRule type="expression" dxfId="68" priority="105" stopIfTrue="1">
      <formula>AND(AF8&lt;&gt;"", AND(AF8&lt;TODAY(),AF8&lt; TODAY()))</formula>
    </cfRule>
  </conditionalFormatting>
  <conditionalFormatting sqref="AD27:AD28">
    <cfRule type="expression" dxfId="67" priority="101" stopIfTrue="1">
      <formula>AND(AD27&lt;&gt;"", AND(AD27&lt;TODAY(),AD27&lt; TODAY()))</formula>
    </cfRule>
  </conditionalFormatting>
  <conditionalFormatting sqref="AD27:AD28">
    <cfRule type="expression" dxfId="66" priority="102" stopIfTrue="1">
      <formula>AND(AD27&lt;&gt;"", AND(AD27&gt;TODAY(),AD27&lt; TODAY()+30))</formula>
    </cfRule>
    <cfRule type="expression" dxfId="65" priority="103" stopIfTrue="1">
      <formula>AND(AD27&lt;&gt;"",AD27= TODAY())</formula>
    </cfRule>
    <cfRule type="expression" dxfId="64" priority="104" stopIfTrue="1">
      <formula>AND(AD27&lt;&gt;"", AND(AD27&gt;TODAY(),AD27&lt; TODAY()+150))</formula>
    </cfRule>
  </conditionalFormatting>
  <conditionalFormatting sqref="AD29">
    <cfRule type="expression" dxfId="63" priority="98" stopIfTrue="1">
      <formula>AND(AD29&lt;&gt;"", AND(AD29&gt;TODAY(),AD29&lt; TODAY()+30))</formula>
    </cfRule>
    <cfRule type="expression" dxfId="62" priority="99" stopIfTrue="1">
      <formula>AND(AD29&lt;&gt;"",AD29= TODAY())</formula>
    </cfRule>
    <cfRule type="expression" dxfId="61" priority="100" stopIfTrue="1">
      <formula>AND(AD29&lt;&gt;"", AND(AD29&gt;TODAY(),AD29&lt; TODAY()+150))</formula>
    </cfRule>
  </conditionalFormatting>
  <conditionalFormatting sqref="AD29">
    <cfRule type="expression" dxfId="60" priority="97" stopIfTrue="1">
      <formula>AND(AD29&lt;&gt;"", AND(AD29&lt;TODAY(),AD29&lt; TODAY()))</formula>
    </cfRule>
  </conditionalFormatting>
  <conditionalFormatting sqref="AD30">
    <cfRule type="expression" dxfId="59" priority="94" stopIfTrue="1">
      <formula>AND(AD30&lt;&gt;"", AND(AD30&gt;TODAY(),AD30&lt; TODAY()+30))</formula>
    </cfRule>
    <cfRule type="expression" dxfId="58" priority="95" stopIfTrue="1">
      <formula>AND(AD30&lt;&gt;"",AD30= TODAY())</formula>
    </cfRule>
    <cfRule type="expression" dxfId="57" priority="96" stopIfTrue="1">
      <formula>AND(AD30&lt;&gt;"", AND(AD30&gt;TODAY(),AD30&lt; TODAY()+150))</formula>
    </cfRule>
  </conditionalFormatting>
  <conditionalFormatting sqref="AD30">
    <cfRule type="expression" dxfId="56" priority="93" stopIfTrue="1">
      <formula>AND(AD30&lt;&gt;"", AND(AD30&lt;TODAY(),AD30&lt; TODAY()))</formula>
    </cfRule>
  </conditionalFormatting>
  <conditionalFormatting sqref="AD31">
    <cfRule type="expression" dxfId="55" priority="90" stopIfTrue="1">
      <formula>AND(AD31&lt;&gt;"", AND(AD31&gt;TODAY(),AD31&lt; TODAY()+30))</formula>
    </cfRule>
    <cfRule type="expression" dxfId="54" priority="91" stopIfTrue="1">
      <formula>AND(AD31&lt;&gt;"",AD31= TODAY())</formula>
    </cfRule>
    <cfRule type="expression" dxfId="53" priority="92" stopIfTrue="1">
      <formula>AND(AD31&lt;&gt;"", AND(AD31&gt;TODAY(),AD31&lt; TODAY()+150))</formula>
    </cfRule>
  </conditionalFormatting>
  <conditionalFormatting sqref="AD31">
    <cfRule type="expression" dxfId="52" priority="89" stopIfTrue="1">
      <formula>AND(AD31&lt;&gt;"", AND(AD31&lt;TODAY(),AD31&lt; TODAY()))</formula>
    </cfRule>
  </conditionalFormatting>
  <conditionalFormatting sqref="AD32">
    <cfRule type="expression" dxfId="51" priority="86" stopIfTrue="1">
      <formula>AND(AD32&lt;&gt;"", AND(AD32&gt;TODAY(),AD32&lt; TODAY()+30))</formula>
    </cfRule>
    <cfRule type="expression" dxfId="50" priority="87" stopIfTrue="1">
      <formula>AND(AD32&lt;&gt;"",AD32= TODAY())</formula>
    </cfRule>
    <cfRule type="expression" dxfId="49" priority="88" stopIfTrue="1">
      <formula>AND(AD32&lt;&gt;"", AND(AD32&gt;TODAY(),AD32&lt; TODAY()+150))</formula>
    </cfRule>
  </conditionalFormatting>
  <conditionalFormatting sqref="AD32">
    <cfRule type="expression" dxfId="48" priority="85" stopIfTrue="1">
      <formula>AND(AD32&lt;&gt;"", AND(AD32&lt;TODAY(),AD32&lt; TODAY()))</formula>
    </cfRule>
  </conditionalFormatting>
  <conditionalFormatting sqref="AD33:AD35">
    <cfRule type="expression" dxfId="47" priority="82" stopIfTrue="1">
      <formula>AND(AD33&lt;&gt;"", AND(AD33&gt;TODAY(),AD33&lt; TODAY()+30))</formula>
    </cfRule>
    <cfRule type="expression" dxfId="46" priority="83" stopIfTrue="1">
      <formula>AND(AD33&lt;&gt;"",AD33= TODAY())</formula>
    </cfRule>
    <cfRule type="expression" dxfId="45" priority="84" stopIfTrue="1">
      <formula>AND(AD33&lt;&gt;"", AND(AD33&gt;TODAY(),AD33&lt; TODAY()+150))</formula>
    </cfRule>
  </conditionalFormatting>
  <conditionalFormatting sqref="AD33:AD35">
    <cfRule type="expression" dxfId="44" priority="81" stopIfTrue="1">
      <formula>AND(AD33&lt;&gt;"", AND(AD33&lt;TODAY(),AD33&lt; TODAY()))</formula>
    </cfRule>
  </conditionalFormatting>
  <conditionalFormatting sqref="AD38">
    <cfRule type="expression" dxfId="43" priority="78" stopIfTrue="1">
      <formula>AND(AD38&lt;&gt;"", AND(AD38&gt;TODAY(),AD38&lt; TODAY()+30))</formula>
    </cfRule>
    <cfRule type="expression" dxfId="42" priority="79" stopIfTrue="1">
      <formula>AND(AD38&lt;&gt;"",AD38= TODAY())</formula>
    </cfRule>
    <cfRule type="expression" dxfId="41" priority="80" stopIfTrue="1">
      <formula>AND(AD38&lt;&gt;"", AND(AD38&gt;TODAY(),AD38&lt; TODAY()+150))</formula>
    </cfRule>
  </conditionalFormatting>
  <conditionalFormatting sqref="AD38">
    <cfRule type="expression" dxfId="40" priority="77" stopIfTrue="1">
      <formula>AND(AD38&lt;&gt;"", AND(AD38&lt;TODAY(),AD38&lt; TODAY()))</formula>
    </cfRule>
  </conditionalFormatting>
  <conditionalFormatting sqref="AD39">
    <cfRule type="expression" dxfId="39" priority="74" stopIfTrue="1">
      <formula>AND(AD39&lt;&gt;"", AND(AD39&gt;TODAY(),AD39&lt; TODAY()+30))</formula>
    </cfRule>
    <cfRule type="expression" dxfId="38" priority="75" stopIfTrue="1">
      <formula>AND(AD39&lt;&gt;"",AD39= TODAY())</formula>
    </cfRule>
    <cfRule type="expression" dxfId="37" priority="76" stopIfTrue="1">
      <formula>AND(AD39&lt;&gt;"", AND(AD39&gt;TODAY(),AD39&lt; TODAY()+150))</formula>
    </cfRule>
  </conditionalFormatting>
  <conditionalFormatting sqref="AD39">
    <cfRule type="expression" dxfId="36" priority="73" stopIfTrue="1">
      <formula>AND(AD39&lt;&gt;"", AND(AD39&lt;TODAY(),AD39&lt; TODAY()))</formula>
    </cfRule>
  </conditionalFormatting>
  <conditionalFormatting sqref="AD44">
    <cfRule type="expression" dxfId="35" priority="58" stopIfTrue="1">
      <formula>AND(AD44&lt;&gt;"", AND(AD44&gt;TODAY(),AD44&lt; TODAY()+30))</formula>
    </cfRule>
    <cfRule type="expression" dxfId="34" priority="59" stopIfTrue="1">
      <formula>AND(AD44&lt;&gt;"",AD44= TODAY())</formula>
    </cfRule>
    <cfRule type="expression" dxfId="33" priority="60" stopIfTrue="1">
      <formula>AND(AD44&lt;&gt;"", AND(AD44&gt;TODAY(),AD44&lt; TODAY()+150))</formula>
    </cfRule>
  </conditionalFormatting>
  <conditionalFormatting sqref="AD44">
    <cfRule type="expression" dxfId="32" priority="57" stopIfTrue="1">
      <formula>AND(AD44&lt;&gt;"", AND(AD44&lt;TODAY(),AD44&lt; TODAY()))</formula>
    </cfRule>
  </conditionalFormatting>
  <conditionalFormatting sqref="AD52">
    <cfRule type="expression" dxfId="31" priority="34" stopIfTrue="1">
      <formula>AND(AD52&lt;&gt;"", AND(AD52&gt;TODAY(),AD52&lt; TODAY()+30))</formula>
    </cfRule>
    <cfRule type="expression" dxfId="30" priority="35" stopIfTrue="1">
      <formula>AND(AD52&lt;&gt;"",AD52= TODAY())</formula>
    </cfRule>
    <cfRule type="expression" dxfId="29" priority="36" stopIfTrue="1">
      <formula>AND(AD52&lt;&gt;"", AND(AD52&gt;TODAY(),AD52&lt; TODAY()+150))</formula>
    </cfRule>
  </conditionalFormatting>
  <conditionalFormatting sqref="AD52">
    <cfRule type="expression" dxfId="28" priority="33" stopIfTrue="1">
      <formula>AND(AD52&lt;&gt;"", AND(AD52&lt;TODAY(),AD52&lt; TODAY()))</formula>
    </cfRule>
  </conditionalFormatting>
  <conditionalFormatting sqref="AD53:AD54">
    <cfRule type="expression" dxfId="27" priority="30" stopIfTrue="1">
      <formula>AND(AD53&lt;&gt;"", AND(AD53&gt;TODAY(),AD53&lt; TODAY()+30))</formula>
    </cfRule>
    <cfRule type="expression" dxfId="26" priority="31" stopIfTrue="1">
      <formula>AND(AD53&lt;&gt;"",AD53= TODAY())</formula>
    </cfRule>
    <cfRule type="expression" dxfId="25" priority="32" stopIfTrue="1">
      <formula>AND(AD53&lt;&gt;"", AND(AD53&gt;TODAY(),AD53&lt; TODAY()+150))</formula>
    </cfRule>
  </conditionalFormatting>
  <conditionalFormatting sqref="AD53:AD54">
    <cfRule type="expression" dxfId="24" priority="29" stopIfTrue="1">
      <formula>AND(AD53&lt;&gt;"", AND(AD53&lt;TODAY(),AD53&lt; TODAY()))</formula>
    </cfRule>
  </conditionalFormatting>
  <conditionalFormatting sqref="AD55">
    <cfRule type="expression" dxfId="23" priority="26" stopIfTrue="1">
      <formula>AND(AD55&lt;&gt;"", AND(AD55&gt;TODAY(),AD55&lt; TODAY()+30))</formula>
    </cfRule>
    <cfRule type="expression" dxfId="22" priority="27" stopIfTrue="1">
      <formula>AND(AD55&lt;&gt;"",AD55= TODAY())</formula>
    </cfRule>
    <cfRule type="expression" dxfId="21" priority="28" stopIfTrue="1">
      <formula>AND(AD55&lt;&gt;"", AND(AD55&gt;TODAY(),AD55&lt; TODAY()+150))</formula>
    </cfRule>
  </conditionalFormatting>
  <conditionalFormatting sqref="AD55">
    <cfRule type="expression" dxfId="20" priority="25" stopIfTrue="1">
      <formula>AND(AD55&lt;&gt;"", AND(AD55&lt;TODAY(),AD55&lt; TODAY()))</formula>
    </cfRule>
  </conditionalFormatting>
  <conditionalFormatting sqref="AD56:AD59">
    <cfRule type="expression" dxfId="19" priority="22" stopIfTrue="1">
      <formula>AND(AD56&lt;&gt;"", AND(AD56&gt;TODAY(),AD56&lt; TODAY()+30))</formula>
    </cfRule>
    <cfRule type="expression" dxfId="18" priority="23" stopIfTrue="1">
      <formula>AND(AD56&lt;&gt;"",AD56= TODAY())</formula>
    </cfRule>
    <cfRule type="expression" dxfId="17" priority="24" stopIfTrue="1">
      <formula>AND(AD56&lt;&gt;"", AND(AD56&gt;TODAY(),AD56&lt; TODAY()+150))</formula>
    </cfRule>
  </conditionalFormatting>
  <conditionalFormatting sqref="AD56:AD59">
    <cfRule type="expression" dxfId="16" priority="21" stopIfTrue="1">
      <formula>AND(AD56&lt;&gt;"", AND(AD56&lt;TODAY(),AD56&lt; TODAY()))</formula>
    </cfRule>
  </conditionalFormatting>
  <conditionalFormatting sqref="AD60:AD61">
    <cfRule type="expression" dxfId="15" priority="18" stopIfTrue="1">
      <formula>AND(AD60&lt;&gt;"", AND(AD60&gt;TODAY(),AD60&lt; TODAY()+30))</formula>
    </cfRule>
    <cfRule type="expression" dxfId="14" priority="19" stopIfTrue="1">
      <formula>AND(AD60&lt;&gt;"",AD60= TODAY())</formula>
    </cfRule>
    <cfRule type="expression" dxfId="13" priority="20" stopIfTrue="1">
      <formula>AND(AD60&lt;&gt;"", AND(AD60&gt;TODAY(),AD60&lt; TODAY()+150))</formula>
    </cfRule>
  </conditionalFormatting>
  <conditionalFormatting sqref="AD60:AD61">
    <cfRule type="expression" dxfId="12" priority="17" stopIfTrue="1">
      <formula>AND(AD60&lt;&gt;"", AND(AD60&lt;TODAY(),AD60&lt; TODAY()))</formula>
    </cfRule>
  </conditionalFormatting>
  <conditionalFormatting sqref="AD80">
    <cfRule type="expression" dxfId="11" priority="2" stopIfTrue="1">
      <formula>AND(AD80&lt;&gt;"", AND(AD80&gt;TODAY(),AD80&lt; TODAY()+30))</formula>
    </cfRule>
    <cfRule type="expression" dxfId="10" priority="3" stopIfTrue="1">
      <formula>AND(AD80&lt;&gt;"",AD80= TODAY())</formula>
    </cfRule>
    <cfRule type="expression" dxfId="9" priority="4" stopIfTrue="1">
      <formula>AND(AD80&lt;&gt;"", AND(AD80&gt;TODAY(),AD80&lt; TODAY()+150))</formula>
    </cfRule>
  </conditionalFormatting>
  <conditionalFormatting sqref="AD80">
    <cfRule type="expression" dxfId="8" priority="1" stopIfTrue="1">
      <formula>AND(AD80&lt;&gt;"", AND(AD80&lt;TODAY(),AD80&lt; TODAY()))</formula>
    </cfRule>
  </conditionalFormatting>
  <hyperlinks>
    <hyperlink ref="M27" r:id="rId1" xr:uid="{00000000-0004-0000-0400-000000000000}"/>
    <hyperlink ref="M28" r:id="rId2" xr:uid="{00000000-0004-0000-0400-000001000000}"/>
    <hyperlink ref="M29" r:id="rId3" xr:uid="{00000000-0004-0000-0400-000002000000}"/>
    <hyperlink ref="M30" r:id="rId4" xr:uid="{00000000-0004-0000-0400-000003000000}"/>
    <hyperlink ref="M31" r:id="rId5" xr:uid="{00000000-0004-0000-0400-000004000000}"/>
    <hyperlink ref="M32" r:id="rId6" xr:uid="{00000000-0004-0000-0400-000005000000}"/>
    <hyperlink ref="M35" r:id="rId7" xr:uid="{00000000-0004-0000-0400-000006000000}"/>
    <hyperlink ref="M33" r:id="rId8" xr:uid="{00000000-0004-0000-0400-000007000000}"/>
    <hyperlink ref="M34" r:id="rId9" xr:uid="{00000000-0004-0000-0400-000008000000}"/>
    <hyperlink ref="M38" r:id="rId10" xr:uid="{00000000-0004-0000-0400-000009000000}"/>
    <hyperlink ref="M39" r:id="rId11" xr:uid="{00000000-0004-0000-0400-00000A000000}"/>
    <hyperlink ref="M40" r:id="rId12" xr:uid="{00000000-0004-0000-0400-00000B000000}"/>
    <hyperlink ref="M42" r:id="rId13" xr:uid="{00000000-0004-0000-0400-00000C000000}"/>
    <hyperlink ref="M41" r:id="rId14" xr:uid="{00000000-0004-0000-0400-00000D000000}"/>
    <hyperlink ref="M43" r:id="rId15" xr:uid="{00000000-0004-0000-0400-00000E000000}"/>
    <hyperlink ref="M44" r:id="rId16" xr:uid="{00000000-0004-0000-0400-00000F000000}"/>
    <hyperlink ref="M47" r:id="rId17" xr:uid="{00000000-0004-0000-0400-000010000000}"/>
    <hyperlink ref="M46" r:id="rId18" xr:uid="{00000000-0004-0000-0400-000011000000}"/>
    <hyperlink ref="M45" r:id="rId19" xr:uid="{00000000-0004-0000-0400-000012000000}"/>
    <hyperlink ref="M48" r:id="rId20" xr:uid="{00000000-0004-0000-0400-000013000000}"/>
    <hyperlink ref="M49" r:id="rId21" xr:uid="{00000000-0004-0000-0400-000014000000}"/>
    <hyperlink ref="M50" r:id="rId22" xr:uid="{00000000-0004-0000-0400-000015000000}"/>
    <hyperlink ref="M51" r:id="rId23" xr:uid="{00000000-0004-0000-0400-000016000000}"/>
    <hyperlink ref="M52" r:id="rId24" xr:uid="{00000000-0004-0000-0400-000017000000}"/>
    <hyperlink ref="M54" r:id="rId25" xr:uid="{00000000-0004-0000-0400-000018000000}"/>
    <hyperlink ref="M53" r:id="rId26" xr:uid="{00000000-0004-0000-0400-000019000000}"/>
    <hyperlink ref="M55" r:id="rId27" xr:uid="{00000000-0004-0000-0400-00001A000000}"/>
    <hyperlink ref="M58" r:id="rId28" xr:uid="{00000000-0004-0000-0400-00001B000000}"/>
    <hyperlink ref="M56" r:id="rId29" xr:uid="{00000000-0004-0000-0400-00001C000000}"/>
    <hyperlink ref="M59" r:id="rId30" xr:uid="{00000000-0004-0000-0400-00001D000000}"/>
    <hyperlink ref="M57" r:id="rId31" xr:uid="{00000000-0004-0000-0400-00001E000000}"/>
    <hyperlink ref="M61" r:id="rId32" xr:uid="{00000000-0004-0000-0400-00001F000000}"/>
    <hyperlink ref="M60" r:id="rId33" xr:uid="{00000000-0004-0000-0400-000020000000}"/>
    <hyperlink ref="M63" r:id="rId34" xr:uid="{00000000-0004-0000-0400-000021000000}"/>
    <hyperlink ref="M62" r:id="rId35" xr:uid="{00000000-0004-0000-0400-000022000000}"/>
    <hyperlink ref="M64" r:id="rId36" xr:uid="{00000000-0004-0000-0400-000023000000}"/>
    <hyperlink ref="M36" r:id="rId37" xr:uid="{00000000-0004-0000-0400-000024000000}"/>
  </hyperlinks>
  <pageMargins left="0.7" right="0.7" top="0.75" bottom="0.75" header="0.3" footer="0.3"/>
  <pageSetup paperSize="9" orientation="portrait" horizontalDpi="300" verticalDpi="300" r:id="rId38"/>
  <legacyDrawing r:id="rId39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0" stopIfTrue="1" id="{A46907FC-D81C-4322-8F16-52A618FE72C4}">
            <xm:f>AND(Academic!AD30&lt;&gt;"", AND(Academic!AD30&gt;TODAY(),Academic!AD30&lt; TODAY()+30))</xm:f>
            <x14:dxf>
              <fill>
                <patternFill>
                  <bgColor rgb="FFFFFF00"/>
                </patternFill>
              </fill>
            </x14:dxf>
          </x14:cfRule>
          <x14:cfRule type="expression" priority="71" stopIfTrue="1" id="{49D70D5A-B3FE-4F9A-80FC-268F27FA0B9C}">
            <xm:f>AND(Academic!AD30&lt;&gt;"",Academic!AD30= TODAY())</xm:f>
            <x14:dxf>
              <fill>
                <patternFill>
                  <bgColor rgb="FF00B0F0"/>
                </patternFill>
              </fill>
            </x14:dxf>
          </x14:cfRule>
          <x14:cfRule type="expression" priority="72" stopIfTrue="1" id="{8F18EF56-1AF8-467E-B990-F015927BA146}">
            <xm:f>AND(Academic!AD30&lt;&gt;"", AND(Academic!AD30&gt;TODAY(),Academic!AD30&lt; TODAY()+150))</xm:f>
            <x14:dxf>
              <fill>
                <patternFill>
                  <bgColor rgb="FF92D050"/>
                </patternFill>
              </fill>
            </x14:dxf>
          </x14:cfRule>
          <xm:sqref>AD40:AD43 AD45:AD51 AD62:AD64</xm:sqref>
        </x14:conditionalFormatting>
        <x14:conditionalFormatting xmlns:xm="http://schemas.microsoft.com/office/excel/2006/main">
          <x14:cfRule type="expression" priority="69" stopIfTrue="1" id="{E1991A7A-07EE-484A-A701-1B63ED7DE5E7}">
            <xm:f>AND(Academic!AD30&lt;&gt;"", AND(Academic!AD30&lt;TODAY(),Academic!AD30&lt; TODAY()))</xm:f>
            <x14:dxf>
              <fill>
                <patternFill>
                  <bgColor rgb="FFFF0000"/>
                </patternFill>
              </fill>
            </x14:dxf>
          </x14:cfRule>
          <xm:sqref>AD40:AD43 AD45:AD51 AD62:AD64</xm:sqref>
        </x14:conditionalFormatting>
        <x14:conditionalFormatting xmlns:xm="http://schemas.microsoft.com/office/excel/2006/main">
          <x14:cfRule type="expression" priority="6" stopIfTrue="1" id="{168D5915-B5FB-4D8C-AF52-737A4B92693C}">
            <xm:f>AND(Academic!AD28&lt;&gt;"", AND(Academic!AD28&gt;TODAY(),Academic!AD28&lt; TODAY()+30))</xm:f>
            <x14:dxf>
              <fill>
                <patternFill>
                  <bgColor rgb="FFFFFF00"/>
                </patternFill>
              </fill>
            </x14:dxf>
          </x14:cfRule>
          <x14:cfRule type="expression" priority="7" stopIfTrue="1" id="{F6BED2F9-0FF6-4994-B0EF-30AAC911164F}">
            <xm:f>AND(Academic!AD28&lt;&gt;"",Academic!AD28= TODAY())</xm:f>
            <x14:dxf>
              <fill>
                <patternFill>
                  <bgColor rgb="FF00B0F0"/>
                </patternFill>
              </fill>
            </x14:dxf>
          </x14:cfRule>
          <x14:cfRule type="expression" priority="8" stopIfTrue="1" id="{BB62A5ED-FDFB-4664-84EA-8F91CEF27F7A}">
            <xm:f>AND(Academic!AD28&lt;&gt;"", AND(Academic!AD28&gt;TODAY(),Academic!AD28&lt; TODAY()+150))</xm:f>
            <x14:dxf>
              <fill>
                <patternFill>
                  <bgColor rgb="FF92D050"/>
                </patternFill>
              </fill>
            </x14:dxf>
          </x14:cfRule>
          <xm:sqref>AD36:AD37</xm:sqref>
        </x14:conditionalFormatting>
        <x14:conditionalFormatting xmlns:xm="http://schemas.microsoft.com/office/excel/2006/main">
          <x14:cfRule type="expression" priority="5" stopIfTrue="1" id="{E0E987DF-320B-42BC-B618-2BCC427C9366}">
            <xm:f>AND(Academic!AD28&lt;&gt;"", AND(Academic!AD28&lt;TODAY(),Academic!AD28&lt; TODAY()))</xm:f>
            <x14:dxf>
              <fill>
                <patternFill>
                  <bgColor rgb="FFFF0000"/>
                </patternFill>
              </fill>
            </x14:dxf>
          </x14:cfRule>
          <xm:sqref>AD36:AD37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3"/>
  <sheetViews>
    <sheetView topLeftCell="A19" workbookViewId="0">
      <selection activeCell="G35" sqref="G35"/>
    </sheetView>
  </sheetViews>
  <sheetFormatPr defaultColWidth="9.109375" defaultRowHeight="15.6" x14ac:dyDescent="0.3"/>
  <cols>
    <col min="1" max="1" width="9.109375" style="127"/>
    <col min="2" max="2" width="22" style="131" customWidth="1"/>
    <col min="3" max="3" width="20.44140625" style="131" customWidth="1"/>
    <col min="4" max="4" width="14.33203125" style="127" customWidth="1"/>
    <col min="5" max="5" width="12.109375" style="127" customWidth="1"/>
    <col min="6" max="6" width="20.33203125" style="127" customWidth="1"/>
    <col min="7" max="7" width="14.33203125" style="127" customWidth="1"/>
    <col min="8" max="8" width="22.88671875" style="127" customWidth="1"/>
    <col min="9" max="16384" width="9.109375" style="127"/>
  </cols>
  <sheetData>
    <row r="1" spans="1:6" x14ac:dyDescent="0.3">
      <c r="C1" s="132"/>
      <c r="D1" s="129"/>
      <c r="E1" s="129"/>
    </row>
    <row r="2" spans="1:6" x14ac:dyDescent="0.3">
      <c r="A2" s="129"/>
      <c r="B2" s="132"/>
      <c r="C2" s="132"/>
      <c r="D2" s="128"/>
    </row>
    <row r="3" spans="1:6" x14ac:dyDescent="0.3">
      <c r="A3" s="129"/>
      <c r="B3" s="136" t="s">
        <v>1759</v>
      </c>
      <c r="C3" s="137"/>
      <c r="D3" s="138"/>
    </row>
    <row r="4" spans="1:6" x14ac:dyDescent="0.3">
      <c r="A4" s="129"/>
      <c r="B4" s="139" t="s">
        <v>1764</v>
      </c>
      <c r="C4" s="132"/>
      <c r="D4" s="140"/>
      <c r="E4" s="129"/>
      <c r="F4" s="129"/>
    </row>
    <row r="5" spans="1:6" x14ac:dyDescent="0.3">
      <c r="A5" s="129"/>
      <c r="B5" s="139" t="s">
        <v>1766</v>
      </c>
      <c r="C5" s="133" t="s">
        <v>1752</v>
      </c>
      <c r="D5" s="140"/>
      <c r="E5" s="129"/>
      <c r="F5" s="129"/>
    </row>
    <row r="6" spans="1:6" x14ac:dyDescent="0.3">
      <c r="A6" s="129"/>
      <c r="B6" s="139" t="s">
        <v>9</v>
      </c>
      <c r="C6" s="134">
        <v>21675</v>
      </c>
      <c r="D6" s="141"/>
      <c r="E6" s="129"/>
      <c r="F6" s="129"/>
    </row>
    <row r="7" spans="1:6" x14ac:dyDescent="0.3">
      <c r="A7" s="129"/>
      <c r="B7" s="139" t="s">
        <v>1767</v>
      </c>
      <c r="C7" s="135">
        <v>44799</v>
      </c>
      <c r="D7" s="140"/>
    </row>
    <row r="8" spans="1:6" x14ac:dyDescent="0.3">
      <c r="A8" s="129"/>
      <c r="B8" s="142" t="s">
        <v>28</v>
      </c>
      <c r="C8" s="143" t="s">
        <v>1746</v>
      </c>
      <c r="D8" s="144"/>
    </row>
    <row r="9" spans="1:6" x14ac:dyDescent="0.3">
      <c r="A9" s="129"/>
      <c r="B9" s="132"/>
      <c r="C9" s="132"/>
      <c r="D9" s="129"/>
    </row>
    <row r="10" spans="1:6" x14ac:dyDescent="0.3">
      <c r="A10" s="129"/>
      <c r="B10" s="136" t="s">
        <v>1760</v>
      </c>
      <c r="C10" s="137"/>
      <c r="D10" s="138"/>
    </row>
    <row r="11" spans="1:6" x14ac:dyDescent="0.3">
      <c r="B11" s="139" t="s">
        <v>1744</v>
      </c>
      <c r="C11" s="132"/>
      <c r="D11" s="140"/>
      <c r="E11" s="129"/>
    </row>
    <row r="12" spans="1:6" x14ac:dyDescent="0.3">
      <c r="A12" s="129"/>
      <c r="B12" s="139" t="s">
        <v>1766</v>
      </c>
      <c r="C12" s="133" t="s">
        <v>1753</v>
      </c>
      <c r="D12" s="140"/>
    </row>
    <row r="13" spans="1:6" x14ac:dyDescent="0.3">
      <c r="A13" s="129"/>
      <c r="B13" s="139" t="s">
        <v>9</v>
      </c>
      <c r="C13" s="134">
        <v>34722</v>
      </c>
      <c r="D13" s="140"/>
    </row>
    <row r="14" spans="1:6" x14ac:dyDescent="0.3">
      <c r="A14" s="129"/>
      <c r="B14" s="139" t="s">
        <v>1767</v>
      </c>
      <c r="C14" s="135">
        <v>44802</v>
      </c>
      <c r="D14" s="140"/>
    </row>
    <row r="15" spans="1:6" x14ac:dyDescent="0.3">
      <c r="A15" s="129"/>
      <c r="B15" s="142" t="s">
        <v>28</v>
      </c>
      <c r="C15" s="143" t="s">
        <v>1747</v>
      </c>
      <c r="D15" s="144"/>
    </row>
    <row r="16" spans="1:6" x14ac:dyDescent="0.3">
      <c r="A16" s="129"/>
      <c r="B16" s="132"/>
      <c r="C16" s="132"/>
      <c r="D16" s="129"/>
    </row>
    <row r="17" spans="1:5" x14ac:dyDescent="0.3">
      <c r="A17" s="129"/>
      <c r="B17" s="136" t="s">
        <v>1761</v>
      </c>
      <c r="C17" s="137"/>
      <c r="D17" s="138"/>
    </row>
    <row r="18" spans="1:5" x14ac:dyDescent="0.3">
      <c r="B18" s="139" t="s">
        <v>1632</v>
      </c>
      <c r="C18" s="132"/>
      <c r="D18" s="140"/>
      <c r="E18" s="129"/>
    </row>
    <row r="19" spans="1:5" x14ac:dyDescent="0.3">
      <c r="A19" s="129"/>
      <c r="B19" s="139" t="s">
        <v>1766</v>
      </c>
      <c r="C19" s="133" t="s">
        <v>1754</v>
      </c>
      <c r="D19" s="140"/>
    </row>
    <row r="20" spans="1:5" x14ac:dyDescent="0.3">
      <c r="A20" s="129"/>
      <c r="B20" s="139" t="s">
        <v>9</v>
      </c>
      <c r="C20" s="134">
        <v>34303</v>
      </c>
      <c r="D20" s="140"/>
    </row>
    <row r="21" spans="1:5" x14ac:dyDescent="0.3">
      <c r="A21" s="129"/>
      <c r="B21" s="139" t="s">
        <v>1767</v>
      </c>
      <c r="C21" s="135">
        <v>44799</v>
      </c>
      <c r="D21" s="140"/>
    </row>
    <row r="22" spans="1:5" x14ac:dyDescent="0.3">
      <c r="A22" s="129"/>
      <c r="B22" s="142" t="s">
        <v>28</v>
      </c>
      <c r="C22" s="143" t="s">
        <v>1746</v>
      </c>
      <c r="D22" s="144"/>
    </row>
    <row r="23" spans="1:5" x14ac:dyDescent="0.3">
      <c r="A23" s="129"/>
      <c r="B23" s="132"/>
      <c r="C23" s="132"/>
      <c r="D23" s="129"/>
    </row>
    <row r="24" spans="1:5" x14ac:dyDescent="0.3">
      <c r="A24" s="129"/>
      <c r="B24" s="136" t="s">
        <v>1762</v>
      </c>
      <c r="C24" s="137"/>
      <c r="D24" s="138"/>
    </row>
    <row r="25" spans="1:5" x14ac:dyDescent="0.3">
      <c r="B25" s="139" t="s">
        <v>1745</v>
      </c>
      <c r="C25" s="132"/>
      <c r="D25" s="140"/>
      <c r="E25" s="129"/>
    </row>
    <row r="26" spans="1:5" x14ac:dyDescent="0.3">
      <c r="A26" s="129"/>
      <c r="B26" s="139" t="s">
        <v>1766</v>
      </c>
      <c r="C26" s="133" t="s">
        <v>1755</v>
      </c>
      <c r="D26" s="140"/>
    </row>
    <row r="27" spans="1:5" x14ac:dyDescent="0.3">
      <c r="A27" s="129"/>
      <c r="B27" s="139" t="s">
        <v>9</v>
      </c>
      <c r="C27" s="134">
        <v>32672</v>
      </c>
      <c r="D27" s="140"/>
    </row>
    <row r="28" spans="1:5" x14ac:dyDescent="0.3">
      <c r="A28" s="129"/>
      <c r="B28" s="139" t="s">
        <v>1767</v>
      </c>
      <c r="C28" s="135">
        <v>44799</v>
      </c>
      <c r="D28" s="140"/>
    </row>
    <row r="29" spans="1:5" x14ac:dyDescent="0.3">
      <c r="A29" s="129"/>
      <c r="B29" s="142" t="s">
        <v>28</v>
      </c>
      <c r="C29" s="143" t="s">
        <v>1746</v>
      </c>
      <c r="D29" s="144"/>
    </row>
    <row r="30" spans="1:5" x14ac:dyDescent="0.3">
      <c r="A30" s="129"/>
      <c r="B30" s="132"/>
      <c r="C30" s="132"/>
      <c r="D30" s="129"/>
    </row>
    <row r="31" spans="1:5" x14ac:dyDescent="0.3">
      <c r="A31" s="129"/>
      <c r="B31" s="132"/>
      <c r="C31" s="132"/>
      <c r="D31" s="129"/>
    </row>
    <row r="32" spans="1:5" x14ac:dyDescent="0.3">
      <c r="A32" s="129"/>
      <c r="B32" s="136" t="s">
        <v>1763</v>
      </c>
      <c r="C32" s="137"/>
      <c r="D32" s="145"/>
      <c r="E32" s="138"/>
    </row>
    <row r="33" spans="1:7" x14ac:dyDescent="0.3">
      <c r="B33" s="139" t="s">
        <v>1634</v>
      </c>
      <c r="C33" s="132"/>
      <c r="D33" s="129"/>
      <c r="E33" s="140"/>
    </row>
    <row r="34" spans="1:7" x14ac:dyDescent="0.3">
      <c r="A34" s="129"/>
      <c r="B34" s="139" t="s">
        <v>1766</v>
      </c>
      <c r="C34" s="133" t="s">
        <v>1757</v>
      </c>
      <c r="D34" s="129"/>
      <c r="E34" s="140"/>
    </row>
    <row r="35" spans="1:7" x14ac:dyDescent="0.3">
      <c r="A35" s="129"/>
      <c r="B35" s="139" t="s">
        <v>9</v>
      </c>
      <c r="C35" s="134">
        <v>30037</v>
      </c>
      <c r="D35" s="129"/>
      <c r="E35" s="140"/>
    </row>
    <row r="36" spans="1:7" x14ac:dyDescent="0.3">
      <c r="A36" s="129"/>
      <c r="B36" s="139" t="s">
        <v>1767</v>
      </c>
      <c r="C36" s="135">
        <v>44830</v>
      </c>
      <c r="D36" s="129"/>
      <c r="E36" s="140"/>
    </row>
    <row r="37" spans="1:7" x14ac:dyDescent="0.3">
      <c r="A37" s="129"/>
      <c r="B37" s="142" t="s">
        <v>28</v>
      </c>
      <c r="C37" s="143" t="s">
        <v>1748</v>
      </c>
      <c r="D37" s="146"/>
      <c r="E37" s="144"/>
    </row>
    <row r="38" spans="1:7" x14ac:dyDescent="0.3">
      <c r="A38" s="129"/>
      <c r="B38" s="132"/>
      <c r="C38" s="132"/>
      <c r="D38" s="129"/>
    </row>
    <row r="39" spans="1:7" x14ac:dyDescent="0.3">
      <c r="B39" s="132"/>
      <c r="C39" s="132"/>
      <c r="D39" s="129"/>
    </row>
    <row r="40" spans="1:7" x14ac:dyDescent="0.3">
      <c r="B40" s="132"/>
      <c r="C40" s="132"/>
      <c r="D40" s="129"/>
    </row>
    <row r="42" spans="1:7" x14ac:dyDescent="0.3">
      <c r="B42" s="131" t="s">
        <v>1756</v>
      </c>
      <c r="C42" s="131" t="s">
        <v>54</v>
      </c>
      <c r="D42" s="127" t="s">
        <v>1743</v>
      </c>
      <c r="F42" s="112">
        <v>31646</v>
      </c>
      <c r="G42" s="130">
        <v>44812</v>
      </c>
    </row>
    <row r="43" spans="1:7" x14ac:dyDescent="0.3">
      <c r="B43" s="131" t="s">
        <v>1758</v>
      </c>
      <c r="C43" s="131" t="s">
        <v>54</v>
      </c>
      <c r="D43" s="127" t="s">
        <v>1742</v>
      </c>
      <c r="F43" s="112">
        <v>22515</v>
      </c>
      <c r="G43" s="118">
        <v>44799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5"/>
  <sheetViews>
    <sheetView topLeftCell="A94" workbookViewId="0"/>
  </sheetViews>
  <sheetFormatPr defaultRowHeight="14.4" x14ac:dyDescent="0.3"/>
  <cols>
    <col min="1" max="1" width="19.5546875" customWidth="1"/>
    <col min="2" max="2" width="12.6640625" customWidth="1"/>
    <col min="3" max="3" width="37" customWidth="1"/>
    <col min="4" max="4" width="20" customWidth="1"/>
  </cols>
  <sheetData>
    <row r="1" spans="1:4" x14ac:dyDescent="0.3">
      <c r="B1" t="s">
        <v>2253</v>
      </c>
    </row>
    <row r="2" spans="1:4" ht="31.5" customHeight="1" x14ac:dyDescent="0.3">
      <c r="A2" s="573" t="s">
        <v>1458</v>
      </c>
      <c r="B2" s="575" t="s">
        <v>1</v>
      </c>
      <c r="C2" s="264" t="s">
        <v>2</v>
      </c>
      <c r="D2" s="264" t="s">
        <v>3</v>
      </c>
    </row>
    <row r="3" spans="1:4" ht="31.5" customHeight="1" thickBot="1" x14ac:dyDescent="0.35">
      <c r="A3" s="574"/>
      <c r="B3" s="576"/>
      <c r="C3" s="270"/>
      <c r="D3" s="209"/>
    </row>
    <row r="4" spans="1:4" ht="15" thickBot="1" x14ac:dyDescent="0.35">
      <c r="A4" s="73" t="s">
        <v>2159</v>
      </c>
      <c r="B4" s="80" t="s">
        <v>1016</v>
      </c>
      <c r="C4" s="265" t="s">
        <v>1740</v>
      </c>
      <c r="D4" s="266" t="s">
        <v>1459</v>
      </c>
    </row>
    <row r="5" spans="1:4" ht="15" thickBot="1" x14ac:dyDescent="0.35">
      <c r="A5" s="73" t="s">
        <v>2160</v>
      </c>
      <c r="B5" s="80" t="s">
        <v>1016</v>
      </c>
      <c r="C5" s="267" t="s">
        <v>1885</v>
      </c>
      <c r="D5" s="268" t="s">
        <v>1460</v>
      </c>
    </row>
    <row r="6" spans="1:4" ht="15" thickBot="1" x14ac:dyDescent="0.35">
      <c r="A6" s="73" t="s">
        <v>2161</v>
      </c>
      <c r="B6" s="80" t="s">
        <v>1016</v>
      </c>
      <c r="C6" s="267" t="s">
        <v>326</v>
      </c>
      <c r="D6" s="268" t="s">
        <v>1461</v>
      </c>
    </row>
    <row r="7" spans="1:4" ht="28.2" thickBot="1" x14ac:dyDescent="0.35">
      <c r="A7" s="73" t="s">
        <v>2162</v>
      </c>
      <c r="B7" s="80" t="s">
        <v>28</v>
      </c>
      <c r="C7" s="267" t="s">
        <v>1462</v>
      </c>
      <c r="D7" s="268" t="s">
        <v>42</v>
      </c>
    </row>
    <row r="8" spans="1:4" ht="28.2" thickBot="1" x14ac:dyDescent="0.35">
      <c r="A8" s="73" t="s">
        <v>2163</v>
      </c>
      <c r="B8" s="80" t="s">
        <v>28</v>
      </c>
      <c r="C8" s="267" t="s">
        <v>1463</v>
      </c>
      <c r="D8" s="268" t="s">
        <v>42</v>
      </c>
    </row>
    <row r="9" spans="1:4" ht="15" thickBot="1" x14ac:dyDescent="0.35">
      <c r="A9" s="73" t="s">
        <v>2164</v>
      </c>
      <c r="B9" s="80" t="s">
        <v>28</v>
      </c>
      <c r="C9" s="267" t="s">
        <v>1464</v>
      </c>
      <c r="D9" s="268" t="s">
        <v>42</v>
      </c>
    </row>
    <row r="10" spans="1:4" ht="28.2" thickBot="1" x14ac:dyDescent="0.35">
      <c r="A10" s="73" t="s">
        <v>2165</v>
      </c>
      <c r="B10" s="80" t="s">
        <v>28</v>
      </c>
      <c r="C10" s="267" t="s">
        <v>1465</v>
      </c>
      <c r="D10" s="268" t="s">
        <v>42</v>
      </c>
    </row>
    <row r="11" spans="1:4" ht="15" thickBot="1" x14ac:dyDescent="0.35">
      <c r="A11" s="73" t="s">
        <v>2166</v>
      </c>
      <c r="B11" s="80" t="s">
        <v>28</v>
      </c>
      <c r="C11" s="265" t="s">
        <v>1471</v>
      </c>
      <c r="D11" s="266" t="s">
        <v>42</v>
      </c>
    </row>
    <row r="12" spans="1:4" ht="15" thickBot="1" x14ac:dyDescent="0.35">
      <c r="A12" s="73" t="s">
        <v>2167</v>
      </c>
      <c r="B12" s="80" t="s">
        <v>28</v>
      </c>
      <c r="C12" s="267" t="s">
        <v>1472</v>
      </c>
      <c r="D12" s="268" t="s">
        <v>42</v>
      </c>
    </row>
    <row r="13" spans="1:4" ht="15" thickBot="1" x14ac:dyDescent="0.35">
      <c r="A13" s="73" t="s">
        <v>2168</v>
      </c>
      <c r="B13" s="80" t="s">
        <v>28</v>
      </c>
      <c r="C13" s="267" t="s">
        <v>1473</v>
      </c>
      <c r="D13" s="268" t="s">
        <v>42</v>
      </c>
    </row>
    <row r="14" spans="1:4" ht="28.2" thickBot="1" x14ac:dyDescent="0.35">
      <c r="A14" s="73" t="s">
        <v>2169</v>
      </c>
      <c r="B14" s="80" t="s">
        <v>28</v>
      </c>
      <c r="C14" s="267" t="s">
        <v>1474</v>
      </c>
      <c r="D14" s="268" t="s">
        <v>1482</v>
      </c>
    </row>
    <row r="15" spans="1:4" ht="15" thickBot="1" x14ac:dyDescent="0.35">
      <c r="A15" s="73" t="s">
        <v>2170</v>
      </c>
      <c r="B15" s="80" t="s">
        <v>28</v>
      </c>
      <c r="C15" s="267" t="s">
        <v>1475</v>
      </c>
      <c r="D15" s="268" t="s">
        <v>42</v>
      </c>
    </row>
    <row r="16" spans="1:4" ht="28.2" thickBot="1" x14ac:dyDescent="0.35">
      <c r="A16" s="73" t="s">
        <v>2171</v>
      </c>
      <c r="B16" s="80" t="s">
        <v>28</v>
      </c>
      <c r="C16" s="267" t="s">
        <v>1476</v>
      </c>
      <c r="D16" s="268" t="s">
        <v>42</v>
      </c>
    </row>
    <row r="17" spans="1:4" ht="15" thickBot="1" x14ac:dyDescent="0.35">
      <c r="A17" s="73" t="s">
        <v>2172</v>
      </c>
      <c r="B17" s="80" t="s">
        <v>28</v>
      </c>
      <c r="C17" s="267" t="s">
        <v>1477</v>
      </c>
      <c r="D17" s="268" t="s">
        <v>42</v>
      </c>
    </row>
    <row r="18" spans="1:4" ht="28.2" thickBot="1" x14ac:dyDescent="0.35">
      <c r="A18" s="73" t="s">
        <v>2173</v>
      </c>
      <c r="B18" s="80" t="s">
        <v>28</v>
      </c>
      <c r="C18" s="267" t="s">
        <v>1478</v>
      </c>
      <c r="D18" s="268" t="s">
        <v>42</v>
      </c>
    </row>
    <row r="19" spans="1:4" ht="15" thickBot="1" x14ac:dyDescent="0.35">
      <c r="A19" s="73" t="s">
        <v>2174</v>
      </c>
      <c r="B19" s="80" t="s">
        <v>28</v>
      </c>
      <c r="C19" s="267" t="s">
        <v>1479</v>
      </c>
      <c r="D19" s="268" t="s">
        <v>42</v>
      </c>
    </row>
    <row r="20" spans="1:4" ht="15" thickBot="1" x14ac:dyDescent="0.35">
      <c r="A20" s="73" t="s">
        <v>2175</v>
      </c>
      <c r="B20" s="80" t="s">
        <v>28</v>
      </c>
      <c r="C20" s="267" t="s">
        <v>1480</v>
      </c>
      <c r="D20" s="268" t="s">
        <v>42</v>
      </c>
    </row>
    <row r="21" spans="1:4" ht="28.2" thickBot="1" x14ac:dyDescent="0.35">
      <c r="A21" s="73" t="s">
        <v>2176</v>
      </c>
      <c r="B21" s="80" t="s">
        <v>28</v>
      </c>
      <c r="C21" s="267" t="s">
        <v>1481</v>
      </c>
      <c r="D21" s="268" t="s">
        <v>1483</v>
      </c>
    </row>
    <row r="22" spans="1:4" ht="28.2" thickBot="1" x14ac:dyDescent="0.35">
      <c r="A22" s="73" t="s">
        <v>2177</v>
      </c>
      <c r="B22" s="80" t="s">
        <v>28</v>
      </c>
      <c r="C22" s="265" t="s">
        <v>1495</v>
      </c>
      <c r="D22" s="268" t="s">
        <v>42</v>
      </c>
    </row>
    <row r="23" spans="1:4" ht="15" thickBot="1" x14ac:dyDescent="0.35">
      <c r="A23" s="73" t="s">
        <v>2178</v>
      </c>
      <c r="B23" s="80" t="s">
        <v>28</v>
      </c>
      <c r="C23" s="267" t="s">
        <v>1496</v>
      </c>
      <c r="D23" s="268" t="s">
        <v>42</v>
      </c>
    </row>
    <row r="24" spans="1:4" ht="28.2" thickBot="1" x14ac:dyDescent="0.35">
      <c r="A24" s="73" t="s">
        <v>2179</v>
      </c>
      <c r="B24" s="80" t="s">
        <v>28</v>
      </c>
      <c r="C24" s="267" t="s">
        <v>1497</v>
      </c>
      <c r="D24" s="268" t="s">
        <v>42</v>
      </c>
    </row>
    <row r="25" spans="1:4" ht="28.2" thickBot="1" x14ac:dyDescent="0.35">
      <c r="A25" s="73" t="s">
        <v>2180</v>
      </c>
      <c r="B25" s="80" t="s">
        <v>28</v>
      </c>
      <c r="C25" s="267" t="s">
        <v>1498</v>
      </c>
      <c r="D25" s="268" t="s">
        <v>42</v>
      </c>
    </row>
    <row r="26" spans="1:4" ht="15" thickBot="1" x14ac:dyDescent="0.35">
      <c r="A26" s="73" t="s">
        <v>2181</v>
      </c>
      <c r="B26" s="80" t="s">
        <v>28</v>
      </c>
      <c r="C26" s="267" t="s">
        <v>1499</v>
      </c>
      <c r="D26" s="268" t="s">
        <v>42</v>
      </c>
    </row>
    <row r="27" spans="1:4" ht="15" thickBot="1" x14ac:dyDescent="0.35">
      <c r="A27" s="73" t="s">
        <v>2182</v>
      </c>
      <c r="B27" s="80" t="s">
        <v>28</v>
      </c>
      <c r="C27" s="267" t="s">
        <v>1500</v>
      </c>
      <c r="D27" s="268" t="s">
        <v>42</v>
      </c>
    </row>
    <row r="28" spans="1:4" ht="15" thickBot="1" x14ac:dyDescent="0.35">
      <c r="A28" s="73" t="s">
        <v>2183</v>
      </c>
      <c r="B28" s="80" t="s">
        <v>28</v>
      </c>
      <c r="C28" s="267" t="s">
        <v>1501</v>
      </c>
      <c r="D28" s="268" t="s">
        <v>42</v>
      </c>
    </row>
    <row r="29" spans="1:4" ht="28.2" thickBot="1" x14ac:dyDescent="0.35">
      <c r="A29" s="73" t="s">
        <v>2184</v>
      </c>
      <c r="B29" s="80" t="s">
        <v>28</v>
      </c>
      <c r="C29" s="267" t="s">
        <v>1502</v>
      </c>
      <c r="D29" s="268" t="s">
        <v>42</v>
      </c>
    </row>
    <row r="30" spans="1:4" ht="15" thickBot="1" x14ac:dyDescent="0.35">
      <c r="A30" s="73" t="s">
        <v>2185</v>
      </c>
      <c r="B30" s="80" t="s">
        <v>28</v>
      </c>
      <c r="C30" s="267" t="s">
        <v>1503</v>
      </c>
      <c r="D30" s="268" t="s">
        <v>42</v>
      </c>
    </row>
    <row r="31" spans="1:4" ht="28.2" thickBot="1" x14ac:dyDescent="0.35">
      <c r="A31" s="73" t="s">
        <v>2186</v>
      </c>
      <c r="B31" s="80" t="s">
        <v>28</v>
      </c>
      <c r="C31" s="267" t="s">
        <v>1504</v>
      </c>
      <c r="D31" s="268" t="s">
        <v>42</v>
      </c>
    </row>
    <row r="32" spans="1:4" ht="28.2" thickBot="1" x14ac:dyDescent="0.35">
      <c r="A32" s="73" t="s">
        <v>2187</v>
      </c>
      <c r="B32" s="80" t="s">
        <v>28</v>
      </c>
      <c r="C32" s="267" t="s">
        <v>1505</v>
      </c>
      <c r="D32" s="268" t="s">
        <v>42</v>
      </c>
    </row>
    <row r="33" spans="1:4" ht="15" thickBot="1" x14ac:dyDescent="0.35">
      <c r="A33" s="73" t="s">
        <v>2188</v>
      </c>
      <c r="B33" s="80" t="s">
        <v>28</v>
      </c>
      <c r="C33" s="267" t="s">
        <v>1506</v>
      </c>
      <c r="D33" s="268" t="s">
        <v>42</v>
      </c>
    </row>
    <row r="34" spans="1:4" ht="15" thickBot="1" x14ac:dyDescent="0.35">
      <c r="A34" s="73" t="s">
        <v>2189</v>
      </c>
      <c r="B34" s="80" t="s">
        <v>28</v>
      </c>
      <c r="C34" s="265" t="s">
        <v>1519</v>
      </c>
      <c r="D34" s="268" t="s">
        <v>42</v>
      </c>
    </row>
    <row r="35" spans="1:4" ht="28.2" thickBot="1" x14ac:dyDescent="0.35">
      <c r="A35" s="73" t="s">
        <v>2190</v>
      </c>
      <c r="B35" s="80" t="s">
        <v>28</v>
      </c>
      <c r="C35" s="267" t="s">
        <v>1520</v>
      </c>
      <c r="D35" s="268" t="s">
        <v>42</v>
      </c>
    </row>
    <row r="36" spans="1:4" ht="28.2" thickBot="1" x14ac:dyDescent="0.35">
      <c r="A36" s="73" t="s">
        <v>2191</v>
      </c>
      <c r="B36" s="80" t="s">
        <v>28</v>
      </c>
      <c r="C36" s="267" t="s">
        <v>1521</v>
      </c>
      <c r="D36" s="268" t="s">
        <v>42</v>
      </c>
    </row>
    <row r="37" spans="1:4" ht="42" thickBot="1" x14ac:dyDescent="0.35">
      <c r="A37" s="73" t="s">
        <v>2192</v>
      </c>
      <c r="B37" s="80" t="s">
        <v>28</v>
      </c>
      <c r="C37" s="267" t="s">
        <v>1523</v>
      </c>
      <c r="D37" s="268" t="s">
        <v>1537</v>
      </c>
    </row>
    <row r="38" spans="1:4" ht="15" thickBot="1" x14ac:dyDescent="0.35">
      <c r="A38" s="73" t="s">
        <v>2193</v>
      </c>
      <c r="B38" s="80" t="s">
        <v>28</v>
      </c>
      <c r="C38" s="267" t="s">
        <v>1524</v>
      </c>
      <c r="D38" s="268" t="s">
        <v>42</v>
      </c>
    </row>
    <row r="39" spans="1:4" ht="28.2" thickBot="1" x14ac:dyDescent="0.35">
      <c r="A39" s="73" t="s">
        <v>2194</v>
      </c>
      <c r="B39" s="80" t="s">
        <v>28</v>
      </c>
      <c r="C39" s="267" t="s">
        <v>1525</v>
      </c>
      <c r="D39" s="268" t="s">
        <v>42</v>
      </c>
    </row>
    <row r="40" spans="1:4" ht="15" thickBot="1" x14ac:dyDescent="0.35">
      <c r="A40" s="73" t="s">
        <v>2195</v>
      </c>
      <c r="B40" s="80" t="s">
        <v>28</v>
      </c>
      <c r="C40" s="267" t="s">
        <v>1526</v>
      </c>
      <c r="D40" s="268" t="s">
        <v>42</v>
      </c>
    </row>
    <row r="41" spans="1:4" ht="28.2" thickBot="1" x14ac:dyDescent="0.35">
      <c r="A41" s="73" t="s">
        <v>2196</v>
      </c>
      <c r="B41" s="80" t="s">
        <v>28</v>
      </c>
      <c r="C41" s="267" t="s">
        <v>1527</v>
      </c>
      <c r="D41" s="268" t="s">
        <v>42</v>
      </c>
    </row>
    <row r="42" spans="1:4" ht="15" thickBot="1" x14ac:dyDescent="0.35">
      <c r="A42" s="73" t="s">
        <v>2197</v>
      </c>
      <c r="B42" s="80" t="s">
        <v>28</v>
      </c>
      <c r="C42" s="267" t="s">
        <v>1528</v>
      </c>
      <c r="D42" s="268" t="s">
        <v>42</v>
      </c>
    </row>
    <row r="43" spans="1:4" ht="15" thickBot="1" x14ac:dyDescent="0.35">
      <c r="A43" s="73" t="s">
        <v>2198</v>
      </c>
      <c r="B43" s="80" t="s">
        <v>28</v>
      </c>
      <c r="C43" s="267" t="s">
        <v>1529</v>
      </c>
      <c r="D43" s="268" t="s">
        <v>42</v>
      </c>
    </row>
    <row r="44" spans="1:4" ht="15" thickBot="1" x14ac:dyDescent="0.35">
      <c r="A44" s="73" t="s">
        <v>2199</v>
      </c>
      <c r="B44" s="80" t="s">
        <v>28</v>
      </c>
      <c r="C44" s="267" t="s">
        <v>1530</v>
      </c>
      <c r="D44" s="268" t="s">
        <v>42</v>
      </c>
    </row>
    <row r="45" spans="1:4" ht="15" thickBot="1" x14ac:dyDescent="0.35">
      <c r="A45" s="73" t="s">
        <v>2200</v>
      </c>
      <c r="B45" s="80" t="s">
        <v>28</v>
      </c>
      <c r="C45" s="267" t="s">
        <v>1531</v>
      </c>
      <c r="D45" s="268" t="s">
        <v>42</v>
      </c>
    </row>
    <row r="46" spans="1:4" ht="15" thickBot="1" x14ac:dyDescent="0.35">
      <c r="A46" s="73" t="s">
        <v>2201</v>
      </c>
      <c r="B46" s="80" t="s">
        <v>28</v>
      </c>
      <c r="C46" s="267" t="s">
        <v>1532</v>
      </c>
      <c r="D46" s="268" t="s">
        <v>42</v>
      </c>
    </row>
    <row r="47" spans="1:4" ht="28.2" thickBot="1" x14ac:dyDescent="0.35">
      <c r="A47" s="73" t="s">
        <v>2202</v>
      </c>
      <c r="B47" s="80" t="s">
        <v>28</v>
      </c>
      <c r="C47" s="267" t="s">
        <v>1533</v>
      </c>
      <c r="D47" s="268" t="s">
        <v>42</v>
      </c>
    </row>
    <row r="48" spans="1:4" ht="15" thickBot="1" x14ac:dyDescent="0.35">
      <c r="A48" s="73" t="s">
        <v>2203</v>
      </c>
      <c r="B48" s="80" t="s">
        <v>28</v>
      </c>
      <c r="C48" s="267" t="s">
        <v>1534</v>
      </c>
      <c r="D48" s="268" t="s">
        <v>42</v>
      </c>
    </row>
    <row r="49" spans="1:4" ht="15" thickBot="1" x14ac:dyDescent="0.35">
      <c r="A49" s="73" t="s">
        <v>2204</v>
      </c>
      <c r="B49" s="80" t="s">
        <v>28</v>
      </c>
      <c r="C49" s="267" t="s">
        <v>1535</v>
      </c>
      <c r="D49" s="268" t="s">
        <v>42</v>
      </c>
    </row>
    <row r="50" spans="1:4" ht="28.2" thickBot="1" x14ac:dyDescent="0.35">
      <c r="A50" s="73" t="s">
        <v>2205</v>
      </c>
      <c r="B50" s="80" t="s">
        <v>28</v>
      </c>
      <c r="C50" s="265" t="s">
        <v>1554</v>
      </c>
      <c r="D50" s="268" t="s">
        <v>42</v>
      </c>
    </row>
    <row r="51" spans="1:4" ht="15" thickBot="1" x14ac:dyDescent="0.35">
      <c r="A51" s="73" t="s">
        <v>2206</v>
      </c>
      <c r="B51" s="80" t="s">
        <v>28</v>
      </c>
      <c r="C51" s="267" t="s">
        <v>1555</v>
      </c>
      <c r="D51" s="268" t="s">
        <v>42</v>
      </c>
    </row>
    <row r="52" spans="1:4" ht="28.2" thickBot="1" x14ac:dyDescent="0.35">
      <c r="A52" s="73" t="s">
        <v>2207</v>
      </c>
      <c r="B52" s="80" t="s">
        <v>28</v>
      </c>
      <c r="C52" s="267" t="s">
        <v>1557</v>
      </c>
      <c r="D52" s="268" t="s">
        <v>42</v>
      </c>
    </row>
    <row r="53" spans="1:4" ht="15" thickBot="1" x14ac:dyDescent="0.35">
      <c r="A53" s="73" t="s">
        <v>2208</v>
      </c>
      <c r="B53" s="80" t="s">
        <v>28</v>
      </c>
      <c r="C53" s="267" t="s">
        <v>1559</v>
      </c>
      <c r="D53" s="268" t="s">
        <v>42</v>
      </c>
    </row>
    <row r="54" spans="1:4" ht="28.2" thickBot="1" x14ac:dyDescent="0.35">
      <c r="A54" s="73" t="s">
        <v>2209</v>
      </c>
      <c r="B54" s="80" t="s">
        <v>28</v>
      </c>
      <c r="C54" s="267" t="s">
        <v>1560</v>
      </c>
      <c r="D54" s="268" t="s">
        <v>42</v>
      </c>
    </row>
    <row r="55" spans="1:4" ht="28.2" thickBot="1" x14ac:dyDescent="0.35">
      <c r="A55" s="73" t="s">
        <v>2210</v>
      </c>
      <c r="B55" s="80" t="s">
        <v>28</v>
      </c>
      <c r="C55" s="267" t="s">
        <v>1562</v>
      </c>
      <c r="D55" s="268" t="s">
        <v>42</v>
      </c>
    </row>
    <row r="56" spans="1:4" ht="28.2" thickBot="1" x14ac:dyDescent="0.35">
      <c r="A56" s="73" t="s">
        <v>2211</v>
      </c>
      <c r="B56" s="80" t="s">
        <v>28</v>
      </c>
      <c r="C56" s="267" t="s">
        <v>1563</v>
      </c>
      <c r="D56" s="268" t="s">
        <v>42</v>
      </c>
    </row>
    <row r="57" spans="1:4" ht="28.2" thickBot="1" x14ac:dyDescent="0.35">
      <c r="A57" s="73" t="s">
        <v>2212</v>
      </c>
      <c r="B57" s="80" t="s">
        <v>28</v>
      </c>
      <c r="C57" s="267" t="s">
        <v>1564</v>
      </c>
      <c r="D57" s="268" t="s">
        <v>42</v>
      </c>
    </row>
    <row r="58" spans="1:4" ht="28.2" thickBot="1" x14ac:dyDescent="0.35">
      <c r="A58" s="73" t="s">
        <v>2213</v>
      </c>
      <c r="B58" s="80" t="s">
        <v>40</v>
      </c>
      <c r="C58" s="267" t="s">
        <v>1573</v>
      </c>
      <c r="D58" s="268" t="s">
        <v>42</v>
      </c>
    </row>
    <row r="59" spans="1:4" ht="15" thickBot="1" x14ac:dyDescent="0.35">
      <c r="A59" s="73" t="s">
        <v>2214</v>
      </c>
      <c r="B59" s="80" t="s">
        <v>28</v>
      </c>
      <c r="C59" s="267" t="s">
        <v>1574</v>
      </c>
      <c r="D59" s="268" t="s">
        <v>42</v>
      </c>
    </row>
    <row r="60" spans="1:4" ht="15" thickBot="1" x14ac:dyDescent="0.35">
      <c r="A60" s="73" t="s">
        <v>2215</v>
      </c>
      <c r="B60" s="80" t="s">
        <v>28</v>
      </c>
      <c r="C60" s="267" t="s">
        <v>1575</v>
      </c>
      <c r="D60" s="268" t="s">
        <v>42</v>
      </c>
    </row>
    <row r="61" spans="1:4" ht="15" thickBot="1" x14ac:dyDescent="0.35">
      <c r="A61" s="73" t="s">
        <v>2216</v>
      </c>
      <c r="B61" s="80" t="s">
        <v>28</v>
      </c>
      <c r="C61" s="267" t="s">
        <v>1576</v>
      </c>
      <c r="D61" s="268" t="s">
        <v>42</v>
      </c>
    </row>
    <row r="62" spans="1:4" ht="28.2" thickBot="1" x14ac:dyDescent="0.35">
      <c r="A62" s="73" t="s">
        <v>2217</v>
      </c>
      <c r="B62" s="80" t="s">
        <v>40</v>
      </c>
      <c r="C62" s="267" t="s">
        <v>1577</v>
      </c>
      <c r="D62" s="266" t="s">
        <v>1585</v>
      </c>
    </row>
    <row r="63" spans="1:4" ht="15" thickBot="1" x14ac:dyDescent="0.35">
      <c r="A63" s="73" t="s">
        <v>2218</v>
      </c>
      <c r="B63" s="80" t="s">
        <v>28</v>
      </c>
      <c r="C63" s="267" t="s">
        <v>1578</v>
      </c>
      <c r="D63" s="268" t="s">
        <v>42</v>
      </c>
    </row>
    <row r="64" spans="1:4" ht="28.2" thickBot="1" x14ac:dyDescent="0.35">
      <c r="A64" s="73" t="s">
        <v>2219</v>
      </c>
      <c r="B64" s="80" t="s">
        <v>28</v>
      </c>
      <c r="C64" s="267" t="s">
        <v>1579</v>
      </c>
      <c r="D64" s="268" t="s">
        <v>42</v>
      </c>
    </row>
    <row r="65" spans="1:4" ht="28.2" thickBot="1" x14ac:dyDescent="0.35">
      <c r="A65" s="73" t="s">
        <v>2220</v>
      </c>
      <c r="B65" s="80" t="s">
        <v>40</v>
      </c>
      <c r="C65" s="267" t="s">
        <v>1581</v>
      </c>
      <c r="D65" s="268" t="s">
        <v>42</v>
      </c>
    </row>
    <row r="66" spans="1:4" ht="28.2" thickBot="1" x14ac:dyDescent="0.35">
      <c r="A66" s="73" t="s">
        <v>2221</v>
      </c>
      <c r="B66" s="80" t="s">
        <v>40</v>
      </c>
      <c r="C66" s="267" t="s">
        <v>1582</v>
      </c>
      <c r="D66" s="268" t="s">
        <v>42</v>
      </c>
    </row>
    <row r="67" spans="1:4" ht="28.2" thickBot="1" x14ac:dyDescent="0.35">
      <c r="A67" s="73" t="s">
        <v>2222</v>
      </c>
      <c r="B67" s="80" t="s">
        <v>28</v>
      </c>
      <c r="C67" s="267" t="s">
        <v>1583</v>
      </c>
      <c r="D67" s="268" t="s">
        <v>42</v>
      </c>
    </row>
    <row r="68" spans="1:4" ht="28.2" thickBot="1" x14ac:dyDescent="0.35">
      <c r="A68" s="73" t="s">
        <v>2223</v>
      </c>
      <c r="B68" s="80" t="s">
        <v>28</v>
      </c>
      <c r="C68" s="267" t="s">
        <v>1584</v>
      </c>
      <c r="D68" s="268" t="s">
        <v>42</v>
      </c>
    </row>
    <row r="69" spans="1:4" ht="15" thickBot="1" x14ac:dyDescent="0.35">
      <c r="A69" s="73" t="s">
        <v>2224</v>
      </c>
      <c r="B69" s="80" t="s">
        <v>40</v>
      </c>
      <c r="C69" s="265" t="s">
        <v>1601</v>
      </c>
      <c r="D69" s="268" t="s">
        <v>42</v>
      </c>
    </row>
    <row r="70" spans="1:4" ht="15" thickBot="1" x14ac:dyDescent="0.35">
      <c r="A70" s="73" t="s">
        <v>2225</v>
      </c>
      <c r="B70" s="80" t="s">
        <v>28</v>
      </c>
      <c r="C70" s="267" t="s">
        <v>1602</v>
      </c>
      <c r="D70" s="268" t="s">
        <v>42</v>
      </c>
    </row>
    <row r="71" spans="1:4" ht="28.2" thickBot="1" x14ac:dyDescent="0.35">
      <c r="A71" s="73" t="s">
        <v>2226</v>
      </c>
      <c r="B71" s="80" t="s">
        <v>28</v>
      </c>
      <c r="C71" s="267" t="s">
        <v>1604</v>
      </c>
      <c r="D71" s="268" t="s">
        <v>1586</v>
      </c>
    </row>
    <row r="72" spans="1:4" ht="15" thickBot="1" x14ac:dyDescent="0.35">
      <c r="A72" s="73" t="s">
        <v>2227</v>
      </c>
      <c r="B72" s="80" t="s">
        <v>40</v>
      </c>
      <c r="C72" s="267" t="s">
        <v>1607</v>
      </c>
      <c r="D72" s="268" t="s">
        <v>1589</v>
      </c>
    </row>
    <row r="73" spans="1:4" ht="28.2" thickBot="1" x14ac:dyDescent="0.35">
      <c r="A73" s="73" t="s">
        <v>2228</v>
      </c>
      <c r="B73" s="80" t="s">
        <v>40</v>
      </c>
      <c r="C73" s="267" t="s">
        <v>1609</v>
      </c>
      <c r="D73" s="268" t="s">
        <v>42</v>
      </c>
    </row>
    <row r="74" spans="1:4" ht="28.2" thickBot="1" x14ac:dyDescent="0.35">
      <c r="A74" s="73" t="s">
        <v>2229</v>
      </c>
      <c r="B74" s="80" t="s">
        <v>28</v>
      </c>
      <c r="C74" s="265" t="s">
        <v>1615</v>
      </c>
      <c r="D74" s="268" t="s">
        <v>42</v>
      </c>
    </row>
    <row r="75" spans="1:4" ht="28.2" thickBot="1" x14ac:dyDescent="0.35">
      <c r="A75" s="73" t="s">
        <v>2230</v>
      </c>
      <c r="B75" s="80" t="s">
        <v>28</v>
      </c>
      <c r="C75" s="267" t="s">
        <v>1616</v>
      </c>
      <c r="D75" s="268" t="s">
        <v>42</v>
      </c>
    </row>
    <row r="76" spans="1:4" ht="28.2" thickBot="1" x14ac:dyDescent="0.35">
      <c r="A76" s="73" t="s">
        <v>2231</v>
      </c>
      <c r="B76" s="80" t="s">
        <v>54</v>
      </c>
      <c r="C76" s="267" t="s">
        <v>1617</v>
      </c>
      <c r="D76" s="268" t="s">
        <v>42</v>
      </c>
    </row>
    <row r="77" spans="1:4" ht="15" thickBot="1" x14ac:dyDescent="0.35">
      <c r="A77" s="73" t="s">
        <v>2232</v>
      </c>
      <c r="B77" s="80" t="s">
        <v>28</v>
      </c>
      <c r="C77" s="267" t="s">
        <v>1618</v>
      </c>
      <c r="D77" s="268" t="s">
        <v>42</v>
      </c>
    </row>
    <row r="78" spans="1:4" ht="15" thickBot="1" x14ac:dyDescent="0.35">
      <c r="A78" s="73" t="s">
        <v>1752</v>
      </c>
      <c r="B78" s="80" t="s">
        <v>28</v>
      </c>
      <c r="C78" s="267" t="s">
        <v>1619</v>
      </c>
      <c r="D78" s="268" t="s">
        <v>42</v>
      </c>
    </row>
    <row r="79" spans="1:4" ht="28.2" thickBot="1" x14ac:dyDescent="0.35">
      <c r="A79" s="73" t="s">
        <v>1753</v>
      </c>
      <c r="B79" s="80" t="s">
        <v>28</v>
      </c>
      <c r="C79" s="267" t="s">
        <v>1620</v>
      </c>
      <c r="D79" s="268" t="s">
        <v>42</v>
      </c>
    </row>
    <row r="80" spans="1:4" ht="15" thickBot="1" x14ac:dyDescent="0.35">
      <c r="A80" s="73" t="s">
        <v>1754</v>
      </c>
      <c r="B80" s="80" t="s">
        <v>28</v>
      </c>
      <c r="C80" s="267" t="s">
        <v>1621</v>
      </c>
      <c r="D80" s="268" t="s">
        <v>42</v>
      </c>
    </row>
    <row r="81" spans="1:4" ht="15" thickBot="1" x14ac:dyDescent="0.35">
      <c r="A81" s="73" t="s">
        <v>2233</v>
      </c>
      <c r="B81" s="80" t="s">
        <v>54</v>
      </c>
      <c r="C81" s="267" t="s">
        <v>1622</v>
      </c>
      <c r="D81" s="268" t="s">
        <v>42</v>
      </c>
    </row>
    <row r="82" spans="1:4" ht="15" thickBot="1" x14ac:dyDescent="0.35">
      <c r="A82" s="73" t="s">
        <v>1755</v>
      </c>
      <c r="B82" s="80" t="s">
        <v>28</v>
      </c>
      <c r="C82" s="267" t="s">
        <v>1623</v>
      </c>
      <c r="D82" s="268" t="s">
        <v>42</v>
      </c>
    </row>
    <row r="83" spans="1:4" ht="15" thickBot="1" x14ac:dyDescent="0.35">
      <c r="A83" s="73" t="s">
        <v>1756</v>
      </c>
      <c r="B83" s="80" t="s">
        <v>28</v>
      </c>
      <c r="C83" s="267" t="s">
        <v>1624</v>
      </c>
      <c r="D83" s="268" t="s">
        <v>42</v>
      </c>
    </row>
    <row r="84" spans="1:4" ht="15" thickBot="1" x14ac:dyDescent="0.35">
      <c r="A84" s="73" t="s">
        <v>1757</v>
      </c>
      <c r="B84" s="80" t="s">
        <v>28</v>
      </c>
      <c r="C84" s="267" t="s">
        <v>1625</v>
      </c>
      <c r="D84" s="268" t="s">
        <v>42</v>
      </c>
    </row>
    <row r="85" spans="1:4" ht="15" thickBot="1" x14ac:dyDescent="0.35">
      <c r="A85" s="73" t="s">
        <v>2234</v>
      </c>
      <c r="B85" s="80" t="s">
        <v>54</v>
      </c>
      <c r="C85" s="267" t="s">
        <v>1626</v>
      </c>
      <c r="D85" s="268" t="s">
        <v>42</v>
      </c>
    </row>
    <row r="86" spans="1:4" ht="15" thickBot="1" x14ac:dyDescent="0.35">
      <c r="A86" s="73" t="s">
        <v>1758</v>
      </c>
      <c r="B86" s="80" t="s">
        <v>54</v>
      </c>
      <c r="C86" s="267" t="s">
        <v>1627</v>
      </c>
      <c r="D86" s="268" t="s">
        <v>42</v>
      </c>
    </row>
    <row r="87" spans="1:4" ht="28.2" thickBot="1" x14ac:dyDescent="0.35">
      <c r="A87" s="73" t="s">
        <v>2235</v>
      </c>
      <c r="B87" s="80" t="s">
        <v>54</v>
      </c>
      <c r="C87" s="265" t="s">
        <v>1636</v>
      </c>
      <c r="D87" s="266" t="s">
        <v>42</v>
      </c>
    </row>
    <row r="88" spans="1:4" ht="15" thickBot="1" x14ac:dyDescent="0.35">
      <c r="A88" s="73" t="s">
        <v>2236</v>
      </c>
      <c r="B88" s="80" t="s">
        <v>54</v>
      </c>
      <c r="C88" s="267" t="s">
        <v>1637</v>
      </c>
      <c r="D88" s="268" t="s">
        <v>42</v>
      </c>
    </row>
    <row r="89" spans="1:4" ht="15" thickBot="1" x14ac:dyDescent="0.35">
      <c r="A89" s="73" t="s">
        <v>2237</v>
      </c>
      <c r="B89" s="80" t="s">
        <v>54</v>
      </c>
      <c r="C89" s="267" t="s">
        <v>1638</v>
      </c>
      <c r="D89" s="268" t="s">
        <v>42</v>
      </c>
    </row>
    <row r="90" spans="1:4" ht="15" thickBot="1" x14ac:dyDescent="0.35">
      <c r="A90" s="73" t="s">
        <v>2238</v>
      </c>
      <c r="B90" s="80" t="s">
        <v>28</v>
      </c>
      <c r="C90" s="267" t="s">
        <v>1639</v>
      </c>
      <c r="D90" s="268" t="s">
        <v>1645</v>
      </c>
    </row>
    <row r="91" spans="1:4" ht="28.2" thickBot="1" x14ac:dyDescent="0.35">
      <c r="A91" s="73" t="s">
        <v>2239</v>
      </c>
      <c r="B91" s="80" t="s">
        <v>28</v>
      </c>
      <c r="C91" s="267" t="s">
        <v>1640</v>
      </c>
      <c r="D91" s="268" t="s">
        <v>42</v>
      </c>
    </row>
    <row r="92" spans="1:4" ht="15" thickBot="1" x14ac:dyDescent="0.35">
      <c r="A92" s="73" t="s">
        <v>2240</v>
      </c>
      <c r="B92" s="80" t="s">
        <v>28</v>
      </c>
      <c r="C92" s="267" t="s">
        <v>1643</v>
      </c>
      <c r="D92" s="268" t="s">
        <v>42</v>
      </c>
    </row>
    <row r="93" spans="1:4" ht="28.2" thickBot="1" x14ac:dyDescent="0.35">
      <c r="A93" s="73" t="s">
        <v>2241</v>
      </c>
      <c r="B93" s="80" t="s">
        <v>28</v>
      </c>
      <c r="C93" s="267" t="s">
        <v>1644</v>
      </c>
      <c r="D93" s="268" t="s">
        <v>42</v>
      </c>
    </row>
    <row r="94" spans="1:4" ht="28.2" thickBot="1" x14ac:dyDescent="0.35">
      <c r="A94" s="73" t="s">
        <v>2242</v>
      </c>
      <c r="B94" s="80" t="s">
        <v>28</v>
      </c>
      <c r="C94" s="269" t="s">
        <v>2091</v>
      </c>
      <c r="D94" s="269" t="s">
        <v>42</v>
      </c>
    </row>
    <row r="95" spans="1:4" ht="28.2" thickBot="1" x14ac:dyDescent="0.35">
      <c r="A95" s="73" t="s">
        <v>2243</v>
      </c>
      <c r="B95" s="80" t="s">
        <v>28</v>
      </c>
      <c r="C95" s="269" t="s">
        <v>2095</v>
      </c>
      <c r="D95" s="269" t="s">
        <v>42</v>
      </c>
    </row>
    <row r="96" spans="1:4" ht="15" thickBot="1" x14ac:dyDescent="0.35">
      <c r="A96" s="205" t="s">
        <v>2244</v>
      </c>
      <c r="B96" s="80" t="s">
        <v>28</v>
      </c>
      <c r="C96" s="269" t="s">
        <v>1558</v>
      </c>
      <c r="D96" s="269" t="s">
        <v>42</v>
      </c>
    </row>
    <row r="97" spans="1:4" ht="28.2" thickBot="1" x14ac:dyDescent="0.35">
      <c r="A97" s="205" t="s">
        <v>2245</v>
      </c>
      <c r="B97" s="80" t="s">
        <v>28</v>
      </c>
      <c r="C97" s="269" t="s">
        <v>2102</v>
      </c>
      <c r="D97" s="269" t="s">
        <v>42</v>
      </c>
    </row>
    <row r="98" spans="1:4" ht="15.6" thickBot="1" x14ac:dyDescent="0.35">
      <c r="A98" s="205" t="s">
        <v>2246</v>
      </c>
      <c r="B98" s="80"/>
      <c r="C98" s="207" t="s">
        <v>2107</v>
      </c>
      <c r="D98" s="206" t="s">
        <v>42</v>
      </c>
    </row>
    <row r="99" spans="1:4" ht="15.6" thickBot="1" x14ac:dyDescent="0.35">
      <c r="A99" s="205" t="s">
        <v>2247</v>
      </c>
      <c r="B99" s="80"/>
      <c r="C99" s="207" t="s">
        <v>2110</v>
      </c>
      <c r="D99" s="206" t="s">
        <v>42</v>
      </c>
    </row>
    <row r="100" spans="1:4" ht="30.6" thickBot="1" x14ac:dyDescent="0.35">
      <c r="A100" s="205" t="s">
        <v>2248</v>
      </c>
      <c r="B100" s="80"/>
      <c r="C100" s="207" t="s">
        <v>2114</v>
      </c>
      <c r="D100" s="206" t="s">
        <v>42</v>
      </c>
    </row>
    <row r="101" spans="1:4" ht="15.6" thickBot="1" x14ac:dyDescent="0.35">
      <c r="A101" s="205" t="s">
        <v>2249</v>
      </c>
      <c r="B101" s="80"/>
      <c r="C101" s="207" t="s">
        <v>2118</v>
      </c>
      <c r="D101" s="208" t="s">
        <v>1712</v>
      </c>
    </row>
    <row r="102" spans="1:4" ht="30.6" thickBot="1" x14ac:dyDescent="0.35">
      <c r="A102" s="205" t="s">
        <v>2250</v>
      </c>
      <c r="B102" s="80"/>
      <c r="C102" s="207" t="s">
        <v>2121</v>
      </c>
      <c r="D102" s="206" t="s">
        <v>42</v>
      </c>
    </row>
    <row r="103" spans="1:4" ht="30.6" thickBot="1" x14ac:dyDescent="0.35">
      <c r="A103" s="205" t="s">
        <v>2251</v>
      </c>
      <c r="B103" s="80"/>
      <c r="C103" s="207" t="s">
        <v>2125</v>
      </c>
      <c r="D103" s="206" t="s">
        <v>2126</v>
      </c>
    </row>
    <row r="104" spans="1:4" ht="30.6" thickBot="1" x14ac:dyDescent="0.35">
      <c r="A104" s="205" t="s">
        <v>2252</v>
      </c>
      <c r="B104" s="80"/>
      <c r="C104" s="207" t="s">
        <v>2130</v>
      </c>
      <c r="D104" s="206" t="s">
        <v>42</v>
      </c>
    </row>
    <row r="105" spans="1:4" ht="15.6" thickBot="1" x14ac:dyDescent="0.35">
      <c r="A105" s="205"/>
      <c r="B105" s="80"/>
      <c r="C105" s="207"/>
      <c r="D105" s="206"/>
    </row>
  </sheetData>
  <mergeCells count="2">
    <mergeCell ref="A2:A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Academic</vt:lpstr>
      <vt:lpstr>Non-Academic</vt:lpstr>
      <vt:lpstr>Sheet3</vt:lpstr>
      <vt:lpstr>Support Staff</vt:lpstr>
      <vt:lpstr>Those left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Nirasha Kavindi</cp:lastModifiedBy>
  <cp:lastPrinted>2025-10-23T03:35:45Z</cp:lastPrinted>
  <dcterms:created xsi:type="dcterms:W3CDTF">2023-02-23T03:59:01Z</dcterms:created>
  <dcterms:modified xsi:type="dcterms:W3CDTF">2026-01-05T11:43:58Z</dcterms:modified>
</cp:coreProperties>
</file>